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htdocs\zneagcrc\GAF-VEERG-Functions\Excel\"/>
    </mc:Choice>
  </mc:AlternateContent>
  <xr:revisionPtr revIDLastSave="0" documentId="13_ncr:1_{CE17963B-FA6F-489F-AF0C-5A1ADAC47B38}" xr6:coauthVersionLast="47" xr6:coauthVersionMax="47" xr10:uidLastSave="{00000000-0000-0000-0000-000000000000}"/>
  <bookViews>
    <workbookView xWindow="1650" yWindow="1410" windowWidth="36255" windowHeight="19140" firstSheet="3" activeTab="8" xr2:uid="{992023F3-CAB7-4E5B-A348-08D563A0EF40}"/>
  </bookViews>
  <sheets>
    <sheet name="Home" sheetId="71" r:id="rId1"/>
    <sheet name="Overview" sheetId="100" r:id="rId2"/>
    <sheet name="Results" sheetId="13" r:id="rId3"/>
    <sheet name="Input - Site" sheetId="15" r:id="rId4"/>
    <sheet name="Input - Other Livestock" sheetId="70" r:id="rId5"/>
    <sheet name="4.7.1.1-2 Manure Methane" sheetId="69" r:id="rId6"/>
    <sheet name="4.7.1.3-4 Soil Direct N2O" sheetId="102" r:id="rId7"/>
    <sheet name="4.7.1.5-6 Soil Atmos Deposition" sheetId="103" r:id="rId8"/>
    <sheet name="4.7.1.7-8 Soil Leaching Runoff" sheetId="104" r:id="rId9"/>
    <sheet name="Constants - Other Livestock" sheetId="79" r:id="rId10"/>
    <sheet name="Constants - Livestock" sheetId="43" r:id="rId11"/>
    <sheet name="Constants - Common" sheetId="105" r:id="rId12"/>
    <sheet name="Acknowledgements" sheetId="72" r:id="rId13"/>
  </sheets>
  <definedNames>
    <definedName name="Common_Equations.Common_ConvertCH4ToCO2e">_xlfn.LAMBDA(_xlpm.E_CH4,_xlpm.GWP_CH4, _xlpm.E_CH4 * _xlpm.GWP_CH4)</definedName>
    <definedName name="Common_Equations.Common_ConvertCH4ToCO2e_Arguments">_xlfn.LAMBDA(_xlfn.MAKEARRAY(2, 2, _xlfn.LAMBDA(_xlpm.r,_xlpm.c, INDEX({"ECH4","Methane emissions (t CH4)";"GWPCH4","Global warming potential for methane (t CO2-e / t CH4)"}, _xlpm.r, _xlpm.c))))</definedName>
    <definedName name="Common_Equations.Common_ConvertCH4ToCO2e_LatexEquation">_xlfn.LAMBDA("CO2_e = E_{CH4} \times GWP_{CH4}")</definedName>
    <definedName name="Common_Equations.Common_ConvertCH4ToCO2e_NIRReference">_xlfn.LAMBDA("")</definedName>
    <definedName name="Common_Equations.Common_ConvertCH4ToCO2e_Title">_xlfn.LAMBDA("Convert methane emissions to carbon dioxide equivalent emissions")</definedName>
    <definedName name="Common_Equations.Common_ConvertCH4ToCO2e_Unit">_xlfn.LAMBDA("t CO2e")</definedName>
    <definedName name="Common_Equations.Common_ConvertCH4ToCO2e_Variable">_xlfn.LAMBDA("ECH4 CO2e")</definedName>
    <definedName name="Common_Equations.Common_ConvertN2OToCO2e">_xlfn.LAMBDA(_xlpm.E_N2O,_xlpm.GWP_N2O, _xlpm.E_N2O * _xlpm.GWP_N2O)</definedName>
    <definedName name="Common_Equations.Common_ConvertN2OToCO2e_Arguments">_xlfn.LAMBDA(_xlfn.MAKEARRAY(2, 2, _xlfn.LAMBDA(_xlpm.r,_xlpm.c, INDEX({"EN2O","Nitrous oxide emissions (t N2O)";"GWPN2O","Global warming potential for nitrous oxide (t CO2-e / t N2O)"}, _xlpm.r, _xlpm.c))))</definedName>
    <definedName name="Common_Equations.Common_ConvertN2OToCO2e_LatexEquation">_xlfn.LAMBDA("CO2_e = E_{N2O} \times GWP_{N2O}")</definedName>
    <definedName name="Common_Equations.Common_ConvertN2OToCO2e_NIRReference">_xlfn.LAMBDA("")</definedName>
    <definedName name="Common_Equations.Common_ConvertN2OToCO2e_Title">_xlfn.LAMBDA("Convert nitrous oxide emissions to carbon dioxide equivalent emissions")</definedName>
    <definedName name="Common_Equations.Common_ConvertN2OToCO2e_Unit">_xlfn.LAMBDA("t CO2e")</definedName>
    <definedName name="Common_Equations.Common_ConvertN2OToCO2e_Variable">_xlfn.LAMBDA("EN2O CO2e")</definedName>
    <definedName name="Common_InputFunctions.Common_GetMCFTemperatureZone">_xlfn.LAMBDA(_xlpm.Temperature,_xlpm.MMS,_xlpm.TemperatureArray,_xlpm.MMSArray,_xlpm.ReturnArray, _xlfn.XLOOKUP(MEDIAN(_xlpm.Temperature, MIN(_xlpm.TemperatureArray), MAX(_xlpm.TemperatureArray)), _xlpm.TemperatureArray, _xlfn.XLOOKUP(_xlpm.MMS, _xlpm.MMSArray, _xlpm.ReturnArray)))</definedName>
    <definedName name="Common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_InputFunctions.getOverlappingReportingCycle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MAX(0, _xlpm.lastYear - _xlpm.firstYear + 1)))</definedName>
    <definedName name="Common_InputFunctions.getOverlappingReportingPeriods">_xlfn.LAMBDA(_xlpm.ProductionCycleStart,_xlpm.ProductionCycleEnd,_xlpm.ReportingCycleStart, _xlfn.LET(_xlpm.S, _xlpm.ProductionCycleStart, _xlpm.E, _xlpm.ProductionCycleEnd, _xlpm.m, MONTH(_xlpm.ReportingCycleStart), _xlpm.d, DAY(_xlpm.ReportingCycleStart), _xlpm.PeriodEnd, _xlfn.LAMBDA(_xlpm.st, EDATE(_xlpm.st, 12) - 1), _xlpm.A, _xlpm.S - 365, _xlpm.ya, YEAR(_xlpm.A), _xlpm.yb, YEAR(_xlpm.E), _xlpm.firstYear, _xlpm.ya + (_xlpm.PeriodEnd(DATE(_xlpm.ya, _xlpm.m, _xlpm.d)) &lt; _xlpm.S), _xlpm.lastYear, _xlpm.yb - (DATE(_xlpm.yb, _xlpm.m, _xlpm.d) &gt; _xlpm.E), _xlpm.n, MAX(0, _xlpm.lastYear - _xlpm.firstYear + 1), _xlpm.yrs, _xlfn.SEQUENCE(_xlpm.n, 1, _xlpm.firstYear, 1), _xlpm.starts, DATE(_xlpm.yrs, _xlpm.m, _xlpm.d), _xlpm.ends, _xlfn.MAP(_xlpm.starts, _xlpm.PeriodEnd), _xlpm.tag, IF(_xlpm.starts = _xlpm.ReportingCycleStart, " (This reporting cycle)", ""), _xlpm.startsText, TEXT(_xlpm.starts, "dd mmm yyyy"), _xlpm.endsText, TEXT(_xlpm.ends, "dd mmm yyyy"), IF(_xlpm.n = 0, "", _xlfn.HSTACK(_xlpm.startsText &amp; " to " &amp; _xlpm.endsText &amp; _xlpm.tag))))</definedName>
    <definedName name="Common_InputFunctions.Utility_ConvertStateCommonNameToAbbreviation">_xlfn.LAMBDA(_xlpm.StateCommonName,_xlpm.StateCommonNameArray,_xlpm.StateAbbreviationArray, _xlfn.XLOOKUP(_xlpm.StateCommonName, _xlpm.StateCommonNameArray, _xlpm.StateAbbreviationArray, ""))</definedName>
    <definedName name="Common_InputFunctions.Utility_DisplayArguments_1_2">_xlfn.LAMBDA(_xlpm.ArgumentsArray, _xlfn.CHOOSECOLS(_xlpm.ArgumentsArray, 1, 2))</definedName>
    <definedName name="Common_InputFunctions.Utility_DisplayArguments_3_4">_xlfn.LAMBDA(_xlpm.ArgumentsArray, _xlfn.CHOOSECOLS(_xlpm.ArgumentsArray, 3, 4))</definedName>
    <definedName name="Common_InputFunctions.Utility_DisplayArrayInTable">_xlfn.LAMBDA(_xlpm.ArrayData,_xlpm.TableheaderCell,_xlpm.RowsBetweenHeaderandArray,_xlop.ColumnsBetweenHeaderAndArray, IFERROR(INDEX(_xlfn.UNIQUE(_xlpm.ArrayData), ROW() - Common_InputFunctions.Utility_GetArrayTableRowStartNumber(_xlpm.TableheaderCell, _xlpm.RowsBetweenHeaderandArray), COLUMN() - Common_InputFunctions.Utility_GetArrayTableColumnStartNumber(_xlpm.TableheaderCell) + IF(_xlfn.ISOMITTED(_xlpm.ColumnsBetweenHeaderAndArray), 1, _xlpm.ColumnsBetweenHeaderAndArray)), ""))</definedName>
    <definedName name="Common_InputFunctions.Utility_DisplayFunctionName">_xlfn.LAMBDA(_xlpm.Function, _xlfn.TEXTBEFORE(_xlfn.FORMULATEXT(_xlpm.Function), "("))</definedName>
    <definedName name="Common_InputFunctions.Utility_GetArrayTableColumnStartNumber">_xlfn.LAMBDA(_xlpm.TableHeaderCell, COLUMN(_xlpm.TableHeaderCell))</definedName>
    <definedName name="Common_InputFunctions.Utility_GetArrayTableRowStartNumber">_xlfn.LAMBDA(_xlpm.TableheaderCell,_xlpm.RowsBetweenHeaderandArray, ROW(_xlpm.TableheaderCell) + _xlpm.RowsBetweenHeaderandArray - 1)</definedName>
    <definedName name="Common_InputFunctions.Utility_GetClimateZone">_xlfn.LAMBDA(_xlpm.avgTemp,_xlpm.avgRain,_xlpm.frostDays,_xlpm.elev,_xlpm.map_pet,_xlpm.minTempArray,_xlpm.maxTempArray,_xlpm.minRainfallArray,_xlpm.maxRainfallArray,_xlpm.minFrostArray,_xlpm.maxFrostArray,_xlpm.minElevationArray,_xlpm.maxElevationArray,_xlpm.minPETArray,_xlpm.maxPETArray,_xlpm.climateZoneArray, _xlfn.LET(_xlpm.mask, (VALUE(_xlpm.minTempArray) &lt;= _xlpm.avgTemp) * (VALUE(_xlpm.maxTempArray) &gt;= _xlpm.avgTemp) * (VALUE(_xlpm.minRainfallArray) &lt;= _xlpm.avgRain) * (VALUE(_xlpm.maxRainfallArray) &gt;= _xlpm.avgRain) * (VALUE(_xlpm.minFrostArray) &lt;= _xlpm.frostDays) * (VALUE(_xlpm.maxFrostArray) &gt;= _xlpm.frostDays) * (VALUE(_xlpm.minElevationArray) &lt;= _xlpm.elev) * (VALUE(_xlpm.maxElevationArray) &gt;= _xlpm.elev) * (VALUE(_xlpm.minPETArray) &lt;= _xlpm.map_pet) * (VALUE(_xlpm.maxPETArray) &gt;= _xlpm.map_pet), _xlfn.TAKE(_xlfn._xlws.FILTER(_xlpm.climateZoneArray, _xlpm.mask, "No match"), 1)))</definedName>
    <definedName name="Common_InputFunctions.Utility_LookupItemFromMinMax">_xlfn.LAMBDA(_xlpm.LookupValue,_xlpm.MinArray,_xlpm.MaxArray,_xlpm.ItemArray, _xlfn.LET(_xlpm.mask, (VALUE(_xlpm.MinArray) &lt;= _xlpm.LookupValue) * (VALUE(_xlpm.MaxArray) &gt;= _xlpm.LookupValue), _xlfn._xlws.FILTER(_xlpm.ItemArray, _xlpm.mask, "No match")))</definedName>
    <definedName name="Common_InputFunctions.Utility_LookupN2OEFFromProdIrrigationRainfall">_xlfn.LAMBDA(_xlpm.ProductionSystem,_xlpm.IrrigationMethod,_xlpm.RainfallZone,_xlpm.ProductionSystemArray,_xlpm.IrrigationMethodArray,_xlpm.RainfallZoneArray,_xlpm.ReturnArray, _xlfn.LET(_xlpm.IrrigationMethod, IF(_xlpm.IrrigationMethod = "Not irrigated", "Not irrigated", "Any"), _xlpm.RainfallZone, IF(_xlpm.IrrigationMethod = "Not irrigated", _xlpm.RainfallZone, "Any"), _xlfn.XLOOKUP(1, (_xlpm.ProductionSystemArray = _xlpm.ProductionSystem) * (_xlpm.IrrigationMethodArray = _xlpm.IrrigationMethod) * (_xlpm.RainfallZoneArray = _xlpm.RainfallZone), _xlpm.ReturnArray)))</definedName>
    <definedName name="Common_InputFunctions.Utility_LookupValueInTable">_xlfn.LAMBDA(_xlpm.LookupValue,_xlpm.LookupArray,_xlpm.ReturnArray, _xlfn.XLOOKUP(_xlpm.LookupValue, _xlpm.LookupArray, _xlpm.ReturnArray, ""))</definedName>
    <definedName name="Common_InputFunctions.Utility_LookupValueInTableNumber">_xlfn.LAMBDA(_xlpm.LookupValue,_xlpm.LookupArray,_xlpm.ReturnArray, IF(ISNUMBER(_xlfn.XLOOKUP(_xlpm.LookupValue, _xlpm.LookupArray, _xlpm.ReturnArray, "")), _xlfn.XLOOKUP(_xlpm.LookupValue, _xlpm.LookupArray, _xlpm.ReturnArray, ""), 0))</definedName>
    <definedName name="Common_InputFunctions.Utility_LookupValueInTableOneColumnAndHeader">_xlfn.LAMBDA(_xlpm.LookupValue1,_xlpm.LookupValue2,_xlpm.LookupArray1,_xlpm.LookupArray2,_xlpm.ReturnArray, _xlfn.XLOOKUP(_xlpm.LookupValue1, _xlpm.LookupArray1, _xlfn.XLOOKUP(_xlpm.LookupValue2, _xlpm.LookupArray2, _xlpm.ReturnArray)))</definedName>
    <definedName name="Common_InputFunctions.Utility_LookupValueInTableTwoColumns">_xlfn.LAMBDA(_xlpm.LookupValue1,_xlpm.LookupValue2,_xlpm.LookupArray1,_xlpm.LookupArray2,_xlpm.ReturnArray, _xlfn.XLOOKUP(1, (_xlpm.LookupArray1 = _xlpm.LookupValue1) * (_xlpm.LookupArray2 = _xlpm.LookupValue2), _xlpm.ReturnArray, ""))</definedName>
    <definedName name="Common_InputFunctions.Utility_SourceHyperlink">_xlfn.LAMBDA(_xlpm.TargetCell, _xlfn.LET(_xlpm.sh, _xlfn.TEXTAFTER(CELL("filename", _xlpm.TargetCell), "]"), _xlpm.addr, CELL("address", _xlpm.TargetCell), "#'" &amp; _xlpm.sh &amp; "'!" &amp; _xlpm.addr))</definedName>
    <definedName name="Common_InputFunctions.Utility_SplitStringIntoArray">_xlfn.LAMBDA(_xlpm.Cell,_xlpm.Delimiter,_xlop.CharacterToRemove1,_xlop.CharacterToRemove2, _xlfn.FILTERXML("&lt;t&gt;&lt;s&gt;" &amp; SUBSTITUTE(SUBSTITUTE(SUBSTITUTE(_xlpm.Cell, _xlpm.CharacterToRemove1, ""), _xlpm.CharacterToRemove2, ""), _xlpm.Delimiter, "&lt;/s&gt;&lt;s&gt;") &amp; "&lt;/s&gt;&lt;/t&gt;", "//s"))</definedName>
    <definedName name="Common_InputFunctions.Utility_SumQuantityFromCriteria">_xlfn.LAMBDA(_xlpm.Criteria1,_xlpm.Criteria1TypeArray,_xlpm.Quantity,_xlop.Multiplier,_xlop.Criteria2,_xlop.Criteria2Array, _xlfn.LET(_xlpm.multiplier, IF(_xlfn.ISOMITTED(_xlpm.Multiplier), 1, _xlpm.Multiplier), _xlpm.quantity, _xlpm.Quantity * _xlpm.multiplier, _xlpm.criteria1, --(_xlpm.Criteria1TypeArray = _xlpm.Criteria1), _xlpm.criteria2, IF(_xlfn.ISOMITTED(_xlpm.Criteria2), 1, --(_xlpm.Criteria2Array = _xlpm.Criteria2)), SUMPRODUCT(_xlpm.criteria1 * _xlpm.criteria2 * _xlpm.quantity)))</definedName>
    <definedName name="Common_SourceData.Common_SourceData_AustralianStatesTerritories_Data">_xlfn.LAMBDA(_xlfn.MAKEARRAY(9, 3, _xlfn.LAMBDA(_xlpm.r,_xlpm.c, INDEX({"State/Territory","Common Name","Abbreviation";"New South Wales","New South Wales","NSW";"Australian Capital Territory","ACT","ACT";"Victoria","Victoria","VIC";"Queensland","Queensland","QLD";"South Australia","South Australia","SA";"Western Australia","Western Australia","WA";"Tasmania","Tasmania","TAS";"Northern Territory","Northern Territory","NT"}, _xlpm.r, _xlpm.c))))</definedName>
    <definedName name="Common_SourceData.Common_SourceData_AustralianStatesTerritories_Source">_xlfn.LAMBDA("")</definedName>
    <definedName name="Common_SourceData.Common_SourceData_AustralianStatesTerritories_Title">_xlfn.LAMBDA("Australian states and territories")</definedName>
    <definedName name="Common_SourceData.Common_SourceData_AustralianStatesTerritories_Unit">_xlfn.LAMBDA("")</definedName>
    <definedName name="Common_SourceData.Common_SourceData_AustralianStatesTerritories_Variable">_xlfn.LAMBDA("")</definedName>
    <definedName name="Common_SourceData.Common_SourceData_ClimateZones_Appendices">_xlfn.LAMBDA(_xlfn.MAKEARRAY(4, 1, _xlfn.LAMBDA(_xlpm.r,_xlpm.c, INDEX({"Note:";"MAT = mean annual temperature";"MAP = mean annual precipitation";"PET = potential evapotranspiration"}, _xlpm.r, _xlpm.c))))</definedName>
    <definedName name="Common_SourceData.Common_SourceData_ClimateZones_Data">_xlfn.LAMBDA(_xlfn.MAKEARRAY(9, 16, _xlfn.LAMBDA(_xlpm.r,_xlpm.c, INDEX({"Climate Zone","MAT","MAP","Frost days per year","Elevation","MAP:PET","Min temp","Max temp","Min rainfall","Max rainfall","Min frost days","Max frost days","Min elevation","Max elevation","Min MAP:PET","Min MAP:PET";"Tropical montane","&gt; 18 C","Any","≤ 7","&gt; 1000 m","Any",18.001,999999,-999999,999999,-999999,7,1000,999999,-999999,999999;"Tropical wet","&gt; 18 C","&gt; 2000 mm","≤ 7","≤ 1000 m","Any",18.001,999999,2000.001,999999,-999999,7,-999999,999.999,-999999,999999;"Tropical moist","&gt; 18 C","&gt; 1000 mm - ≤ 2000 mm","≤ 7","≤ 1000 m","Any",18.001,999999,1000.001,2000,-999999,7,-999999,999.999,-999999,999999;"Tropical dry","&gt; 18 C","≤ 1000 mm","≤ 7","≤ 1000 m","Any",18.001,999999,-999999,1000,-999999,7,-999999,999.999,-999999,999999;"Warm temperate moist","&gt; 10 C","Any","Any","Any","&gt; 1",10.001,999999,-999999,999999,-999999,999999,-999999,999999,1.001,999999;"Warm temperate dry","&gt; 10 C","Any","Any","Any","≤ 1",10.001,999999,-999999,999999,-999999,999999,-999999,999999,-999999,1;"Cool temperate moist","&gt; 0 C - ≤ 10 C","Any","Any","Any","&gt; 1",-999999,10,-999999,999999,-999999,999999,-999999,999999,1.001,999999;"Cool temperate dry","&gt; 0 C - ≤ 10 C","Any","Any","Any","≤ 1",-999999,10,-999999,999999,-999999,999999,-999999,999999,-999999,1}, _xlpm.r, _xlpm.c))))</definedName>
    <definedName name="Common_SourceData.Common_SourceData_ClimateZones_Source">_xlfn.LAMBDA("VEERG 2026: Table 1.3: Climate and Rainfall zone classifications and definitions")</definedName>
    <definedName name="Common_SourceData.Common_SourceData_ClimateZones_Title">_xlfn.LAMBDA("VEERG Australian climate zones")</definedName>
    <definedName name="Common_SourceData.Common_SourceData_ClimateZones_Unit">_xlfn.LAMBDA("")</definedName>
    <definedName name="Common_SourceData.Common_SourceData_ClimateZones_Variable">_xlfn.LAMBDA("")</definedName>
    <definedName name="Common_SourceData.Common_SourceData_ClimateZones_Variation">_xlfn.LAMBDA(_xlfn.MAKEARRAY(5, 1, _xlfn.LAMBDA(_xlpm.r,_xlpm.c, INDEX({"VARIATION OF SOURCE DATA:";"Added warm / cool temperate moist / dry - low frost and high temp classes to accommodate climate scenarios excluded by VEERG criteria.";"Fixed typo in MAT value for warm temperate dry - changed 10 to 11.";"Added min and max columns for MAT, MAP, frost days per year, elevation, MAP:PET to calculate zones from real climate data.";"GAF accepts rainfall as a proxy for precipitation."}, _xlpm.r, _xlpm.c))))</definedName>
    <definedName name="Common_SourceData.Common_SourceData_ConvertGasElementalToMolecular_Data">_xlfn.LAMBDA(_xlfn.MAKEARRAY(8, 4, _xlfn.LAMBDA(_xlpm.r,_xlpm.c, INDEX({"Gas","Conversion factor","Conversion factor 1","Conversion factor 2";"CO2","44/12",44,12;"CH4","16/12",16,12;"N2O","44/28",44,28;"Nox","46/14",46,14;"CO","28/12",28,12;"CO2 Lime","44/12",44,12;"NMVOC","14/12",14,12}, _xlpm.r, _xlpm.c))))</definedName>
    <definedName name="Common_SourceData.Common_SourceData_ConvertGasElementalToMolecular_Source">_xlfn.LAMBDA("XXXXXXX")</definedName>
    <definedName name="Common_SourceData.Common_SourceData_ConvertGasElementalToMolecular_Title">_xlfn.LAMBDA("Factor to convert elemental mass of gas to molecular mass")</definedName>
    <definedName name="Common_SourceData.Common_SourceData_ConvertGasElementalToMolecular_Unit">_xlfn.LAMBDA("factor")</definedName>
    <definedName name="Common_SourceData.Common_SourceData_ConvertGasElementalToMolecular_Variable">_xlfn.LAMBDA("Cg")</definedName>
    <definedName name="Common_SourceData.Common_SourceData_ConvertN2oElementalToMolecularCg_Data">_xlfn.LAMBDA(44 / 28)</definedName>
    <definedName name="Common_SourceData.Common_SourceData_ConvertN2oElementalToMolecularCg_Source">_xlfn.LAMBDA("National Inventory Report 2023 Volume 1")</definedName>
    <definedName name="Common_SourceData.Common_SourceData_ConvertN2oElementalToMolecularCg_Title">_xlfn.LAMBDA("Factor to convert elemental mass of N2O to molecular mass")</definedName>
    <definedName name="Common_SourceData.Common_SourceData_ConvertN2oElementalToMolecularCg_Unit">_xlfn.LAMBDA("factor")</definedName>
    <definedName name="Common_SourceData.Common_SourceData_ConvertN2oElementalToMolecularCg_Variable">_xlfn.LAMBDA("CgN2O")</definedName>
    <definedName name="Common_SourceData.Common_SourceData_DataScores_Scope3_Data">_xlfn.LAMBDA(_xlfn.MAKEARRAY(6, 2, _xlfn.LAMBDA(_xlpm.r,_xlpm.c, INDEX({"Data source","Data score";"International scope 3 database",1;"Australian scope 3 database",2;"State or regional scope 3 database",3;"Emissions intensity calculated from approved method",4;"Verified credential matching ISO14067",5}, _xlpm.r, _xlpm.c))))</definedName>
    <definedName name="Common_SourceData.Common_SourceData_DataScores_Scope3_Source">_xlfn.LAMBDA("VEERG 2026: XXXXXXXX")</definedName>
    <definedName name="Common_SourceData.Common_SourceData_DataScores_Scope3_Title">_xlfn.LAMBDA("Australian data scores for scope 3")</definedName>
    <definedName name="Common_SourceData.Common_SourceData_DataScores_Scope3_Unit">_xlfn.LAMBDA("")</definedName>
    <definedName name="Common_SourceData.Common_SourceData_DataScores_Scope3_Variable">_xlfn.LAMBDA("")</definedName>
    <definedName name="Common_SourceData.Common_SourceData_DataScores_Scope3_Variation">_xlfn.LAMBDA("")</definedName>
    <definedName name="Common_SourceData.Common_SourceData_DensityOfMethane_Data">_xlfn.LAMBDA(0.6784)</definedName>
    <definedName name="Common_SourceData.Common_SourceData_DensityOfMethane_Source">_xlfn.LAMBDA("National Inventory Report 2023 Volume 1: Equations 3.B.1a_2, 3.B.1c_2, 3.B.3_1, 3.B.4g_2")</definedName>
    <definedName name="Common_SourceData.Common_SourceData_DensityOfMethane_Title">_xlfn.LAMBDA("p = density of methane")</definedName>
    <definedName name="Common_SourceData.Common_SourceData_DensityOfMethane_Unit">_xlfn.LAMBDA("kg/m3")</definedName>
    <definedName name="Common_SourceData.Common_SourceData_EFleach_Data">_xlfn.LAMBDA(_xlfn.MAKEARRAY(1, 2, _xlfn.LAMBDA(_xlpm.r,_xlpm.c, INDEX({"EFleach",0.011}, _xlpm.r, _xlpm.c))))</definedName>
    <definedName name="Common_SourceData.Common_SourceData_EFleach_NIRReference">_xlfn.LAMBDA("National Inventory Report Volume 1: Equation 3.D.B_10")</definedName>
    <definedName name="Common_SourceData.Common_SourceData_EFleach_Source">_xlfn.LAMBDA("VEERG 2026:5.5.2.3 Constant Parameters")</definedName>
    <definedName name="Common_SourceData.Common_SourceData_EFleach_Title">_xlfn.LAMBDA("Emission factor for nitrogen leaching and runoff")</definedName>
    <definedName name="Common_SourceData.Common_SourceData_EFleach_Unit">_xlfn.LAMBDA("(kg N2O-N / kg N")</definedName>
    <definedName name="Common_SourceData.Common_SourceData_EFleach_Variation">_xlfn.LAMBDA((""))</definedName>
    <definedName name="Common_SourceData.Common_SourceData_EFN2O_Data">_xlfn.LAMBDA(_xlfn.MAKEARRAY(15, 5, _xlfn.LAMBDA(_xlpm.r,_xlpm.c, INDEX({"Production system j","EFN2O","Production system only","Irrigation method","Rainfall zone";"Irrigated pasture",0.0059,"Pasture","Any","Any";"Irrigated crop",0.007,"Crop","Any","Any";"Non-irrigated pasture",0.0018,"Pasture","Not irrigated","Low rainfall";"Non-irrigated pasture",0.0018,"Pasture","Not irrigated","High rainfall";"Non-irrigated crop (low rainfall)",0.0029,"Crop","Not irrigated","Low rainfall";"Non-irrigated crop (high rainfall)",0.008,"Crop","Not irrigated","High rainfall";"Sugar",0.0199,"Sugar","Any","Any";"Cotton",0.0053,"Cotton","Any","Any";"Horticultural crops",0.0064,"Horticultural crops","Any","Any";"Rice (continuous flooding)",0.003,"Rice","Continuous flooding","Any";"Rice (single and multiple drainage, or alternate wetting and drying)",0.005,"Rice","Single and multiple drainage, or alternate wetting and drying","Any";"Aquaculture",0.0026,"Aquaculture","Any","Any";"Forestry",0.0018,"Forestry","Any","Any"}, _xlpm.r, _xlpm.c))))</definedName>
    <definedName name="Common_SourceData.Common_SourceData_EFN2O_NIRReference">_xlfn.LAMBDA("")</definedName>
    <definedName name="Common_SourceData.Common_SourceData_EFN2O_Source">_xlfn.LAMBDA("VEERG 2026: Table A.2.2.1")</definedName>
    <definedName name="Common_SourceData.Common_SourceData_EFN2O_Title">_xlfn.LAMBDA("Nitrous oxide emission factors for inorganic fertiliser application")</definedName>
    <definedName name="Common_SourceData.Common_SourceData_EFN2O_Unit">_xlfn.LAMBDA("(kg N2O-N / kg N")</definedName>
    <definedName name="Common_SourceData.Common_SourceData_EFN2O_Variation">_xlfn.LAMBDA(_xlfn.MAKEARRAY(5, 1, _xlfn.LAMBDA(_xlpm.r,_xlpm.c, INDEX({"VARIATION OF SOURCE DATA:";"Removed duplicate 'Aquaculture' row.";"Removed asterisks to aid lookup.";"Added 'production system only', 'rainfall zone' and 'irrigation method' columns to aid lookup.";"Duplicated 'non-irrigated pasture' row with same EF for low and high rainfall zones to aid lookup."}, _xlpm.r, _xlpm.c))))</definedName>
    <definedName name="Common_SourceData.Common_SourceData_EFOrganicFertiliserAndCropResidues_Data">_xlfn.LAMBDA(_xlfn.MAKEARRAY(3, 2, _xlfn.LAMBDA(_xlpm.r,_xlpm.c, INDEX({"Climate zone","EFNi &amp; EFN2O";"Wet climate zone",0.006;"Dry climate zone",0.005}, _xlpm.r, _xlpm.c))))</definedName>
    <definedName name="Common_SourceData.Common_SourceData_EFOrganicFertiliserAndCropResidues_NIRReference">_xlfn.LAMBDA("")</definedName>
    <definedName name="Common_SourceData.Common_SourceData_EFOrganicFertiliserAndCropResidues_Source">_xlfn.LAMBDA("VEERG 2026: Table A.2.1.4")</definedName>
    <definedName name="Common_SourceData.Common_SourceData_EFOrganicFertiliserAndCropResidues_Title">_xlfn.LAMBDA("Emission factor for organic fertiliser and crop residues returned to the soil")</definedName>
    <definedName name="Common_SourceData.Common_SourceData_EFOrganicFertiliserAndCropResidues_Unit">_xlfn.LAMBDA("kg N2O - N / kg N")</definedName>
    <definedName name="Common_SourceData.Common_SourceData_EFOrganicFertiliserAndCropResidues_Variable">_xlfn.LAMBDA("EFNi &amp; EFN2Oi")</definedName>
    <definedName name="Common_SourceData.Common_SourceData_EFOrganicFertiliserAndCropResidues_Variation">_xlfn.LAMBDA("")</definedName>
    <definedName name="Common_SourceData.Common_SourceData_EFPastureRangeAndPaddock_Data">_xlfn.LAMBDA(_xlfn.MAKEARRAY(3, 2, _xlfn.LAMBDA(_xlpm.r,_xlpm.c, INDEX({"Climate zone","EFPRP";"Wet climate zone",0.006;"Dry climate zone",0.002}, _xlpm.r, _xlpm.c))))</definedName>
    <definedName name="Common_SourceData.Common_SourceData_EFPastureRangeAndPaddock_NIRReference">_xlfn.LAMBDA("")</definedName>
    <definedName name="Common_SourceData.Common_SourceData_EFPastureRangeAndPaddock_Source">_xlfn.LAMBDA("VEERG 2026: Table A.2.2.2")</definedName>
    <definedName name="Common_SourceData.Common_SourceData_EFPastureRangeAndPaddock_Title">_xlfn.LAMBDA("Emission factor for urine and dung deposited on pasture, range or paddock")</definedName>
    <definedName name="Common_SourceData.Common_SourceData_EFPastureRangeAndPaddock_Unit">_xlfn.LAMBDA("kg N2O - N / kg N")</definedName>
    <definedName name="Common_SourceData.Common_SourceData_EFPastureRangeAndPaddock_Variation">_xlfn.LAMBDA("VARIATION FROM SOURCE DATA: Changed 'Dry climate zones' to singular 'Dry climate zone' to aid lookup.")</definedName>
    <definedName name="Common_SourceData.Common_SourceData_FracLEACH_Data">_xlfn.LAMBDA(_xlfn.MAKEARRAY(1, 2, _xlfn.LAMBDA(_xlpm.r,_xlpm.c, INDEX({"FracLEACH",0.24}, _xlpm.r, _xlpm.c))))</definedName>
    <definedName name="Common_SourceData.Common_SourceData_FracLEACH_NIRReference">_xlfn.LAMBDA("National Inventory Report Volume 1: Leaching and runoff (3.D.b.2)")</definedName>
    <definedName name="Common_SourceData.Common_SourceData_FracLEACH_Source">_xlfn.LAMBDA("VEERG 2026:5.5.2.3 Constant Parameters")</definedName>
    <definedName name="Common_SourceData.Common_SourceData_FracLEACH_Title">_xlfn.LAMBDA("Fraction of N that is available for leaching and runoff")</definedName>
    <definedName name="Common_SourceData.Common_SourceData_FracLEACH_Unit">_xlfn.LAMBDA("(Dimensionless")</definedName>
    <definedName name="Common_SourceData.Common_SourceData_FracLEACH_Variation">_xlfn.LAMBDA((""))</definedName>
    <definedName name="Common_SourceData.Common_SourceData_FracWET_Data">_xlfn.LAMBDA(_xlfn.MAKEARRAY(3, 2, _xlfn.LAMBDA(_xlpm.r,_xlpm.c, INDEX({"Is in leaching zone","FracWET";"Yes - in leaching zone",1;"No - not in leaching zone",0}, _xlpm.r, _xlpm.c))))</definedName>
    <definedName name="Common_SourceData.Common_SourceData_FracWET_NIRReference">_xlfn.LAMBDA("")</definedName>
    <definedName name="Common_SourceData.Common_SourceData_FracWET_Source">_xlfn.LAMBDA("VEERG 2026:5.5.2.3 Constant Parameters")</definedName>
    <definedName name="Common_SourceData.Common_SourceData_FracWET_Title">_xlfn.LAMBDA("Fraction of N that is available for leaching and runoff")</definedName>
    <definedName name="Common_SourceData.Common_SourceData_FracWET_Unit">_xlfn.LAMBDA("(Dimensionless")</definedName>
    <definedName name="Common_SourceData.Common_SourceData_FracWET_Variation">_xlfn.LAMBDA((""))</definedName>
    <definedName name="Common_SourceData.Common_SourceData_FracWETIrrigation_Data">_xlfn.LAMBDA(_xlfn.MAKEARRAY(6, 2, _xlfn.LAMBDA(_xlpm.r,_xlpm.c, INDEX({"Irrigation type ir","FracWET";"Not irrigated",0;"Drip irrigation",0;"Sprinkler irrigation",1;"Surface irrigation",1;"Other irrigation",1}, _xlpm.r, _xlpm.c))))</definedName>
    <definedName name="Common_SourceData.Common_SourceData_FracWETIrrigation_NIRReference">_xlfn.LAMBDA("IPCC 2019 Refinement Volume 4: Chapter 11: N2O Emissions from Managed Soils, and CO2 Emissions from Lime and Urea Application")</definedName>
    <definedName name="Common_SourceData.Common_SourceData_FracWETIrrigation_Source">_xlfn.LAMBDA("VEERG 2026: Chapter 1, section 1.8.2 Leaching, climate and rainfall zones")</definedName>
    <definedName name="Common_SourceData.Common_SourceData_FracWETIrrigation_Title">_xlfn.LAMBDA("FracWET for irrigation types")</definedName>
    <definedName name="Common_SourceData.Common_SourceData_FracWETIrrigation_Unit">_xlfn.LAMBDA("dimensionless")</definedName>
    <definedName name="Common_SourceData.Common_SourceData_FracWETIrrigation_Variation">_xlfn.LAMBDA("VARIATION FROM SOURCE DATA: Table created based on VEERG text 'Areas are subject to leaching (i.e., in the leaching zone) when... the land is irrigated (except drip irrigation).'")</definedName>
    <definedName name="Common_SourceData.Common_SourceData_GWP_Data">_xlfn.LAMBDA(_xlfn.MAKEARRAY(8, 2, _xlfn.LAMBDA(_xlpm.r,_xlpm.c, INDEX({"Gas","CO2-e factor";"CO2",1;"CH4",28;"N2O",265;"CF4",6630;"C2F6",12200;"SF6",22800;"NF3",17200}, _xlpm.r, _xlpm.c))))</definedName>
    <definedName name="Common_SourceData.Common_SourceData_GWP_Source">_xlfn.LAMBDA("XXXXXXX")</definedName>
    <definedName name="Common_SourceData.Common_SourceData_GWP_Title">_xlfn.LAMBDA("Global warming potential for greenhouse gases")</definedName>
    <definedName name="Common_SourceData.Common_SourceData_GWP_Unit">_xlfn.LAMBDA("factor")</definedName>
    <definedName name="Common_SourceData.Common_SourceData_GWP_Variable">_xlfn.LAMBDA("GWPN2O")</definedName>
    <definedName name="Common_SourceData.Common_SourceData_LeachingZones_Data">_xlfn.LAMBDA(_xlfn.MAKEARRAY(4, 2, _xlfn.LAMBDA(_xlpm.r,_xlpm.c, INDEX({"Leaching Zone","Leaching criteria";"Leaching occurs","Σ(𝑟𝑎𝑖𝑛)&gt;Σ(𝐸𝑇0)+𝑠𝑜𝑖𝑙 𝑤𝑎𝑡𝑒𝑟 ℎ𝑜𝑙𝑑𝑖𝑛𝑔 𝑐𝑎𝑝𝑎𝑐𝑖𝑡𝑦";"Leaching does not occur","Σ(𝑟𝑎𝑖𝑛)≤Σ(𝐸𝑇0)+𝑠𝑜𝑖𝑙 𝑤𝑎𝑡𝑒𝑟 ℎ𝑜𝑙𝑑𝑖𝑛𝑔 𝑐𝑎𝑝𝑎𝑐𝑖𝑡𝑦"}, _xlpm.r, _xlpm.c))))</definedName>
    <definedName name="Common_SourceData.Common_SourceData_LeachingZones_Source">_xlfn.LAMBDA("VEERG 2026: Table 1.3: Climate and Rainfall zone classifications and definitions")</definedName>
    <definedName name="Common_SourceData.Common_SourceData_LeachingZones_Title">_xlfn.LAMBDA("VEERG Australian leaching zones")</definedName>
    <definedName name="Common_SourceData.Common_SourceData_LeachingZones_Unit">_xlfn.LAMBDA("")</definedName>
    <definedName name="Common_SourceData.Common_SourceData_LeachingZones_Variable">_xlfn.LAMBDA("")</definedName>
    <definedName name="Common_SourceData.Common_SourceData_LeachingZones_Variation">_xlfn.LAMBDA("")</definedName>
    <definedName name="Common_SourceData.Common_SourceData_MCFTemperatureZone_Data">_xlfn.LAMBDA(_xlfn.MAKEARRAY(22, 16, _xlfn.LAMBDA(_xlpm.r,_xlpm.c, INDEX({"Temperature zone","MAT (ºC)","Uncovered anerobic lagoon","Covered lagoon","Liquid Slurry (without natural crust)","Daily spread (b)","Composting (passive windrow)","Solid Storage","Pit Storage &lt;1 month","Deep Litter","Poultry Manure (with/without litter)","","Direct processing into pelletized fertiliser","Direct application to soil","Pasture, Range and Paddock (c)(d)","MAT raw";"Cool","≤10",0.66,0.1,0.1,0.001,0.005,0.02,0.03,0.04,0.015,0.015,0,0,0.0047,10;"Cool",11,0.68,0.1,0.11,0.001,0.005,0.02,0.03,0.04,0.015,0.015,0,0,0.0047,11;"Cool",12,0.7,0.1,0.13,0.001,0.005,0.02,0.03,0.04,0.015,0.015,0,0,0.0047,12;"Cool",13,0.71,0.1,0.14,0.001,0.005,0.02,0.03,0.04,0.015,0.015,0,0,0.0047,13;"Cool",14,0.73,0.1,0.15,0.001,0.005,0.02,0.03,0.04,0.015,0.015,0,0,0.0047,14;"Temperate",15,0.74,0.1,0.17,0.005,0.01,0.02,0.03,0.04,0.015,0.015,0,0,0.0047,15;"Temperate",16,0.75,0.1,0.18,0.005,0.01,0.02,0.03,0.04,0.015,0.015,0,0,0.0047,16;"Temperate",17,0.76,0.1,0.2,0.005,0.01,0.02,0.03,0.04,0.015,0.015,0,0,0.0047,17;"Temperate",18,0.77,0.1,0.22,0.005,0.01,0.02,0.03,0.04,0.015,0.015,0,0,0.0047,18;"Temperate",19,0.77,0.1,0.24,0.005,0.01,0.02,0.03,0.04,0.015,0.015,0,0,0.0047,19;"Temperate",20,0.78,0.1,0.26,0.005,0.01,0.02,0.03,0.04,0.015,0.015,0,0,0.0047,20;"Temperate",21,0.78,0.1,0.29,0.005,0.01,0.02,0.03,0.04,0.015,0.015,0,0,0.0047,21;"Temperate",22,0.78,0.1,0.31,0.005,0.01,0.02,0.03,0.04,0.015,0.015,0,0,0.0047,22;"Temperate",23,0.79,0.1,0.34,0.005,0.01,0.02,0.03,0.04,0.015,0.015,0,0,0.0047,23;"Temperate",24,0.79,0.1,0.37,0.005,0.01,0.02,0.03,0.04,0.015,0.015,0,0,0.0047,24;"Temperate",25,0.79,0.1,0.41,0.005,0.01,0.02,0.03,0.04,0.015,0.015,0,0,0.0047,25;"Warm",26,0.79,0.1,0.44,0.01,0.015,0.02,0.03,0.04,0.015,0.015,0,0,0.0047,26;"Warm",27,0.8,0.1,0.48,0.01,0.015,0.02,0.03,0.04,0.015,0.015,0,0,0.0047,27;"Warm","≥28",0.8,0.1,0.5,0.01,0.015,0.02,0.03,0.04,0.015,0.015,0,0,0.0047,28;"","","Anaerobic lagoon","Digester / covered lagoons","Liquid systems","Daily spread","Composting (passive windrow)","Solid storage","Pit storage","Deep litter","Poultry manure with bedding","Poultry manure without bedding","Direct processing","Direct application","Pasture range and paddock","MAT raw"}, _xlpm.r, _xlpm.c))))</definedName>
    <definedName name="Common_SourceData.Common_SourceData_MCFTemperatureZone_Source">_xlfn.LAMBDA("VEERG 2026: Table A.1.8.1")</definedName>
    <definedName name="Common_SourceData.Common_SourceData_MCFTemperatureZone_Title">_xlfn.LAMBDA("Manure Management – Methane conversion factor per temperature zone (fraction) (MCFim)")</definedName>
    <definedName name="Common_SourceData.Common_SourceData_MCFTemperatureZone_Unit">_xlfn.LAMBDA("fraction")</definedName>
    <definedName name="Common_SourceData.Common_SourceData_MCFTemperatureZone_Variation">_xlfn.LAMBDA("VARIATION FROM SOURCE: Added row of NIR MMA definitions to aid lookup. Duplicated 'Poultry with and without litter' column with separate NIR definitions to aid lookup. Added 'MAT raw' column to allow lookup of numbers.")</definedName>
    <definedName name="Common_SourceData.Common_SourceData_MonthsToSeasons_Data">_xlfn.LAMBDA(_xlfn.MAKEARRAY(13, 2, _xlfn.LAMBDA(_xlpm.r,_xlpm.c, INDEX({"Month","Season";"January","Summer";"February","Summer";"March","Autumn";"April","Autumn";"May","Autumn";"June","Winter";"July","Winter";"August","Winter";"September","Spring";"October","Spring";"November","Spring";"December","Summer"}, _xlpm.r, _xlpm.c))))</definedName>
    <definedName name="Common_SourceData.Common_SourceData_MonthsToSeasons_NIRReference">_xlfn.LAMBDA("")</definedName>
    <definedName name="Common_SourceData.Common_SourceData_MonthsToSeasons_Source">_xlfn.LAMBDA("")</definedName>
    <definedName name="Common_SourceData.Common_SourceData_MonthsToSeasons_Title">_xlfn.LAMBDA("Months to Seasons Mapping")</definedName>
    <definedName name="Common_SourceData.Common_SourceData_MonthsToSeasons_Unit">_xlfn.LAMBDA("")</definedName>
    <definedName name="Common_SourceData.Common_SourceData_MonthsToSeasons_Variation">_xlfn.LAMBDA("")</definedName>
    <definedName name="Common_SourceData.Common_SourceData_RainfallZones_Data">_xlfn.LAMBDA(_xlfn.MAKEARRAY(3, 4, _xlfn.LAMBDA(_xlpm.r,_xlpm.c, INDEX({"Rainfall Zone","Annual rainfall","Rainfall min","Rainfall max";"High rainfall","Annual rainfall &gt; 600mm",600.001,999999;"Low rainfall","Annual rainfall ≤ 600mm",-999999,600}, _xlpm.r, _xlpm.c))))</definedName>
    <definedName name="Common_SourceData.Common_SourceData_RainfallZones_Source">_xlfn.LAMBDA("VEERG 2026: Table 1.3: Climate and Rainfall zone classifications and definitions")</definedName>
    <definedName name="Common_SourceData.Common_SourceData_RainfallZones_Title">_xlfn.LAMBDA("VEERG Australian rainfall zones")</definedName>
    <definedName name="Common_SourceData.Common_SourceData_RainfallZones_Unit">_xlfn.LAMBDA("")</definedName>
    <definedName name="Common_SourceData.Common_SourceData_RainfallZones_Variable">_xlfn.LAMBDA("")</definedName>
    <definedName name="Common_SourceData.Common_SourceData_RainfallZones_Variation">_xlfn.LAMBDA("VARIATION OF SOURCE DATA: Added extra Rainfall min and Rainfall max columns to calculate zone from real rainfall data.")</definedName>
    <definedName name="Common_SourceData.Common_SourceData_TemperatureZones_Data">_xlfn.LAMBDA(_xlfn.MAKEARRAY(4, 4, _xlfn.LAMBDA(_xlpm.r,_xlpm.c, INDEX({"Temperature Zone","Median Annual Temperature (MAT)","Min MAT","Max MAT";"Warm","≥ 26 C",26,999999;"Temperate","15 - 25 C",15,25.999;"Cool","≤ 14 C",-999999,14.999}, _xlpm.r, _xlpm.c))))</definedName>
    <definedName name="Common_SourceData.Common_SourceData_TemperatureZones_Source">_xlfn.LAMBDA("VEERG 2026: Table 1.3: Climate and Rainfall zone classifications and definitions")</definedName>
    <definedName name="Common_SourceData.Common_SourceData_TemperatureZones_Title">_xlfn.LAMBDA("VEERG Australian temperature zones")</definedName>
    <definedName name="Common_SourceData.Common_SourceData_TemperatureZones_Unit">_xlfn.LAMBDA("")</definedName>
    <definedName name="Common_SourceData.Common_SourceData_TemperatureZones_Variable">_xlfn.LAMBDA("")</definedName>
    <definedName name="Common_SourceData.Common_SourceData_TemperatureZones_Variation">_xlfn.LAMBDA("VARIATION OF SOURCE DATA: Added extra MAT min and MAT max columns to calculate zone from real temperature data.")</definedName>
    <definedName name="Common_SourceData.Common_SourceData_WASA4Areas_Data">_xlfn.LAMBDA(_xlfn.MAKEARRAY(11, 1, _xlfn.LAMBDA(_xlpm.r,_xlpm.c, INDEX({"SA 4 Name";"Bunbury";"Mandurah";"Perth - Inner";"Perth - North East";"Perth - North West";"Perth - South East";"Perth - South West";"Western Australia - Wheat Belt";"Western Australia - Outback (North)";"Western Australia - Outback (South)"}, _xlpm.r, _xlpm.c))))</definedName>
    <definedName name="Common_SourceData.Common_SourceData_WASA4Areas_Source">_xlfn.LAMBDA("Australian Bureau of Statistics (ABS) - Statistical Areas Level 2 - 2021 - Shapefile")</definedName>
    <definedName name="Common_SourceData.Common_SourceData_WASA4Areas_Title">_xlfn.LAMBDA("ABS Statistcal Areas Level 4 - Western Australia")</definedName>
    <definedName name="Common_SourceData.Common_SourceData_WASA4Areas_Unit">_xlfn.LAMBDA("")</definedName>
    <definedName name="Common_SourceData.Common_SourceData_WASA4Areas_Variable">_xlfn.LAMBDA("")</definedName>
    <definedName name="Common_SourceData.Common_SourceData_WetAndDryZones_Data">_xlfn.LAMBDA(_xlfn.MAKEARRAY(15, 2, _xlfn.LAMBDA(_xlpm.r,_xlpm.c, INDEX({"Climate Zone","Wet or Dry Zone";"Tropical montane","Wet climate zone";"Tropical wet","Wet climate zone";"Tropical moist","Wet climate zone";"Tropical dry","Dry climate zone";"Warm temperate moist","Wet climate zone";"Warm temperate dry","Dry climate zone";"Cool temperate moist","Wet climate zone";"Cool temperate dry","Dry climate zone";"Warm temperate moist - low frost","Wet climate zone";"Warm temperate dry - low frost","Dry climate zone";"Warm temperate moist - high temp","Wet climate zone";"Warm temperate dry - high temp","Dry climate zone";"Cool temperate moist - low frost","Wet climate zone";"Cool temperate dry - low frost","Dry climate zone"}, _xlpm.r, _xlpm.c))))</definedName>
    <definedName name="Common_SourceData.Common_SourceData_WetAndDryZones_Source">_xlfn.LAMBDA("VEERG 2026: Table 1.2: Translating climate zones to wet and dry zones")</definedName>
    <definedName name="Common_SourceData.Common_SourceData_WetAndDryZones_Title">_xlfn.LAMBDA("VEERG Australian wet and dry zones")</definedName>
    <definedName name="Common_SourceData.Common_SourceData_WetAndDryZones_Unit">_xlfn.LAMBDA("")</definedName>
    <definedName name="Common_SourceData.Common_SourceData_WetAndDryZones_Variable">_xlfn.LAMBDA("")</definedName>
    <definedName name="Common_SourceData.Common_SourceData_WetAndDryZones_Variation">_xlfn.LAMBDA(_xlfn.MAKEARRAY(3, 1, _xlfn.LAMBDA(_xlpm.r,_xlpm.c, INDEX({"VARIATION OF SOURCE DATA:";"Added warm / cool temperate moist / dry - low frost and high temp classes to accommodate climate scenarios excluded by VEERG criteria.";"Fixed typo - Changed 'Fry' to 'Dry'."}, _xlpm.r, _xlpm.c))))</definedName>
    <definedName name="CommonCropping_InputFunctions.CommonCropping_CalculateFractionResidueRemoved">_xlfn.LAMBDA(_xlpm.TotalResidue,_xlpm.AmountRemoved, (_xlpm.AmountRemoved * 10 ^ 3) / (_xlpm.TotalResidue * 10 ^ 3))</definedName>
    <definedName name="CommonCropping_InputFunctions.CommonCropping_CalculateHarvestIndex">_xlfn.LAMBDA(_xlpm.CropType,_xlpm.CropTypeArray,_xlpm.ResidueCropRatioArray, 1 / (1 + Common_InputFunctions.Utility_LookupValueInTableNumber(_xlpm.CropType, _xlpm.CropTypeArray, _xlpm.ResidueCropRatioArray)))</definedName>
    <definedName name="CommonCropping_InputFunctions.CommonCropping_CalculateResidueCropRatio">_xlfn.LAMBDA(_xlpm.HarvestIndex, (1 - _xlpm.HarvestIndex) / _xlpm.HarvestIndex)</definedName>
    <definedName name="CommonCropping_InputFunctions.CommonCropping_GetFracWET">_xlfn.LAMBDA(_xlpm.LeachingZone,_xlpm.ProductionSystem,_xlpm.LeachingZoneLookup,_xlpm.LeachingZoneFracWETLookup,_xlpm.ProductionSystemLookup,_xlpm.ProductionSystemFracWETLookup, _xlfn.LET(_xlpm.LeachingZoneFracWET, Common_InputFunctions.Utility_LookupValueInTableNumber(_xlpm.LeachingZone, _xlpm.LeachingZoneLookup, _xlpm.LeachingZoneFracWETLookup), _xlpm.ProductionSystemFracWET, Common_InputFunctions.Utility_LookupValueInTableNumber(_xlpm.ProductionSystem, _xlpm.ProductionSystemLookup, _xlpm.ProductionSystemFracWETLookup), IF(_xlpm.LeachingZoneFracWET + _xlpm.ProductionSystemFracWET &gt; 0, 1, 0)))</definedName>
    <definedName name="CommonLivestock_InputFunctions.AverageLiveweightEndOfMonth">_xlfn.LAMBDA(_xlpm.Month,_xlpm.LivestockClass,_xlpm.HeadAtStart,_xlpm.LiveweightAtStart,_xlpm.LiveweightGain, [0]!CommonLivestock_InputFunctions.LivestockMovement_ProportionalAverageLiveweightAddedDuringMonth(_xlpm.Month, _xlpm.LivestockClass, _xlpm.HeadAtStart) + [0]!CommonLivestock_InputFunctions.LivestockMovement_ProportionalAverageLiveweightRemainingAtEndOfMonth(_xlpm.Month, _xlpm.LivestockClass, _xlpm.HeadAtStart, _xlpm.LiveweightAtStart, _xlpm.LiveweightGain))</definedName>
    <definedName name="CommonLivestock_InputFunctions.LivestockMovement_AverageLiveweightAddedDuringMonth">_xlfn.LAMBDA(_xlpm.Month,_xlpm.LivestockClass, IFERROR([0]!CommonLivestock_InputFunctions.LivestockMovement_TotalLiveweightAddedDuringMonth(_xlpm.Month, _xlpm.LivestockClass) / [0]!CommonLivestock_InputFunctions.LivestockMovement_HeadAddedDuringMonth(_xlpm.Month, _xlpm.LivestockClass), 0))</definedName>
    <definedName name="CommonLivestock_InputFunctions.LivestockMovement_GetMovementLiveweightGain" localSheetId="11">_xlfn.LAMBDA(_xlpm.LivestockClass,_xlpm.MovementDate, _xlfn.LET(_xlpm.ym, TEXT(_xlpm.MovementDate, "yyyymm"), IFERROR(INDEX(_xlfn._xlws.FILTER(#REF!, (TEXT(#REF!, "yyyymm") = _xlpm.ym) * (#REF! = _xlpm.LivestockClass)), 1), "")))</definedName>
    <definedName name="CommonLivestock_InputFunctions.LivestockMovement_GetMovementLiveweightGain">_xlfn.LAMBDA(_xlpm.LivestockClass,_xlpm.MovementDate, _xlfn.LET(_xlpm.ym, TEXT(_xlpm.MovementDate, "yyyymm"), IFERROR(INDEX(_xlfn._xlws.FILTER(#REF!, (TEXT(#REF!, "yyyymm") = _xlpm.ym) * (#REF! = _xlpm.LivestockClass)), 1), "")))</definedName>
    <definedName name="CommonLivestock_InputFunctions.LivestockMovement_HeadAddedDuringMonth" localSheetId="11">_xlfn.LAMBDA(_xlpm.Month,_xlpm.LivestockClass, IFERROR(SUM(_xlfn._xlws.FILTER(#REF!, (#REF! &gt;= EOMONTH(_xlpm.Month, -1) + 1) * (#REF! &lt;= EOMONTH(_xlpm.Month, 0)) * (#REF! = _xlpm.LivestockClass))), 0))</definedName>
    <definedName name="CommonLivestock_InputFunctions.LivestockMovement_HeadAddedDuringMonth">_xlfn.LAMBDA(_xlpm.Month,_xlpm.LivestockClass, IFERROR(SUM(_xlfn._xlws.FILTER(#REF!, (#REF! &gt;= EOMONTH(_xlpm.Month, -1) + 1) * (#REF! &lt;= EOMONTH(_xlpm.Month, 0)) * (#REF! = _xlpm.LivestockClass))), 0))</definedName>
    <definedName name="CommonLivestock_InputFunctions.LivestockMovement_HeadAtEndOfMonth">_xlfn.LAMBDA(_xlpm.HeadAtStart,_xlpm.Month,_xlpm.LivestockClass, _xlpm.HeadAtStart + [0]!CommonLivestock_InputFunctions.LivestockMovement_HeadAddedDuringMonth(_xlpm.Month, _xlpm.LivestockClass) - [0]!CommonLivestock_InputFunctions.LivestockMovement_HeadLostDuringMonth(_xlpm.Month, _xlpm.LivestockClass))</definedName>
    <definedName name="CommonLivestock_InputFunctions.LivestockMovement_HeadLostDuringMonth" localSheetId="11">_xlfn.LAMBDA(_xlpm.Month,_xlpm.LivestockClass, IFERROR(SUM(_xlfn._xlws.FILTER(#REF!, (#REF! &gt;= EOMONTH(_xlpm.Month, -1) + 1) * (#REF! &lt;= EOMONTH(_xlpm.Month, 0)) * (#REF! = _xlpm.LivestockClass))), 0))</definedName>
    <definedName name="CommonLivestock_InputFunctions.LivestockMovement_HeadLostDuringMonth">_xlfn.LAMBDA(_xlpm.Month,_xlpm.LivestockClass, IFERROR(SUM(_xlfn._xlws.FILTER(#REF!, (#REF! &gt;= EOMONTH(_xlpm.Month, -1) + 1) * (#REF! &lt;= EOMONTH(_xlpm.Month, 0)) * (#REF! = _xlpm.LivestockClass))), 0))</definedName>
    <definedName name="CommonLivestock_InputFunctions.LivestockMovement_HeadRemainingAtMonthEnd">_xlfn.LAMBDA(_xlpm.Month,_xlpm.LivestockClass,_xlpm.HeadAtStartOfMonth, MAX(_xlpm.HeadAtStartOfMonth - [0]!CommonLivestock_InputFunctions.LivestockMovement_HeadLostDuringMonth(_xlpm.Month, _xlpm.LivestockClass), 0))</definedName>
    <definedName name="CommonLivestock_InputFunctions.LivestockMovement_LiveweightAddedDuringMonth">_xlfn.LAMBDA(_xlpm.LivestockClass,_xlpm.MovementDate,_xlpm.WeightAtMovementDate,_xlpm.Head, IFERROR(_xlpm.Head * (_xlpm.WeightAtMovementDate + [0]!CommonLivestock_InputFunctions.LivestockMovement_LiveweightGrownDuringMonthPerHead(_xlpm.LivestockClass, _xlpm.MovementDate)), 0))</definedName>
    <definedName name="CommonLivestock_InputFunctions.LivestockMovement_LiveweightGrownDuringMonthPerHead">_xlfn.LAMBDA(_xlpm.LivestockClass,_xlpm.MovementDate, IFERROR([0]!CommonLivestock_InputFunctions.LivestockMovement_GetMovementLiveweightGain(_xlpm.LivestockClass, _xlpm.MovementDate) * CommonLivestock_InputFunctions.LivestockMovement_DaysMovementToMonthEnd(_xlpm.MovementDate), 0))</definedName>
    <definedName name="CommonLivestock_InputFunctions.LivestockMovement_LiveweightGrownFromMonthStartPerHead">_xlfn.LAMBDA(_xlpm.LivestockClass,_xlpm.Month, [0]!CommonLivestock_InputFunctions.LivestockMovement_LiveweightGrownDuringMonthPerHead(_xlpm.LivestockClass, EOMONTH(_xlpm.Month, -1) + 1))</definedName>
    <definedName name="CommonLivestock_InputFunctions.LivestockMovement_LiveweightGrownFromMonthStartTotal">_xlfn.LAMBDA(_xlpm.LivestockClass,_xlpm.Month,_xlpm.HeadAtStartOfMonth, [0]!CommonLivestock_InputFunctions.LivestockMovement_HeadRemainingAtMonthEnd(_xlpm.Month, _xlpm.LivestockClass, _xlpm.HeadAtStartOfMonth) * [0]!CommonLivestock_InputFunctions.LivestockMovement_LiveweightGrownFromMonthStartPerHead(_xlpm.LivestockClass, _xlpm.Month))</definedName>
    <definedName name="CommonLivestock_InputFunctions.LivestockMovement_LiveweightGrownFromMovementDateTotal">_xlfn.LAMBDA(_xlpm.LivestockClass,_xlpm.MovementDate,_xlpm.Head, [0]!CommonLivestock_InputFunctions.LivestockMovement_LiveweightGrownDuringMonthPerHead(_xlpm.LivestockClass, _xlpm.MovementDate) * _xlpm.Head)</definedName>
    <definedName name="CommonLivestock_InputFunctions.LivestockMovement_ProportionalAverageLiveweightAddedDuringMonth">_xlfn.LAMBDA(_xlpm.Month,_xlpm.LivestockClass,_xlpm.HeadAtStart, [0]!CommonLivestock_InputFunctions.LivestockMovement_ProportionHeadAddedDuringMonth(_xlpm.Month, _xlpm.LivestockClass, _xlpm.HeadAtStart) * [0]!CommonLivestock_InputFunctions.LivestockMovement_AverageLiveweightAddedDuringMonth(_xlpm.Month, _xlpm.LivestockClass))</definedName>
    <definedName name="CommonLivestock_InputFunctions.LivestockMovement_ProportionalAverageLiveweightRemainingAtEndOfMonth">_xlfn.LAMBDA(_xlpm.Month,_xlpm.LivestockClass,_xlpm.HeadAtStart,_xlpm.LiveweightAtStart,_xlpm.LiveweightGain, [0]!CommonLivestock_InputFunctions.LivestockMovement_ProportionHeadRemainingAtEndOfMonth(_xlpm.Month, _xlpm.LivestockClass, _xlpm.HeadAtStart) * CommonLivestock_InputFunctions.LivestockMovement_AverageLiveweightRemainingHead(_xlpm.Month, _xlpm.LiveweightAtStart, _xlpm.LiveweightGain))</definedName>
    <definedName name="CommonLivestock_InputFunctions.LivestockMovement_ProportionHeadAddedDuringMonth">_xlfn.LAMBDA(_xlpm.Month,_xlpm.LivestockClass,_xlpm.HeadAtStart, IFERROR(MIN(1, [0]!CommonLivestock_InputFunctions.LivestockMovement_HeadAddedDuringMonth(_xlpm.Month, _xlpm.LivestockClass) / [0]!CommonLivestock_InputFunctions.LivestockMovement_HeadAtEndOfMonth(_xlpm.HeadAtStart, _xlpm.Month, _xlpm.LivestockClass)), 0))</definedName>
    <definedName name="CommonLivestock_InputFunctions.LivestockMovement_ProportionHeadRemainingAtEndOfMonth">_xlfn.LAMBDA(_xlpm.Month,_xlpm.LivestockClass,_xlpm.HeadAtStart, IFERROR(MIN(1, [0]!CommonLivestock_InputFunctions.LivestockMovement_HeadRemainingAtMonthEnd(_xlpm.Month, _xlpm.LivestockClass, _xlpm.HeadAtStart) / [0]!CommonLivestock_InputFunctions.LivestockMovement_HeadAtEndOfMonth(_xlpm.HeadAtStart, _xlpm.Month, _xlpm.LivestockClass)), 0))</definedName>
    <definedName name="CommonLivestock_InputFunctions.LivestockMovement_TotalLiveweightAddedDuringMonth" localSheetId="11">_xlfn.LAMBDA(_xlpm.Month,_xlpm.LivestockClass, IFERROR(SUM(_xlfn._xlws.FILTER(#REF!, (#REF! &gt;= EOMONTH(_xlpm.Month, -1) + 1) * (#REF! &lt;= EOMONTH(_xlpm.Month, 0)) * (#REF! = _xlpm.LivestockClass))), 0))</definedName>
    <definedName name="CommonLivestock_InputFunctions.LivestockMovement_TotalLiveweightAddedDuringMonth">_xlfn.LAMBDA(_xlpm.Month,_xlpm.LivestockClass, IFERROR(SUM(_xlfn._xlws.FILTER(#REF!, (#REF! &gt;= EOMONTH(_xlpm.Month, -1) + 1) * (#REF! &lt;= EOMONTH(_xlpm.Month, 0)) * (#REF! = _xlpm.LivestockClass))), 0))</definedName>
    <definedName name="CommonLivestock_InputFunctions.LivestockMovement_TotalLiveweightGrownDuringMonth" localSheetId="11">_xlfn.LAMBDA(_xlpm.Month,_xlpm.LivestockClass, IFERROR(SUM(_xlfn._xlws.FILTER(#REF!, (#REF! &gt;= EOMONTH(_xlpm.Month, -1) + 1) * (#REF! &lt;= EOMONTH(_xlpm.Month, 0)) * (#REF! = _xlpm.LivestockClass))), 0))</definedName>
    <definedName name="CommonLivestock_InputFunctions.LivestockMovement_TotalLiveweightGrownDuringMonth">_xlfn.LAMBDA(_xlpm.Month,_xlpm.LivestockClass, IFERROR(SUM(_xlfn._xlws.FILTER(#REF!, (#REF! &gt;= EOMONTH(_xlpm.Month, -1) + 1) * (#REF! &lt;= EOMONTH(_xlpm.Month, 0)) * (#REF! = _xlpm.LivestockClass))), 0))</definedName>
    <definedName name="CommonLivestock_InputFunctions.LivestockMovement_TotalLiveweightGrownDuringMonthAddedAndRemaining">_xlfn.LAMBDA(_xlpm.Month,_xlpm.LivestockClass,_xlpm.HeadAtStart, [0]!CommonLivestock_InputFunctions.LivestockMovement_LiveweightGrownFromMonthStartTotal(_xlpm.LivestockClass, _xlpm.Month, _xlpm.HeadAtStart) + [0]!CommonLivestock_InputFunctions.LivestockMovement_TotalLiveweightGrownDuringMonth(_xlpm.Month, _xlpm.LivestockClass))</definedName>
    <definedName name="CommonLivestock_SourceData.SourceData_Livestock_Common_FracLEACH_MS_Data">_xlfn.LAMBDA(_xlfn.MAKEARRAY(8, 2, _xlfn.LAMBDA(_xlpm.r,_xlpm.c, INDEX({"Production system","Emission factor";"Irrigated pasture",0.0059;"Irrigated crop",0.007;"Non-irrigated pasture",0.0018;"Non-irrigated crop",0.0041;"Sugar cane",0.0199;"Cotton",0.0053;"Horticulture",0.0064}, _xlpm.r, _xlpm.c))))</definedName>
    <definedName name="CommonLivestock_SourceData.SourceData_Livestock_Common_FracLEACH_MS_Source">_xlfn.LAMBDA("National Inventory Report 2023 Volume 1: Equations 3.B.5a_3, 3.B.5c_3, 3.B.5d_3")</definedName>
    <definedName name="CommonLivestock_SourceData.SourceData_Livestock_Common_FracLEACH_MS_Title">_xlfn.LAMBDA("Fraction of N lost through leaching and runoff")</definedName>
    <definedName name="CommonLivestock_SourceData.SourceData_Livestock_Common_FracLEACH_MS_Unit">_xlfn.LAMBDA("Fraction")</definedName>
    <definedName name="CommonLivestock_SourceData.SourceData_Livestock_Common_FracWETMMS_Data">_xlfn.LAMBDA(1)</definedName>
    <definedName name="CommonLivestock_SourceData.SourceData_Livestock_Common_FracWETMMS_Source">_xlfn.LAMBDA("National Inventory Report 2023 Volume 1: Equations 3.B.5a_3, 3.B.5c_3, 3.B.5d_3")</definedName>
    <definedName name="CommonLivestock_SourceData.SourceData_Livestock_Common_FracWETMMS_Title">_xlfn.LAMBDA("Fraction of N available for leaching and runoff")</definedName>
    <definedName name="CommonLivestock_SourceData.SourceData_Livestock_Common_FracWETMMS_Unit">_xlfn.LAMBDA("Fraction")</definedName>
    <definedName name="CommonLivestock_SourceData.SourceData_Livestock_Common_SymbolsMMS_Data">_xlfn.LAMBDA(_xlfn.MAKEARRAY(19, 3, _xlfn.LAMBDA(_xlpm.r,_xlpm.c, INDEX({"Symbol","Manure management system","";"1","Anaerobic lagoon","Anaerobic lagoon (m=1)";"2","Liquid systems","Liquid systems (m=2)";"3","Daily spread","Daily spread (m=3)";"3a","Sump and dispersal system","Sump and dispersal system (m=3a)";"3b","Drains to paddock","Drains to paddock (m=3b)";"4","Solid storage","Solid storage (m=4)";"5","Drylot (feed pad)","Drylot (feed pad) (m=5)";"6","Composting (passive windrow)","Composting (passive windrow) (m=6)";"7","Digester / covered lagoons","Digester / covered lagoons (m=7)";"8","Deep litter","Deep litter (m=8)";"9","Pit storage","Pit storage (m=9)";"10","Poultry manure with bedding","Poultry manure with bedding (m=10)";"11","Poultry manure without bedding","Poultry manure without bedding (m=11)";"11a","Belt manure removal","Belt manure removal (m=11a)";"11b","Manure stored in house","Manure stored in house (m=11b)";"12","Direct processing","Direct processing (m=12)";"13","Direct application","Direct application (m=13)";"14","Pasture range and paddock","Pasture range and paddock (m=14)"}, _xlpm.r, _xlpm.c))))</definedName>
    <definedName name="CommonLivestock_SourceData.SourceData_Livestock_Common_SymbolsMMS_Source">_xlfn.LAMBDA("National Inventory Report 2023 Volume 1: Table 5.12")</definedName>
    <definedName name="CommonLivestock_SourceData.SourceData_Livestock_Common_SymbolsMMS_Title">_xlfn.LAMBDA("Table 5.12 Additional symbols used in algorithms for manure related emissions")</definedName>
    <definedName name="CommonLivestock_SourceData.SourceData_Livestock_Common_SymbolsMMS_Unit">_xlfn.LAMBDA("")</definedName>
    <definedName name="CommonLivestock_SourceData.SourceData_Livestock_Common_SymbolsMMS_Vairable">_xlfn.LAMBDA("MMS")</definedName>
    <definedName name="Fertiliser_Equations_InorganicCO2.VEERG_5_1_1_3__2_MassOfUreaInInorganicFertiliser_Arguments">_xlfn.LAMBDA(_xlfn.MAKEARRAY(2, 3, _xlfn.LAMBDA(_xlpm.r,_xlpm.c, INDEX({"TM_jf","total mass of inorganic fertiliser type f applied to production system j : kg","Input";"FU_f","fraction of urea in fertiliser type f : kg urea/kg","Lookup"}, _xlpm.r, _xlpm.c))))</definedName>
    <definedName name="getOverlappingReportingCycles">_xlfn.LAMBDA(_xlpm.ProductionCycleStart,_xlpm.ProductionCycleEnd,_xlpm.ReportingStartMonth,_xlpm.ReportingStartDay, _xlfn.LET(_xlpm.S, _xlpm.ProductionCycleStart, _xlpm.E, _xlpm.ProductionCycleEnd, _xlpm.m, _xlpm.ReportingStartMonth, _xlpm.d, _xlpm.ReportingStartDay, _xlpm.A, _xlpm.S - 364, _xlpm.ya, YEAR(_xlpm.A), _xlpm.yb, YEAR(_xlpm.E), _xlpm.firstYear, _xlpm.ya + (DATE(_xlpm.ya, _xlpm.m, _xlpm.d) &lt; _xlpm.A), _xlpm.lastYear, _xlpm.yb - (DATE(_xlpm.yb, _xlpm.m, _xlpm.d) &gt; _xlpm.E), MAX(0, _xlpm.lastYear - _xlpm.firstYear + 1)))</definedName>
    <definedName name="Inoput_Cell_Livestock_antibiotics">#REF!</definedName>
    <definedName name="Inoput_Cell_Livestockantibiotics">#REF!</definedName>
    <definedName name="Input_Cell_CO2_for_carbonation">#REF!</definedName>
    <definedName name="Input_Cell_CO2forcarbonation">#REF!</definedName>
    <definedName name="Input_Cell_Livestock_antibiotics">#REF!</definedName>
    <definedName name="Input_Cell_Livestock_tags">#REF!</definedName>
    <definedName name="Input_Cell_LivestockAntibiotics">#REF!</definedName>
    <definedName name="Input_Cell_Nylon_netting_for_horticulture">#REF!</definedName>
    <definedName name="Input_Cell_Nylonnettingforhorticulture">#REF!</definedName>
    <definedName name="Input_Cell_Pallets__Plastic">#REF!</definedName>
    <definedName name="Input_Cell_Pallets__Wood">#REF!</definedName>
    <definedName name="Input_Cell_Pallets_Plastic">#REF!</definedName>
    <definedName name="Input_Cell_Pallets_Wood">#REF!</definedName>
    <definedName name="M1_Table_E_CH4">'4.7.1.1-2 Manure Methane'!$N$103:$P$111</definedName>
    <definedName name="M1_Table_E_CH4_Consumer_1">'4.7.1.1-2 Manure Methane'!$D$103:$F$111</definedName>
    <definedName name="M1_Table_M_j_m">'4.7.1.1-2 Manure Methane'!$D$64:$F$72</definedName>
    <definedName name="M1_Table_MCF_i_m">'4.7.1.1-2 Manure Methane'!$D$58:$E$60</definedName>
    <definedName name="M2_Table_M_j_m">'4.7.1.1-2 Manure Methane'!$N$64:$P$72</definedName>
    <definedName name="M2_Table_MCF_i_m">'4.7.1.1-2 Manure Methane'!$N$58:$O$60</definedName>
    <definedName name="MMS_OtherLivestock_Methane_Equations.VEERG_4_7_1_1__1_TotalAnnualMethaneProductionFromManureManagementOtherLivestock">_xlfn.LAMBDA(_xlpm.N_j,_xlpm.M_jm, SUM(_xlpm.N_j * _xlpm.M_jm * 365) * 10 ^ -3)</definedName>
    <definedName name="MMS_OtherLivestock_Methane_Equations.VEERG_4_7_1_1__1_TotalAnnualMethaneProductionFromManureManagementOtherLivestock_Arguments">_xlfn.LAMBDA(_xlfn.MAKEARRAY(4, 4, _xlfn.LAMBDA(_xlpm.r,_xlpm.c, INDEX({"N_j","average annual number of livestock per livestock type j","head","Input";"M_jm","annual methane production from manure management","kg CH4/head/day","Calculated from 4.7.1.1, (2)";"j","livestock type","","Input";"m","manure management system","","Input"}, _xlpm.r, _xlpm.c))))</definedName>
    <definedName name="MMS_OtherLivestock_Methane_Equations.VEERG_4_7_1_1__1_TotalAnnualMethaneProductionFromManureManagementOtherLivestock_LatexEquation">_xlfn.LAMBDA("E_{CH4}=\sum\nolimits_j\sum\nolimits_m(N_j\times M_jm\times 365)\times 10^{-3}")</definedName>
    <definedName name="MMS_OtherLivestock_Methane_Equations.VEERG_4_7_1_1__1_TotalAnnualMethaneProductionFromManureManagementOtherLivestock_NIRReference">_xlfn.LAMBDA("")</definedName>
    <definedName name="MMS_OtherLivestock_Methane_Equations.VEERG_4_7_1_1__1_TotalAnnualMethaneProductionFromManureManagementOtherLivestock_Source">_xlfn.LAMBDA("VEERG 2026: 4.7.1.1, Equation (1)")</definedName>
    <definedName name="MMS_OtherLivestock_Methane_Equations.VEERG_4_7_1_1__1_TotalAnnualMethaneProductionFromManureManagementOtherLivestock_Title">_xlfn.LAMBDA("Total annual methane production from manure management of other livestock")</definedName>
    <definedName name="MMS_OtherLivestock_Methane_Equations.VEERG_4_7_1_1__1_TotalAnnualMethaneProductionFromManureManagementOtherLivestock_Unit">_xlfn.LAMBDA("t CH4")</definedName>
    <definedName name="MMS_OtherLivestock_Methane_Equations.VEERG_4_7_1_1__1_TotalAnnualMethaneProductionFromManureManagementOtherLivestock_Variable">_xlfn.LAMBDA("E_CH4")</definedName>
    <definedName name="MMS_OtherLivestock_Methane_Equations.VEERG_4_7_1_1__2_AnnualMethaneProductionFromManureManagement">_xlfn.LAMBDA(_xlpm.VS_j,_xlpm.B_O,_xlpm.MMS_m,_xlpm.MCF_im,_xlpm.rho, _xlpm.VS_j * _xlpm.B_O * _xlpm.MMS_m * _xlpm.MCF_im * _xlpm.rho)</definedName>
    <definedName name="MMS_OtherLivestock_Methane_Equations.VEERG_4_7_1_1__2_AnnualMethaneProductionFromManureManagement_Arguments">_xlfn.LAMBDA(_xlfn.MAKEARRAY(6, 4, _xlfn.LAMBDA(_xlpm.r,_xlpm.c, INDEX({"VS_j","volatile solid production","kg/head/day","Constant";"B_O","methane emissions potential","m3 CH4/kg VS","Constant";"MMS_m","fraction of waste in each manure management system","fraction","Constant";"MCF_im","methane conversion factor for state and manure management system","fraction","Constant";"rho","density of methane","kg/m3","Constant";"i","state","","Input"}, _xlpm.r, _xlpm.c))))</definedName>
    <definedName name="MMS_OtherLivestock_Methane_Equations.VEERG_4_7_1_1__2_AnnualMethaneProductionFromManureManagement_Arguments_Method2">_xlfn.LAMBDA(_xlfn.MAKEARRAY(6, 4, _xlfn.LAMBDA(_xlpm.r,_xlpm.c, INDEX({"VS_j","volatile solid production","kg/head/day","Constant";"B_O","methane emissions potential","m3 CH4/kg VS","Constant";"MMS_m","fraction of waste in each manure management system","fraction","Constant";"MCF_im","methane conversion factor for temperature zone and manure management system","fraction","Constant";"rho","density of methane","kg/m3","Constant";"i","mean annual temperature","degrees Celsius","Input"}, _xlpm.r, _xlpm.c))))</definedName>
    <definedName name="MMS_OtherLivestock_Methane_Equations.VEERG_4_7_1_1__2_AnnualMethaneProductionFromManureManagement_LatexEquation">_xlfn.LAMBDA("M_{jm}=VS_j\times B_O\times MMS_m\times MCF_{im}\times \rho")</definedName>
    <definedName name="MMS_OtherLivestock_Methane_Equations.VEERG_4_7_1_1__2_AnnualMethaneProductionFromManureManagement_NIRReference">_xlfn.LAMBDA("")</definedName>
    <definedName name="MMS_OtherLivestock_Methane_Equations.VEERG_4_7_1_1__2_AnnualMethaneProductionFromManureManagement_Source">_xlfn.LAMBDA("VEERG 2026: 4.7.1.1, Equation (2)")</definedName>
    <definedName name="MMS_OtherLivestock_Methane_Equations.VEERG_4_7_1_1__2_AnnualMethaneProductionFromManureManagement_Title">_xlfn.LAMBDA("Annual methane production from manure management")</definedName>
    <definedName name="MMS_OtherLivestock_Methane_Equations.VEERG_4_7_1_1__2_AnnualMethaneProductionFromManureManagement_Unit">_xlfn.LAMBDA("kg CH4/head/day")</definedName>
    <definedName name="MMS_OtherLivestock_Methane_Equations.VEERG_4_7_1_1__2_AnnualMethaneProductionFromManureManagement_Variable">_xlfn.LAMBDA("M_jm")</definedName>
    <definedName name="MMS_OtherLivestock_Soil_AtmosphericDeposition.VEERG_4_7_1_5__1_AtmosphericDepositionEmissionsFromPasture">_xlfn.LAMBDA(_xlpm.M_vol,_xlpm.EF_N2O,_xlpm.C_N2O, _xlpm.M_vol * _xlpm.EF_N2O * _xlpm.C_N2O * 10 ^ -3)</definedName>
    <definedName name="MMS_OtherLivestock_Soil_AtmosphericDeposition.VEERG_4_7_1_5__1_AtmosphericDepositionEmissionsFromPasture_Arguments">_xlfn.LAMBDA(_xlfn.MAKEARRAY(6, 4, _xlfn.LAMBDA(_xlpm.r,_xlpm.c, INDEX({"M_vol","mass of nitrogen volatilised from urine and faeces deposited on pasture","kg N","Calculated from 4.7.1.5, (2)";"EF_N2O","emission factor for atmospheric deposition","kg N2O-N/kg N","Constant";"C_N2O","factor to convert elemental mass of nitrous oxide to molecular mass","","Constant";"j","production system","","Input";"i","irrigation method","","Input";"r","rainfall zone","","Input"}, _xlpm.r, _xlpm.c))))</definedName>
    <definedName name="MMS_OtherLivestock_Soil_AtmosphericDeposition.VEERG_4_7_1_5__1_AtmosphericDepositionEmissionsFromPasture_LatexEquation">_xlfn.LAMBDA("E_{N2O,ad}=M_{vol}\times EF_{N2O}\times C_{N2O}\times 10^{-3}")</definedName>
    <definedName name="MMS_OtherLivestock_Soil_AtmosphericDeposition.VEERG_4_7_1_5__1_AtmosphericDepositionEmissionsFromPasture_NIRReference">_xlfn.LAMBDA("")</definedName>
    <definedName name="MMS_OtherLivestock_Soil_AtmosphericDeposition.VEERG_4_7_1_5__1_AtmosphericDepositionEmissionsFromPasture_Source">_xlfn.LAMBDA("VEERG 2026: 4.7.1.5, Equation (1)")</definedName>
    <definedName name="MMS_OtherLivestock_Soil_AtmosphericDeposition.VEERG_4_7_1_5__1_AtmosphericDepositionEmissionsFromPasture_Title">_xlfn.LAMBDA("Atmospheric deposition emissions from urine and dung deposited on pasture")</definedName>
    <definedName name="MMS_OtherLivestock_Soil_AtmosphericDeposition.VEERG_4_7_1_5__1_AtmosphericDepositionEmissionsFromPasture_Unit">_xlfn.LAMBDA("t N2O")</definedName>
    <definedName name="MMS_OtherLivestock_Soil_AtmosphericDeposition.VEERG_4_7_1_5__1_AtmosphericDepositionEmissionsFromPasture_Variable">_xlfn.LAMBDA("E_N2Oad")</definedName>
    <definedName name="MMS_OtherLivestock_Soil_AtmosphericDeposition.VEERG_4_7_1_5__2_MassOfNitrogenVolatilisedFromPasture">_xlfn.LAMBDA(_xlpm.AE,_xlpm.FracGASMsoil, _xlpm.AE * _xlpm.FracGASMsoil)</definedName>
    <definedName name="MMS_OtherLivestock_Soil_AtmosphericDeposition.VEERG_4_7_1_5__2_MassOfNitrogenVolatilisedFromPasture_Arguments">_xlfn.LAMBDA(_xlfn.MAKEARRAY(2, 4, _xlfn.LAMBDA(_xlpm.r,_xlpm.c, INDEX({"AE","annual nitrogen excreted by each livestock type","kg N/year","Calculated by 4.7.1.3, (2)";"FracGASMsoil","fraction of nitrogen volatilised from urine and faeces deposited on pasture","(kg NH3-N + NOx-N)/kg N","Constant"}, _xlpm.r, _xlpm.c))))</definedName>
    <definedName name="MMS_OtherLivestock_Soil_AtmosphericDeposition.VEERG_4_7_1_5__2_MassOfNitrogenVolatilisedFromPasture_LatexEquation">_xlfn.LAMBDA("M_{vol}=AE\times FracGASMsoil")</definedName>
    <definedName name="MMS_OtherLivestock_Soil_AtmosphericDeposition.VEERG_4_7_1_5__2_MassOfNitrogenVolatilisedFromPasture_NIRReference">_xlfn.LAMBDA("")</definedName>
    <definedName name="MMS_OtherLivestock_Soil_AtmosphericDeposition.VEERG_4_7_1_5__2_MassOfNitrogenVolatilisedFromPasture_Source">_xlfn.LAMBDA("VEERG 2026: 4.7.1.5, Equation (2)")</definedName>
    <definedName name="MMS_OtherLivestock_Soil_AtmosphericDeposition.VEERG_4_7_1_5__2_MassOfNitrogenVolatilisedFromPasture_Title">_xlfn.LAMBDA("Mass of nitrogen volatilised from urine and faeces deposited on pasture")</definedName>
    <definedName name="MMS_OtherLivestock_Soil_AtmosphericDeposition.VEERG_4_7_1_5__2_MassOfNitrogenVolatilisedFromPasture_Unit">_xlfn.LAMBDA("kg N")</definedName>
    <definedName name="MMS_OtherLivestock_Soil_AtmosphericDeposition.VEERG_4_7_1_5__2_MassOfNitrogenVolatilisedFromPasture_Variable">_xlfn.LAMBDA("M_vol")</definedName>
    <definedName name="MMS_OtherLivestock_Soil_LeachingAndRunoff.VEERG_4_7_1_7__1_LeachingAndRunoffEmissionsFromPasture">_xlfn.LAMBDA(_xlpm.M_leach,_xlpm.EF_leach,_xlpm.C_N2O, _xlpm.M_leach * _xlpm.EF_leach * _xlpm.C_N2O * 10 ^ -3)</definedName>
    <definedName name="MMS_OtherLivestock_Soil_LeachingAndRunoff.VEERG_4_7_1_7__1_LeachingAndRunoffEmissionsFromPasture_Arguments">_xlfn.LAMBDA(_xlfn.MAKEARRAY(3, 4, _xlfn.LAMBDA(_xlpm.r,_xlpm.c, INDEX({"M_leach","mass of nitrogen lost to leaching and runoff","kg N","Calculated from 4.7.1.7, (2)";"EF_leach","emission factor for leaching and runoff","kg N2O-N/kg N","Constant";"C_N2O","factor to convert elemental mass of nitrous oxide to molecular mass","","Constant"}, _xlpm.r, _xlpm.c))))</definedName>
    <definedName name="MMS_OtherLivestock_Soil_LeachingAndRunoff.VEERG_4_7_1_7__1_LeachingAndRunoffEmissionsFromPasture_LatexEquation">_xlfn.LAMBDA("E_{N2O,leach}=M_{leach}\times EF_{leach}\times C_{N2O}\times 10^{-3}")</definedName>
    <definedName name="MMS_OtherLivestock_Soil_LeachingAndRunoff.VEERG_4_7_1_7__1_LeachingAndRunoffEmissionsFromPasture_NIRReference">_xlfn.LAMBDA("")</definedName>
    <definedName name="MMS_OtherLivestock_Soil_LeachingAndRunoff.VEERG_4_7_1_7__1_LeachingAndRunoffEmissionsFromPasture_Source">_xlfn.LAMBDA("VEERG 2026: 4.7.1.7, Equation (1)")</definedName>
    <definedName name="MMS_OtherLivestock_Soil_LeachingAndRunoff.VEERG_4_7_1_7__1_LeachingAndRunoffEmissionsFromPasture_Title">_xlfn.LAMBDA("Leaching and runoff emissions from urine and dung deposited on pasture")</definedName>
    <definedName name="MMS_OtherLivestock_Soil_LeachingAndRunoff.VEERG_4_7_1_7__1_LeachingAndRunoffEmissionsFromPasture_Unit">_xlfn.LAMBDA("t N2O")</definedName>
    <definedName name="MMS_OtherLivestock_Soil_LeachingAndRunoff.VEERG_4_7_1_7__1_LeachingAndRunoffEmissionsFromPasture_Variable">_xlfn.LAMBDA("E_N2Oleach")</definedName>
    <definedName name="MMS_OtherLivestock_Soil_LeachingAndRunoff.VEERG_4_7_1_7__2_MassOfNitrogenLostToLeachingAndRunoff">_xlfn.LAMBDA(_xlpm.AE,_xlpm.FracWet,_xlpm.FracLEACH, _xlpm.AE * _xlpm.FracWet * _xlpm.FracLEACH)</definedName>
    <definedName name="MMS_OtherLivestock_Soil_LeachingAndRunoff.VEERG_4_7_1_7__2_MassOfNitrogenLostToLeachingAndRunoff_Arguments">_xlfn.LAMBDA(_xlfn.MAKEARRAY(6, 4, _xlfn.LAMBDA(_xlpm.r,_xlpm.c, INDEX({"AE","annual nitrogen excreted by each livestock type","kg N/year","Calculated by 4.7.1.3, (2)";"FracWet","fraction of nitrogen available for leaching and runoff","","Constant";"FracLEACH","fraction of all nitrogen that is lost through leaching and runoff","","Constant";"z","location in leaching zone","","Input";"j","production system","","Input";"ir","irrigation method","","Input"}, _xlpm.r, _xlpm.c))))</definedName>
    <definedName name="MMS_OtherLivestock_Soil_LeachingAndRunoff.VEERG_4_7_1_7__2_MassOfNitrogenLostToLeachingAndRunoff_LatexEquation">_xlfn.LAMBDA("M_{leach}=AE\times FracWet\times FracLEACH")</definedName>
    <definedName name="MMS_OtherLivestock_Soil_LeachingAndRunoff.VEERG_4_7_1_7__2_MassOfNitrogenLostToLeachingAndRunoff_NIRReference">_xlfn.LAMBDA("")</definedName>
    <definedName name="MMS_OtherLivestock_Soil_LeachingAndRunoff.VEERG_4_7_1_7__2_MassOfNitrogenLostToLeachingAndRunoff_Source">_xlfn.LAMBDA("VEERG 2026: 4.7.1.7, Equation (2)")</definedName>
    <definedName name="MMS_OtherLivestock_Soil_LeachingAndRunoff.VEERG_4_7_1_7__2_MassOfNitrogenLostToLeachingAndRunoff_Title">_xlfn.LAMBDA("Mass of nitrogen lost to leaching and runoff")</definedName>
    <definedName name="MMS_OtherLivestock_Soil_LeachingAndRunoff.VEERG_4_7_1_7__2_MassOfNitrogenLostToLeachingAndRunoff_Unit">_xlfn.LAMBDA("kg N")</definedName>
    <definedName name="MMS_OtherLivestock_Soil_LeachingAndRunoff.VEERG_4_7_1_7__2_MassOfNitrogenLostToLeachingAndRunoff_Variable">_xlfn.LAMBDA("M_leach")</definedName>
    <definedName name="MMS_OtherLivestock_Soil_N2ODirect.VEERG_4_7_1_3__1_DirectNitrousOxideEmissionsFromSoil">_xlfn.LAMBDA(_xlpm.AE,_xlpm.EF_PRP,_xlpm.C_N2O, _xlpm.AE * _xlpm.EF_PRP * _xlpm.C_N2O * 10 ^ -3)</definedName>
    <definedName name="MMS_OtherLivestock_Soil_N2ODirect.VEERG_4_7_1_3__1_DirectNitrousOxideEmissionsFromSoil_Arguments">_xlfn.LAMBDA(_xlfn.MAKEARRAY(4, 4, _xlfn.LAMBDA(_xlpm.r,_xlpm.c, INDEX({"AE","annual nitrogen excreted by each livestock type","kg N/year","Calculated from 4.7.1.3, (2)";"EF_PRP","emission factor for nitrous oxide from urine and dung deposited to soil","kg N2O-N/kg N deposited","Constant";"C_N2O","factor to convert elemental mass of nitrous oxide to molecular mass","","Constant";"z","wet or dry climate zone","","Input"}, _xlpm.r, _xlpm.c))))</definedName>
    <definedName name="MMS_OtherLivestock_Soil_N2ODirect.VEERG_4_7_1_3__1_DirectNitrousOxideEmissionsFromSoil_LatexEquation">_xlfn.LAMBDA("E_{N2O,dir}=AE\times EF_{PRP}\times C_{N2O}\times 10^{-3}")</definedName>
    <definedName name="MMS_OtherLivestock_Soil_N2ODirect.VEERG_4_7_1_3__1_DirectNitrousOxideEmissionsFromSoil_NIRReference">_xlfn.LAMBDA("")</definedName>
    <definedName name="MMS_OtherLivestock_Soil_N2ODirect.VEERG_4_7_1_3__1_DirectNitrousOxideEmissionsFromSoil_Source">_xlfn.LAMBDA("VEERG 2026: 4.7.1.3, Equation (1)")</definedName>
    <definedName name="MMS_OtherLivestock_Soil_N2ODirect.VEERG_4_7_1_3__1_DirectNitrousOxideEmissionsFromSoil_Title">_xlfn.LAMBDA("Direct nitrous oxide emissions from agricultural soils from deposition of urine and dung to pasture")</definedName>
    <definedName name="MMS_OtherLivestock_Soil_N2ODirect.VEERG_4_7_1_3__1_DirectNitrousOxideEmissionsFromSoil_Unit">_xlfn.LAMBDA("t N2O")</definedName>
    <definedName name="MMS_OtherLivestock_Soil_N2ODirect.VEERG_4_7_1_3__1_DirectNitrousOxideEmissionsFromSoil_Variable">_xlfn.LAMBDA("E_N2Odir")</definedName>
    <definedName name="MMS_OtherLivestock_Soil_N2ODirect.VEERG_4_7_1_3__2_AnnualNitrogenExcretedToPasture">_xlfn.LAMBDA(_xlpm.N_j,_xlpm.NE_j, _xlpm.N_j * _xlpm.NE_j * 365)</definedName>
    <definedName name="MMS_OtherLivestock_Soil_N2ODirect.VEERG_4_7_1_3__2_AnnualNitrogenExcretedToPasture_Arguments">_xlfn.LAMBDA(_xlfn.MAKEARRAY(3, 4, _xlfn.LAMBDA(_xlpm.r,_xlpm.c, INDEX({"N_j","number of livestock of each livestock type j","head","Input";"NE_j","nitrogen excreted by each livestock type j","kg N/head/day","Constant";"j","livestock type","","Input"}, _xlpm.r, _xlpm.c))))</definedName>
    <definedName name="MMS_OtherLivestock_Soil_N2ODirect.VEERG_4_7_1_3__2_AnnualNitrogenExcretedToPasture_LatexEquation">_xlfn.LAMBDA("AE=\sum\nolimits_j(N_j\times NE_j\times 365)")</definedName>
    <definedName name="MMS_OtherLivestock_Soil_N2ODirect.VEERG_4_7_1_3__2_AnnualNitrogenExcretedToPasture_NIRReference">_xlfn.LAMBDA("")</definedName>
    <definedName name="MMS_OtherLivestock_Soil_N2ODirect.VEERG_4_7_1_3__2_AnnualNitrogenExcretedToPasture_Source">_xlfn.LAMBDA("VEERG 2026: 4.7.1.3, Equation (2)")</definedName>
    <definedName name="MMS_OtherLivestock_Soil_N2ODirect.VEERG_4_7_1_3__2_AnnualNitrogenExcretedToPasture_Title">_xlfn.LAMBDA("Annual nitrogen excreted by livestock to pasture, range and paddock")</definedName>
    <definedName name="MMS_OtherLivestock_Soil_N2ODirect.VEERG_4_7_1_3__2_AnnualNitrogenExcretedToPasture_Unit">_xlfn.LAMBDA("kg N/year")</definedName>
    <definedName name="MMS_OtherLivestock_Soil_N2ODirect.VEERG_4_7_1_3__2_AnnualNitrogenExcretedToPasture_Variable">_xlfn.LAMBDA("AE")</definedName>
    <definedName name="Range_LivestockStartingValues">#REF!</definedName>
    <definedName name="SourceData_OtherLivestock.SourceData_OtherLivestock_AverageLiveweight_Data">_xlfn.LAMBDA(_xlfn.MAKEARRAY(11, 3, _xlfn.LAMBDA(_xlpm.r,_xlpm.c, INDEX({"Other Livestock Type j","Average Liveweight","Average Liveweight";"Buffalo",336,"-";"Goats",33,"28kg - low productivity systems";"Goats",33,"50kg - high productivity systems";"Deer",120,120;"Camels",217,570;"Alpacas","-",65;"Horses",377,550;"Mules/asses",130,245;"Emus/ostriches",120,120;"Reference","IPCC 2019 Table 10A.5 [2]","IPCC 2019 Table 10.10 [2]"}, _xlpm.r, _xlpm.c))))</definedName>
    <definedName name="SourceData_OtherLivestock.SourceData_OtherLivestock_AverageLiveweight_Source">_xlfn.LAMBDA("VEERG 2026: Table A.1.5.4")</definedName>
    <definedName name="SourceData_OtherLivestock.SourceData_OtherLivestock_AverageLiveweight_Title">_xlfn.LAMBDA("Other Livestock - Average Liveweights")</definedName>
    <definedName name="SourceData_OtherLivestock.SourceData_OtherLivestock_AverageLiveweight_Unit">_xlfn.LAMBDA("kg")</definedName>
    <definedName name="SourceData_OtherLivestock.SourceData_OtherLivestock_AverageLiveweight_Variable">_xlfn.LAMBDA("Wco")</definedName>
    <definedName name="SourceData_OtherLivestock.SourceData_OtherLivestock_AverageLiveweight_Variation">_xlfn.LAMBDA("")</definedName>
    <definedName name="SourceData_OtherLivestock.SourceData_OtherLivestock_EntericFermentationEmissionFactor_Data">_xlfn.LAMBDA(_xlfn.MAKEARRAY(9, 2, _xlfn.LAMBDA(_xlpm.r,_xlpm.c, INDEX({"Other Livestock Type","Mj";"Buffalo",68;"Goats",5;"Deer",20;"Camels",46;"Alpacas",8;"Horses",18;"Mules/asses",10;"Emus/ostriches",5}, _xlpm.r, _xlpm.c))))</definedName>
    <definedName name="SourceData_OtherLivestock.SourceData_OtherLivestock_EntericFermentationEmissionFactor_Source">_xlfn.LAMBDA("VEERG 2026: Table A.1.5.1")</definedName>
    <definedName name="SourceData_OtherLivestock.SourceData_OtherLivestock_EntericFermentationEmissionFactor_Title">_xlfn.LAMBDA("Other Livestock - Enteric fermentation emission factor for each other livestock type")</definedName>
    <definedName name="SourceData_OtherLivestock.SourceData_OtherLivestock_EntericFermentationEmissionFactor_Unit">_xlfn.LAMBDA("kg CH4 / head / year")</definedName>
    <definedName name="SourceData_OtherLivestock.SourceData_OtherLivestock_EntericFermentationEmissionFactor_Variable">_xlfn.LAMBDA("Mj")</definedName>
    <definedName name="SourceData_OtherLivestock.SourceData_OtherLivestock_EntericFermentationEmissionFactor_Variation">_xlfn.LAMBDA("")</definedName>
    <definedName name="SourceData_OtherLivestock.SourceData_OtherLivestock_FracGASMSoil_Data">_xlfn.LAMBDA(0.21)</definedName>
    <definedName name="SourceData_OtherLivestock.SourceData_OtherLivestock_FracGASMSoil_Source">_xlfn.LAMBDA("VEERG 2026: 4.7.2.3 CONSTANTS")</definedName>
    <definedName name="SourceData_OtherLivestock.SourceData_OtherLivestock_FracGASMSoil_Title">_xlfn.LAMBDA("Fraction of nitrogen volatilised from urine and faeces deposited on pasture")</definedName>
    <definedName name="SourceData_OtherLivestock.SourceData_OtherLivestock_FracGASMSoil_Unit">_xlfn.LAMBDA("(kg NH3-N + NOx-N)/kg N")</definedName>
    <definedName name="SourceData_OtherLivestock.SourceData_OtherLivestock_FracGASMSoil_Variable">_xlfn.LAMBDA("FracGASMsoil")</definedName>
    <definedName name="SourceData_OtherLivestock.SourceData_OtherLivestock_FracGASMSoil_Variation">_xlfn.LAMBDA("")</definedName>
    <definedName name="SourceData_OtherLivestock.SourceData_OtherLivestock_FractionWasteInMMS_Data">_xlfn.LAMBDA(_xlfn.MAKEARRAY(9, 3, _xlfn.LAMBDA(_xlpm.r,_xlpm.c, INDEX({"State","Pasture range and paddock","Uncovered Anaerobic lagoon";"ACT",99.66,0.34;"NSW",99.66,0.34;"NT",99.66,0.34;"QLD",99.66,0.34;"SA",99.66,0.34;"TAS",99.66,0.34;"VIC",99.66,0.34;"WA",99.66,0.34}, _xlpm.r, _xlpm.c))))</definedName>
    <definedName name="SourceData_OtherLivestock.SourceData_OtherLivestock_FractionWasteInMMS_Source">_xlfn.LAMBDA("VEERG 2026: Table A.1.5.5")</definedName>
    <definedName name="SourceData_OtherLivestock.SourceData_OtherLivestock_FractionWasteInMMS_Title">_xlfn.LAMBDA("Other Livestock - Fraction of waste in each manure management system")</definedName>
    <definedName name="SourceData_OtherLivestock.SourceData_OtherLivestock_FractionWasteInMMS_Unit">_xlfn.LAMBDA("fraction")</definedName>
    <definedName name="SourceData_OtherLivestock.SourceData_OtherLivestock_FractionWasteInMMS_Variable">_xlfn.LAMBDA("MMSm")</definedName>
    <definedName name="SourceData_OtherLivestock.SourceData_OtherLivestock_FractionWasteInMMS_Variation">_xlfn.LAMBDA("")</definedName>
    <definedName name="SourceData_OtherLivestock.SourceData_OtherLivestock_MethaneConversionFactor_Data">_xlfn.LAMBDA(_xlfn.MAKEARRAY(9, 3, _xlfn.LAMBDA(_xlpm.r,_xlpm.c, INDEX({"State","Pasture range and paddock","Uncovered Anaerobic lagoon";"ACT",0.0047,0.71;"NSW",0.0047,0.75;"NT",0.0047,0.8;"QLD",0.0047,0.78;"SA",0.0047,0.74;"TAS",0.0047,0.7;"VIC",0.0047,0.74;"WA",0.0047,0.76}, _xlpm.r, _xlpm.c))))</definedName>
    <definedName name="SourceData_OtherLivestock.SourceData_OtherLivestock_MethaneConversionFactor_Source">_xlfn.LAMBDA("VEERG 2026: Table A.1.5.6")</definedName>
    <definedName name="SourceData_OtherLivestock.SourceData_OtherLivestock_MethaneConversionFactor_Title">_xlfn.LAMBDA("Other Livestock - Methane conversion factor per region")</definedName>
    <definedName name="SourceData_OtherLivestock.SourceData_OtherLivestock_MethaneConversionFactor_Unit">_xlfn.LAMBDA("fraction")</definedName>
    <definedName name="SourceData_OtherLivestock.SourceData_OtherLivestock_MethaneConversionFactor_Variable">_xlfn.LAMBDA("MCFim")</definedName>
    <definedName name="SourceData_OtherLivestock.SourceData_OtherLivestock_MethaneConversionFactor_Variation">_xlfn.LAMBDA("")</definedName>
    <definedName name="SourceData_OtherLivestock.SourceData_OtherLivestock_MethaneEmissionsPotential_Data">_xlfn.LAMBDA(_xlfn.MAKEARRAY(9, 3, _xlfn.LAMBDA(_xlpm.r,_xlpm.c, INDEX({"Other Livestock Type","BO","Taken from";"Buffalo",0.19,"Feedlot, Pasture beef";"Goats",0.24,"Sheep";"Deer",0.24,"Sheep";"Camels",0.24,"Sheep";"Alpacas",0.24,"Sheep";"Horses",0.19,"Feedlot, Pasture beef";"Mules/asses",0.24,"Sheep";"Emus/ostriches",0.36,"Poultry - meat chickens"}, _xlpm.r, _xlpm.c))))</definedName>
    <definedName name="SourceData_OtherLivestock.SourceData_OtherLivestock_MethaneEmissionsPotential_Source">_xlfn.LAMBDA("VEERG 2026: Table A.1.5.X")</definedName>
    <definedName name="SourceData_OtherLivestock.SourceData_OtherLivestock_MethaneEmissionsPotential_Title">_xlfn.LAMBDA("Other Livestock - Methane emissions potential")</definedName>
    <definedName name="SourceData_OtherLivestock.SourceData_OtherLivestock_MethaneEmissionsPotential_Unit">_xlfn.LAMBDA("m3 CH4 / kg VS")</definedName>
    <definedName name="SourceData_OtherLivestock.SourceData_OtherLivestock_MethaneEmissionsPotential_Variable">_xlfn.LAMBDA("BO")</definedName>
    <definedName name="SourceData_OtherLivestock.SourceData_OtherLivestock_MethaneEmissionsPotential_Variation">_xlfn.LAMBDA("VARIATION ON SOURCE: There were no values in VEERG so this data has been generated by using documented BO values from other livestock")</definedName>
    <definedName name="SourceData_OtherLivestock.SourceData_OtherLivestock_NitrogenExcreted_Data">_xlfn.LAMBDA(_xlfn.MAKEARRAY(9, 2, _xlfn.LAMBDA(_xlpm.r,_xlpm.c, INDEX({"Other Livestock Type","NEj";"Buffalo",39.5;"Goats",7;"Deer",13.2;"Camels",39.5;"Alpacas",7;"Horses",39.5;"Mules/asses",13.2;"Emus/ostriches",7}, _xlpm.r, _xlpm.c))))</definedName>
    <definedName name="SourceData_OtherLivestock.SourceData_OtherLivestock_NitrogenExcreted_Source">_xlfn.LAMBDA("VEERG 2026: Table A.1.5.3")</definedName>
    <definedName name="SourceData_OtherLivestock.SourceData_OtherLivestock_NitrogenExcreted_Title">_xlfn.LAMBDA("Other Livestock - Nitrogen excreted per livestock type")</definedName>
    <definedName name="SourceData_OtherLivestock.SourceData_OtherLivestock_NitrogenExcreted_Unit">_xlfn.LAMBDA("kg N2O / head / year")</definedName>
    <definedName name="SourceData_OtherLivestock.SourceData_OtherLivestock_NitrogenExcreted_Variable">_xlfn.LAMBDA("NEj")</definedName>
    <definedName name="SourceData_OtherLivestock.SourceData_OtherLivestock_NitrogenExcreted_Variation">_xlfn.LAMBDA("")</definedName>
    <definedName name="SourceData_OtherLivestock.SourceData_OtherLivestock_VolatileSolidsProduced_Data">_xlfn.LAMBDA(_xlfn.MAKEARRAY(9, 2, _xlfn.LAMBDA(_xlpm.r,_xlpm.c, INDEX({"Other Livestock Type","VSj";"Buffalo",2.73;"Goats",0.34;"Deer",0.91;"Camels",2.73;"Alpacas",0.34;"Horses",2.73;"Mules/asses",0.91;"Emus/ostriches",0.34}, _xlpm.r, _xlpm.c))))</definedName>
    <definedName name="SourceData_OtherLivestock.SourceData_OtherLivestock_VolatileSolidsProduced_Source">_xlfn.LAMBDA("VEERG 2026: Table A.1.5.2")</definedName>
    <definedName name="SourceData_OtherLivestock.SourceData_OtherLivestock_VolatileSolidsProduced_Title">_xlfn.LAMBDA("Other Livestock - Volatile solids produced by each other livestock type")</definedName>
    <definedName name="SourceData_OtherLivestock.SourceData_OtherLivestock_VolatileSolidsProduced_Unit">_xlfn.LAMBDA("kg VS / head / day")</definedName>
    <definedName name="SourceData_OtherLivestock.SourceData_OtherLivestock_VolatileSolidsProduced_Variable">_xlfn.LAMBDA("VSj")</definedName>
    <definedName name="SourceData_OtherLivestock.SourceData_OtherLivestock_VolatileSolidsProduced_Variation">_xlfn.LAMBDA("")</definedName>
    <definedName name="Step1">#REF!</definedName>
    <definedName name="Step2">#REF!</definedName>
    <definedName name="Step3">#REF!</definedName>
    <definedName name="Table_AEj">'4.7.1.3-4 Soil Direct N2O'!$D$43:$E$51</definedName>
    <definedName name="Table_AEj_Consumer_1">'4.7.1.5-6 Soil Atmos Deposition'!$D$18:$E$26</definedName>
    <definedName name="Table_AEj_Consumer_2">'4.7.1.7-8 Soil Leaching Runoff'!$D$22:$E$30</definedName>
    <definedName name="Table_B_O">'4.7.1.1-2 Manure Methane'!$D$34:$E$42</definedName>
    <definedName name="Table_E_N2O_ad">'4.7.1.5-6 Soil Atmos Deposition'!$D$71:$E$79</definedName>
    <definedName name="Table_EF_N2O">'4.7.1.5-6 Soil Atmos Deposition'!$D$59:$H$67</definedName>
    <definedName name="Table_Frac_Wet">'4.7.1.7-8 Soil Leaching Runoff'!$D$34:$G$42</definedName>
    <definedName name="Table_M_leach">'4.7.1.7-8 Soil Leaching Runoff'!$D$46:$E$54</definedName>
    <definedName name="Table_M_vol">'4.7.1.5-6 Soil Atmos Deposition'!$D$30:$E$38</definedName>
    <definedName name="Table_MMS_m">'4.7.1.1-2 Manure Methane'!$D$46:$F$54</definedName>
    <definedName name="Table_N_j">'4.7.1.3-4 Soil Direct N2O'!$D$19:$E$27</definedName>
    <definedName name="Table_N_j_Consumer_1">'4.7.1.1-2 Manure Methane'!$D$91:$E$99</definedName>
    <definedName name="Table_NE_j">'4.7.1.3-4 Soil Direct N2O'!$D$31:$E$39</definedName>
    <definedName name="Table_VS_j">'4.7.1.1-2 Manure Methane'!$D$22:$E$30</definedName>
    <definedName name="X_Cell_OtherLivestock_Buffalo_CalculatedMMSAnaerobicLagoon">'Input - Other Livestock'!$E$14</definedName>
    <definedName name="X_Cell_OtherLivestock_Buffalo_CalculatedMMSPastureRangeAndPaddock">'Input - Other Livestock'!$E$13</definedName>
    <definedName name="X_Cell_OtherLivestock_Buffalo_FencedWater">'Input - Other Livestock'!$E$10</definedName>
    <definedName name="X_Cell_OtherLivestock_Buffalo_GrazingIrrigationMethod">'Input - Other Livestock'!$E$17</definedName>
    <definedName name="X_Cell_OtherLivestock_Buffalo_GrazingProductionSystem">'Input - Other Livestock'!$E$16</definedName>
    <definedName name="X_Cell_OtherLivestock_Deer_CalculatedMMSAnaerobicLagoon">'Input - Other Livestock'!$E$42</definedName>
    <definedName name="X_Cell_OtherLivestock_Deer_CalculatedMMSPastureRangeAndPaddock">'Input - Other Livestock'!$E$41</definedName>
    <definedName name="X_Cell_OtherLivestock_Deer_FencedWater">'Input - Other Livestock'!$E$38</definedName>
    <definedName name="X_Cell_OtherLivestock_Deer_GrazingIrrigationMethod">'Input - Other Livestock'!$E$45</definedName>
    <definedName name="X_Cell_OtherLivestock_Deer_GrazingProductionSystem">'Input - Other Livestock'!$E$44</definedName>
    <definedName name="X_Cell_OtherLivestock_Goats_CalculatedMMSAnaerobicLagoon">'Input - Other Livestock'!$E$28</definedName>
    <definedName name="X_Cell_OtherLivestock_Goats_CalculatedMMSPastureRangeAndPaddock">'Input - Other Livestock'!$E$27</definedName>
    <definedName name="X_Cell_OtherLivestock_Goats_FencedWater">'Input - Other Livestock'!$E$24</definedName>
    <definedName name="X_Cell_OtherLivestock_Goats_GrazingIrrigationMethod">'Input - Other Livestock'!$E$31</definedName>
    <definedName name="X_Cell_OtherLivestock_Goats_GrazingProductionSystem">'Input - Other Livestock'!$E$30</definedName>
    <definedName name="X_Cell_OtherLivestock_Others_Alpacas_CalculatedMMSAnaerobicLagoon">'Input - Other Livestock'!$F$56</definedName>
    <definedName name="X_Cell_OtherLivestock_Others_Alpacas_CalculatedMMSPastureRangeAndPaddock">'Input - Other Livestock'!$F$55</definedName>
    <definedName name="X_Cell_OtherLivestock_Others_Alpacas_FencedWater">'Input - Other Livestock'!$F$52</definedName>
    <definedName name="X_Cell_OtherLivestock_Others_Alpacas_GrazingIrrigationMethod">'Input - Other Livestock'!$F$59</definedName>
    <definedName name="X_Cell_OtherLivestock_Others_Alpacas_GrazingProductionSystem">'Input - Other Livestock'!$F$58</definedName>
    <definedName name="X_Cell_OtherLivestock_Others_Alpacas_Head">'Input - Other Livestock'!$F$50</definedName>
    <definedName name="X_Cell_OtherLivestock_Others_Camels_CalculatedMMSAnaerobicLagoon">'Input - Other Livestock'!$E$56</definedName>
    <definedName name="X_Cell_OtherLivestock_Others_Camels_CalculatedMMSPastureRangeAndPaddock">'Input - Other Livestock'!$E$55</definedName>
    <definedName name="X_Cell_OtherLivestock_Others_Camels_FencedWater">'Input - Other Livestock'!$E$52</definedName>
    <definedName name="X_Cell_OtherLivestock_Others_Camels_GrazingIrrigationMethod">'Input - Other Livestock'!$E$59</definedName>
    <definedName name="X_Cell_OtherLivestock_Others_Camels_GrazingProductionSystem">'Input - Other Livestock'!$E$58</definedName>
    <definedName name="X_Cell_OtherLivestock_Others_Camels_Head">'Input - Other Livestock'!$E$50</definedName>
    <definedName name="X_Cell_OtherLivestock_Others_Emus_CalculatedMMSAnaerobicLagoon">'Input - Other Livestock'!$I$56</definedName>
    <definedName name="X_Cell_OtherLivestock_Others_Emus_CalculatedMMSPastureRangeAndPaddock">'Input - Other Livestock'!$I$55</definedName>
    <definedName name="X_Cell_OtherLivestock_Others_Emus_FencedWater">'Input - Other Livestock'!$I$52</definedName>
    <definedName name="X_Cell_OtherLivestock_Others_Emus_GrazingIrrigationMethod">'Input - Other Livestock'!$I$59</definedName>
    <definedName name="X_Cell_OtherLivestock_Others_Emus_GrazingProductionSystem">'Input - Other Livestock'!$I$58</definedName>
    <definedName name="X_Cell_OtherLivestock_Others_Emus_Head">'Input - Other Livestock'!$I$50</definedName>
    <definedName name="X_Cell_OtherLivestock_Others_Horses_CalculatedMMSAnaerobicLagoon">'Input - Other Livestock'!$G$56</definedName>
    <definedName name="X_Cell_OtherLivestock_Others_Horses_CalculatedMMSPastureRangeAndPaddock">'Input - Other Livestock'!$G$55</definedName>
    <definedName name="X_Cell_OtherLivestock_Others_Horses_FencedWater">'Input - Other Livestock'!$G$52</definedName>
    <definedName name="X_Cell_OtherLivestock_Others_Horses_GrazingIrrigationMethod">'Input - Other Livestock'!$G$59</definedName>
    <definedName name="X_Cell_OtherLivestock_Others_Horses_GrazingProductionSystem">'Input - Other Livestock'!$G$58</definedName>
    <definedName name="X_Cell_OtherLivestock_Others_Horses_Head">'Input - Other Livestock'!$G$50</definedName>
    <definedName name="X_Cell_OtherLivestock_Others_Mules_CalculatedMMSAnaerobicLagoon">'Input - Other Livestock'!$H$56</definedName>
    <definedName name="X_Cell_OtherLivestock_Others_Mules_CalculatedMMSPastureRangeAndPaddock">'Input - Other Livestock'!$H$55</definedName>
    <definedName name="X_Cell_OtherLivestock_Others_Mules_FencedWater">'Input - Other Livestock'!$H$52</definedName>
    <definedName name="X_Cell_OtherLivestock_Others_Mules_GrazingIrrigationMethod">'Input - Other Livestock'!$H$59</definedName>
    <definedName name="X_Cell_OtherLivestock_Others_Mules_GrazingProductionSystem">'Input - Other Livestock'!$H$58</definedName>
    <definedName name="X_Cell_OtherLivestock_Others_Mules_Head">'Input - Other Livestock'!$H$50</definedName>
    <definedName name="X_Cell_Site_AverageTemperature">'Input - Site'!$E$25</definedName>
    <definedName name="X_Cell_Site_ClimateZone">'Input - Site'!$E$31</definedName>
    <definedName name="X_Cell_Site_Elevation">'Input - Site'!$E$24</definedName>
    <definedName name="X_Cell_Site_EndDate">'Input - Site'!$E$13</definedName>
    <definedName name="X_Cell_Site_FarmName">'Input - Site'!$E$7</definedName>
    <definedName name="X_Cell_Site_FrostDays">'Input - Site'!$E$28</definedName>
    <definedName name="X_Cell_Site_LeachingZone">'Input - Site'!$E$23</definedName>
    <definedName name="X_Cell_Site_MapPetRatio">'Input - Site'!$E$29</definedName>
    <definedName name="X_Cell_Site_PotentialEvapotranspiration">'Input - Site'!$E$27</definedName>
    <definedName name="X_Cell_Site_RainfallZone">'Input - Site'!$E$30</definedName>
    <definedName name="X_Cell_Site_Region">'Input - Site'!$E$22</definedName>
    <definedName name="X_Cell_Site_ReportingEntityName">'Input - Site'!$E$8</definedName>
    <definedName name="X_Cell_Site_StartDate">'Input - Site'!$E$12</definedName>
    <definedName name="X_Cell_Site_State">'Input - Site'!$E$21</definedName>
    <definedName name="X_Cell_Site_TemperatureZone">'Input - Site'!$E$33</definedName>
    <definedName name="X_Cell_Site_TotalRainfall">'Input - Site'!$E$26</definedName>
    <definedName name="X_Cell_Site_WetOrDryClimateZone">'Input - Site'!$E$32</definedName>
    <definedName name="X_Table_OtherLivestock_Buffalo_Head">'Input - Other Livestock'!$D$7:$H$8</definedName>
    <definedName name="X_Table_OtherLivestock_Deer_Head">'Input - Other Livestock'!$D$35:$H$36</definedName>
    <definedName name="X_Table_OtherLivestock_Goats_Head">'Input - Other Livestock'!$D$21:$J$22</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16" i="104" l="1"/>
  <c r="F42" i="104"/>
  <c r="E42" i="104"/>
  <c r="F41" i="104"/>
  <c r="E41" i="104"/>
  <c r="F40" i="104"/>
  <c r="E40" i="104"/>
  <c r="F39" i="104"/>
  <c r="E39" i="104"/>
  <c r="F38" i="104"/>
  <c r="E38" i="104"/>
  <c r="F37" i="104"/>
  <c r="E37" i="104"/>
  <c r="F36" i="104"/>
  <c r="G36" i="104" s="1"/>
  <c r="E36" i="104"/>
  <c r="F35" i="104"/>
  <c r="E35" i="104"/>
  <c r="F67" i="103"/>
  <c r="F66" i="103"/>
  <c r="F65" i="103"/>
  <c r="F64" i="103"/>
  <c r="E67" i="103"/>
  <c r="E66" i="103"/>
  <c r="E65" i="103"/>
  <c r="E64" i="103"/>
  <c r="F63" i="103"/>
  <c r="E63" i="103"/>
  <c r="F62" i="103"/>
  <c r="F61" i="103"/>
  <c r="E62" i="103"/>
  <c r="E61" i="103"/>
  <c r="G67" i="103"/>
  <c r="G66" i="103"/>
  <c r="G65" i="103"/>
  <c r="G64" i="103"/>
  <c r="G63" i="103"/>
  <c r="G62" i="103"/>
  <c r="H62" i="103" s="1"/>
  <c r="G61" i="103"/>
  <c r="H61" i="103" s="1"/>
  <c r="G60" i="103"/>
  <c r="F60" i="103"/>
  <c r="E60" i="103"/>
  <c r="E27" i="102"/>
  <c r="E26" i="102"/>
  <c r="E25" i="102"/>
  <c r="E24" i="102"/>
  <c r="E23" i="102"/>
  <c r="E22" i="102"/>
  <c r="E21" i="102"/>
  <c r="E20" i="102"/>
  <c r="I68" i="102"/>
  <c r="E99" i="69"/>
  <c r="E98" i="69"/>
  <c r="E97" i="69"/>
  <c r="E96" i="69"/>
  <c r="E95" i="69"/>
  <c r="E94" i="69"/>
  <c r="E93" i="69"/>
  <c r="E92" i="69"/>
  <c r="T18" i="69"/>
  <c r="J18" i="69"/>
  <c r="E55" i="70"/>
  <c r="G75" i="104"/>
  <c r="G84" i="103"/>
  <c r="G73" i="102"/>
  <c r="D50" i="70"/>
  <c r="D36" i="70"/>
  <c r="D22" i="70"/>
  <c r="D8" i="70"/>
  <c r="D122" i="79"/>
  <c r="D121" i="79"/>
  <c r="I69" i="104"/>
  <c r="I15" i="104"/>
  <c r="J17" i="69"/>
  <c r="O60" i="69"/>
  <c r="O59" i="69"/>
  <c r="I66" i="102"/>
  <c r="G42" i="104"/>
  <c r="G41" i="104"/>
  <c r="G40" i="104"/>
  <c r="G39" i="104"/>
  <c r="G38" i="104"/>
  <c r="G37" i="104"/>
  <c r="G35" i="104"/>
  <c r="H67" i="103"/>
  <c r="H66" i="103"/>
  <c r="H65" i="103"/>
  <c r="H64" i="103"/>
  <c r="H63" i="103"/>
  <c r="H60" i="103"/>
  <c r="E30" i="15"/>
  <c r="E33" i="15"/>
  <c r="E32" i="15"/>
  <c r="E31" i="15"/>
  <c r="I70" i="104"/>
  <c r="I52" i="103"/>
  <c r="I67" i="102"/>
  <c r="Q116" i="69"/>
  <c r="G116" i="69"/>
  <c r="I56" i="70"/>
  <c r="H56" i="70"/>
  <c r="G56" i="70"/>
  <c r="F56" i="70"/>
  <c r="E56" i="70"/>
  <c r="I55" i="70"/>
  <c r="H55" i="70"/>
  <c r="G55" i="70"/>
  <c r="F55" i="70"/>
  <c r="E42" i="70"/>
  <c r="E41" i="70"/>
  <c r="E28" i="70"/>
  <c r="E27" i="70"/>
  <c r="E14" i="70"/>
  <c r="E13" i="70"/>
  <c r="E259" i="105" a="1"/>
  <c r="E259" i="105" s="1"/>
  <c r="D259" i="105" a="1"/>
  <c r="D259" i="105" s="1"/>
  <c r="E258" i="105" a="1"/>
  <c r="E258" i="105" s="1"/>
  <c r="D258" i="105" a="1"/>
  <c r="D258" i="105" s="1"/>
  <c r="D256" i="105" a="1"/>
  <c r="D256" i="105" s="1"/>
  <c r="D255" i="105" a="1"/>
  <c r="D255" i="105" s="1"/>
  <c r="D254" i="105" a="1"/>
  <c r="D254" i="105" s="1"/>
  <c r="D253" i="105" a="1"/>
  <c r="D253" i="105" s="1"/>
  <c r="S250" i="105" a="1"/>
  <c r="S250" i="105" s="1"/>
  <c r="R250" i="105" a="1"/>
  <c r="R250" i="105" s="1"/>
  <c r="Q250" i="105" a="1"/>
  <c r="Q250" i="105" s="1"/>
  <c r="P250" i="105" a="1"/>
  <c r="P250" i="105" s="1"/>
  <c r="O250" i="105" a="1"/>
  <c r="O250" i="105" s="1"/>
  <c r="N250" i="105" a="1"/>
  <c r="N250" i="105" s="1"/>
  <c r="M250" i="105" a="1"/>
  <c r="M250" i="105" s="1"/>
  <c r="L250" i="105" a="1"/>
  <c r="L250" i="105" s="1"/>
  <c r="K250" i="105" a="1"/>
  <c r="K250" i="105" s="1"/>
  <c r="J250" i="105" a="1"/>
  <c r="J250" i="105" s="1"/>
  <c r="I250" i="105" a="1"/>
  <c r="I250" i="105" s="1"/>
  <c r="H250" i="105" a="1"/>
  <c r="H250" i="105" s="1"/>
  <c r="G250" i="105" a="1"/>
  <c r="G250" i="105" s="1"/>
  <c r="F250" i="105" a="1"/>
  <c r="F250" i="105" s="1"/>
  <c r="E250" i="105" a="1"/>
  <c r="E250" i="105" s="1"/>
  <c r="D250" i="105" a="1"/>
  <c r="D250" i="105" s="1"/>
  <c r="S249" i="105" a="1"/>
  <c r="S249" i="105" s="1"/>
  <c r="R249" i="105" a="1"/>
  <c r="R249" i="105" s="1"/>
  <c r="Q249" i="105" a="1"/>
  <c r="Q249" i="105" s="1"/>
  <c r="P249" i="105" a="1"/>
  <c r="P249" i="105" s="1"/>
  <c r="O249" i="105" a="1"/>
  <c r="O249" i="105" s="1"/>
  <c r="N249" i="105" a="1"/>
  <c r="N249" i="105" s="1"/>
  <c r="M249" i="105" a="1"/>
  <c r="M249" i="105" s="1"/>
  <c r="L249" i="105" a="1"/>
  <c r="L249" i="105" s="1"/>
  <c r="K249" i="105" a="1"/>
  <c r="K249" i="105" s="1"/>
  <c r="J249" i="105" a="1"/>
  <c r="J249" i="105" s="1"/>
  <c r="I249" i="105" a="1"/>
  <c r="I249" i="105" s="1"/>
  <c r="H249" i="105" a="1"/>
  <c r="H249" i="105" s="1"/>
  <c r="G249" i="105" a="1"/>
  <c r="G249" i="105" s="1"/>
  <c r="F249" i="105" a="1"/>
  <c r="F249" i="105" s="1"/>
  <c r="E249" i="105" a="1"/>
  <c r="E249" i="105" s="1"/>
  <c r="D249" i="105" a="1"/>
  <c r="D249" i="105" s="1"/>
  <c r="S248" i="105" a="1"/>
  <c r="S248" i="105" s="1"/>
  <c r="R248" i="105" a="1"/>
  <c r="R248" i="105" s="1"/>
  <c r="Q248" i="105" a="1"/>
  <c r="Q248" i="105" s="1"/>
  <c r="P248" i="105" a="1"/>
  <c r="P248" i="105" s="1"/>
  <c r="O248" i="105" a="1"/>
  <c r="O248" i="105" s="1"/>
  <c r="N248" i="105" a="1"/>
  <c r="N248" i="105" s="1"/>
  <c r="M248" i="105" a="1"/>
  <c r="M248" i="105" s="1"/>
  <c r="L248" i="105" a="1"/>
  <c r="L248" i="105" s="1"/>
  <c r="K248" i="105" a="1"/>
  <c r="K248" i="105" s="1"/>
  <c r="J248" i="105" a="1"/>
  <c r="J248" i="105" s="1"/>
  <c r="I248" i="105" a="1"/>
  <c r="I248" i="105" s="1"/>
  <c r="H248" i="105" a="1"/>
  <c r="H248" i="105" s="1"/>
  <c r="G248" i="105" a="1"/>
  <c r="G248" i="105" s="1"/>
  <c r="F248" i="105" a="1"/>
  <c r="F248" i="105" s="1"/>
  <c r="E248" i="105" a="1"/>
  <c r="E248" i="105" s="1"/>
  <c r="D248" i="105" a="1"/>
  <c r="D248" i="105" s="1"/>
  <c r="S247" i="105" a="1"/>
  <c r="S247" i="105" s="1"/>
  <c r="R247" i="105" a="1"/>
  <c r="R247" i="105" s="1"/>
  <c r="Q247" i="105" a="1"/>
  <c r="Q247" i="105" s="1"/>
  <c r="P247" i="105" a="1"/>
  <c r="P247" i="105" s="1"/>
  <c r="O247" i="105" a="1"/>
  <c r="O247" i="105" s="1"/>
  <c r="N247" i="105" a="1"/>
  <c r="N247" i="105" s="1"/>
  <c r="M247" i="105" a="1"/>
  <c r="M247" i="105" s="1"/>
  <c r="L247" i="105" a="1"/>
  <c r="L247" i="105" s="1"/>
  <c r="K247" i="105" a="1"/>
  <c r="K247" i="105" s="1"/>
  <c r="J247" i="105" a="1"/>
  <c r="J247" i="105" s="1"/>
  <c r="I247" i="105" a="1"/>
  <c r="I247" i="105" s="1"/>
  <c r="H247" i="105" a="1"/>
  <c r="H247" i="105" s="1"/>
  <c r="G247" i="105" a="1"/>
  <c r="G247" i="105" s="1"/>
  <c r="F247" i="105" a="1"/>
  <c r="F247" i="105" s="1"/>
  <c r="E247" i="105" a="1"/>
  <c r="E247" i="105" s="1"/>
  <c r="D247" i="105" a="1"/>
  <c r="D247" i="105" s="1"/>
  <c r="S246" i="105" a="1"/>
  <c r="S246" i="105" s="1"/>
  <c r="R246" i="105" a="1"/>
  <c r="R246" i="105" s="1"/>
  <c r="Q246" i="105" a="1"/>
  <c r="Q246" i="105" s="1"/>
  <c r="P246" i="105" a="1"/>
  <c r="P246" i="105" s="1"/>
  <c r="O246" i="105" a="1"/>
  <c r="O246" i="105" s="1"/>
  <c r="N246" i="105" a="1"/>
  <c r="N246" i="105" s="1"/>
  <c r="M246" i="105" a="1"/>
  <c r="M246" i="105" s="1"/>
  <c r="L246" i="105" a="1"/>
  <c r="L246" i="105" s="1"/>
  <c r="K246" i="105" a="1"/>
  <c r="K246" i="105" s="1"/>
  <c r="J246" i="105" a="1"/>
  <c r="J246" i="105" s="1"/>
  <c r="I246" i="105" a="1"/>
  <c r="I246" i="105" s="1"/>
  <c r="H246" i="105" a="1"/>
  <c r="H246" i="105" s="1"/>
  <c r="G246" i="105" a="1"/>
  <c r="G246" i="105" s="1"/>
  <c r="F246" i="105" a="1"/>
  <c r="F246" i="105" s="1"/>
  <c r="E246" i="105" a="1"/>
  <c r="E246" i="105" s="1"/>
  <c r="D246" i="105" a="1"/>
  <c r="D246" i="105" s="1"/>
  <c r="S245" i="105" a="1"/>
  <c r="S245" i="105" s="1"/>
  <c r="R245" i="105" a="1"/>
  <c r="R245" i="105" s="1"/>
  <c r="Q245" i="105" a="1"/>
  <c r="Q245" i="105" s="1"/>
  <c r="P245" i="105" a="1"/>
  <c r="P245" i="105" s="1"/>
  <c r="O245" i="105" a="1"/>
  <c r="O245" i="105" s="1"/>
  <c r="N245" i="105" a="1"/>
  <c r="N245" i="105" s="1"/>
  <c r="M245" i="105" a="1"/>
  <c r="M245" i="105" s="1"/>
  <c r="L245" i="105" a="1"/>
  <c r="L245" i="105" s="1"/>
  <c r="K245" i="105" a="1"/>
  <c r="K245" i="105" s="1"/>
  <c r="J245" i="105" a="1"/>
  <c r="J245" i="105" s="1"/>
  <c r="I245" i="105" a="1"/>
  <c r="I245" i="105" s="1"/>
  <c r="H245" i="105" a="1"/>
  <c r="H245" i="105" s="1"/>
  <c r="G245" i="105" a="1"/>
  <c r="G245" i="105" s="1"/>
  <c r="F245" i="105" a="1"/>
  <c r="F245" i="105" s="1"/>
  <c r="E245" i="105" a="1"/>
  <c r="E245" i="105" s="1"/>
  <c r="D245" i="105" a="1"/>
  <c r="D245" i="105" s="1"/>
  <c r="S244" i="105" a="1"/>
  <c r="S244" i="105" s="1"/>
  <c r="R244" i="105" a="1"/>
  <c r="R244" i="105" s="1"/>
  <c r="Q244" i="105" a="1"/>
  <c r="Q244" i="105" s="1"/>
  <c r="P244" i="105" a="1"/>
  <c r="P244" i="105" s="1"/>
  <c r="O244" i="105" a="1"/>
  <c r="O244" i="105" s="1"/>
  <c r="N244" i="105" a="1"/>
  <c r="N244" i="105" s="1"/>
  <c r="M244" i="105" a="1"/>
  <c r="M244" i="105" s="1"/>
  <c r="L244" i="105" a="1"/>
  <c r="L244" i="105" s="1"/>
  <c r="K244" i="105" a="1"/>
  <c r="K244" i="105" s="1"/>
  <c r="J244" i="105" a="1"/>
  <c r="J244" i="105" s="1"/>
  <c r="I244" i="105" a="1"/>
  <c r="I244" i="105" s="1"/>
  <c r="H244" i="105" a="1"/>
  <c r="H244" i="105" s="1"/>
  <c r="G244" i="105" a="1"/>
  <c r="G244" i="105" s="1"/>
  <c r="F244" i="105" a="1"/>
  <c r="F244" i="105" s="1"/>
  <c r="E244" i="105" a="1"/>
  <c r="E244" i="105" s="1"/>
  <c r="D244" i="105" a="1"/>
  <c r="D244" i="105" s="1"/>
  <c r="S243" i="105" a="1"/>
  <c r="S243" i="105" s="1"/>
  <c r="R243" i="105" a="1"/>
  <c r="R243" i="105" s="1"/>
  <c r="Q243" i="105" a="1"/>
  <c r="Q243" i="105" s="1"/>
  <c r="P243" i="105" a="1"/>
  <c r="P243" i="105" s="1"/>
  <c r="O243" i="105" a="1"/>
  <c r="O243" i="105" s="1"/>
  <c r="N243" i="105" a="1"/>
  <c r="N243" i="105" s="1"/>
  <c r="M243" i="105" a="1"/>
  <c r="M243" i="105" s="1"/>
  <c r="L243" i="105" a="1"/>
  <c r="L243" i="105" s="1"/>
  <c r="K243" i="105" a="1"/>
  <c r="K243" i="105" s="1"/>
  <c r="J243" i="105" a="1"/>
  <c r="J243" i="105" s="1"/>
  <c r="I243" i="105" a="1"/>
  <c r="I243" i="105" s="1"/>
  <c r="H243" i="105" a="1"/>
  <c r="H243" i="105" s="1"/>
  <c r="G243" i="105" a="1"/>
  <c r="G243" i="105" s="1"/>
  <c r="F243" i="105" a="1"/>
  <c r="F243" i="105" s="1"/>
  <c r="E243" i="105" a="1"/>
  <c r="E243" i="105" s="1"/>
  <c r="D243" i="105" a="1"/>
  <c r="D243" i="105" s="1"/>
  <c r="S242" i="105" a="1"/>
  <c r="S242" i="105" s="1"/>
  <c r="R242" i="105" a="1"/>
  <c r="R242" i="105" s="1"/>
  <c r="Q242" i="105" a="1"/>
  <c r="Q242" i="105" s="1"/>
  <c r="P242" i="105" a="1"/>
  <c r="P242" i="105" s="1"/>
  <c r="O242" i="105" a="1"/>
  <c r="O242" i="105" s="1"/>
  <c r="N242" i="105" a="1"/>
  <c r="N242" i="105" s="1"/>
  <c r="M242" i="105" a="1"/>
  <c r="M242" i="105" s="1"/>
  <c r="L242" i="105" a="1"/>
  <c r="L242" i="105" s="1"/>
  <c r="K242" i="105" a="1"/>
  <c r="K242" i="105" s="1"/>
  <c r="J242" i="105" a="1"/>
  <c r="J242" i="105" s="1"/>
  <c r="I242" i="105" a="1"/>
  <c r="I242" i="105" s="1"/>
  <c r="H242" i="105" a="1"/>
  <c r="H242" i="105" s="1"/>
  <c r="G242" i="105" a="1"/>
  <c r="G242" i="105" s="1"/>
  <c r="F242" i="105" a="1"/>
  <c r="F242" i="105" s="1"/>
  <c r="E242" i="105" a="1"/>
  <c r="E242" i="105" s="1"/>
  <c r="D242" i="105" a="1"/>
  <c r="D242" i="105" s="1"/>
  <c r="S241" i="105" a="1"/>
  <c r="S241" i="105" s="1"/>
  <c r="R241" i="105" a="1"/>
  <c r="R241" i="105" s="1"/>
  <c r="Q241" i="105" a="1"/>
  <c r="Q241" i="105" s="1"/>
  <c r="P241" i="105" a="1"/>
  <c r="P241" i="105" s="1"/>
  <c r="O241" i="105" a="1"/>
  <c r="O241" i="105" s="1"/>
  <c r="N241" i="105" a="1"/>
  <c r="N241" i="105" s="1"/>
  <c r="M241" i="105" a="1"/>
  <c r="M241" i="105" s="1"/>
  <c r="L241" i="105" a="1"/>
  <c r="L241" i="105" s="1"/>
  <c r="K241" i="105" a="1"/>
  <c r="K241" i="105" s="1"/>
  <c r="J241" i="105" a="1"/>
  <c r="J241" i="105" s="1"/>
  <c r="I241" i="105" a="1"/>
  <c r="I241" i="105" s="1"/>
  <c r="H241" i="105" a="1"/>
  <c r="H241" i="105" s="1"/>
  <c r="G241" i="105" a="1"/>
  <c r="G241" i="105" s="1"/>
  <c r="F241" i="105" a="1"/>
  <c r="F241" i="105" s="1"/>
  <c r="E241" i="105" a="1"/>
  <c r="E241" i="105" s="1"/>
  <c r="D241" i="105" a="1"/>
  <c r="D241" i="105" s="1"/>
  <c r="S240" i="105" a="1"/>
  <c r="S240" i="105" s="1"/>
  <c r="R240" i="105" a="1"/>
  <c r="R240" i="105" s="1"/>
  <c r="Q240" i="105" a="1"/>
  <c r="Q240" i="105" s="1"/>
  <c r="P240" i="105" a="1"/>
  <c r="P240" i="105" s="1"/>
  <c r="O240" i="105" a="1"/>
  <c r="O240" i="105" s="1"/>
  <c r="N240" i="105" a="1"/>
  <c r="N240" i="105" s="1"/>
  <c r="M240" i="105" a="1"/>
  <c r="M240" i="105" s="1"/>
  <c r="L240" i="105" a="1"/>
  <c r="L240" i="105" s="1"/>
  <c r="K240" i="105" a="1"/>
  <c r="K240" i="105" s="1"/>
  <c r="J240" i="105" a="1"/>
  <c r="J240" i="105" s="1"/>
  <c r="I240" i="105" a="1"/>
  <c r="I240" i="105" s="1"/>
  <c r="H240" i="105" a="1"/>
  <c r="H240" i="105" s="1"/>
  <c r="G240" i="105" a="1"/>
  <c r="G240" i="105" s="1"/>
  <c r="F240" i="105" a="1"/>
  <c r="F240" i="105" s="1"/>
  <c r="E240" i="105" a="1"/>
  <c r="E240" i="105" s="1"/>
  <c r="D240" i="105" a="1"/>
  <c r="D240" i="105" s="1"/>
  <c r="S239" i="105" a="1"/>
  <c r="S239" i="105" s="1"/>
  <c r="R239" i="105" a="1"/>
  <c r="R239" i="105" s="1"/>
  <c r="Q239" i="105" a="1"/>
  <c r="Q239" i="105" s="1"/>
  <c r="P239" i="105" a="1"/>
  <c r="P239" i="105" s="1"/>
  <c r="O239" i="105" a="1"/>
  <c r="O239" i="105" s="1"/>
  <c r="N239" i="105" a="1"/>
  <c r="N239" i="105" s="1"/>
  <c r="M239" i="105" a="1"/>
  <c r="M239" i="105" s="1"/>
  <c r="L239" i="105" a="1"/>
  <c r="L239" i="105" s="1"/>
  <c r="K239" i="105" a="1"/>
  <c r="K239" i="105" s="1"/>
  <c r="J239" i="105" a="1"/>
  <c r="J239" i="105" s="1"/>
  <c r="I239" i="105" a="1"/>
  <c r="I239" i="105" s="1"/>
  <c r="H239" i="105" a="1"/>
  <c r="H239" i="105" s="1"/>
  <c r="G239" i="105" a="1"/>
  <c r="G239" i="105" s="1"/>
  <c r="F239" i="105" a="1"/>
  <c r="F239" i="105" s="1"/>
  <c r="E239" i="105" a="1"/>
  <c r="E239" i="105" s="1"/>
  <c r="D239" i="105" a="1"/>
  <c r="D239" i="105" s="1"/>
  <c r="S238" i="105" a="1"/>
  <c r="S238" i="105" s="1"/>
  <c r="R238" i="105" a="1"/>
  <c r="R238" i="105" s="1"/>
  <c r="Q238" i="105" a="1"/>
  <c r="Q238" i="105" s="1"/>
  <c r="P238" i="105" a="1"/>
  <c r="P238" i="105" s="1"/>
  <c r="O238" i="105" a="1"/>
  <c r="O238" i="105" s="1"/>
  <c r="N238" i="105" a="1"/>
  <c r="N238" i="105" s="1"/>
  <c r="M238" i="105" a="1"/>
  <c r="M238" i="105" s="1"/>
  <c r="L238" i="105" a="1"/>
  <c r="L238" i="105" s="1"/>
  <c r="K238" i="105" a="1"/>
  <c r="K238" i="105" s="1"/>
  <c r="J238" i="105" a="1"/>
  <c r="J238" i="105" s="1"/>
  <c r="I238" i="105" a="1"/>
  <c r="I238" i="105" s="1"/>
  <c r="H238" i="105" a="1"/>
  <c r="H238" i="105" s="1"/>
  <c r="G238" i="105" a="1"/>
  <c r="G238" i="105" s="1"/>
  <c r="F238" i="105" a="1"/>
  <c r="F238" i="105" s="1"/>
  <c r="E238" i="105" a="1"/>
  <c r="E238" i="105" s="1"/>
  <c r="D238" i="105" a="1"/>
  <c r="D238" i="105" s="1"/>
  <c r="S237" i="105" a="1"/>
  <c r="S237" i="105" s="1"/>
  <c r="R237" i="105" a="1"/>
  <c r="R237" i="105" s="1"/>
  <c r="Q237" i="105" a="1"/>
  <c r="Q237" i="105" s="1"/>
  <c r="P237" i="105" a="1"/>
  <c r="P237" i="105" s="1"/>
  <c r="O237" i="105" a="1"/>
  <c r="O237" i="105" s="1"/>
  <c r="N237" i="105" a="1"/>
  <c r="N237" i="105" s="1"/>
  <c r="M237" i="105" a="1"/>
  <c r="M237" i="105" s="1"/>
  <c r="L237" i="105" a="1"/>
  <c r="L237" i="105" s="1"/>
  <c r="K237" i="105" a="1"/>
  <c r="K237" i="105" s="1"/>
  <c r="J237" i="105" a="1"/>
  <c r="J237" i="105" s="1"/>
  <c r="I237" i="105" a="1"/>
  <c r="I237" i="105" s="1"/>
  <c r="H237" i="105" a="1"/>
  <c r="H237" i="105" s="1"/>
  <c r="G237" i="105" a="1"/>
  <c r="G237" i="105" s="1"/>
  <c r="F237" i="105" a="1"/>
  <c r="F237" i="105" s="1"/>
  <c r="E237" i="105" a="1"/>
  <c r="E237" i="105" s="1"/>
  <c r="D237" i="105" a="1"/>
  <c r="D237" i="105" s="1"/>
  <c r="S236" i="105" a="1"/>
  <c r="S236" i="105" s="1"/>
  <c r="R236" i="105" a="1"/>
  <c r="R236" i="105" s="1"/>
  <c r="Q236" i="105" a="1"/>
  <c r="Q236" i="105" s="1"/>
  <c r="P236" i="105" a="1"/>
  <c r="P236" i="105" s="1"/>
  <c r="O236" i="105" a="1"/>
  <c r="O236" i="105" s="1"/>
  <c r="N236" i="105" a="1"/>
  <c r="N236" i="105" s="1"/>
  <c r="M236" i="105" a="1"/>
  <c r="M236" i="105" s="1"/>
  <c r="L236" i="105" a="1"/>
  <c r="L236" i="105" s="1"/>
  <c r="K236" i="105" a="1"/>
  <c r="K236" i="105" s="1"/>
  <c r="J236" i="105" a="1"/>
  <c r="J236" i="105" s="1"/>
  <c r="I236" i="105" a="1"/>
  <c r="I236" i="105" s="1"/>
  <c r="H236" i="105" a="1"/>
  <c r="H236" i="105" s="1"/>
  <c r="G236" i="105" a="1"/>
  <c r="G236" i="105" s="1"/>
  <c r="F236" i="105" a="1"/>
  <c r="F236" i="105" s="1"/>
  <c r="E236" i="105" a="1"/>
  <c r="E236" i="105" s="1"/>
  <c r="D236" i="105" a="1"/>
  <c r="D236" i="105" s="1"/>
  <c r="S235" i="105" a="1"/>
  <c r="S235" i="105" s="1"/>
  <c r="R235" i="105" a="1"/>
  <c r="R235" i="105" s="1"/>
  <c r="Q235" i="105" a="1"/>
  <c r="Q235" i="105" s="1"/>
  <c r="P235" i="105" a="1"/>
  <c r="P235" i="105" s="1"/>
  <c r="O235" i="105" a="1"/>
  <c r="O235" i="105" s="1"/>
  <c r="N235" i="105" a="1"/>
  <c r="N235" i="105" s="1"/>
  <c r="M235" i="105" a="1"/>
  <c r="M235" i="105" s="1"/>
  <c r="L235" i="105" a="1"/>
  <c r="L235" i="105" s="1"/>
  <c r="K235" i="105" a="1"/>
  <c r="K235" i="105" s="1"/>
  <c r="J235" i="105" a="1"/>
  <c r="J235" i="105" s="1"/>
  <c r="I235" i="105" a="1"/>
  <c r="I235" i="105" s="1"/>
  <c r="H235" i="105" a="1"/>
  <c r="H235" i="105" s="1"/>
  <c r="G235" i="105" a="1"/>
  <c r="G235" i="105" s="1"/>
  <c r="F235" i="105" a="1"/>
  <c r="F235" i="105" s="1"/>
  <c r="E235" i="105" a="1"/>
  <c r="E235" i="105" s="1"/>
  <c r="D235" i="105" a="1"/>
  <c r="D235" i="105" s="1"/>
  <c r="S234" i="105" a="1"/>
  <c r="S234" i="105" s="1"/>
  <c r="R234" i="105" a="1"/>
  <c r="R234" i="105" s="1"/>
  <c r="Q234" i="105" a="1"/>
  <c r="Q234" i="105" s="1"/>
  <c r="P234" i="105" a="1"/>
  <c r="P234" i="105" s="1"/>
  <c r="O234" i="105" a="1"/>
  <c r="O234" i="105" s="1"/>
  <c r="N234" i="105" a="1"/>
  <c r="N234" i="105" s="1"/>
  <c r="M234" i="105" a="1"/>
  <c r="M234" i="105" s="1"/>
  <c r="L234" i="105" a="1"/>
  <c r="L234" i="105" s="1"/>
  <c r="K234" i="105" a="1"/>
  <c r="K234" i="105" s="1"/>
  <c r="J234" i="105" a="1"/>
  <c r="J234" i="105" s="1"/>
  <c r="I234" i="105" a="1"/>
  <c r="I234" i="105" s="1"/>
  <c r="H234" i="105" a="1"/>
  <c r="H234" i="105" s="1"/>
  <c r="G234" i="105" a="1"/>
  <c r="G234" i="105" s="1"/>
  <c r="F234" i="105" a="1"/>
  <c r="F234" i="105" s="1"/>
  <c r="E234" i="105" a="1"/>
  <c r="E234" i="105" s="1"/>
  <c r="D234" i="105" a="1"/>
  <c r="D234" i="105" s="1"/>
  <c r="S233" i="105" a="1"/>
  <c r="S233" i="105" s="1"/>
  <c r="R233" i="105" a="1"/>
  <c r="R233" i="105" s="1"/>
  <c r="Q233" i="105" a="1"/>
  <c r="Q233" i="105" s="1"/>
  <c r="P233" i="105" a="1"/>
  <c r="P233" i="105" s="1"/>
  <c r="O233" i="105" a="1"/>
  <c r="O233" i="105" s="1"/>
  <c r="N233" i="105" a="1"/>
  <c r="N233" i="105" s="1"/>
  <c r="M233" i="105" a="1"/>
  <c r="M233" i="105" s="1"/>
  <c r="L233" i="105" a="1"/>
  <c r="L233" i="105" s="1"/>
  <c r="K233" i="105" a="1"/>
  <c r="K233" i="105" s="1"/>
  <c r="J233" i="105" a="1"/>
  <c r="J233" i="105" s="1"/>
  <c r="I233" i="105" a="1"/>
  <c r="I233" i="105" s="1"/>
  <c r="H233" i="105" a="1"/>
  <c r="H233" i="105" s="1"/>
  <c r="G233" i="105" a="1"/>
  <c r="G233" i="105" s="1"/>
  <c r="F233" i="105" a="1"/>
  <c r="F233" i="105" s="1"/>
  <c r="E233" i="105" a="1"/>
  <c r="E233" i="105" s="1"/>
  <c r="D233" i="105" a="1"/>
  <c r="D233" i="105" s="1"/>
  <c r="S232" i="105" a="1"/>
  <c r="S232" i="105" s="1"/>
  <c r="R232" i="105" a="1"/>
  <c r="R232" i="105" s="1"/>
  <c r="Q232" i="105" a="1"/>
  <c r="Q232" i="105" s="1"/>
  <c r="P232" i="105" a="1"/>
  <c r="P232" i="105" s="1"/>
  <c r="O232" i="105" a="1"/>
  <c r="O232" i="105" s="1"/>
  <c r="N232" i="105" a="1"/>
  <c r="N232" i="105" s="1"/>
  <c r="M232" i="105" a="1"/>
  <c r="M232" i="105" s="1"/>
  <c r="L232" i="105" a="1"/>
  <c r="L232" i="105" s="1"/>
  <c r="K232" i="105" a="1"/>
  <c r="K232" i="105" s="1"/>
  <c r="J232" i="105" a="1"/>
  <c r="J232" i="105" s="1"/>
  <c r="I232" i="105" a="1"/>
  <c r="I232" i="105" s="1"/>
  <c r="H232" i="105" a="1"/>
  <c r="H232" i="105" s="1"/>
  <c r="G232" i="105" a="1"/>
  <c r="G232" i="105" s="1"/>
  <c r="F232" i="105" a="1"/>
  <c r="F232" i="105" s="1"/>
  <c r="E232" i="105" a="1"/>
  <c r="E232" i="105" s="1"/>
  <c r="D232" i="105" a="1"/>
  <c r="D232" i="105" s="1"/>
  <c r="D229" i="105" a="1"/>
  <c r="D229" i="105" s="1"/>
  <c r="D228" i="105" a="1"/>
  <c r="D228" i="105" s="1"/>
  <c r="D227" i="105" a="1"/>
  <c r="D227" i="105" s="1"/>
  <c r="E224" i="105" a="1"/>
  <c r="E224" i="105" s="1"/>
  <c r="D224" i="105" a="1"/>
  <c r="D224" i="105" s="1"/>
  <c r="E223" i="105" a="1"/>
  <c r="E223" i="105" s="1"/>
  <c r="D223" i="105" a="1"/>
  <c r="D223" i="105" s="1"/>
  <c r="E222" i="105" a="1"/>
  <c r="E222" i="105" s="1"/>
  <c r="D222" i="105" a="1"/>
  <c r="D222" i="105" s="1"/>
  <c r="E221" i="105" a="1"/>
  <c r="E221" i="105" s="1"/>
  <c r="D221" i="105" a="1"/>
  <c r="D221" i="105" s="1"/>
  <c r="E220" i="105" a="1"/>
  <c r="E220" i="105" s="1"/>
  <c r="D220" i="105" a="1"/>
  <c r="D220" i="105" s="1"/>
  <c r="E219" i="105" a="1"/>
  <c r="E219" i="105" s="1"/>
  <c r="D219" i="105" a="1"/>
  <c r="D219" i="105" s="1"/>
  <c r="E218" i="105" a="1"/>
  <c r="E218" i="105" s="1"/>
  <c r="D218" i="105" a="1"/>
  <c r="D218" i="105" s="1"/>
  <c r="E217" i="105" a="1"/>
  <c r="E217" i="105" s="1"/>
  <c r="D217" i="105" a="1"/>
  <c r="D217" i="105" s="1"/>
  <c r="E216" i="105" a="1"/>
  <c r="E216" i="105" s="1"/>
  <c r="D216" i="105" a="1"/>
  <c r="D216" i="105" s="1"/>
  <c r="E215" i="105" a="1"/>
  <c r="E215" i="105" s="1"/>
  <c r="D215" i="105" a="1"/>
  <c r="D215" i="105" s="1"/>
  <c r="E214" i="105" a="1"/>
  <c r="E214" i="105" s="1"/>
  <c r="D214" i="105" a="1"/>
  <c r="D214" i="105" s="1"/>
  <c r="E213" i="105" a="1"/>
  <c r="E213" i="105" s="1"/>
  <c r="D213" i="105" a="1"/>
  <c r="D213" i="105" s="1"/>
  <c r="D211" i="105" a="1"/>
  <c r="D211" i="105" s="1"/>
  <c r="E208" i="105" a="1"/>
  <c r="E208" i="105" s="1"/>
  <c r="D208" i="105" a="1"/>
  <c r="D208" i="105" s="1"/>
  <c r="E207" i="105" a="1"/>
  <c r="E207" i="105" s="1"/>
  <c r="D207" i="105" a="1"/>
  <c r="D207" i="105" s="1"/>
  <c r="D205" i="105" a="1"/>
  <c r="D205" i="105" s="1"/>
  <c r="D204" i="105" a="1"/>
  <c r="D204" i="105" s="1"/>
  <c r="D203" i="105" a="1"/>
  <c r="D203" i="105" s="1"/>
  <c r="D202" i="105" a="1"/>
  <c r="D202" i="105" s="1"/>
  <c r="H199" i="105" a="1"/>
  <c r="H199" i="105" s="1"/>
  <c r="G199" i="105" a="1"/>
  <c r="G199" i="105" s="1"/>
  <c r="F199" i="105" a="1"/>
  <c r="F199" i="105" s="1"/>
  <c r="E199" i="105" a="1"/>
  <c r="E199" i="105" s="1"/>
  <c r="D199" i="105" a="1"/>
  <c r="D199" i="105" s="1"/>
  <c r="H198" i="105" a="1"/>
  <c r="H198" i="105" s="1"/>
  <c r="G198" i="105" a="1"/>
  <c r="G198" i="105" s="1"/>
  <c r="F198" i="105" a="1"/>
  <c r="F198" i="105" s="1"/>
  <c r="E198" i="105" a="1"/>
  <c r="E198" i="105" s="1"/>
  <c r="D198" i="105" a="1"/>
  <c r="D198" i="105" s="1"/>
  <c r="H197" i="105" a="1"/>
  <c r="H197" i="105" s="1"/>
  <c r="G197" i="105" a="1"/>
  <c r="G197" i="105" s="1"/>
  <c r="F197" i="105" a="1"/>
  <c r="F197" i="105" s="1"/>
  <c r="E197" i="105" a="1"/>
  <c r="E197" i="105" s="1"/>
  <c r="D197" i="105" a="1"/>
  <c r="D197" i="105" s="1"/>
  <c r="H196" i="105" a="1"/>
  <c r="H196" i="105" s="1"/>
  <c r="G196" i="105" a="1"/>
  <c r="G196" i="105" s="1"/>
  <c r="F196" i="105" a="1"/>
  <c r="F196" i="105" s="1"/>
  <c r="E196" i="105" a="1"/>
  <c r="E196" i="105" s="1"/>
  <c r="D196" i="105" a="1"/>
  <c r="D196" i="105" s="1"/>
  <c r="H195" i="105" a="1"/>
  <c r="H195" i="105" s="1"/>
  <c r="G195" i="105" a="1"/>
  <c r="G195" i="105" s="1"/>
  <c r="F195" i="105" a="1"/>
  <c r="F195" i="105" s="1"/>
  <c r="E195" i="105" a="1"/>
  <c r="E195" i="105" s="1"/>
  <c r="D195" i="105" a="1"/>
  <c r="D195" i="105" s="1"/>
  <c r="H194" i="105" a="1"/>
  <c r="H194" i="105" s="1"/>
  <c r="G194" i="105" a="1"/>
  <c r="G194" i="105" s="1"/>
  <c r="F194" i="105" a="1"/>
  <c r="F194" i="105" s="1"/>
  <c r="E194" i="105" a="1"/>
  <c r="E194" i="105" s="1"/>
  <c r="D194" i="105" a="1"/>
  <c r="D194" i="105" s="1"/>
  <c r="H193" i="105" a="1"/>
  <c r="H193" i="105" s="1"/>
  <c r="G193" i="105" a="1"/>
  <c r="G193" i="105" s="1"/>
  <c r="F193" i="105" a="1"/>
  <c r="F193" i="105" s="1"/>
  <c r="E193" i="105" a="1"/>
  <c r="E193" i="105" s="1"/>
  <c r="D193" i="105" a="1"/>
  <c r="D193" i="105" s="1"/>
  <c r="H192" i="105" a="1"/>
  <c r="H192" i="105" s="1"/>
  <c r="G192" i="105" a="1"/>
  <c r="G192" i="105" s="1"/>
  <c r="F192" i="105" a="1"/>
  <c r="F192" i="105" s="1"/>
  <c r="E192" i="105" a="1"/>
  <c r="E192" i="105" s="1"/>
  <c r="D192" i="105" a="1"/>
  <c r="D192" i="105" s="1"/>
  <c r="H191" i="105" a="1"/>
  <c r="H191" i="105" s="1"/>
  <c r="G191" i="105" a="1"/>
  <c r="G191" i="105" s="1"/>
  <c r="F191" i="105" a="1"/>
  <c r="F191" i="105" s="1"/>
  <c r="E191" i="105" a="1"/>
  <c r="E191" i="105" s="1"/>
  <c r="D191" i="105" a="1"/>
  <c r="D191" i="105" s="1"/>
  <c r="H190" i="105" a="1"/>
  <c r="H190" i="105" s="1"/>
  <c r="G190" i="105" a="1"/>
  <c r="G190" i="105" s="1"/>
  <c r="F190" i="105" a="1"/>
  <c r="F190" i="105" s="1"/>
  <c r="E190" i="105" a="1"/>
  <c r="E190" i="105" s="1"/>
  <c r="D190" i="105" a="1"/>
  <c r="D190" i="105" s="1"/>
  <c r="H189" i="105" a="1"/>
  <c r="H189" i="105" s="1"/>
  <c r="G189" i="105" a="1"/>
  <c r="G189" i="105" s="1"/>
  <c r="F189" i="105" a="1"/>
  <c r="F189" i="105" s="1"/>
  <c r="E189" i="105" a="1"/>
  <c r="E189" i="105" s="1"/>
  <c r="D189" i="105" a="1"/>
  <c r="D189" i="105" s="1"/>
  <c r="H188" i="105" a="1"/>
  <c r="H188" i="105" s="1"/>
  <c r="G188" i="105" a="1"/>
  <c r="G188" i="105" s="1"/>
  <c r="F188" i="105" a="1"/>
  <c r="F188" i="105" s="1"/>
  <c r="E188" i="105" a="1"/>
  <c r="E188" i="105" s="1"/>
  <c r="D188" i="105" a="1"/>
  <c r="D188" i="105" s="1"/>
  <c r="H187" i="105" a="1"/>
  <c r="H187" i="105" s="1"/>
  <c r="G187" i="105" a="1"/>
  <c r="G187" i="105" s="1"/>
  <c r="F187" i="105" a="1"/>
  <c r="F187" i="105" s="1"/>
  <c r="E187" i="105" a="1"/>
  <c r="E187" i="105" s="1"/>
  <c r="D187" i="105" a="1"/>
  <c r="D187" i="105" s="1"/>
  <c r="D181" i="105" a="1"/>
  <c r="D181" i="105" s="1"/>
  <c r="D180" i="105" a="1"/>
  <c r="D180" i="105" s="1"/>
  <c r="D179" i="105" a="1"/>
  <c r="D179" i="105" s="1"/>
  <c r="D178" i="105" a="1"/>
  <c r="D178" i="105" s="1"/>
  <c r="E175" i="105" a="1"/>
  <c r="E175" i="105" s="1"/>
  <c r="D175" i="105" a="1"/>
  <c r="D175" i="105" s="1"/>
  <c r="D174" i="105" a="1"/>
  <c r="D174" i="105" s="1"/>
  <c r="D173" i="105" a="1"/>
  <c r="D173" i="105" s="1"/>
  <c r="D170" i="105" a="1"/>
  <c r="D170" i="105" s="1"/>
  <c r="D169" i="105" a="1"/>
  <c r="D169" i="105" s="1"/>
  <c r="D168" i="105" a="1"/>
  <c r="D168" i="105" s="1"/>
  <c r="D167" i="105" a="1"/>
  <c r="D167" i="105" s="1"/>
  <c r="D164" i="105" a="1"/>
  <c r="D164" i="105" s="1"/>
  <c r="D163" i="105" a="1"/>
  <c r="D163" i="105" s="1"/>
  <c r="D162" i="105" a="1"/>
  <c r="D162" i="105" s="1"/>
  <c r="D161" i="105" a="1"/>
  <c r="D161" i="105" s="1"/>
  <c r="E158" i="105" a="1"/>
  <c r="E158" i="105" s="1"/>
  <c r="D158" i="105" a="1"/>
  <c r="D158" i="105" s="1"/>
  <c r="E157" i="105" a="1"/>
  <c r="E157" i="105" s="1"/>
  <c r="D157" i="105" a="1"/>
  <c r="D157" i="105" s="1"/>
  <c r="E156" i="105" a="1"/>
  <c r="E156" i="105" s="1"/>
  <c r="D156" i="105" a="1"/>
  <c r="D156" i="105" s="1"/>
  <c r="E155" i="105" a="1"/>
  <c r="E155" i="105" s="1"/>
  <c r="D155" i="105" a="1"/>
  <c r="D155" i="105" s="1"/>
  <c r="E154" i="105" a="1"/>
  <c r="E154" i="105" s="1"/>
  <c r="D154" i="105" a="1"/>
  <c r="D154" i="105" s="1"/>
  <c r="D151" i="105" a="1"/>
  <c r="D151" i="105" s="1"/>
  <c r="D150" i="105" a="1"/>
  <c r="D150" i="105" s="1"/>
  <c r="E147" i="105" a="1"/>
  <c r="E147" i="105" s="1"/>
  <c r="D147" i="105" a="1"/>
  <c r="D147" i="105" s="1"/>
  <c r="E146" i="105" a="1"/>
  <c r="E146" i="105" s="1"/>
  <c r="D146" i="105" a="1"/>
  <c r="D146" i="105" s="1"/>
  <c r="E145" i="105" a="1"/>
  <c r="E145" i="105" s="1"/>
  <c r="D145" i="105" a="1"/>
  <c r="D145" i="105" s="1"/>
  <c r="E144" i="105" a="1"/>
  <c r="E144" i="105" s="1"/>
  <c r="D144" i="105" a="1"/>
  <c r="D144" i="105" s="1"/>
  <c r="E143" i="105" a="1"/>
  <c r="E143" i="105" s="1"/>
  <c r="D143" i="105" a="1"/>
  <c r="D143" i="105" s="1"/>
  <c r="D141" i="105" a="1"/>
  <c r="D141" i="105" s="1"/>
  <c r="D140" i="105" a="1"/>
  <c r="D140" i="105" s="1"/>
  <c r="D139" i="105" a="1"/>
  <c r="D139" i="105" s="1"/>
  <c r="E136" i="105" a="1"/>
  <c r="E136" i="105" s="1"/>
  <c r="D136" i="105" a="1"/>
  <c r="D136" i="105" s="1"/>
  <c r="E135" i="105" a="1"/>
  <c r="E135" i="105" s="1"/>
  <c r="D135" i="105" a="1"/>
  <c r="D135" i="105" s="1"/>
  <c r="D133" i="105" a="1"/>
  <c r="D133" i="105" s="1"/>
  <c r="D132" i="105" a="1"/>
  <c r="D132" i="105" s="1"/>
  <c r="E129" i="105" a="1"/>
  <c r="E129" i="105" s="1"/>
  <c r="D129" i="105" a="1"/>
  <c r="D129" i="105" s="1"/>
  <c r="E128" i="105" a="1"/>
  <c r="E128" i="105" s="1"/>
  <c r="D128" i="105" a="1"/>
  <c r="D128" i="105" s="1"/>
  <c r="D125" i="105" a="1"/>
  <c r="D125" i="105" s="1"/>
  <c r="D124" i="105" a="1"/>
  <c r="D124" i="105" s="1"/>
  <c r="G121" i="105" a="1"/>
  <c r="G121" i="105" s="1"/>
  <c r="F121" i="105" a="1"/>
  <c r="F121" i="105" s="1"/>
  <c r="E121" i="105" a="1"/>
  <c r="E121" i="105" s="1"/>
  <c r="D121" i="105" a="1"/>
  <c r="D121" i="105" s="1"/>
  <c r="G120" i="105" a="1"/>
  <c r="G120" i="105" s="1"/>
  <c r="F120" i="105" a="1"/>
  <c r="F120" i="105" s="1"/>
  <c r="E120" i="105" a="1"/>
  <c r="E120" i="105" s="1"/>
  <c r="D120" i="105" a="1"/>
  <c r="D120" i="105" s="1"/>
  <c r="D117" i="105" a="1"/>
  <c r="D117" i="105" s="1"/>
  <c r="D116" i="105" a="1"/>
  <c r="D116" i="105" s="1"/>
  <c r="D115" i="105" a="1"/>
  <c r="D115" i="105" s="1"/>
  <c r="G112" i="105" a="1"/>
  <c r="G112" i="105" s="1"/>
  <c r="F112" i="105" a="1"/>
  <c r="F112" i="105" s="1"/>
  <c r="E112" i="105" a="1"/>
  <c r="E112" i="105" s="1"/>
  <c r="D112" i="105" a="1"/>
  <c r="D112" i="105" s="1"/>
  <c r="G111" i="105" a="1"/>
  <c r="G111" i="105" s="1"/>
  <c r="F111" i="105" a="1"/>
  <c r="F111" i="105" s="1"/>
  <c r="E111" i="105" a="1"/>
  <c r="E111" i="105" s="1"/>
  <c r="D111" i="105" a="1"/>
  <c r="D111" i="105" s="1"/>
  <c r="G110" i="105" a="1"/>
  <c r="G110" i="105" s="1"/>
  <c r="F110" i="105" a="1"/>
  <c r="F110" i="105" s="1"/>
  <c r="E110" i="105" a="1"/>
  <c r="E110" i="105" s="1"/>
  <c r="D110" i="105" a="1"/>
  <c r="D110" i="105" s="1"/>
  <c r="D107" i="105" a="1"/>
  <c r="D107" i="105" s="1"/>
  <c r="D106" i="105" a="1"/>
  <c r="D106" i="105" s="1"/>
  <c r="D105" i="105" a="1"/>
  <c r="D105" i="105" s="1"/>
  <c r="D99" i="105" a="1"/>
  <c r="D99" i="105" s="1"/>
  <c r="S97" i="105" a="1"/>
  <c r="S97" i="105" s="1"/>
  <c r="R97" i="105" a="1"/>
  <c r="R97" i="105" s="1"/>
  <c r="Q97" i="105" a="1"/>
  <c r="Q97" i="105" s="1"/>
  <c r="P97" i="105" a="1"/>
  <c r="P97" i="105" s="1"/>
  <c r="O97" i="105" a="1"/>
  <c r="O97" i="105" s="1"/>
  <c r="N97" i="105" a="1"/>
  <c r="N97" i="105" s="1"/>
  <c r="M97" i="105" a="1"/>
  <c r="M97" i="105" s="1"/>
  <c r="L97" i="105" a="1"/>
  <c r="L97" i="105" s="1"/>
  <c r="K97" i="105" a="1"/>
  <c r="K97" i="105" s="1"/>
  <c r="J97" i="105" a="1"/>
  <c r="J97" i="105" s="1"/>
  <c r="I97" i="105" a="1"/>
  <c r="I97" i="105" s="1"/>
  <c r="H97" i="105" a="1"/>
  <c r="H97" i="105" s="1"/>
  <c r="G97" i="105" a="1"/>
  <c r="G97" i="105" s="1"/>
  <c r="F97" i="105" a="1"/>
  <c r="F97" i="105" s="1"/>
  <c r="E97" i="105" a="1"/>
  <c r="E97" i="105" s="1"/>
  <c r="D97" i="105" a="1"/>
  <c r="D97" i="105" s="1"/>
  <c r="S96" i="105" a="1"/>
  <c r="S96" i="105" s="1"/>
  <c r="R96" i="105" a="1"/>
  <c r="R96" i="105" s="1"/>
  <c r="Q96" i="105" a="1"/>
  <c r="Q96" i="105" s="1"/>
  <c r="P96" i="105" a="1"/>
  <c r="P96" i="105" s="1"/>
  <c r="O96" i="105" a="1"/>
  <c r="O96" i="105" s="1"/>
  <c r="N96" i="105" a="1"/>
  <c r="N96" i="105" s="1"/>
  <c r="M96" i="105" a="1"/>
  <c r="M96" i="105" s="1"/>
  <c r="L96" i="105" a="1"/>
  <c r="L96" i="105" s="1"/>
  <c r="K96" i="105" a="1"/>
  <c r="K96" i="105" s="1"/>
  <c r="J96" i="105" a="1"/>
  <c r="J96" i="105" s="1"/>
  <c r="I96" i="105" a="1"/>
  <c r="I96" i="105" s="1"/>
  <c r="H96" i="105" a="1"/>
  <c r="H96" i="105" s="1"/>
  <c r="G96" i="105" a="1"/>
  <c r="G96" i="105" s="1"/>
  <c r="F96" i="105" a="1"/>
  <c r="F96" i="105" s="1"/>
  <c r="E96" i="105" a="1"/>
  <c r="E96" i="105" s="1"/>
  <c r="D96" i="105" a="1"/>
  <c r="D96" i="105" s="1"/>
  <c r="S95" i="105" a="1"/>
  <c r="S95" i="105" s="1"/>
  <c r="R95" i="105" a="1"/>
  <c r="R95" i="105" s="1"/>
  <c r="Q95" i="105" a="1"/>
  <c r="Q95" i="105" s="1"/>
  <c r="P95" i="105" a="1"/>
  <c r="P95" i="105" s="1"/>
  <c r="O95" i="105" a="1"/>
  <c r="O95" i="105" s="1"/>
  <c r="N95" i="105" a="1"/>
  <c r="N95" i="105" s="1"/>
  <c r="M95" i="105" a="1"/>
  <c r="M95" i="105" s="1"/>
  <c r="L95" i="105" a="1"/>
  <c r="L95" i="105" s="1"/>
  <c r="K95" i="105" a="1"/>
  <c r="K95" i="105" s="1"/>
  <c r="J95" i="105" a="1"/>
  <c r="J95" i="105" s="1"/>
  <c r="I95" i="105" a="1"/>
  <c r="I95" i="105" s="1"/>
  <c r="H95" i="105" a="1"/>
  <c r="H95" i="105" s="1"/>
  <c r="G95" i="105" a="1"/>
  <c r="G95" i="105" s="1"/>
  <c r="F95" i="105" a="1"/>
  <c r="F95" i="105" s="1"/>
  <c r="E95" i="105" a="1"/>
  <c r="E95" i="105" s="1"/>
  <c r="D95" i="105" a="1"/>
  <c r="D95" i="105" s="1"/>
  <c r="S94" i="105" a="1"/>
  <c r="S94" i="105" s="1"/>
  <c r="R94" i="105" a="1"/>
  <c r="R94" i="105" s="1"/>
  <c r="Q94" i="105" a="1"/>
  <c r="Q94" i="105" s="1"/>
  <c r="P94" i="105" a="1"/>
  <c r="P94" i="105" s="1"/>
  <c r="O94" i="105" a="1"/>
  <c r="O94" i="105" s="1"/>
  <c r="N94" i="105" a="1"/>
  <c r="N94" i="105" s="1"/>
  <c r="M94" i="105" a="1"/>
  <c r="M94" i="105" s="1"/>
  <c r="L94" i="105" a="1"/>
  <c r="L94" i="105" s="1"/>
  <c r="K94" i="105" a="1"/>
  <c r="K94" i="105" s="1"/>
  <c r="J94" i="105" a="1"/>
  <c r="J94" i="105" s="1"/>
  <c r="I94" i="105" a="1"/>
  <c r="I94" i="105" s="1"/>
  <c r="H94" i="105" a="1"/>
  <c r="H94" i="105" s="1"/>
  <c r="G94" i="105" a="1"/>
  <c r="G94" i="105" s="1"/>
  <c r="F94" i="105" a="1"/>
  <c r="F94" i="105" s="1"/>
  <c r="E94" i="105" a="1"/>
  <c r="E94" i="105" s="1"/>
  <c r="D94" i="105" a="1"/>
  <c r="D94" i="105" s="1"/>
  <c r="S93" i="105" a="1"/>
  <c r="S93" i="105" s="1"/>
  <c r="R93" i="105" a="1"/>
  <c r="R93" i="105" s="1"/>
  <c r="Q93" i="105" a="1"/>
  <c r="Q93" i="105" s="1"/>
  <c r="P93" i="105" a="1"/>
  <c r="P93" i="105" s="1"/>
  <c r="O93" i="105" a="1"/>
  <c r="O93" i="105" s="1"/>
  <c r="N93" i="105" a="1"/>
  <c r="N93" i="105" s="1"/>
  <c r="M93" i="105" a="1"/>
  <c r="M93" i="105" s="1"/>
  <c r="L93" i="105" a="1"/>
  <c r="L93" i="105" s="1"/>
  <c r="K93" i="105" a="1"/>
  <c r="K93" i="105" s="1"/>
  <c r="J93" i="105" a="1"/>
  <c r="J93" i="105" s="1"/>
  <c r="I93" i="105" a="1"/>
  <c r="I93" i="105" s="1"/>
  <c r="H93" i="105" a="1"/>
  <c r="H93" i="105" s="1"/>
  <c r="G93" i="105" a="1"/>
  <c r="G93" i="105" s="1"/>
  <c r="F93" i="105" a="1"/>
  <c r="F93" i="105" s="1"/>
  <c r="E93" i="105" a="1"/>
  <c r="E93" i="105" s="1"/>
  <c r="D93" i="105" a="1"/>
  <c r="D93" i="105" s="1"/>
  <c r="S92" i="105" a="1"/>
  <c r="S92" i="105" s="1"/>
  <c r="R92" i="105" a="1"/>
  <c r="R92" i="105" s="1"/>
  <c r="Q92" i="105" a="1"/>
  <c r="Q92" i="105" s="1"/>
  <c r="P92" i="105" a="1"/>
  <c r="P92" i="105" s="1"/>
  <c r="O92" i="105" a="1"/>
  <c r="O92" i="105" s="1"/>
  <c r="N92" i="105" a="1"/>
  <c r="N92" i="105" s="1"/>
  <c r="M92" i="105" a="1"/>
  <c r="M92" i="105" s="1"/>
  <c r="L92" i="105" a="1"/>
  <c r="L92" i="105" s="1"/>
  <c r="K92" i="105" a="1"/>
  <c r="K92" i="105" s="1"/>
  <c r="J92" i="105" a="1"/>
  <c r="J92" i="105" s="1"/>
  <c r="I92" i="105" a="1"/>
  <c r="I92" i="105" s="1"/>
  <c r="H92" i="105" a="1"/>
  <c r="H92" i="105" s="1"/>
  <c r="G92" i="105" a="1"/>
  <c r="G92" i="105" s="1"/>
  <c r="F92" i="105" a="1"/>
  <c r="F92" i="105" s="1"/>
  <c r="E92" i="105" a="1"/>
  <c r="E92" i="105" s="1"/>
  <c r="D92" i="105" a="1"/>
  <c r="D92" i="105" s="1"/>
  <c r="S91" i="105" a="1"/>
  <c r="S91" i="105" s="1"/>
  <c r="R91" i="105" a="1"/>
  <c r="R91" i="105" s="1"/>
  <c r="Q91" i="105" a="1"/>
  <c r="Q91" i="105" s="1"/>
  <c r="P91" i="105" a="1"/>
  <c r="P91" i="105" s="1"/>
  <c r="O91" i="105" a="1"/>
  <c r="O91" i="105" s="1"/>
  <c r="N91" i="105" a="1"/>
  <c r="N91" i="105" s="1"/>
  <c r="M91" i="105" a="1"/>
  <c r="M91" i="105" s="1"/>
  <c r="L91" i="105" a="1"/>
  <c r="L91" i="105" s="1"/>
  <c r="K91" i="105" a="1"/>
  <c r="K91" i="105" s="1"/>
  <c r="J91" i="105" a="1"/>
  <c r="J91" i="105" s="1"/>
  <c r="I91" i="105" a="1"/>
  <c r="I91" i="105" s="1"/>
  <c r="H91" i="105" a="1"/>
  <c r="H91" i="105" s="1"/>
  <c r="G91" i="105" a="1"/>
  <c r="G91" i="105" s="1"/>
  <c r="F91" i="105" a="1"/>
  <c r="F91" i="105" s="1"/>
  <c r="E91" i="105" a="1"/>
  <c r="E91" i="105" s="1"/>
  <c r="D91" i="105" a="1"/>
  <c r="D91" i="105" s="1"/>
  <c r="S90" i="105" a="1"/>
  <c r="S90" i="105" s="1"/>
  <c r="R90" i="105" a="1"/>
  <c r="R90" i="105" s="1"/>
  <c r="Q90" i="105" a="1"/>
  <c r="Q90" i="105" s="1"/>
  <c r="P90" i="105" a="1"/>
  <c r="P90" i="105" s="1"/>
  <c r="O90" i="105" a="1"/>
  <c r="O90" i="105" s="1"/>
  <c r="N90" i="105" a="1"/>
  <c r="N90" i="105" s="1"/>
  <c r="M90" i="105" a="1"/>
  <c r="M90" i="105" s="1"/>
  <c r="L90" i="105" a="1"/>
  <c r="L90" i="105" s="1"/>
  <c r="K90" i="105" a="1"/>
  <c r="K90" i="105" s="1"/>
  <c r="J90" i="105" a="1"/>
  <c r="J90" i="105" s="1"/>
  <c r="I90" i="105" a="1"/>
  <c r="I90" i="105" s="1"/>
  <c r="H90" i="105" a="1"/>
  <c r="H90" i="105" s="1"/>
  <c r="G90" i="105" a="1"/>
  <c r="G90" i="105" s="1"/>
  <c r="F90" i="105" a="1"/>
  <c r="F90" i="105" s="1"/>
  <c r="E90" i="105" a="1"/>
  <c r="E90" i="105" s="1"/>
  <c r="D90" i="105" a="1"/>
  <c r="D90" i="105" s="1"/>
  <c r="D83" i="105" a="1"/>
  <c r="D83" i="105" s="1"/>
  <c r="D82" i="105" a="1"/>
  <c r="D82" i="105" s="1"/>
  <c r="D81" i="105" a="1"/>
  <c r="D81" i="105" s="1"/>
  <c r="E77" i="105" a="1"/>
  <c r="E77" i="105" s="1"/>
  <c r="D77" i="105" a="1"/>
  <c r="D77" i="105" s="1"/>
  <c r="E76" i="105" a="1"/>
  <c r="E76" i="105" s="1"/>
  <c r="D76" i="105" a="1"/>
  <c r="D76" i="105" s="1"/>
  <c r="E75" i="105" a="1"/>
  <c r="E75" i="105" s="1"/>
  <c r="D75" i="105" a="1"/>
  <c r="D75" i="105" s="1"/>
  <c r="E74" i="105" a="1"/>
  <c r="E74" i="105" s="1"/>
  <c r="D74" i="105" a="1"/>
  <c r="D74" i="105" s="1"/>
  <c r="E73" i="105" a="1"/>
  <c r="E73" i="105" s="1"/>
  <c r="D73" i="105" a="1"/>
  <c r="D73" i="105" s="1"/>
  <c r="E72" i="105" a="1"/>
  <c r="E72" i="105" s="1"/>
  <c r="D72" i="105" a="1"/>
  <c r="D72" i="105" s="1"/>
  <c r="E71" i="105" a="1"/>
  <c r="E71" i="105" s="1"/>
  <c r="D71" i="105" a="1"/>
  <c r="D71" i="105" s="1"/>
  <c r="E70" i="105" a="1"/>
  <c r="E70" i="105" s="1"/>
  <c r="D70" i="105" a="1"/>
  <c r="D70" i="105" s="1"/>
  <c r="E69" i="105" a="1"/>
  <c r="E69" i="105" s="1"/>
  <c r="D69" i="105" a="1"/>
  <c r="D69" i="105" s="1"/>
  <c r="E68" i="105" a="1"/>
  <c r="E68" i="105" s="1"/>
  <c r="D68" i="105" a="1"/>
  <c r="D68" i="105" s="1"/>
  <c r="E67" i="105" a="1"/>
  <c r="E67" i="105" s="1"/>
  <c r="D67" i="105" a="1"/>
  <c r="D67" i="105" s="1"/>
  <c r="E66" i="105" a="1"/>
  <c r="E66" i="105" s="1"/>
  <c r="D66" i="105" a="1"/>
  <c r="D66" i="105" s="1"/>
  <c r="E65" i="105" a="1"/>
  <c r="E65" i="105" s="1"/>
  <c r="D65" i="105" a="1"/>
  <c r="D65" i="105" s="1"/>
  <c r="E64" i="105" a="1"/>
  <c r="E64" i="105" s="1"/>
  <c r="D64" i="105" a="1"/>
  <c r="D64" i="105" s="1"/>
  <c r="D59" i="105" a="1"/>
  <c r="D59" i="105" s="1"/>
  <c r="D58" i="105" a="1"/>
  <c r="D58" i="105" s="1"/>
  <c r="D57" i="105" a="1"/>
  <c r="D57" i="105" s="1"/>
  <c r="G54" i="105" a="1"/>
  <c r="G54" i="105" s="1"/>
  <c r="F54" i="105" a="1"/>
  <c r="F54" i="105" s="1"/>
  <c r="E54" i="105" a="1"/>
  <c r="E54" i="105" s="1"/>
  <c r="D54" i="105" a="1"/>
  <c r="D54" i="105" s="1"/>
  <c r="G53" i="105" a="1"/>
  <c r="G53" i="105" s="1"/>
  <c r="F53" i="105" a="1"/>
  <c r="F53" i="105" s="1"/>
  <c r="E53" i="105" a="1"/>
  <c r="E53" i="105" s="1"/>
  <c r="D53" i="105" a="1"/>
  <c r="D53" i="105" s="1"/>
  <c r="G52" i="105" a="1"/>
  <c r="G52" i="105" s="1"/>
  <c r="F52" i="105" a="1"/>
  <c r="F52" i="105" s="1"/>
  <c r="H52" i="105" s="1"/>
  <c r="E52" i="105" a="1"/>
  <c r="E52" i="105" s="1"/>
  <c r="D52" i="105" a="1"/>
  <c r="D52" i="105" s="1"/>
  <c r="G51" i="105" a="1"/>
  <c r="G51" i="105" s="1"/>
  <c r="F51" i="105" a="1"/>
  <c r="F51" i="105" s="1"/>
  <c r="E51" i="105" a="1"/>
  <c r="E51" i="105" s="1"/>
  <c r="D51" i="105" a="1"/>
  <c r="D51" i="105" s="1"/>
  <c r="G50" i="105" a="1"/>
  <c r="G50" i="105" s="1"/>
  <c r="F50" i="105" a="1"/>
  <c r="F50" i="105" s="1"/>
  <c r="E50" i="105" a="1"/>
  <c r="E50" i="105" s="1"/>
  <c r="D50" i="105" a="1"/>
  <c r="D50" i="105" s="1"/>
  <c r="G49" i="105" a="1"/>
  <c r="G49" i="105" s="1"/>
  <c r="F49" i="105" a="1"/>
  <c r="F49" i="105" s="1"/>
  <c r="E49" i="105" a="1"/>
  <c r="E49" i="105" s="1"/>
  <c r="D49" i="105" a="1"/>
  <c r="D49" i="105" s="1"/>
  <c r="G48" i="105" a="1"/>
  <c r="G48" i="105" s="1"/>
  <c r="F48" i="105" a="1"/>
  <c r="F48" i="105" s="1"/>
  <c r="H48" i="105" s="1"/>
  <c r="E48" i="105" a="1"/>
  <c r="E48" i="105" s="1"/>
  <c r="D48" i="105" a="1"/>
  <c r="D48" i="105" s="1"/>
  <c r="D46" i="105" a="1"/>
  <c r="D46" i="105" s="1"/>
  <c r="D45" i="105" a="1"/>
  <c r="D45" i="105" s="1"/>
  <c r="E43" i="105" a="1"/>
  <c r="E43" i="105" s="1"/>
  <c r="D43" i="105" a="1"/>
  <c r="D43" i="105" s="1"/>
  <c r="E42" i="105" a="1"/>
  <c r="E42" i="105" s="1"/>
  <c r="D42" i="105" a="1"/>
  <c r="D42" i="105" s="1"/>
  <c r="E41" i="105" a="1"/>
  <c r="E41" i="105" s="1"/>
  <c r="D41" i="105" a="1"/>
  <c r="D41" i="105" s="1"/>
  <c r="E40" i="105" a="1"/>
  <c r="E40" i="105" s="1"/>
  <c r="D40" i="105" a="1"/>
  <c r="D40" i="105" s="1"/>
  <c r="E39" i="105" a="1"/>
  <c r="E39" i="105" s="1"/>
  <c r="D39" i="105" a="1"/>
  <c r="D39" i="105" s="1"/>
  <c r="E38" i="105" a="1"/>
  <c r="E38" i="105" s="1"/>
  <c r="D38" i="105" a="1"/>
  <c r="D38" i="105" s="1"/>
  <c r="E37" i="105" a="1"/>
  <c r="E37" i="105" s="1"/>
  <c r="D37" i="105" a="1"/>
  <c r="D37" i="105" s="1"/>
  <c r="D35" i="105" a="1"/>
  <c r="D35" i="105" s="1"/>
  <c r="D34" i="105" a="1"/>
  <c r="D34" i="105" s="1"/>
  <c r="D30" i="105" a="1"/>
  <c r="D30" i="105" s="1"/>
  <c r="D29" i="105" a="1"/>
  <c r="D29" i="105" s="1"/>
  <c r="D28" i="105" a="1"/>
  <c r="D28" i="105" s="1"/>
  <c r="D27" i="105" a="1"/>
  <c r="D27" i="105" s="1"/>
  <c r="D26" i="105" a="1"/>
  <c r="D26" i="105" s="1"/>
  <c r="D25" i="105" a="1"/>
  <c r="D25" i="105" s="1"/>
  <c r="D24" i="105" a="1"/>
  <c r="D24" i="105" s="1"/>
  <c r="D23" i="105" a="1"/>
  <c r="D23" i="105" s="1"/>
  <c r="D22" i="105" a="1"/>
  <c r="D22" i="105" s="1"/>
  <c r="D21" i="105" a="1"/>
  <c r="D21" i="105" s="1"/>
  <c r="D19" i="105" a="1"/>
  <c r="D19" i="105" s="1"/>
  <c r="D18" i="105" a="1"/>
  <c r="D18" i="105" s="1"/>
  <c r="F14" i="105" a="1"/>
  <c r="F14" i="105" s="1"/>
  <c r="E14" i="105" a="1"/>
  <c r="E14" i="105" s="1"/>
  <c r="D14" i="105" a="1"/>
  <c r="D14" i="105" s="1"/>
  <c r="F13" i="105" a="1"/>
  <c r="F13" i="105" s="1"/>
  <c r="E13" i="105" a="1"/>
  <c r="E13" i="105" s="1"/>
  <c r="D13" i="105" a="1"/>
  <c r="D13" i="105" s="1"/>
  <c r="F12" i="105" a="1"/>
  <c r="F12" i="105" s="1"/>
  <c r="E12" i="105" a="1"/>
  <c r="E12" i="105" s="1"/>
  <c r="D12" i="105" a="1"/>
  <c r="D12" i="105" s="1"/>
  <c r="F11" i="105" a="1"/>
  <c r="F11" i="105" s="1"/>
  <c r="E11" i="105" a="1"/>
  <c r="E11" i="105" s="1"/>
  <c r="D11" i="105" a="1"/>
  <c r="D11" i="105" s="1"/>
  <c r="F10" i="105" a="1"/>
  <c r="F10" i="105" s="1"/>
  <c r="E10" i="105" a="1"/>
  <c r="E10" i="105" s="1"/>
  <c r="D10" i="105" a="1"/>
  <c r="D10" i="105" s="1"/>
  <c r="F9" i="105" a="1"/>
  <c r="F9" i="105" s="1"/>
  <c r="E9" i="105" a="1"/>
  <c r="E9" i="105" s="1"/>
  <c r="D9" i="105" a="1"/>
  <c r="D9" i="105" s="1"/>
  <c r="F8" i="105" a="1"/>
  <c r="F8" i="105" s="1"/>
  <c r="E8" i="105" a="1"/>
  <c r="E8" i="105" s="1"/>
  <c r="D8" i="105" a="1"/>
  <c r="D8" i="105" s="1"/>
  <c r="F7" i="105" a="1"/>
  <c r="F7" i="105" s="1"/>
  <c r="E7" i="105" a="1"/>
  <c r="E7" i="105" s="1"/>
  <c r="D7" i="105" a="1"/>
  <c r="D7" i="105" s="1"/>
  <c r="D5" i="105" a="1"/>
  <c r="D5" i="105" s="1"/>
  <c r="A14" i="104"/>
  <c r="A14" i="79"/>
  <c r="A14" i="43"/>
  <c r="A14" i="100"/>
  <c r="A14" i="13"/>
  <c r="A14" i="15"/>
  <c r="A14" i="70"/>
  <c r="A14" i="69"/>
  <c r="A14" i="102"/>
  <c r="A14" i="103"/>
  <c r="A21" i="43"/>
  <c r="A20" i="43"/>
  <c r="A19" i="43"/>
  <c r="A18" i="43"/>
  <c r="A15" i="43"/>
  <c r="A13" i="43"/>
  <c r="A12" i="43"/>
  <c r="A9" i="43"/>
  <c r="A8" i="43"/>
  <c r="A5" i="43"/>
  <c r="A4" i="43"/>
  <c r="A3" i="43"/>
  <c r="A21" i="79"/>
  <c r="A20" i="79"/>
  <c r="A19" i="79"/>
  <c r="A18" i="79"/>
  <c r="A15" i="79"/>
  <c r="A13" i="79"/>
  <c r="A12" i="79"/>
  <c r="A9" i="79"/>
  <c r="A8" i="79"/>
  <c r="A5" i="79"/>
  <c r="A4" i="79"/>
  <c r="A3" i="79"/>
  <c r="A21" i="104"/>
  <c r="A20" i="104"/>
  <c r="A19" i="104"/>
  <c r="A18" i="104"/>
  <c r="A15" i="104"/>
  <c r="A13" i="104"/>
  <c r="A12" i="104"/>
  <c r="A9" i="104"/>
  <c r="A8" i="104"/>
  <c r="A5" i="104"/>
  <c r="A4" i="104"/>
  <c r="A3" i="104"/>
  <c r="A21" i="103"/>
  <c r="A20" i="103"/>
  <c r="A19" i="103"/>
  <c r="A18" i="103"/>
  <c r="A15" i="103"/>
  <c r="A13" i="103"/>
  <c r="A12" i="103"/>
  <c r="A9" i="103"/>
  <c r="A8" i="103"/>
  <c r="A5" i="103"/>
  <c r="A4" i="103"/>
  <c r="A3" i="103"/>
  <c r="A21" i="102"/>
  <c r="A20" i="102"/>
  <c r="A19" i="102"/>
  <c r="A18" i="102"/>
  <c r="A15" i="102"/>
  <c r="A13" i="102"/>
  <c r="A12" i="102"/>
  <c r="A9" i="102"/>
  <c r="A8" i="102"/>
  <c r="A5" i="102"/>
  <c r="A4" i="102"/>
  <c r="A3" i="102"/>
  <c r="A21" i="69"/>
  <c r="A20" i="69"/>
  <c r="A19" i="69"/>
  <c r="A18" i="69"/>
  <c r="A15" i="69"/>
  <c r="A13" i="69"/>
  <c r="A12" i="69"/>
  <c r="A9" i="69"/>
  <c r="A8" i="69"/>
  <c r="A5" i="69"/>
  <c r="A4" i="69"/>
  <c r="A3" i="69"/>
  <c r="A21" i="70"/>
  <c r="A20" i="70"/>
  <c r="A19" i="70"/>
  <c r="A18" i="70"/>
  <c r="A15" i="70"/>
  <c r="A13" i="70"/>
  <c r="A12" i="70"/>
  <c r="A9" i="70"/>
  <c r="A8" i="70"/>
  <c r="A5" i="70"/>
  <c r="A4" i="70"/>
  <c r="A3" i="70"/>
  <c r="A21" i="15"/>
  <c r="A20" i="15"/>
  <c r="A19" i="15"/>
  <c r="A18" i="15"/>
  <c r="A15" i="15"/>
  <c r="A13" i="15"/>
  <c r="A12" i="15"/>
  <c r="A9" i="15"/>
  <c r="A8" i="15"/>
  <c r="A5" i="15"/>
  <c r="A4" i="15"/>
  <c r="A3" i="15"/>
  <c r="A21" i="13"/>
  <c r="A20" i="13"/>
  <c r="A19" i="13"/>
  <c r="A18" i="13"/>
  <c r="A15" i="13"/>
  <c r="A13" i="13"/>
  <c r="A12" i="13"/>
  <c r="A9" i="13"/>
  <c r="A8" i="13"/>
  <c r="A5" i="13"/>
  <c r="A4" i="13"/>
  <c r="A3" i="13"/>
  <c r="A15" i="100"/>
  <c r="A13" i="100"/>
  <c r="A12" i="100"/>
  <c r="A18" i="100"/>
  <c r="A9" i="100"/>
  <c r="F77" i="104" a="1"/>
  <c r="F77" i="104" s="1"/>
  <c r="D74" i="104" a="1"/>
  <c r="D74" i="104" s="1"/>
  <c r="G68" i="104" a="1"/>
  <c r="G68" i="104" s="1"/>
  <c r="D68" i="104" a="1"/>
  <c r="D68" i="104" s="1"/>
  <c r="E66" i="104" a="1"/>
  <c r="E66" i="104" s="1"/>
  <c r="F72" i="104" s="1"/>
  <c r="E65" i="104" a="1"/>
  <c r="E65" i="104" s="1"/>
  <c r="D61" i="104" a="1"/>
  <c r="D61" i="104" s="1"/>
  <c r="D60" i="104" a="1"/>
  <c r="D60" i="104" s="1"/>
  <c r="F56" i="104"/>
  <c r="I18" i="104" a="1"/>
  <c r="I18" i="104" s="1"/>
  <c r="I17" i="104" a="1"/>
  <c r="I17" i="104" s="1"/>
  <c r="I14" i="104" a="1"/>
  <c r="I14" i="104" s="1"/>
  <c r="I13" i="104" a="1"/>
  <c r="I13" i="104" s="1"/>
  <c r="G13" i="104" a="1"/>
  <c r="G13" i="104" s="1"/>
  <c r="D13" i="104" a="1"/>
  <c r="D13" i="104" s="1"/>
  <c r="E11" i="104" a="1"/>
  <c r="E11" i="104" s="1"/>
  <c r="F47" i="104" s="1"/>
  <c r="E10" i="104" a="1"/>
  <c r="E10" i="104" s="1"/>
  <c r="D6" i="104" a="1"/>
  <c r="D6" i="104" s="1"/>
  <c r="D5" i="104" a="1"/>
  <c r="D5" i="104" s="1"/>
  <c r="F72" i="103"/>
  <c r="F86" i="103" a="1"/>
  <c r="F86" i="103" s="1"/>
  <c r="D83" i="103" a="1"/>
  <c r="D83" i="103" s="1"/>
  <c r="I50" i="103" a="1"/>
  <c r="I50" i="103" s="1"/>
  <c r="I13" i="103" a="1"/>
  <c r="I13" i="103" s="1"/>
  <c r="I55" i="103" a="1"/>
  <c r="I55" i="103" s="1"/>
  <c r="I54" i="103" a="1"/>
  <c r="I54" i="103" s="1"/>
  <c r="I53" i="103" a="1"/>
  <c r="I53" i="103" s="1"/>
  <c r="I51" i="103" a="1"/>
  <c r="I51" i="103" s="1"/>
  <c r="G50" i="103" a="1"/>
  <c r="G50" i="103" s="1"/>
  <c r="D50" i="103" a="1"/>
  <c r="D50" i="103" s="1"/>
  <c r="E48" i="103" a="1"/>
  <c r="E48" i="103" s="1"/>
  <c r="F81" i="103" s="1"/>
  <c r="E47" i="103" a="1"/>
  <c r="E47" i="103" s="1"/>
  <c r="D43" i="103" a="1"/>
  <c r="D43" i="103" s="1"/>
  <c r="D42" i="103" a="1"/>
  <c r="D42" i="103" s="1"/>
  <c r="F115" i="79" a="1"/>
  <c r="F115" i="79" s="1"/>
  <c r="E115" i="79" a="1"/>
  <c r="E115" i="79" s="1"/>
  <c r="D115" i="79" a="1"/>
  <c r="D115" i="79" s="1"/>
  <c r="D114" i="79" a="1"/>
  <c r="D114" i="79" s="1"/>
  <c r="D113" i="79" a="1"/>
  <c r="D113" i="79" s="1"/>
  <c r="G13" i="103" a="1"/>
  <c r="G13" i="103" s="1"/>
  <c r="D13" i="103" a="1"/>
  <c r="D13" i="103" s="1"/>
  <c r="E11" i="103" a="1"/>
  <c r="E11" i="103" s="1"/>
  <c r="E10" i="103" a="1"/>
  <c r="E10" i="103" s="1"/>
  <c r="D6" i="103" a="1"/>
  <c r="D6" i="103" s="1"/>
  <c r="D5" i="103" a="1"/>
  <c r="D5" i="103" s="1"/>
  <c r="F75" i="102" a="1"/>
  <c r="F75" i="102" s="1"/>
  <c r="D72" i="102" a="1"/>
  <c r="D72" i="102" s="1"/>
  <c r="G65" i="102" a="1"/>
  <c r="G65" i="102" s="1"/>
  <c r="D65" i="102" a="1"/>
  <c r="D65" i="102" s="1"/>
  <c r="E63" i="102" a="1"/>
  <c r="E63" i="102" s="1"/>
  <c r="F70" i="102" s="1"/>
  <c r="E62" i="102" a="1"/>
  <c r="E62" i="102" s="1"/>
  <c r="D58" i="102" a="1"/>
  <c r="D58" i="102" s="1"/>
  <c r="D57" i="102" a="1"/>
  <c r="D57" i="102" s="1"/>
  <c r="I15" i="102" a="1"/>
  <c r="I15" i="102" s="1"/>
  <c r="G13" i="102" a="1"/>
  <c r="G13" i="102" s="1"/>
  <c r="D13" i="102" a="1"/>
  <c r="D13" i="102" s="1"/>
  <c r="E11" i="102" a="1"/>
  <c r="E11" i="102" s="1"/>
  <c r="F53" i="102" s="1"/>
  <c r="E10" i="102" a="1"/>
  <c r="E10" i="102" s="1"/>
  <c r="D6" i="102" a="1"/>
  <c r="D6" i="102" s="1"/>
  <c r="D5" i="102" a="1"/>
  <c r="D5" i="102" s="1"/>
  <c r="I14" i="102" a="1"/>
  <c r="I14" i="102" s="1"/>
  <c r="I13" i="102" a="1"/>
  <c r="I13" i="102" s="1"/>
  <c r="P118" i="69" a="1"/>
  <c r="P118" i="69" s="1"/>
  <c r="N115" i="69" a="1"/>
  <c r="N115" i="69" s="1"/>
  <c r="I87" i="69" a="1"/>
  <c r="I87" i="69" s="1"/>
  <c r="I85" i="69" a="1"/>
  <c r="I85" i="69" s="1"/>
  <c r="I86" i="69" a="1"/>
  <c r="I86" i="69" s="1"/>
  <c r="I84" i="69" a="1"/>
  <c r="I84" i="69" s="1"/>
  <c r="G84" i="69" a="1"/>
  <c r="G84" i="69" s="1"/>
  <c r="F92" i="69" s="1"/>
  <c r="D84" i="69" a="1"/>
  <c r="D84" i="69" s="1"/>
  <c r="E82" i="69" a="1"/>
  <c r="E82" i="69" s="1"/>
  <c r="F113" i="69" s="1"/>
  <c r="E81" i="69" a="1"/>
  <c r="E81" i="69" s="1"/>
  <c r="D77" i="69" a="1"/>
  <c r="D77" i="69" s="1"/>
  <c r="D76" i="69" a="1"/>
  <c r="D76" i="69" s="1"/>
  <c r="T16" i="69" a="1"/>
  <c r="T16" i="69" s="1"/>
  <c r="R13" i="69" a="1"/>
  <c r="R13" i="69" s="1"/>
  <c r="N13" i="69" a="1"/>
  <c r="N13" i="69" s="1"/>
  <c r="J16" i="69" a="1"/>
  <c r="J16" i="69" s="1"/>
  <c r="J15" i="69" a="1"/>
  <c r="J15" i="69" s="1"/>
  <c r="J14" i="69" a="1"/>
  <c r="J14" i="69" s="1"/>
  <c r="J13" i="69" a="1"/>
  <c r="J13" i="69" s="1"/>
  <c r="D99" i="79" a="1"/>
  <c r="D99" i="79" s="1"/>
  <c r="F110" i="79" a="1"/>
  <c r="F110" i="79" s="1"/>
  <c r="E110" i="79" a="1"/>
  <c r="E110" i="79" s="1"/>
  <c r="D110" i="79" a="1"/>
  <c r="D110" i="79" s="1"/>
  <c r="D39" i="102" s="1"/>
  <c r="F109" i="79" a="1"/>
  <c r="F109" i="79" s="1"/>
  <c r="E109" i="79" a="1"/>
  <c r="E109" i="79" s="1"/>
  <c r="D109" i="79" a="1"/>
  <c r="D109" i="79" s="1"/>
  <c r="D38" i="102" s="1"/>
  <c r="F108" i="79" a="1"/>
  <c r="F108" i="79" s="1"/>
  <c r="E108" i="79" a="1"/>
  <c r="E108" i="79" s="1"/>
  <c r="D108" i="79" a="1"/>
  <c r="D108" i="79" s="1"/>
  <c r="D37" i="102" s="1"/>
  <c r="F107" i="79" a="1"/>
  <c r="F107" i="79" s="1"/>
  <c r="E107" i="79" a="1"/>
  <c r="E107" i="79" s="1"/>
  <c r="D107" i="79" a="1"/>
  <c r="D107" i="79" s="1"/>
  <c r="D36" i="102" s="1"/>
  <c r="F106" i="79" a="1"/>
  <c r="F106" i="79" s="1"/>
  <c r="E106" i="79" a="1"/>
  <c r="E106" i="79" s="1"/>
  <c r="D106" i="79" a="1"/>
  <c r="D106" i="79" s="1"/>
  <c r="D35" i="102" s="1"/>
  <c r="F105" i="79" a="1"/>
  <c r="F105" i="79" s="1"/>
  <c r="E105" i="79" a="1"/>
  <c r="E105" i="79" s="1"/>
  <c r="D105" i="79" a="1"/>
  <c r="D105" i="79" s="1"/>
  <c r="D34" i="102" s="1"/>
  <c r="F104" i="79" a="1"/>
  <c r="F104" i="79" s="1"/>
  <c r="E104" i="79" a="1"/>
  <c r="E104" i="79" s="1"/>
  <c r="D104" i="79" a="1"/>
  <c r="D104" i="79" s="1"/>
  <c r="D33" i="102" s="1"/>
  <c r="F103" i="79" a="1"/>
  <c r="F103" i="79" s="1"/>
  <c r="E103" i="79" a="1"/>
  <c r="E103" i="79" s="1"/>
  <c r="E35" i="69" s="1"/>
  <c r="D103" i="79" a="1"/>
  <c r="D103" i="79" s="1"/>
  <c r="D35" i="69" s="1"/>
  <c r="D101" i="79" a="1"/>
  <c r="D101" i="79" s="1"/>
  <c r="D100" i="79" a="1"/>
  <c r="D100" i="79" s="1"/>
  <c r="D98" i="79" a="1"/>
  <c r="D98" i="79" s="1"/>
  <c r="D97" i="79" a="1"/>
  <c r="D97" i="79" s="1"/>
  <c r="E78" i="69" a="1"/>
  <c r="E59" i="102" a="1"/>
  <c r="E7" i="69" a="1"/>
  <c r="E7" i="104" a="1"/>
  <c r="E62" i="104" a="1"/>
  <c r="E7" i="103" a="1"/>
  <c r="E44" i="103" a="1"/>
  <c r="E7" i="102" a="1"/>
  <c r="H50" i="105" l="1"/>
  <c r="H54" i="105"/>
  <c r="H51" i="105"/>
  <c r="H49" i="105"/>
  <c r="Q104" i="69"/>
  <c r="I60" i="103"/>
  <c r="H53" i="105"/>
  <c r="E7" i="103"/>
  <c r="E62" i="104"/>
  <c r="E7" i="104"/>
  <c r="I14" i="103"/>
  <c r="P113" i="69"/>
  <c r="R115" i="69"/>
  <c r="E44" i="103"/>
  <c r="F44" i="102"/>
  <c r="F23" i="104" s="1"/>
  <c r="G104" i="69"/>
  <c r="H115" i="69"/>
  <c r="E59" i="102"/>
  <c r="E7" i="102"/>
  <c r="F32" i="102"/>
  <c r="D37" i="69"/>
  <c r="E37" i="69"/>
  <c r="D38" i="69"/>
  <c r="E38" i="69"/>
  <c r="D39" i="69"/>
  <c r="E39" i="69"/>
  <c r="D40" i="69"/>
  <c r="E40" i="69"/>
  <c r="D41" i="69"/>
  <c r="E41" i="69"/>
  <c r="F20" i="102"/>
  <c r="D32" i="102"/>
  <c r="D42" i="69"/>
  <c r="E42" i="69"/>
  <c r="D36" i="69"/>
  <c r="E36" i="69"/>
  <c r="E78" i="69"/>
  <c r="E7" i="69"/>
  <c r="F31" i="103" l="1"/>
  <c r="F19" i="103"/>
  <c r="H13" i="69" l="1" a="1"/>
  <c r="D13" i="69" a="1"/>
  <c r="D13" i="69" s="1"/>
  <c r="E11" i="69" a="1"/>
  <c r="E11" i="69" s="1"/>
  <c r="E10" i="69" a="1"/>
  <c r="E10" i="69" s="1"/>
  <c r="D6" i="69" a="1"/>
  <c r="D6" i="69" s="1"/>
  <c r="D5" i="69" a="1"/>
  <c r="D5" i="69" s="1"/>
  <c r="G65" i="69" l="1"/>
  <c r="Q65" i="69"/>
  <c r="F59" i="69"/>
  <c r="P59" i="69"/>
  <c r="H13" i="69"/>
  <c r="F23" i="69" s="1"/>
  <c r="G47" i="69"/>
  <c r="F35" i="69"/>
  <c r="F94" i="79" a="1"/>
  <c r="F94" i="79" s="1"/>
  <c r="E94" i="79" a="1"/>
  <c r="E94" i="79" s="1"/>
  <c r="D94" i="79" a="1"/>
  <c r="D94" i="79" s="1"/>
  <c r="F93" i="79" a="1"/>
  <c r="F93" i="79" s="1"/>
  <c r="E93" i="79" a="1"/>
  <c r="E93" i="79" s="1"/>
  <c r="D93" i="79" a="1"/>
  <c r="D93" i="79" s="1"/>
  <c r="F92" i="79" a="1"/>
  <c r="F92" i="79" s="1"/>
  <c r="E92" i="79" a="1"/>
  <c r="E92" i="79" s="1"/>
  <c r="D92" i="79" a="1"/>
  <c r="D92" i="79" s="1"/>
  <c r="F91" i="79" a="1"/>
  <c r="F91" i="79" s="1"/>
  <c r="E91" i="79" a="1"/>
  <c r="E91" i="79" s="1"/>
  <c r="D91" i="79" a="1"/>
  <c r="D91" i="79" s="1"/>
  <c r="F90" i="79" a="1"/>
  <c r="F90" i="79" s="1"/>
  <c r="E90" i="79" a="1"/>
  <c r="E90" i="79" s="1"/>
  <c r="D90" i="79" a="1"/>
  <c r="D90" i="79" s="1"/>
  <c r="F89" i="79" a="1"/>
  <c r="F89" i="79" s="1"/>
  <c r="E89" i="79" a="1"/>
  <c r="E89" i="79" s="1"/>
  <c r="D89" i="79" a="1"/>
  <c r="D89" i="79" s="1"/>
  <c r="F88" i="79" a="1"/>
  <c r="F88" i="79" s="1"/>
  <c r="E88" i="79" a="1"/>
  <c r="E88" i="79" s="1"/>
  <c r="D88" i="79" a="1"/>
  <c r="D88" i="79" s="1"/>
  <c r="F87" i="79" a="1"/>
  <c r="F87" i="79" s="1"/>
  <c r="E87" i="79" a="1"/>
  <c r="E87" i="79" s="1"/>
  <c r="D87" i="79" a="1"/>
  <c r="D87" i="79" s="1"/>
  <c r="D85" i="79" a="1"/>
  <c r="D85" i="79" s="1"/>
  <c r="D84" i="79" a="1"/>
  <c r="D84" i="79" s="1"/>
  <c r="D83" i="79" a="1"/>
  <c r="D83" i="79" s="1"/>
  <c r="D82" i="79" a="1"/>
  <c r="D82" i="79" s="1"/>
  <c r="F79" i="79" a="1"/>
  <c r="F79" i="79" s="1"/>
  <c r="E79" i="79" a="1"/>
  <c r="E79" i="79" s="1"/>
  <c r="D79" i="79" a="1"/>
  <c r="D79" i="79" s="1"/>
  <c r="F78" i="79" a="1"/>
  <c r="F78" i="79" s="1"/>
  <c r="E78" i="79" a="1"/>
  <c r="E78" i="79" s="1"/>
  <c r="D78" i="79" a="1"/>
  <c r="D78" i="79" s="1"/>
  <c r="F77" i="79" a="1"/>
  <c r="F77" i="79" s="1"/>
  <c r="E77" i="79" a="1"/>
  <c r="E77" i="79" s="1"/>
  <c r="D77" i="79" a="1"/>
  <c r="D77" i="79" s="1"/>
  <c r="F76" i="79" a="1"/>
  <c r="F76" i="79" s="1"/>
  <c r="E76" i="79" a="1"/>
  <c r="E76" i="79" s="1"/>
  <c r="D76" i="79" a="1"/>
  <c r="D76" i="79" s="1"/>
  <c r="F75" i="79" a="1"/>
  <c r="F75" i="79" s="1"/>
  <c r="E75" i="79" a="1"/>
  <c r="E75" i="79" s="1"/>
  <c r="D75" i="79" a="1"/>
  <c r="D75" i="79" s="1"/>
  <c r="F74" i="79" a="1"/>
  <c r="F74" i="79" s="1"/>
  <c r="E74" i="79" a="1"/>
  <c r="E74" i="79" s="1"/>
  <c r="D74" i="79" a="1"/>
  <c r="D74" i="79" s="1"/>
  <c r="F73" i="79" a="1"/>
  <c r="F73" i="79" s="1"/>
  <c r="E73" i="79" a="1"/>
  <c r="E73" i="79" s="1"/>
  <c r="D73" i="79" a="1"/>
  <c r="D73" i="79" s="1"/>
  <c r="F72" i="79" a="1"/>
  <c r="F72" i="79" s="1"/>
  <c r="E72" i="79" a="1"/>
  <c r="E72" i="79" s="1"/>
  <c r="D72" i="79" a="1"/>
  <c r="D72" i="79" s="1"/>
  <c r="D70" i="79" a="1"/>
  <c r="D70" i="79" s="1"/>
  <c r="D69" i="79" a="1"/>
  <c r="D69" i="79" s="1"/>
  <c r="D68" i="79" a="1"/>
  <c r="D68" i="79" s="1"/>
  <c r="D67" i="79" a="1"/>
  <c r="D67" i="79" s="1"/>
  <c r="F64" i="79" a="1"/>
  <c r="F64" i="79" s="1"/>
  <c r="E64" i="79" a="1"/>
  <c r="E64" i="79" s="1"/>
  <c r="D64" i="79" a="1"/>
  <c r="D64" i="79" s="1"/>
  <c r="F63" i="79" a="1"/>
  <c r="F63" i="79" s="1"/>
  <c r="E63" i="79" a="1"/>
  <c r="E63" i="79" s="1"/>
  <c r="D63" i="79" a="1"/>
  <c r="D63" i="79" s="1"/>
  <c r="F62" i="79" a="1"/>
  <c r="F62" i="79" s="1"/>
  <c r="E62" i="79" a="1"/>
  <c r="E62" i="79" s="1"/>
  <c r="D62" i="79" a="1"/>
  <c r="D62" i="79" s="1"/>
  <c r="F61" i="79" a="1"/>
  <c r="F61" i="79" s="1"/>
  <c r="E61" i="79" a="1"/>
  <c r="E61" i="79" s="1"/>
  <c r="D61" i="79" a="1"/>
  <c r="D61" i="79" s="1"/>
  <c r="F60" i="79" a="1"/>
  <c r="F60" i="79" s="1"/>
  <c r="E60" i="79" a="1"/>
  <c r="E60" i="79" s="1"/>
  <c r="D60" i="79" a="1"/>
  <c r="D60" i="79" s="1"/>
  <c r="F59" i="79" a="1"/>
  <c r="F59" i="79" s="1"/>
  <c r="E59" i="79" a="1"/>
  <c r="E59" i="79" s="1"/>
  <c r="D59" i="79" a="1"/>
  <c r="D59" i="79" s="1"/>
  <c r="F58" i="79" a="1"/>
  <c r="F58" i="79" s="1"/>
  <c r="E58" i="79" a="1"/>
  <c r="E58" i="79" s="1"/>
  <c r="D58" i="79" a="1"/>
  <c r="D58" i="79" s="1"/>
  <c r="F57" i="79" a="1"/>
  <c r="F57" i="79" s="1"/>
  <c r="E57" i="79" a="1"/>
  <c r="E57" i="79" s="1"/>
  <c r="D57" i="79" a="1"/>
  <c r="D57" i="79" s="1"/>
  <c r="F56" i="79" a="1"/>
  <c r="F56" i="79" s="1"/>
  <c r="E56" i="79" a="1"/>
  <c r="E56" i="79" s="1"/>
  <c r="D56" i="79" a="1"/>
  <c r="D56" i="79" s="1"/>
  <c r="F55" i="79" a="1"/>
  <c r="F55" i="79" s="1"/>
  <c r="E55" i="79" a="1"/>
  <c r="E55" i="79" s="1"/>
  <c r="D55" i="79" a="1"/>
  <c r="D55" i="79" s="1"/>
  <c r="D53" i="79" a="1"/>
  <c r="D53" i="79" s="1"/>
  <c r="D52" i="79" a="1"/>
  <c r="D52" i="79" s="1"/>
  <c r="D51" i="79" a="1"/>
  <c r="D51" i="79" s="1"/>
  <c r="D50" i="79" a="1"/>
  <c r="D50" i="79" s="1"/>
  <c r="E47" i="79" a="1"/>
  <c r="E47" i="79" s="1"/>
  <c r="D47" i="79" a="1"/>
  <c r="D47" i="79" s="1"/>
  <c r="E46" i="79" a="1"/>
  <c r="E46" i="79" s="1"/>
  <c r="D46" i="79" a="1"/>
  <c r="D46" i="79" s="1"/>
  <c r="E45" i="79" a="1"/>
  <c r="E45" i="79" s="1"/>
  <c r="D45" i="79" a="1"/>
  <c r="D45" i="79" s="1"/>
  <c r="E44" i="79" a="1"/>
  <c r="E44" i="79" s="1"/>
  <c r="D44" i="79" a="1"/>
  <c r="D44" i="79" s="1"/>
  <c r="E43" i="79" a="1"/>
  <c r="E43" i="79" s="1"/>
  <c r="D43" i="79" a="1"/>
  <c r="D43" i="79" s="1"/>
  <c r="E42" i="79" a="1"/>
  <c r="E42" i="79" s="1"/>
  <c r="D42" i="79" a="1"/>
  <c r="D42" i="79" s="1"/>
  <c r="E41" i="79" a="1"/>
  <c r="E41" i="79" s="1"/>
  <c r="D41" i="79" a="1"/>
  <c r="D41" i="79" s="1"/>
  <c r="E40" i="79" a="1"/>
  <c r="E40" i="79" s="1"/>
  <c r="D40" i="79" a="1"/>
  <c r="D40" i="79" s="1"/>
  <c r="D38" i="79" a="1"/>
  <c r="D38" i="79" s="1"/>
  <c r="D37" i="79" a="1"/>
  <c r="D37" i="79" s="1"/>
  <c r="D36" i="79" a="1"/>
  <c r="D36" i="79" s="1"/>
  <c r="D35" i="79" a="1"/>
  <c r="D35" i="79" s="1"/>
  <c r="E32" i="79" a="1"/>
  <c r="E32" i="79" s="1"/>
  <c r="D32" i="79" a="1"/>
  <c r="D32" i="79" s="1"/>
  <c r="E31" i="79" a="1"/>
  <c r="E31" i="79" s="1"/>
  <c r="D31" i="79" a="1"/>
  <c r="D31" i="79" s="1"/>
  <c r="E30" i="79" a="1"/>
  <c r="E30" i="79" s="1"/>
  <c r="D30" i="79" a="1"/>
  <c r="D30" i="79" s="1"/>
  <c r="E29" i="79" a="1"/>
  <c r="E29" i="79" s="1"/>
  <c r="D29" i="79" a="1"/>
  <c r="D29" i="79" s="1"/>
  <c r="E28" i="79" a="1"/>
  <c r="E28" i="79" s="1"/>
  <c r="D28" i="79" a="1"/>
  <c r="D28" i="79" s="1"/>
  <c r="E27" i="79" a="1"/>
  <c r="E27" i="79" s="1"/>
  <c r="D27" i="79" a="1"/>
  <c r="D27" i="79" s="1"/>
  <c r="E26" i="79" a="1"/>
  <c r="E26" i="79" s="1"/>
  <c r="D26" i="79" a="1"/>
  <c r="D26" i="79" s="1"/>
  <c r="E25" i="79" a="1"/>
  <c r="E25" i="79" s="1"/>
  <c r="D25" i="79" a="1"/>
  <c r="D25" i="79" s="1"/>
  <c r="D23" i="79" a="1"/>
  <c r="D23" i="79" s="1"/>
  <c r="D22" i="79" a="1"/>
  <c r="D22" i="79" s="1"/>
  <c r="D21" i="79" a="1"/>
  <c r="D21" i="79" s="1"/>
  <c r="D20" i="79" a="1"/>
  <c r="D20" i="79" s="1"/>
  <c r="E17" i="79" a="1"/>
  <c r="E17" i="79" s="1"/>
  <c r="D17" i="79" a="1"/>
  <c r="D17" i="79" s="1"/>
  <c r="E16" i="79" a="1"/>
  <c r="E16" i="79" s="1"/>
  <c r="D16" i="79" a="1"/>
  <c r="D16" i="79" s="1"/>
  <c r="E15" i="79" a="1"/>
  <c r="E15" i="79" s="1"/>
  <c r="D15" i="79" a="1"/>
  <c r="D15" i="79" s="1"/>
  <c r="E14" i="79" a="1"/>
  <c r="E14" i="79" s="1"/>
  <c r="D14" i="79" a="1"/>
  <c r="D14" i="79" s="1"/>
  <c r="E13" i="79" a="1"/>
  <c r="E13" i="79" s="1"/>
  <c r="D13" i="79" a="1"/>
  <c r="D13" i="79" s="1"/>
  <c r="E12" i="79" a="1"/>
  <c r="E12" i="79" s="1"/>
  <c r="D12" i="79" a="1"/>
  <c r="D12" i="79" s="1"/>
  <c r="E11" i="79" a="1"/>
  <c r="E11" i="79" s="1"/>
  <c r="D11" i="79" a="1"/>
  <c r="D11" i="79" s="1"/>
  <c r="E10" i="79" a="1"/>
  <c r="E10" i="79" s="1"/>
  <c r="D10" i="79" a="1"/>
  <c r="D10" i="79" s="1"/>
  <c r="D8" i="79" a="1"/>
  <c r="D8" i="79" s="1"/>
  <c r="D7" i="79" a="1"/>
  <c r="D7" i="79" s="1"/>
  <c r="D6" i="79" a="1"/>
  <c r="D6" i="79" s="1"/>
  <c r="D5" i="79" a="1"/>
  <c r="D5" i="79" s="1"/>
  <c r="E37" i="102" l="1" a="1"/>
  <c r="E37" i="102" s="1"/>
  <c r="E49" i="102" s="1" a="1"/>
  <c r="E49" i="102" s="1"/>
  <c r="E39" i="102" a="1"/>
  <c r="E39" i="102" s="1"/>
  <c r="E51" i="102" s="1" a="1"/>
  <c r="E51" i="102" s="1"/>
  <c r="E33" i="102" a="1"/>
  <c r="E33" i="102" s="1"/>
  <c r="E45" i="102" s="1" a="1"/>
  <c r="E45" i="102" s="1"/>
  <c r="E36" i="102" a="1"/>
  <c r="E36" i="102" s="1"/>
  <c r="E48" i="102" s="1" a="1"/>
  <c r="E48" i="102" s="1"/>
  <c r="E38" i="102" a="1"/>
  <c r="E38" i="102" s="1"/>
  <c r="E50" i="102" s="1" a="1"/>
  <c r="E50" i="102" s="1"/>
  <c r="E34" i="102" a="1"/>
  <c r="E34" i="102" s="1"/>
  <c r="E46" i="102" s="1" a="1"/>
  <c r="E46" i="102" s="1"/>
  <c r="E35" i="102" a="1"/>
  <c r="E35" i="102" s="1"/>
  <c r="E47" i="102" s="1" a="1"/>
  <c r="E47" i="102" s="1"/>
  <c r="E32" i="102" a="1"/>
  <c r="E32" i="102" s="1"/>
  <c r="E44" i="102" s="1" a="1"/>
  <c r="E44" i="102" s="1"/>
  <c r="D27" i="69"/>
  <c r="E25" i="69"/>
  <c r="E26" i="69"/>
  <c r="E27" i="69"/>
  <c r="D28" i="69"/>
  <c r="E28" i="69"/>
  <c r="E29" i="69"/>
  <c r="E23" i="69"/>
  <c r="D30" i="69"/>
  <c r="E30" i="69"/>
  <c r="D24" i="69"/>
  <c r="E24" i="69"/>
  <c r="D23" i="69"/>
  <c r="D25" i="69"/>
  <c r="D29" i="69"/>
  <c r="D26" i="69"/>
  <c r="A21" i="100"/>
  <c r="A20" i="100"/>
  <c r="A19" i="100"/>
  <c r="A8" i="100"/>
  <c r="A5" i="100"/>
  <c r="A4" i="100"/>
  <c r="A3" i="100"/>
  <c r="E26" i="104" l="1"/>
  <c r="E22" i="103"/>
  <c r="E34" i="103" s="1" a="1"/>
  <c r="E34" i="103" s="1"/>
  <c r="E29" i="104"/>
  <c r="E25" i="103"/>
  <c r="E24" i="104"/>
  <c r="E20" i="103"/>
  <c r="E26" i="103"/>
  <c r="E38" i="103" s="1" a="1"/>
  <c r="E38" i="103" s="1"/>
  <c r="E30" i="104"/>
  <c r="E28" i="104"/>
  <c r="E24" i="103"/>
  <c r="E23" i="104"/>
  <c r="E19" i="103"/>
  <c r="E25" i="104"/>
  <c r="E21" i="103"/>
  <c r="E27" i="104"/>
  <c r="E23" i="103"/>
  <c r="E31" i="103" a="1"/>
  <c r="E31" i="103" s="1"/>
  <c r="E33" i="103" a="1"/>
  <c r="E33" i="103" s="1"/>
  <c r="E35" i="103" a="1"/>
  <c r="E35" i="103" s="1"/>
  <c r="E32" i="103" a="1"/>
  <c r="E32" i="103" s="1"/>
  <c r="E37" i="103" a="1"/>
  <c r="E37" i="103" s="1"/>
  <c r="E36" i="103" a="1"/>
  <c r="E36" i="103" s="1"/>
  <c r="E53" i="102"/>
  <c r="E49" i="104" l="1" a="1"/>
  <c r="E49" i="104" s="1"/>
  <c r="E48" i="104" a="1"/>
  <c r="E48" i="104" s="1"/>
  <c r="I65" i="102"/>
  <c r="E51" i="104" l="1" a="1"/>
  <c r="E51" i="104" s="1"/>
  <c r="E47" i="104" a="1"/>
  <c r="E47" i="104" s="1"/>
  <c r="E52" i="104" a="1"/>
  <c r="E52" i="104" s="1"/>
  <c r="E50" i="104" a="1"/>
  <c r="E50" i="104" s="1"/>
  <c r="E53" i="104" a="1"/>
  <c r="E53" i="104" s="1"/>
  <c r="E54" i="104" a="1"/>
  <c r="E54" i="104" s="1"/>
  <c r="E75" i="103" a="1"/>
  <c r="E75" i="103" s="1"/>
  <c r="E70" i="102" a="1"/>
  <c r="E70" i="102" s="1"/>
  <c r="E50" i="69"/>
  <c r="E49" i="69"/>
  <c r="O67" i="69" s="1" a="1"/>
  <c r="O67" i="69" s="1"/>
  <c r="O106" i="69" s="1" a="1"/>
  <c r="O106" i="69" s="1"/>
  <c r="E52" i="69"/>
  <c r="E51" i="69"/>
  <c r="F49" i="69"/>
  <c r="E53" i="69"/>
  <c r="E60" i="69" a="1"/>
  <c r="E60" i="69" s="1"/>
  <c r="E59" i="69" a="1"/>
  <c r="E59" i="69" s="1"/>
  <c r="E48" i="69"/>
  <c r="F50" i="69"/>
  <c r="F53" i="69"/>
  <c r="F52" i="69"/>
  <c r="P70" i="69" s="1" a="1"/>
  <c r="P70" i="69" s="1"/>
  <c r="P109" i="69" s="1" a="1"/>
  <c r="P109" i="69" s="1"/>
  <c r="F48" i="69"/>
  <c r="F51" i="69"/>
  <c r="E47" i="69"/>
  <c r="E54" i="69"/>
  <c r="F47" i="69"/>
  <c r="F54" i="69"/>
  <c r="E56" i="104" l="1"/>
  <c r="I68" i="104" s="1"/>
  <c r="E72" i="104" s="1" a="1"/>
  <c r="E72" i="104" s="1"/>
  <c r="E10" i="13" s="1"/>
  <c r="F10" i="13" s="1"/>
  <c r="E79" i="103" a="1"/>
  <c r="E79" i="103" s="1"/>
  <c r="E73" i="103" a="1"/>
  <c r="E73" i="103" s="1"/>
  <c r="E77" i="103" a="1"/>
  <c r="E77" i="103" s="1"/>
  <c r="E72" i="103" a="1"/>
  <c r="E72" i="103" s="1"/>
  <c r="E74" i="103" a="1"/>
  <c r="E74" i="103" s="1"/>
  <c r="E76" i="103" a="1"/>
  <c r="E76" i="103" s="1"/>
  <c r="E78" i="103" a="1"/>
  <c r="E78" i="103" s="1"/>
  <c r="F70" i="69" a="1"/>
  <c r="F70" i="69" s="1"/>
  <c r="F109" i="69" s="1" a="1"/>
  <c r="F109" i="69" s="1"/>
  <c r="E8" i="13"/>
  <c r="F8" i="13" s="1"/>
  <c r="G72" i="102"/>
  <c r="E75" i="102" s="1" a="1"/>
  <c r="E75" i="102" s="1"/>
  <c r="H8" i="13" s="1"/>
  <c r="I8" i="13" s="1"/>
  <c r="E67" i="69" a="1"/>
  <c r="E67" i="69" s="1"/>
  <c r="E106" i="69" s="1" a="1"/>
  <c r="E106" i="69" s="1"/>
  <c r="O69" i="69" a="1"/>
  <c r="O69" i="69" s="1"/>
  <c r="O108" i="69" s="1" a="1"/>
  <c r="O108" i="69" s="1"/>
  <c r="E69" i="69" a="1"/>
  <c r="E69" i="69" s="1"/>
  <c r="E108" i="69" s="1" a="1"/>
  <c r="E108" i="69" s="1"/>
  <c r="F65" i="69" a="1"/>
  <c r="F65" i="69" s="1"/>
  <c r="F104" i="69" s="1" a="1"/>
  <c r="F104" i="69" s="1"/>
  <c r="P65" i="69" a="1"/>
  <c r="P65" i="69" s="1"/>
  <c r="P104" i="69" s="1" a="1"/>
  <c r="P104" i="69" s="1"/>
  <c r="P71" i="69" a="1"/>
  <c r="P71" i="69" s="1"/>
  <c r="P110" i="69" s="1" a="1"/>
  <c r="P110" i="69" s="1"/>
  <c r="F71" i="69" a="1"/>
  <c r="F71" i="69" s="1"/>
  <c r="F110" i="69" s="1" a="1"/>
  <c r="F110" i="69" s="1"/>
  <c r="E70" i="69" a="1"/>
  <c r="E70" i="69" s="1"/>
  <c r="E109" i="69" s="1" a="1"/>
  <c r="E109" i="69" s="1"/>
  <c r="O70" i="69" a="1"/>
  <c r="O70" i="69" s="1"/>
  <c r="O109" i="69" s="1" a="1"/>
  <c r="O109" i="69" s="1"/>
  <c r="F69" i="69" a="1"/>
  <c r="F69" i="69" s="1"/>
  <c r="F108" i="69" s="1" a="1"/>
  <c r="F108" i="69" s="1"/>
  <c r="P69" i="69" a="1"/>
  <c r="P69" i="69" s="1"/>
  <c r="P108" i="69" s="1" a="1"/>
  <c r="P108" i="69" s="1"/>
  <c r="O71" i="69" a="1"/>
  <c r="O71" i="69" s="1"/>
  <c r="O110" i="69" s="1" a="1"/>
  <c r="O110" i="69" s="1"/>
  <c r="E71" i="69" a="1"/>
  <c r="E71" i="69" s="1"/>
  <c r="E110" i="69" s="1" a="1"/>
  <c r="E110" i="69" s="1"/>
  <c r="P66" i="69" a="1"/>
  <c r="P66" i="69" s="1"/>
  <c r="P105" i="69" s="1" a="1"/>
  <c r="P105" i="69" s="1"/>
  <c r="F66" i="69" a="1"/>
  <c r="F66" i="69" s="1"/>
  <c r="F105" i="69" s="1" a="1"/>
  <c r="F105" i="69" s="1"/>
  <c r="P67" i="69" a="1"/>
  <c r="P67" i="69" s="1"/>
  <c r="P106" i="69" s="1" a="1"/>
  <c r="P106" i="69" s="1"/>
  <c r="F67" i="69" a="1"/>
  <c r="F67" i="69" s="1"/>
  <c r="F106" i="69" s="1" a="1"/>
  <c r="F106" i="69" s="1"/>
  <c r="P72" i="69" a="1"/>
  <c r="P72" i="69" s="1"/>
  <c r="P111" i="69" s="1" a="1"/>
  <c r="P111" i="69" s="1"/>
  <c r="F72" i="69" a="1"/>
  <c r="F72" i="69" s="1"/>
  <c r="F111" i="69" s="1" a="1"/>
  <c r="F111" i="69" s="1"/>
  <c r="O72" i="69" a="1"/>
  <c r="O72" i="69" s="1"/>
  <c r="O111" i="69" s="1" a="1"/>
  <c r="O111" i="69" s="1"/>
  <c r="E72" i="69" a="1"/>
  <c r="E72" i="69" s="1"/>
  <c r="E111" i="69" s="1" a="1"/>
  <c r="E111" i="69" s="1"/>
  <c r="P68" i="69" a="1"/>
  <c r="P68" i="69" s="1"/>
  <c r="P107" i="69" s="1" a="1"/>
  <c r="P107" i="69" s="1"/>
  <c r="F68" i="69" a="1"/>
  <c r="F68" i="69" s="1"/>
  <c r="F107" i="69" s="1" a="1"/>
  <c r="F107" i="69" s="1"/>
  <c r="E65" i="69" a="1"/>
  <c r="E65" i="69" s="1"/>
  <c r="E104" i="69" s="1" a="1"/>
  <c r="E104" i="69" s="1"/>
  <c r="O65" i="69" a="1"/>
  <c r="O65" i="69" s="1"/>
  <c r="O104" i="69" s="1" a="1"/>
  <c r="O104" i="69" s="1"/>
  <c r="O66" i="69" a="1"/>
  <c r="O66" i="69" s="1"/>
  <c r="O105" i="69" s="1" a="1"/>
  <c r="O105" i="69" s="1"/>
  <c r="E66" i="69" a="1"/>
  <c r="E66" i="69" s="1"/>
  <c r="E105" i="69" s="1" a="1"/>
  <c r="E105" i="69" s="1"/>
  <c r="O68" i="69" a="1"/>
  <c r="O68" i="69" s="1"/>
  <c r="O107" i="69" s="1" a="1"/>
  <c r="O107" i="69" s="1"/>
  <c r="E68" i="69" a="1"/>
  <c r="E68" i="69" s="1"/>
  <c r="E107" i="69" s="1" a="1"/>
  <c r="E107" i="69" s="1"/>
  <c r="G74" i="104" l="1"/>
  <c r="E77" i="104" s="1" a="1"/>
  <c r="E77" i="104" s="1"/>
  <c r="H10" i="13" s="1"/>
  <c r="I10" i="13" s="1"/>
  <c r="E81" i="103"/>
  <c r="E9" i="13" s="1"/>
  <c r="F9" i="13" s="1"/>
  <c r="E113" i="69"/>
  <c r="O113" i="69"/>
  <c r="D115" i="69" a="1"/>
  <c r="D115" i="69" s="1"/>
  <c r="F118" i="69" a="1"/>
  <c r="F118" i="69" s="1"/>
  <c r="G83" i="103" l="1"/>
  <c r="E86" i="103" s="1" a="1"/>
  <c r="E86" i="103" s="1"/>
  <c r="H9" i="13" s="1"/>
  <c r="I9" i="13" s="1"/>
  <c r="Q115" i="69"/>
  <c r="O118" i="69" s="1" a="1"/>
  <c r="O118" i="69" s="1"/>
  <c r="I7" i="13" s="1"/>
  <c r="F7" i="13"/>
  <c r="G7" i="13"/>
  <c r="I11" i="13" l="1"/>
  <c r="F27" i="43" a="1"/>
  <c r="F27" i="43" s="1"/>
  <c r="E27" i="43" a="1"/>
  <c r="E27" i="43" s="1"/>
  <c r="D27" i="43" a="1"/>
  <c r="D27" i="43" s="1"/>
  <c r="F26" i="43" a="1"/>
  <c r="F26" i="43" s="1"/>
  <c r="E26" i="43" a="1"/>
  <c r="E26" i="43" s="1"/>
  <c r="D26" i="43" a="1"/>
  <c r="D26" i="43" s="1"/>
  <c r="F25" i="43" a="1"/>
  <c r="F25" i="43" s="1"/>
  <c r="E25" i="43" a="1"/>
  <c r="E25" i="43" s="1"/>
  <c r="D25" i="43" a="1"/>
  <c r="D25" i="43" s="1"/>
  <c r="F24" i="43" a="1"/>
  <c r="F24" i="43" s="1"/>
  <c r="E24" i="43" a="1"/>
  <c r="E24" i="43" s="1"/>
  <c r="D24" i="43" a="1"/>
  <c r="D24" i="43" s="1"/>
  <c r="F23" i="43" a="1"/>
  <c r="F23" i="43" s="1"/>
  <c r="E23" i="43" a="1"/>
  <c r="E23" i="43" s="1"/>
  <c r="D23" i="43" a="1"/>
  <c r="D23" i="43" s="1"/>
  <c r="F22" i="43" a="1"/>
  <c r="F22" i="43" s="1"/>
  <c r="E22" i="43" a="1"/>
  <c r="E22" i="43" s="1"/>
  <c r="D22" i="43" a="1"/>
  <c r="D22" i="43" s="1"/>
  <c r="F21" i="43" a="1"/>
  <c r="F21" i="43" s="1"/>
  <c r="E21" i="43" a="1"/>
  <c r="E21" i="43" s="1"/>
  <c r="D21" i="43" a="1"/>
  <c r="D21" i="43" s="1"/>
  <c r="F20" i="43" a="1"/>
  <c r="F20" i="43" s="1"/>
  <c r="E20" i="43" a="1"/>
  <c r="E20" i="43" s="1"/>
  <c r="D20" i="43" a="1"/>
  <c r="D20" i="43" s="1"/>
  <c r="F19" i="43" a="1"/>
  <c r="F19" i="43" s="1"/>
  <c r="E19" i="43" a="1"/>
  <c r="E19" i="43" s="1"/>
  <c r="D19" i="43" a="1"/>
  <c r="D19" i="43" s="1"/>
  <c r="F18" i="43" a="1"/>
  <c r="F18" i="43" s="1"/>
  <c r="E18" i="43" a="1"/>
  <c r="E18" i="43" s="1"/>
  <c r="D18" i="43" a="1"/>
  <c r="D18" i="43" s="1"/>
  <c r="F17" i="43" a="1"/>
  <c r="F17" i="43" s="1"/>
  <c r="E17" i="43" a="1"/>
  <c r="E17" i="43" s="1"/>
  <c r="D17" i="43" a="1"/>
  <c r="D17" i="43" s="1"/>
  <c r="F16" i="43" a="1"/>
  <c r="F16" i="43" s="1"/>
  <c r="E16" i="43" a="1"/>
  <c r="E16" i="43" s="1"/>
  <c r="D16" i="43" a="1"/>
  <c r="D16" i="43" s="1"/>
  <c r="F15" i="43" a="1"/>
  <c r="F15" i="43" s="1"/>
  <c r="E15" i="43" a="1"/>
  <c r="E15" i="43" s="1"/>
  <c r="D15" i="43" a="1"/>
  <c r="D15" i="43" s="1"/>
  <c r="F14" i="43" a="1"/>
  <c r="F14" i="43" s="1"/>
  <c r="E14" i="43" a="1"/>
  <c r="E14" i="43" s="1"/>
  <c r="D14" i="43" a="1"/>
  <c r="D14" i="43" s="1"/>
  <c r="F13" i="43" a="1"/>
  <c r="F13" i="43" s="1"/>
  <c r="E13" i="43" a="1"/>
  <c r="E13" i="43" s="1"/>
  <c r="D13" i="43" a="1"/>
  <c r="D13" i="43" s="1"/>
  <c r="F12" i="43" a="1"/>
  <c r="F12" i="43" s="1"/>
  <c r="E12" i="43" a="1"/>
  <c r="E12" i="43" s="1"/>
  <c r="D12" i="43" a="1"/>
  <c r="D12" i="43" s="1"/>
  <c r="F11" i="43" a="1"/>
  <c r="F11" i="43" s="1"/>
  <c r="E11" i="43" a="1"/>
  <c r="E11" i="43" s="1"/>
  <c r="D11" i="43" a="1"/>
  <c r="D11" i="43" s="1"/>
  <c r="F10" i="43" a="1"/>
  <c r="F10" i="43" s="1"/>
  <c r="E10" i="43" a="1"/>
  <c r="E10" i="43" s="1"/>
  <c r="D10" i="43" a="1"/>
  <c r="D10" i="43" s="1"/>
  <c r="D8" i="43" a="1"/>
  <c r="D8" i="43" s="1"/>
  <c r="D7" i="43" a="1"/>
  <c r="D7" i="43" s="1"/>
  <c r="D6" i="43" a="1"/>
  <c r="D6" i="43" s="1"/>
  <c r="E29" i="15" l="1"/>
  <c r="G115" i="69" l="1"/>
  <c r="E118" i="69" s="1" a="1"/>
  <c r="E118" i="69" s="1"/>
  <c r="H7" i="13" s="1"/>
  <c r="H11" i="13" s="1"/>
  <c r="E7" i="13" l="1"/>
  <c r="E13" i="15"/>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1">
    <bk>
      <extLst>
        <ext uri="{3e2802c4-a4d2-4d8b-9148-e3be6c30e623}">
          <xlrd:rvb i="0"/>
        </ext>
      </extLst>
    </bk>
  </futureMetadata>
  <cellMetadata count="1">
    <bk>
      <rc t="1" v="0"/>
    </bk>
  </cellMetadata>
  <valueMetadata count="1">
    <bk>
      <rc t="2" v="0"/>
    </bk>
  </valueMetadata>
</metadata>
</file>

<file path=xl/sharedStrings.xml><?xml version="1.0" encoding="utf-8"?>
<sst xmlns="http://schemas.openxmlformats.org/spreadsheetml/2006/main" count="563" uniqueCount="247">
  <si>
    <t>Home</t>
  </si>
  <si>
    <t>INPUTS</t>
  </si>
  <si>
    <t>APPENDICES</t>
  </si>
  <si>
    <t>Emissions breakdown</t>
  </si>
  <si>
    <t>Test Farms</t>
  </si>
  <si>
    <t>Farm name</t>
  </si>
  <si>
    <t>State</t>
  </si>
  <si>
    <t>Leaching zone</t>
  </si>
  <si>
    <t>Climate zone</t>
  </si>
  <si>
    <r>
      <rPr>
        <sz val="12"/>
        <color theme="1" tint="0.34998626667073579"/>
        <rFont val="Times New Roman"/>
        <family val="1"/>
      </rPr>
      <t xml:space="preserve">← </t>
    </r>
    <r>
      <rPr>
        <i/>
        <sz val="12"/>
        <color theme="1" tint="0.34998626667073579"/>
        <rFont val="Times New Roman"/>
        <family val="1"/>
      </rPr>
      <t>Please select</t>
    </r>
  </si>
  <si>
    <t>Degrees celsius</t>
  </si>
  <si>
    <t>Millimetres</t>
  </si>
  <si>
    <t>Location and climate</t>
  </si>
  <si>
    <t>Your business</t>
  </si>
  <si>
    <t>Location information is used to reference some region and climate-specific emission factors</t>
  </si>
  <si>
    <r>
      <rPr>
        <sz val="12"/>
        <color theme="1" tint="0.34998626667073579"/>
        <rFont val="Times New Roman"/>
        <family val="1"/>
      </rPr>
      <t xml:space="preserve">← </t>
    </r>
    <r>
      <rPr>
        <i/>
        <sz val="12"/>
        <color theme="1" tint="0.34998626667073579"/>
        <rFont val="Times New Roman"/>
        <family val="1"/>
      </rPr>
      <t>Automatically calculated, 12 months after start date</t>
    </r>
  </si>
  <si>
    <t>Unit</t>
  </si>
  <si>
    <t>Manure management system</t>
  </si>
  <si>
    <t>State/Territory</t>
  </si>
  <si>
    <t>Common Name</t>
  </si>
  <si>
    <t>Abbreviation</t>
  </si>
  <si>
    <t>SA 4 Name</t>
  </si>
  <si>
    <t>Region (ABS Statistical area level 4) if state is WA</t>
  </si>
  <si>
    <t>Function name</t>
  </si>
  <si>
    <t>Gas</t>
  </si>
  <si>
    <t>CO2-e factor</t>
  </si>
  <si>
    <t>Variable</t>
  </si>
  <si>
    <t>Conversion factor</t>
  </si>
  <si>
    <t>Conversion factor 1</t>
  </si>
  <si>
    <t>Conversion factor 2</t>
  </si>
  <si>
    <t>Conversion factor combined</t>
  </si>
  <si>
    <t>Western Australia - Outback (South)</t>
  </si>
  <si>
    <t>Rainfall zone</t>
  </si>
  <si>
    <t>MAT</t>
  </si>
  <si>
    <t>MAP</t>
  </si>
  <si>
    <t>Frost days per year</t>
  </si>
  <si>
    <t>Elevation</t>
  </si>
  <si>
    <t>MAP:PET</t>
  </si>
  <si>
    <t>Min temp</t>
  </si>
  <si>
    <t>Max temp</t>
  </si>
  <si>
    <t>Min rainfall</t>
  </si>
  <si>
    <t>Max rainfall</t>
  </si>
  <si>
    <t>Min frost days</t>
  </si>
  <si>
    <t>Min elevation</t>
  </si>
  <si>
    <t>Min MAP:PET</t>
  </si>
  <si>
    <t>Wet or Dry Zone</t>
  </si>
  <si>
    <t>Max frost days</t>
  </si>
  <si>
    <t>Max elevation</t>
  </si>
  <si>
    <t>Max MAP:PET</t>
  </si>
  <si>
    <t>Temperature zone</t>
  </si>
  <si>
    <t>Meters</t>
  </si>
  <si>
    <t>Days</t>
  </si>
  <si>
    <t>Temperature Zone</t>
  </si>
  <si>
    <t>Min MAT</t>
  </si>
  <si>
    <t>Max MAT</t>
  </si>
  <si>
    <t>Rainfall Zone</t>
  </si>
  <si>
    <t>Annual rainfall</t>
  </si>
  <si>
    <t>MAP:PET ratio</t>
  </si>
  <si>
    <t>Average temperature for reporting period</t>
  </si>
  <si>
    <t>Total rainfall for reporting period</t>
  </si>
  <si>
    <t>Potential evapotranspiration for reporting period</t>
  </si>
  <si>
    <t>Number of frost days for reporting period</t>
  </si>
  <si>
    <t>Leaching Zone</t>
  </si>
  <si>
    <t>Leaching criteria</t>
  </si>
  <si>
    <t>MMS</t>
  </si>
  <si>
    <t>Data source</t>
  </si>
  <si>
    <t>Data score</t>
  </si>
  <si>
    <r>
      <rPr>
        <sz val="12"/>
        <color theme="1" tint="0.34998626667073579"/>
        <rFont val="Times New Roman"/>
        <family val="1"/>
      </rPr>
      <t xml:space="preserve">← </t>
    </r>
    <r>
      <rPr>
        <i/>
        <sz val="12"/>
        <color theme="1" tint="0.34998626667073579"/>
        <rFont val="Times New Roman"/>
        <family val="1"/>
      </rPr>
      <t>DD/MM/YYYY or DD Month YYYY</t>
    </r>
  </si>
  <si>
    <t>Tip: Use the web-based GAF Location Helper tool to easily get region and climate information. You will need an internet connection to use the GAF Location Helper.</t>
  </si>
  <si>
    <t>Reporting entity name</t>
  </si>
  <si>
    <t>Test Farms Pty Ltd</t>
  </si>
  <si>
    <t>CALCULATIONS</t>
  </si>
  <si>
    <t>Constants - Common</t>
  </si>
  <si>
    <t>Constants - Livestock</t>
  </si>
  <si>
    <t>Symbol</t>
  </si>
  <si>
    <t>Symbol and MMS</t>
  </si>
  <si>
    <t>💡An 'Emissions accounting period' is a 12 month period where the business can report on the emissions, and is typically the same as the business' financial accounting period.</t>
  </si>
  <si>
    <t>Input - Site</t>
  </si>
  <si>
    <t>Wet or dry climate zone</t>
  </si>
  <si>
    <t>Is in leaching zone</t>
  </si>
  <si>
    <t>FracWET</t>
  </si>
  <si>
    <t>NO - Not in leaching zone</t>
  </si>
  <si>
    <t>Emissions calculation period start date</t>
  </si>
  <si>
    <t>Emissions calculation period end date</t>
  </si>
  <si>
    <r>
      <t>MCF</t>
    </r>
    <r>
      <rPr>
        <b/>
        <vertAlign val="subscript"/>
        <sz val="11"/>
        <color rgb="FF183C1B"/>
        <rFont val="Times New Roman"/>
        <family val="1"/>
      </rPr>
      <t>im</t>
    </r>
  </si>
  <si>
    <t>New South Wales</t>
  </si>
  <si>
    <t>head</t>
  </si>
  <si>
    <t>Table_N_j</t>
  </si>
  <si>
    <r>
      <t>E</t>
    </r>
    <r>
      <rPr>
        <vertAlign val="subscript"/>
        <sz val="12"/>
        <color theme="1" tint="0.24994659260841701"/>
        <rFont val="Times New Roman"/>
        <family val="1"/>
      </rPr>
      <t>CO2e</t>
    </r>
  </si>
  <si>
    <t>Method 1</t>
  </si>
  <si>
    <t>Method 2</t>
  </si>
  <si>
    <r>
      <t>E</t>
    </r>
    <r>
      <rPr>
        <b/>
        <vertAlign val="subscript"/>
        <sz val="16"/>
        <color theme="1" tint="0.24994659260841701"/>
        <rFont val="Times New Roman"/>
        <family val="1"/>
      </rPr>
      <t>N2O,dir</t>
    </r>
  </si>
  <si>
    <t>ECH4 (Method 1)</t>
  </si>
  <si>
    <t>ECH4 (Method 2)</t>
  </si>
  <si>
    <r>
      <t>E</t>
    </r>
    <r>
      <rPr>
        <vertAlign val="subscript"/>
        <sz val="12"/>
        <color theme="1" tint="0.24994659260841701"/>
        <rFont val="Times New Roman"/>
        <family val="1"/>
      </rPr>
      <t>CO2e</t>
    </r>
    <r>
      <rPr>
        <sz val="12"/>
        <color theme="1" tint="0.24994659260841701"/>
        <rFont val="Times New Roman"/>
        <family val="1"/>
      </rPr>
      <t xml:space="preserve"> (Method 1)</t>
    </r>
  </si>
  <si>
    <r>
      <t>E</t>
    </r>
    <r>
      <rPr>
        <vertAlign val="subscript"/>
        <sz val="12"/>
        <color theme="1" tint="0.24994659260841701"/>
        <rFont val="Times New Roman"/>
        <family val="1"/>
      </rPr>
      <t>CO2e</t>
    </r>
    <r>
      <rPr>
        <sz val="12"/>
        <color theme="1" tint="0.24994659260841701"/>
        <rFont val="Times New Roman"/>
        <family val="1"/>
      </rPr>
      <t xml:space="preserve"> (Method 2)</t>
    </r>
  </si>
  <si>
    <t>Scope 1 source</t>
  </si>
  <si>
    <t>Production system j</t>
  </si>
  <si>
    <t>EFN2O</t>
  </si>
  <si>
    <t>Production system only</t>
  </si>
  <si>
    <t>Irrigation method</t>
  </si>
  <si>
    <t>Pasture</t>
  </si>
  <si>
    <t>Production system</t>
  </si>
  <si>
    <t>Irrigation methods</t>
  </si>
  <si>
    <t>Not irrigated</t>
  </si>
  <si>
    <t>Drip irrigation</t>
  </si>
  <si>
    <t>Sprinkler irrigation</t>
  </si>
  <si>
    <t>Surface irrigation</t>
  </si>
  <si>
    <t>Other irrigation</t>
  </si>
  <si>
    <r>
      <t>E</t>
    </r>
    <r>
      <rPr>
        <b/>
        <vertAlign val="subscript"/>
        <sz val="16"/>
        <color theme="1" tint="0.24994659260841701"/>
        <rFont val="Times New Roman"/>
        <family val="1"/>
      </rPr>
      <t>N2O,ad</t>
    </r>
  </si>
  <si>
    <t>Total</t>
  </si>
  <si>
    <t>GHG Unit</t>
  </si>
  <si>
    <t>CO2-e unit</t>
  </si>
  <si>
    <t>Irrigation type i</t>
  </si>
  <si>
    <t>EFPRP</t>
  </si>
  <si>
    <t>Month</t>
  </si>
  <si>
    <t>Season</t>
  </si>
  <si>
    <t>Acknowledgements</t>
  </si>
  <si>
    <t>GHG emissions method 1</t>
  </si>
  <si>
    <t>GHG emissions method 2</t>
  </si>
  <si>
    <t>CO2-e emissions method 1</t>
  </si>
  <si>
    <t>t CO2e</t>
  </si>
  <si>
    <t>CO2-e emissions method 2</t>
  </si>
  <si>
    <t>Direct application</t>
  </si>
  <si>
    <t>percent</t>
  </si>
  <si>
    <t>MAT (ºC)</t>
  </si>
  <si>
    <t>Anaerobic lagoon</t>
  </si>
  <si>
    <t>Digester / covered lagoons</t>
  </si>
  <si>
    <t>Liquid systems</t>
  </si>
  <si>
    <t>Daily spread</t>
  </si>
  <si>
    <t>Composting (passive windrow)</t>
  </si>
  <si>
    <t>Solid storage</t>
  </si>
  <si>
    <t>Pit storage</t>
  </si>
  <si>
    <t>Deep litter</t>
  </si>
  <si>
    <t>Poultry manure with bedding</t>
  </si>
  <si>
    <t>Poultry manure without bedding</t>
  </si>
  <si>
    <t>Direct processing</t>
  </si>
  <si>
    <t>Pasture range and paddock</t>
  </si>
  <si>
    <t>MAT raw</t>
  </si>
  <si>
    <t>💡 Below is a diagram that maps the equations used to calculate emissions, how they interact with each other and how they align with dairy manure management processes.</t>
  </si>
  <si>
    <t xml:space="preserve">    Click on a box to go to the corresponding calculation.</t>
  </si>
  <si>
    <t>Other livestock type</t>
  </si>
  <si>
    <t>Mj</t>
  </si>
  <si>
    <t>VSj</t>
  </si>
  <si>
    <t>NEj</t>
  </si>
  <si>
    <t>Wco</t>
  </si>
  <si>
    <t>Wco2</t>
  </si>
  <si>
    <t>Uncovered anaerobic lagoon</t>
  </si>
  <si>
    <t>Input - MMS - Other Livestock</t>
  </si>
  <si>
    <t>No</t>
  </si>
  <si>
    <t>Percent in MMS</t>
  </si>
  <si>
    <t>Percent</t>
  </si>
  <si>
    <t>Buffalo</t>
  </si>
  <si>
    <t>Bulls</t>
  </si>
  <si>
    <t>Cows</t>
  </si>
  <si>
    <t>Steers</t>
  </si>
  <si>
    <t>Calves</t>
  </si>
  <si>
    <t>Goats</t>
  </si>
  <si>
    <t>Bucks / billy</t>
  </si>
  <si>
    <t>Wethers</t>
  </si>
  <si>
    <t>Maiden breeding does / nannies</t>
  </si>
  <si>
    <t>Breeding does / nannies</t>
  </si>
  <si>
    <t>Other</t>
  </si>
  <si>
    <t>Kids</t>
  </si>
  <si>
    <t>Deer</t>
  </si>
  <si>
    <t>Bucks</t>
  </si>
  <si>
    <t>Breeding does</t>
  </si>
  <si>
    <t>Other does</t>
  </si>
  <si>
    <t>Fawn</t>
  </si>
  <si>
    <t>Others</t>
  </si>
  <si>
    <t>Camels</t>
  </si>
  <si>
    <t>Alpacas</t>
  </si>
  <si>
    <t>Horses</t>
  </si>
  <si>
    <t>Mules / asses</t>
  </si>
  <si>
    <t>Emus / ostriches</t>
  </si>
  <si>
    <t>Are all dams and natural water sources fenced off so buffalo cannot access them?</t>
  </si>
  <si>
    <t>Are all dams and natural water sources fenced off so goats cannot access them?</t>
  </si>
  <si>
    <t>Are all dams and natural water sources fenced off so deer cannot access them?</t>
  </si>
  <si>
    <t>Are all dams and natural water sources fenced off so livestock cannot access them?</t>
  </si>
  <si>
    <t>Taken from</t>
  </si>
  <si>
    <t>BO</t>
  </si>
  <si>
    <t>Table_VS_j</t>
  </si>
  <si>
    <t>Volatile solid production</t>
  </si>
  <si>
    <t>Livestock type</t>
  </si>
  <si>
    <t>Table_B_O</t>
  </si>
  <si>
    <t>Methane emissions potential</t>
  </si>
  <si>
    <t>Table_MMS_m</t>
  </si>
  <si>
    <t>Fraction of waste in each manure management system</t>
  </si>
  <si>
    <t>Mules/asses</t>
  </si>
  <si>
    <t>Emus/ostriches</t>
  </si>
  <si>
    <t>M1_Table_MCF_i_m</t>
  </si>
  <si>
    <t>Methane conversion factor for state (Method 1)</t>
  </si>
  <si>
    <t>M2_Table_MCF_i_m</t>
  </si>
  <si>
    <t>Methane conversion factor for state (Method 2)</t>
  </si>
  <si>
    <t>M1_Table_M_j_m</t>
  </si>
  <si>
    <t>Annual methane production from manure management (Method 1)</t>
  </si>
  <si>
    <t>M2_Table_M_j_m</t>
  </si>
  <si>
    <t>Annual methane production from manure management (Method 2)</t>
  </si>
  <si>
    <t>Number of livestock</t>
  </si>
  <si>
    <t>M1_Table_E_CH4</t>
  </si>
  <si>
    <t>Annual methane production (Method 1)</t>
  </si>
  <si>
    <t>Table_NE_j</t>
  </si>
  <si>
    <t>Annual nitrogen excretion</t>
  </si>
  <si>
    <t>Table_AEj</t>
  </si>
  <si>
    <t>Nitrogen extreted per day</t>
  </si>
  <si>
    <t>AE</t>
  </si>
  <si>
    <t>t N2O</t>
  </si>
  <si>
    <t>Where did the livestock spend most of their time grazing?</t>
  </si>
  <si>
    <t>Pasture beefcrop or pasture production systems</t>
  </si>
  <si>
    <t>Where did the buffalo spend most of their time grazing?</t>
  </si>
  <si>
    <t>Where did the goats spend most of their time grazing?</t>
  </si>
  <si>
    <t>Where did the deer spend most of their time grazing?</t>
  </si>
  <si>
    <t>Table_EF_N2O</t>
  </si>
  <si>
    <t>Emission factor for atmospheric deposition</t>
  </si>
  <si>
    <t>Crop</t>
  </si>
  <si>
    <t>Table_M_vol</t>
  </si>
  <si>
    <t>Table_E_N2O_ad</t>
  </si>
  <si>
    <t>Atmospheric deposition emissions from urine and dung deposited on pasture</t>
  </si>
  <si>
    <t>Table_Frac_Wet</t>
  </si>
  <si>
    <t>Fraction of nitrogen available for leaching and runoff</t>
  </si>
  <si>
    <t>FracWet</t>
  </si>
  <si>
    <t>Table_M_leach</t>
  </si>
  <si>
    <t>Mass of nitrogen lost to leaching and runoff</t>
  </si>
  <si>
    <r>
      <t>E</t>
    </r>
    <r>
      <rPr>
        <b/>
        <vertAlign val="subscript"/>
        <sz val="16"/>
        <color theme="1" tint="0.24994659260841701"/>
        <rFont val="Times New Roman"/>
        <family val="1"/>
      </rPr>
      <t>N2O,leach</t>
    </r>
  </si>
  <si>
    <r>
      <t>M</t>
    </r>
    <r>
      <rPr>
        <b/>
        <vertAlign val="subscript"/>
        <sz val="12"/>
        <color theme="1" tint="0.24994659260841701"/>
        <rFont val="Times New Roman"/>
        <family val="1"/>
      </rPr>
      <t>leach</t>
    </r>
  </si>
  <si>
    <r>
      <t>M</t>
    </r>
    <r>
      <rPr>
        <b/>
        <vertAlign val="subscript"/>
        <sz val="11"/>
        <color rgb="FF183C1B"/>
        <rFont val="Times New Roman"/>
        <family val="1"/>
      </rPr>
      <t>leach</t>
    </r>
  </si>
  <si>
    <r>
      <t>AE</t>
    </r>
    <r>
      <rPr>
        <b/>
        <vertAlign val="subscript"/>
        <sz val="11"/>
        <color rgb="FF183C1B"/>
        <rFont val="Times New Roman"/>
        <family val="1"/>
      </rPr>
      <t>j</t>
    </r>
  </si>
  <si>
    <r>
      <t>EF</t>
    </r>
    <r>
      <rPr>
        <b/>
        <vertAlign val="subscript"/>
        <sz val="11"/>
        <color rgb="FF183C1B"/>
        <rFont val="Times New Roman"/>
        <family val="1"/>
      </rPr>
      <t>N2O</t>
    </r>
  </si>
  <si>
    <r>
      <t>M</t>
    </r>
    <r>
      <rPr>
        <b/>
        <vertAlign val="subscript"/>
        <sz val="11"/>
        <color rgb="FF183C1B"/>
        <rFont val="Times New Roman"/>
        <family val="1"/>
      </rPr>
      <t>vol</t>
    </r>
  </si>
  <si>
    <r>
      <t>NE</t>
    </r>
    <r>
      <rPr>
        <b/>
        <vertAlign val="subscript"/>
        <sz val="11"/>
        <color rgb="FF183C1B"/>
        <rFont val="Times New Roman"/>
        <family val="1"/>
      </rPr>
      <t>j</t>
    </r>
  </si>
  <si>
    <r>
      <t>N</t>
    </r>
    <r>
      <rPr>
        <b/>
        <vertAlign val="subscript"/>
        <sz val="11"/>
        <color rgb="FF533001"/>
        <rFont val="Times New Roman"/>
        <family val="1"/>
      </rPr>
      <t>j</t>
    </r>
  </si>
  <si>
    <r>
      <t>B</t>
    </r>
    <r>
      <rPr>
        <b/>
        <vertAlign val="subscript"/>
        <sz val="11"/>
        <color rgb="FF183C1B"/>
        <rFont val="Times New Roman"/>
        <family val="1"/>
      </rPr>
      <t>O</t>
    </r>
  </si>
  <si>
    <r>
      <t>VS</t>
    </r>
    <r>
      <rPr>
        <b/>
        <vertAlign val="subscript"/>
        <sz val="11"/>
        <color rgb="FF183C1B"/>
        <rFont val="Times New Roman"/>
        <family val="1"/>
      </rPr>
      <t>j</t>
    </r>
  </si>
  <si>
    <t>Source Data - Other Livestock</t>
  </si>
  <si>
    <t>4.7 Manure management: Other Livestock: Results</t>
  </si>
  <si>
    <t>4.7 Manure management: Other Livestock: Overview</t>
  </si>
  <si>
    <t>4.7.1.1-2 Manure Methane</t>
  </si>
  <si>
    <t>4.7.1.3-4 Manure Soil Direct N2O</t>
  </si>
  <si>
    <t>4.7.1.4-5 Manure Soil Atmospheric Deposition</t>
  </si>
  <si>
    <t>4.7.1.7-8 Manure Soil Leaching and Runoff</t>
  </si>
  <si>
    <t>4.7.1.7-8 Method 1 Soil atmospheric deposition</t>
  </si>
  <si>
    <t>4.7.1.1-2 Method 1 Manure methane</t>
  </si>
  <si>
    <t>4.7.1.3-4 Method 1 Soil direct N2O</t>
  </si>
  <si>
    <t>4.7.1.5-6 Method 1 Soil atmospheric deposition</t>
  </si>
  <si>
    <t>Climate Zone</t>
  </si>
  <si>
    <t>EFNi &amp; EFN2Oi</t>
  </si>
  <si>
    <t>N2O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</si>
</sst>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 #,##0.00_-;_-* &quot;-&quot;??_-;_-@_-"/>
    <numFmt numFmtId="164" formatCode="0.000"/>
    <numFmt numFmtId="165" formatCode="#,##0.000"/>
    <numFmt numFmtId="166" formatCode="d/mm/yyyy;@"/>
    <numFmt numFmtId="167" formatCode="_-* #,##0_-;\-* #,##0_-;_-* &quot;-&quot;??_-;_-@_-"/>
    <numFmt numFmtId="168" formatCode="[$-C09]dd\-mmmm\-yyyy;@"/>
    <numFmt numFmtId="169" formatCode="#,##0.000000"/>
    <numFmt numFmtId="170" formatCode="0.000%"/>
  </numFmts>
  <fonts count="64" x14ac:knownFonts="1">
    <font>
      <sz val="11"/>
      <color theme="1"/>
      <name val="Times New Roman"/>
      <family val="2"/>
      <scheme val="minor"/>
    </font>
    <font>
      <i/>
      <sz val="12"/>
      <color theme="1" tint="0.499984740745262"/>
      <name val="Times New Roman"/>
      <family val="1"/>
    </font>
    <font>
      <sz val="12"/>
      <color theme="1" tint="0.14999847407452621"/>
      <name val="Times New Roman"/>
      <family val="1"/>
    </font>
    <font>
      <b/>
      <sz val="12"/>
      <color theme="1" tint="0.14999847407452621"/>
      <name val="Times New Roman"/>
      <family val="1"/>
    </font>
    <font>
      <b/>
      <sz val="20"/>
      <color rgb="FF183C1B"/>
      <name val="Times New Roman"/>
      <family val="1"/>
    </font>
    <font>
      <b/>
      <sz val="11"/>
      <color rgb="FF183C1B"/>
      <name val="Times New Roman"/>
      <family val="1"/>
    </font>
    <font>
      <i/>
      <sz val="12"/>
      <color theme="1" tint="0.34998626667073579"/>
      <name val="Times New Roman"/>
      <family val="1"/>
    </font>
    <font>
      <sz val="12"/>
      <color theme="1" tint="0.34998626667073579"/>
      <name val="Times New Roman"/>
      <family val="1"/>
    </font>
    <font>
      <sz val="12"/>
      <color theme="1" tint="0.14996795556505021"/>
      <name val="Times New Roman"/>
      <family val="1"/>
    </font>
    <font>
      <i/>
      <sz val="10"/>
      <color theme="1" tint="0.34998626667073579"/>
      <name val="Times New Roman"/>
      <family val="1"/>
    </font>
    <font>
      <sz val="11"/>
      <color theme="1"/>
      <name val="Times New Roman"/>
      <family val="2"/>
      <scheme val="minor"/>
    </font>
    <font>
      <b/>
      <sz val="20"/>
      <color rgb="FFCC6600"/>
      <name val="Times New Roman"/>
      <family val="1"/>
    </font>
    <font>
      <i/>
      <sz val="12"/>
      <color rgb="FFCC6600"/>
      <name val="Times New Roman"/>
      <family val="1"/>
    </font>
    <font>
      <b/>
      <sz val="11"/>
      <color rgb="FF533001"/>
      <name val="Times New Roman"/>
      <family val="1"/>
    </font>
    <font>
      <i/>
      <strike/>
      <sz val="12"/>
      <color theme="1" tint="0.499984740745262"/>
      <name val="Times New Roman"/>
      <family val="1"/>
    </font>
    <font>
      <b/>
      <i/>
      <strike/>
      <sz val="12"/>
      <color theme="1" tint="0.499984740745262"/>
      <name val="Times New Roman"/>
      <family val="1"/>
    </font>
    <font>
      <sz val="9"/>
      <color theme="1" tint="0.499984740745262"/>
      <name val="Courier New"/>
      <family val="3"/>
    </font>
    <font>
      <b/>
      <sz val="16"/>
      <color theme="0"/>
      <name val="Times New Roman"/>
      <family val="1"/>
    </font>
    <font>
      <u/>
      <sz val="11"/>
      <color theme="10"/>
      <name val="Times New Roman"/>
      <family val="2"/>
      <scheme val="minor"/>
    </font>
    <font>
      <sz val="9"/>
      <color theme="1" tint="0.249977111117893"/>
      <name val="Times New Roman"/>
      <family val="1"/>
    </font>
    <font>
      <sz val="9"/>
      <color rgb="FF008000"/>
      <name val="Times New Roman"/>
      <family val="1"/>
    </font>
    <font>
      <sz val="9"/>
      <color rgb="FFCC6600"/>
      <name val="Times New Roman"/>
      <family val="1"/>
    </font>
    <font>
      <sz val="12"/>
      <color theme="0"/>
      <name val="Times New Roman"/>
      <family val="1"/>
    </font>
    <font>
      <sz val="8"/>
      <name val="Times New Roman"/>
      <family val="2"/>
      <scheme val="minor"/>
    </font>
    <font>
      <sz val="11"/>
      <color theme="1" tint="0.499984740745262"/>
      <name val="Times New Roman"/>
      <family val="1"/>
    </font>
    <font>
      <sz val="11"/>
      <color theme="1"/>
      <name val="Times New Roman"/>
      <family val="1"/>
    </font>
    <font>
      <sz val="12"/>
      <color theme="1"/>
      <name val="Times New Roman"/>
      <family val="1"/>
    </font>
    <font>
      <b/>
      <sz val="12"/>
      <color theme="1"/>
      <name val="Times New Roman"/>
      <family val="1"/>
    </font>
    <font>
      <b/>
      <sz val="11"/>
      <color theme="1" tint="0.249977111117893"/>
      <name val="Times New Roman"/>
      <family val="1"/>
    </font>
    <font>
      <sz val="12"/>
      <color theme="1" tint="0.249977111117893"/>
      <name val="Times New Roman"/>
      <family val="1"/>
    </font>
    <font>
      <b/>
      <sz val="12"/>
      <color theme="1" tint="0.249977111117893"/>
      <name val="Times New Roman"/>
      <family val="1"/>
    </font>
    <font>
      <b/>
      <sz val="11"/>
      <color theme="1"/>
      <name val="Times New Roman"/>
      <family val="1"/>
      <scheme val="minor"/>
    </font>
    <font>
      <b/>
      <sz val="14"/>
      <color theme="1"/>
      <name val="Times New Roman"/>
      <family val="1"/>
      <scheme val="minor"/>
    </font>
    <font>
      <sz val="11"/>
      <color rgb="FF242424"/>
      <name val="Consolas"/>
      <family val="3"/>
    </font>
    <font>
      <sz val="12"/>
      <color theme="0" tint="-4.9989318521683403E-2"/>
      <name val="Times New Roman"/>
      <family val="1"/>
    </font>
    <font>
      <sz val="10"/>
      <color theme="1" tint="0.34998626667073579"/>
      <name val="Times New Roman"/>
      <family val="1"/>
    </font>
    <font>
      <sz val="10"/>
      <name val="Arial"/>
      <family val="2"/>
    </font>
    <font>
      <sz val="9"/>
      <name val="Times New Roman"/>
      <family val="1"/>
    </font>
    <font>
      <sz val="18"/>
      <color theme="1" tint="0.14996795556505021"/>
      <name val="Times New Roman"/>
      <family val="1"/>
    </font>
    <font>
      <sz val="10"/>
      <color theme="1" tint="0.34998626667073579"/>
      <name val="Times New Roman"/>
      <family val="2"/>
      <scheme val="minor"/>
    </font>
    <font>
      <sz val="12"/>
      <color theme="1" tint="0.24994659260841701"/>
      <name val="Times New Roman"/>
      <family val="1"/>
    </font>
    <font>
      <b/>
      <vertAlign val="subscript"/>
      <sz val="11"/>
      <color rgb="FF183C1B"/>
      <name val="Times New Roman"/>
      <family val="1"/>
    </font>
    <font>
      <b/>
      <sz val="12"/>
      <color theme="1" tint="0.24994659260841701"/>
      <name val="Times New Roman"/>
      <family val="1"/>
    </font>
    <font>
      <sz val="12"/>
      <color rgb="FFC44340"/>
      <name val="Times New Roman"/>
      <family val="1"/>
    </font>
    <font>
      <sz val="12"/>
      <color rgb="FF008000"/>
      <name val="Times New Roman"/>
      <family val="1"/>
    </font>
    <font>
      <i/>
      <sz val="12"/>
      <color theme="1" tint="0.14999847407452621"/>
      <name val="Times New Roman"/>
      <family val="1"/>
    </font>
    <font>
      <sz val="12"/>
      <color rgb="FF0070C0"/>
      <name val="Times New Roman"/>
      <family val="1"/>
    </font>
    <font>
      <b/>
      <sz val="12"/>
      <color rgb="FF0070C0"/>
      <name val="Times New Roman"/>
      <family val="1"/>
    </font>
    <font>
      <b/>
      <sz val="12"/>
      <color theme="0"/>
      <name val="Times New Roman"/>
      <family val="1"/>
    </font>
    <font>
      <b/>
      <sz val="12"/>
      <color theme="0" tint="-0.499984740745262"/>
      <name val="Times New Roman"/>
      <family val="1"/>
    </font>
    <font>
      <sz val="10"/>
      <color theme="0" tint="-0.499984740745262"/>
      <name val="Times New Roman"/>
      <family val="1"/>
    </font>
    <font>
      <b/>
      <sz val="16"/>
      <color theme="1" tint="0.24994659260841701"/>
      <name val="Times New Roman"/>
      <family val="1"/>
    </font>
    <font>
      <sz val="16"/>
      <color theme="1" tint="0.24994659260841701"/>
      <name val="Times New Roman"/>
      <family val="1"/>
    </font>
    <font>
      <i/>
      <sz val="16"/>
      <color theme="1" tint="0.34998626667073579"/>
      <name val="Times New Roman"/>
      <family val="1"/>
    </font>
    <font>
      <vertAlign val="subscript"/>
      <sz val="12"/>
      <color theme="1" tint="0.24994659260841701"/>
      <name val="Times New Roman"/>
      <family val="1"/>
    </font>
    <font>
      <sz val="14"/>
      <color theme="1" tint="0.34998626667073579"/>
      <name val="Times New Roman"/>
      <family val="1"/>
    </font>
    <font>
      <b/>
      <sz val="12"/>
      <color rgb="FFCC6600"/>
      <name val="Times New Roman"/>
      <family val="1"/>
    </font>
    <font>
      <b/>
      <vertAlign val="subscript"/>
      <sz val="16"/>
      <color theme="1" tint="0.24994659260841701"/>
      <name val="Times New Roman"/>
      <family val="1"/>
    </font>
    <font>
      <b/>
      <vertAlign val="subscript"/>
      <sz val="12"/>
      <color theme="1" tint="0.24994659260841701"/>
      <name val="Times New Roman"/>
      <family val="1"/>
    </font>
    <font>
      <b/>
      <sz val="20"/>
      <color theme="4" tint="-0.249977111117893"/>
      <name val="Times New Roman"/>
      <family val="1"/>
    </font>
    <font>
      <i/>
      <sz val="10"/>
      <color theme="5" tint="-0.499984740745262"/>
      <name val="Times New Roman"/>
      <family val="1"/>
    </font>
    <font>
      <i/>
      <sz val="10"/>
      <color theme="6" tint="-0.499984740745262"/>
      <name val="Times New Roman"/>
      <family val="1"/>
    </font>
    <font>
      <u/>
      <sz val="10"/>
      <color theme="1" tint="0.34998626667073579"/>
      <name val="Times New Roman"/>
      <family val="1"/>
    </font>
    <font>
      <b/>
      <vertAlign val="subscript"/>
      <sz val="11"/>
      <color rgb="FF533001"/>
      <name val="Times New Roman"/>
      <family val="1"/>
    </font>
  </fonts>
  <fills count="16">
    <fill>
      <patternFill patternType="none"/>
    </fill>
    <fill>
      <patternFill patternType="gray125"/>
    </fill>
    <fill>
      <patternFill patternType="solid">
        <fgColor rgb="FFB2D498"/>
        <bgColor indexed="64"/>
      </patternFill>
    </fill>
    <fill>
      <patternFill patternType="solid">
        <fgColor rgb="FF183C1B"/>
        <bgColor indexed="64"/>
      </patternFill>
    </fill>
    <fill>
      <patternFill patternType="solid">
        <fgColor theme="0" tint="-4.9989318521683403E-2"/>
        <bgColor indexed="64"/>
      </patternFill>
    </fill>
    <fill>
      <patternFill patternType="solid">
        <fgColor rgb="FFCC6600"/>
        <bgColor indexed="64"/>
      </patternFill>
    </fill>
    <fill>
      <patternFill patternType="solid">
        <fgColor rgb="FFFFCC66"/>
        <bgColor indexed="64"/>
      </patternFill>
    </fill>
    <fill>
      <patternFill patternType="solid">
        <fgColor rgb="FF533001"/>
        <bgColor indexed="64"/>
      </patternFill>
    </fill>
    <fill>
      <patternFill patternType="solid">
        <fgColor rgb="FF008000"/>
        <bgColor indexed="64"/>
      </patternFill>
    </fill>
    <fill>
      <patternFill patternType="solid">
        <fgColor theme="0"/>
        <bgColor indexed="64"/>
      </patternFill>
    </fill>
    <fill>
      <patternFill patternType="solid">
        <fgColor theme="1" tint="0.499984740745262"/>
        <bgColor indexed="64"/>
      </patternFill>
    </fill>
    <fill>
      <patternFill patternType="solid">
        <fgColor theme="4" tint="-0.249977111117893"/>
        <bgColor indexed="64"/>
      </patternFill>
    </fill>
    <fill>
      <gradientFill degree="90">
        <stop position="0">
          <color theme="0"/>
        </stop>
        <stop position="1">
          <color theme="0" tint="-5.0965910824915313E-2"/>
        </stop>
      </gradientFill>
    </fill>
    <fill>
      <patternFill patternType="solid">
        <fgColor theme="3" tint="0.89996032593768116"/>
        <bgColor indexed="64"/>
      </patternFill>
    </fill>
    <fill>
      <patternFill patternType="solid">
        <fgColor theme="9" tint="0.59999389629810485"/>
        <bgColor indexed="64"/>
      </patternFill>
    </fill>
    <fill>
      <patternFill patternType="solid">
        <fgColor rgb="FFDCECD0"/>
        <bgColor indexed="64"/>
      </patternFill>
    </fill>
  </fills>
  <borders count="22">
    <border>
      <left/>
      <right/>
      <top/>
      <bottom/>
      <diagonal/>
    </border>
    <border>
      <left/>
      <right/>
      <top style="thin">
        <color indexed="64"/>
      </top>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right/>
      <top style="thin">
        <color theme="1" tint="0.249977111117893"/>
      </top>
      <bottom/>
      <diagonal/>
    </border>
    <border>
      <left/>
      <right/>
      <top style="thin">
        <color theme="1" tint="0.499984740745262"/>
      </top>
      <bottom/>
      <diagonal/>
    </border>
    <border>
      <left/>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style="thin">
        <color theme="3" tint="0.749961851863155"/>
      </bottom>
      <diagonal/>
    </border>
    <border>
      <left style="thin">
        <color theme="3" tint="0.749961851863155"/>
      </left>
      <right/>
      <top style="thin">
        <color theme="3" tint="0.749961851863155"/>
      </top>
      <bottom/>
      <diagonal/>
    </border>
    <border>
      <left/>
      <right style="thin">
        <color theme="3" tint="0.749961851863155"/>
      </right>
      <top style="thin">
        <color theme="3" tint="0.749961851863155"/>
      </top>
      <bottom/>
      <diagonal/>
    </border>
    <border>
      <left style="thin">
        <color theme="3" tint="0.749961851863155"/>
      </left>
      <right/>
      <top/>
      <bottom style="thin">
        <color theme="3" tint="0.749961851863155"/>
      </bottom>
      <diagonal/>
    </border>
    <border>
      <left/>
      <right style="thin">
        <color theme="3" tint="0.749961851863155"/>
      </right>
      <top/>
      <bottom style="thin">
        <color theme="3" tint="0.749961851863155"/>
      </bottom>
      <diagonal/>
    </border>
    <border>
      <left/>
      <right/>
      <top/>
      <bottom style="thin">
        <color theme="3" tint="0.749961851863155"/>
      </bottom>
      <diagonal/>
    </border>
    <border>
      <left/>
      <right style="thin">
        <color theme="3" tint="0.749961851863155"/>
      </right>
      <top style="thin">
        <color theme="3" tint="0.749961851863155"/>
      </top>
      <bottom style="thin">
        <color theme="3" tint="0.749961851863155"/>
      </bottom>
      <diagonal/>
    </border>
    <border>
      <left/>
      <right/>
      <top style="thin">
        <color theme="3" tint="0.749961851863155"/>
      </top>
      <bottom/>
      <diagonal/>
    </border>
    <border>
      <left style="thin">
        <color theme="3" tint="0.749961851863155"/>
      </left>
      <right/>
      <top style="thin">
        <color theme="3" tint="0.749961851863155"/>
      </top>
      <bottom style="thin">
        <color theme="3" tint="0.749961851863155"/>
      </bottom>
      <diagonal/>
    </border>
    <border>
      <left/>
      <right/>
      <top style="thin">
        <color theme="3" tint="0.749961851863155"/>
      </top>
      <bottom style="thin">
        <color theme="0" tint="-0.34998626667073579"/>
      </bottom>
      <diagonal/>
    </border>
    <border>
      <left/>
      <right/>
      <top style="thin">
        <color theme="3" tint="0.749961851863155"/>
      </top>
      <bottom style="thin">
        <color theme="3" tint="0.749961851863155"/>
      </bottom>
      <diagonal/>
    </border>
    <border>
      <left/>
      <right/>
      <top style="thin">
        <color theme="0" tint="-0.34998626667073579"/>
      </top>
      <bottom style="thin">
        <color theme="0" tint="-0.34998626667073579"/>
      </bottom>
      <diagonal/>
    </border>
    <border>
      <left style="thin">
        <color theme="3" tint="0.749961851863155"/>
      </left>
      <right style="thin">
        <color theme="3" tint="0.749961851863155"/>
      </right>
      <top style="thin">
        <color theme="3" tint="0.749961851863155"/>
      </top>
      <bottom/>
      <diagonal/>
    </border>
    <border>
      <left style="thin">
        <color theme="3" tint="0.749961851863155"/>
      </left>
      <right style="thin">
        <color theme="3" tint="0.749961851863155"/>
      </right>
      <top/>
      <bottom style="thin">
        <color theme="3" tint="0.749961851863155"/>
      </bottom>
      <diagonal/>
    </border>
  </borders>
  <cellStyleXfs count="69">
    <xf numFmtId="0" fontId="0" fillId="0" borderId="0"/>
    <xf numFmtId="0" fontId="5" fillId="2" borderId="0">
      <alignment horizontal="left" vertical="center" indent="1"/>
      <protection locked="0"/>
    </xf>
    <xf numFmtId="0" fontId="4" fillId="0" borderId="0"/>
    <xf numFmtId="0" fontId="1" fillId="0" borderId="0">
      <alignment vertical="center"/>
    </xf>
    <xf numFmtId="0" fontId="17" fillId="3" borderId="0">
      <alignment vertical="center"/>
    </xf>
    <xf numFmtId="0" fontId="38" fillId="4" borderId="0">
      <alignment horizontal="left" vertical="center"/>
    </xf>
    <xf numFmtId="0" fontId="44" fillId="4" borderId="0">
      <alignment vertical="center"/>
    </xf>
    <xf numFmtId="0" fontId="3" fillId="4" borderId="0">
      <alignment horizontal="left" vertical="center"/>
    </xf>
    <xf numFmtId="0" fontId="40" fillId="4" borderId="0">
      <alignment horizontal="left" vertical="center"/>
    </xf>
    <xf numFmtId="0" fontId="5" fillId="2" borderId="0">
      <alignment horizontal="center" vertical="center"/>
    </xf>
    <xf numFmtId="164" fontId="8" fillId="4" borderId="0">
      <alignment horizontal="center" vertical="center"/>
    </xf>
    <xf numFmtId="9" fontId="8" fillId="4" borderId="0">
      <alignment horizontal="center" vertical="center"/>
    </xf>
    <xf numFmtId="0" fontId="6" fillId="4" borderId="0">
      <alignment horizontal="left" vertical="center" indent="1"/>
    </xf>
    <xf numFmtId="0" fontId="7" fillId="4" borderId="0">
      <alignment horizontal="right" vertical="center"/>
    </xf>
    <xf numFmtId="9" fontId="10" fillId="0" borderId="0" applyFont="0" applyFill="0" applyBorder="0" applyAlignment="0" applyProtection="0"/>
    <xf numFmtId="0" fontId="2" fillId="0" borderId="2">
      <alignment horizontal="center" vertical="center"/>
    </xf>
    <xf numFmtId="0" fontId="3" fillId="12" borderId="2">
      <alignment horizontal="center" vertical="center"/>
    </xf>
    <xf numFmtId="9" fontId="2" fillId="0" borderId="2">
      <alignment horizontal="center" vertical="center"/>
    </xf>
    <xf numFmtId="4" fontId="2" fillId="0" borderId="2">
      <alignment horizontal="center" vertical="center"/>
    </xf>
    <xf numFmtId="3" fontId="2" fillId="0" borderId="2">
      <alignment horizontal="center" vertical="center"/>
    </xf>
    <xf numFmtId="0" fontId="14" fillId="0" borderId="2">
      <alignment horizontal="center" vertical="center"/>
    </xf>
    <xf numFmtId="0" fontId="15" fillId="0" borderId="2">
      <alignment horizontal="center" vertical="center"/>
    </xf>
    <xf numFmtId="9" fontId="14" fillId="0" borderId="2">
      <alignment horizontal="center" vertical="center"/>
    </xf>
    <xf numFmtId="165" fontId="14" fillId="0" borderId="2">
      <alignment horizontal="center" vertical="center"/>
    </xf>
    <xf numFmtId="3" fontId="14" fillId="0" borderId="2">
      <alignment horizontal="center" vertical="center"/>
    </xf>
    <xf numFmtId="0" fontId="16" fillId="4" borderId="0">
      <alignment horizontal="left" vertical="center"/>
    </xf>
    <xf numFmtId="0" fontId="6" fillId="4" borderId="4">
      <alignment horizontal="left" vertical="center" indent="1"/>
    </xf>
    <xf numFmtId="164" fontId="8" fillId="4" borderId="4">
      <alignment horizontal="center" vertical="center"/>
    </xf>
    <xf numFmtId="0" fontId="3" fillId="4" borderId="4">
      <alignment horizontal="left" vertical="center"/>
    </xf>
    <xf numFmtId="0" fontId="13" fillId="6" borderId="0">
      <alignment horizontal="left" vertical="center" indent="1"/>
    </xf>
    <xf numFmtId="0" fontId="13" fillId="6" borderId="0">
      <alignment horizontal="center" vertical="center"/>
      <protection locked="0"/>
    </xf>
    <xf numFmtId="0" fontId="12" fillId="4" borderId="0">
      <alignment vertical="center"/>
    </xf>
    <xf numFmtId="0" fontId="17" fillId="7" borderId="0">
      <alignment vertical="center"/>
    </xf>
    <xf numFmtId="0" fontId="11" fillId="0" borderId="0"/>
    <xf numFmtId="0" fontId="18" fillId="0" borderId="0" applyNumberFormat="0" applyFill="0" applyBorder="0" applyAlignment="0" applyProtection="0"/>
    <xf numFmtId="0" fontId="2" fillId="0" borderId="0">
      <alignment horizontal="left" vertical="center" indent="1"/>
    </xf>
    <xf numFmtId="0" fontId="19" fillId="9" borderId="5">
      <alignment horizontal="left" vertical="center" indent="1"/>
    </xf>
    <xf numFmtId="0" fontId="22" fillId="10" borderId="0">
      <alignment horizontal="left" vertical="center" indent="1"/>
    </xf>
    <xf numFmtId="0" fontId="22" fillId="5" borderId="0">
      <alignment horizontal="left" vertical="center" indent="1"/>
    </xf>
    <xf numFmtId="0" fontId="22" fillId="8" borderId="0">
      <alignment horizontal="left" vertical="center" indent="1"/>
    </xf>
    <xf numFmtId="0" fontId="24" fillId="0" borderId="0">
      <alignment horizontal="left" vertical="center" indent="2"/>
    </xf>
    <xf numFmtId="0" fontId="46" fillId="13" borderId="8">
      <alignment horizontal="left" vertical="center"/>
    </xf>
    <xf numFmtId="43" fontId="10" fillId="0" borderId="0" applyFont="0" applyFill="0" applyBorder="0" applyAlignment="0" applyProtection="0"/>
    <xf numFmtId="3" fontId="35" fillId="4" borderId="2">
      <alignment horizontal="center" vertical="center"/>
    </xf>
    <xf numFmtId="168" fontId="2" fillId="0" borderId="2">
      <alignment horizontal="center" vertical="center"/>
    </xf>
    <xf numFmtId="0" fontId="36" fillId="0" borderId="0"/>
    <xf numFmtId="0" fontId="10" fillId="0" borderId="0"/>
    <xf numFmtId="0" fontId="36" fillId="0" borderId="0"/>
    <xf numFmtId="166" fontId="35" fillId="4" borderId="2">
      <alignment horizontal="center" vertical="center"/>
    </xf>
    <xf numFmtId="4" fontId="35" fillId="4" borderId="2">
      <alignment horizontal="center" vertical="center"/>
    </xf>
    <xf numFmtId="0" fontId="55" fillId="4" borderId="0">
      <alignment horizontal="left" vertical="center"/>
    </xf>
    <xf numFmtId="0" fontId="39" fillId="4" borderId="0" applyNumberFormat="0">
      <alignment horizontal="center" vertical="center"/>
    </xf>
    <xf numFmtId="165" fontId="35" fillId="4" borderId="2">
      <alignment horizontal="center" vertical="center"/>
    </xf>
    <xf numFmtId="0" fontId="34" fillId="4" borderId="0">
      <alignment horizontal="left" vertical="center"/>
    </xf>
    <xf numFmtId="169" fontId="35" fillId="4" borderId="2">
      <alignment horizontal="center" vertical="center"/>
    </xf>
    <xf numFmtId="0" fontId="35" fillId="4" borderId="2">
      <alignment horizontal="center" vertical="center"/>
    </xf>
    <xf numFmtId="0" fontId="6" fillId="4" borderId="0">
      <alignment horizontal="left" vertical="center"/>
    </xf>
    <xf numFmtId="0" fontId="43" fillId="4" borderId="0">
      <alignment horizontal="left" vertical="center"/>
    </xf>
    <xf numFmtId="0" fontId="10" fillId="0" borderId="0"/>
    <xf numFmtId="0" fontId="2" fillId="0" borderId="2">
      <alignment horizontal="center" vertical="center"/>
    </xf>
    <xf numFmtId="0" fontId="49" fillId="4" borderId="0">
      <alignment horizontal="left" vertical="center"/>
    </xf>
    <xf numFmtId="0" fontId="50" fillId="4" borderId="0">
      <alignment horizontal="left" vertical="center"/>
    </xf>
    <xf numFmtId="0" fontId="56" fillId="4" borderId="0">
      <alignment horizontal="left" vertical="center"/>
    </xf>
    <xf numFmtId="0" fontId="48" fillId="11" borderId="0">
      <alignment horizontal="center" vertical="center"/>
    </xf>
    <xf numFmtId="0" fontId="22" fillId="11" borderId="0">
      <alignment horizontal="left" vertical="center" indent="1"/>
    </xf>
    <xf numFmtId="0" fontId="60" fillId="14" borderId="2">
      <alignment horizontal="center" vertical="center"/>
    </xf>
    <xf numFmtId="0" fontId="61" fillId="15" borderId="2">
      <alignment horizontal="center" vertical="center"/>
    </xf>
    <xf numFmtId="0" fontId="35" fillId="4" borderId="2">
      <alignment horizontal="left" vertical="center"/>
    </xf>
    <xf numFmtId="0" fontId="62" fillId="4" borderId="2">
      <alignment horizontal="left" vertical="center"/>
    </xf>
  </cellStyleXfs>
  <cellXfs count="128">
    <xf numFmtId="0" fontId="0" fillId="0" borderId="0" xfId="0"/>
    <xf numFmtId="0" fontId="40" fillId="4" borderId="0" xfId="8">
      <alignment horizontal="left" vertical="center"/>
    </xf>
    <xf numFmtId="0" fontId="6" fillId="4" borderId="0" xfId="12">
      <alignment horizontal="left" vertical="center" indent="1"/>
    </xf>
    <xf numFmtId="0" fontId="3" fillId="4" borderId="0" xfId="7">
      <alignment horizontal="left" vertical="center"/>
    </xf>
    <xf numFmtId="0" fontId="17" fillId="3" borderId="0" xfId="4">
      <alignment vertical="center"/>
    </xf>
    <xf numFmtId="0" fontId="44" fillId="4" borderId="0" xfId="6">
      <alignment vertical="center"/>
    </xf>
    <xf numFmtId="0" fontId="38" fillId="4" borderId="0" xfId="5">
      <alignment horizontal="left" vertical="center"/>
    </xf>
    <xf numFmtId="0" fontId="3" fillId="0" borderId="0" xfId="7" applyFill="1">
      <alignment horizontal="left" vertical="center"/>
    </xf>
    <xf numFmtId="0" fontId="4" fillId="0" borderId="0" xfId="2"/>
    <xf numFmtId="0" fontId="1" fillId="0" borderId="0" xfId="3">
      <alignment vertical="center"/>
    </xf>
    <xf numFmtId="0" fontId="2" fillId="4" borderId="0" xfId="7" applyFont="1">
      <alignment horizontal="left" vertical="center"/>
    </xf>
    <xf numFmtId="0" fontId="17" fillId="0" borderId="0" xfId="4" applyFill="1">
      <alignment vertical="center"/>
    </xf>
    <xf numFmtId="0" fontId="11" fillId="0" borderId="0" xfId="2" applyFont="1"/>
    <xf numFmtId="0" fontId="16" fillId="4" borderId="0" xfId="25">
      <alignment horizontal="left" vertical="center"/>
    </xf>
    <xf numFmtId="0" fontId="12" fillId="4" borderId="0" xfId="31">
      <alignment vertical="center"/>
    </xf>
    <xf numFmtId="0" fontId="17" fillId="7" borderId="0" xfId="32">
      <alignment vertical="center"/>
    </xf>
    <xf numFmtId="0" fontId="2" fillId="9" borderId="0" xfId="7" applyFont="1" applyFill="1" applyAlignment="1">
      <alignment horizontal="left" vertical="center" indent="1"/>
    </xf>
    <xf numFmtId="0" fontId="2" fillId="0" borderId="0" xfId="35">
      <alignment horizontal="left" vertical="center" indent="1"/>
    </xf>
    <xf numFmtId="0" fontId="19" fillId="9" borderId="5" xfId="36">
      <alignment horizontal="left" vertical="center" indent="1"/>
    </xf>
    <xf numFmtId="0" fontId="20" fillId="9" borderId="5" xfId="36" applyFont="1">
      <alignment horizontal="left" vertical="center" indent="1"/>
    </xf>
    <xf numFmtId="0" fontId="21" fillId="9" borderId="5" xfId="36" applyFont="1">
      <alignment horizontal="left" vertical="center" indent="1"/>
    </xf>
    <xf numFmtId="0" fontId="22" fillId="5" borderId="0" xfId="38">
      <alignment horizontal="left" vertical="center" indent="1"/>
    </xf>
    <xf numFmtId="0" fontId="22" fillId="8" borderId="0" xfId="39">
      <alignment horizontal="left" vertical="center" indent="1"/>
    </xf>
    <xf numFmtId="0" fontId="46" fillId="13" borderId="8" xfId="41">
      <alignment horizontal="left" vertical="center"/>
    </xf>
    <xf numFmtId="0" fontId="0" fillId="4" borderId="0" xfId="0" applyFill="1"/>
    <xf numFmtId="2" fontId="32" fillId="4" borderId="1" xfId="0" applyNumberFormat="1" applyFont="1" applyFill="1" applyBorder="1"/>
    <xf numFmtId="2" fontId="0" fillId="4" borderId="0" xfId="0" applyNumberFormat="1" applyFill="1" applyAlignment="1">
      <alignment vertical="center"/>
    </xf>
    <xf numFmtId="0" fontId="17" fillId="4" borderId="0" xfId="4" applyFill="1">
      <alignment vertical="center"/>
    </xf>
    <xf numFmtId="0" fontId="31" fillId="4" borderId="0" xfId="0" applyFont="1" applyFill="1"/>
    <xf numFmtId="2" fontId="32" fillId="4" borderId="0" xfId="0" applyNumberFormat="1" applyFont="1" applyFill="1"/>
    <xf numFmtId="0" fontId="6" fillId="4" borderId="0" xfId="12" applyAlignment="1">
      <alignment horizontal="left" indent="1"/>
    </xf>
    <xf numFmtId="0" fontId="32" fillId="4" borderId="1" xfId="0" applyFont="1" applyFill="1" applyBorder="1"/>
    <xf numFmtId="0" fontId="40" fillId="4" borderId="0" xfId="8" applyAlignment="1">
      <alignment horizontal="right" vertical="center"/>
    </xf>
    <xf numFmtId="4" fontId="2" fillId="4" borderId="0" xfId="18" applyFill="1" applyBorder="1">
      <alignment horizontal="center" vertical="center"/>
    </xf>
    <xf numFmtId="0" fontId="13" fillId="4" borderId="0" xfId="30" applyFill="1">
      <alignment horizontal="center" vertical="center"/>
      <protection locked="0"/>
    </xf>
    <xf numFmtId="0" fontId="2" fillId="0" borderId="2" xfId="15">
      <alignment horizontal="center" vertical="center"/>
    </xf>
    <xf numFmtId="0" fontId="29" fillId="4" borderId="0" xfId="7" applyFont="1" applyAlignment="1">
      <alignment horizontal="center" vertical="center"/>
    </xf>
    <xf numFmtId="166" fontId="29" fillId="4" borderId="0" xfId="7" applyNumberFormat="1" applyFont="1" applyAlignment="1">
      <alignment horizontal="center" vertical="center"/>
    </xf>
    <xf numFmtId="0" fontId="0" fillId="0" borderId="0" xfId="7" applyFont="1" applyFill="1">
      <alignment horizontal="left" vertical="center"/>
    </xf>
    <xf numFmtId="0" fontId="0" fillId="0" borderId="0" xfId="8" applyFont="1" applyFill="1">
      <alignment horizontal="left" vertical="center"/>
    </xf>
    <xf numFmtId="0" fontId="2" fillId="0" borderId="0" xfId="7" applyFont="1" applyFill="1">
      <alignment horizontal="left" vertical="center"/>
    </xf>
    <xf numFmtId="0" fontId="13" fillId="6" borderId="0" xfId="30">
      <alignment horizontal="center" vertical="center"/>
      <protection locked="0"/>
    </xf>
    <xf numFmtId="0" fontId="3" fillId="12" borderId="2" xfId="16">
      <alignment horizontal="center" vertical="center"/>
    </xf>
    <xf numFmtId="0" fontId="38" fillId="0" borderId="0" xfId="5" applyFill="1">
      <alignment horizontal="left" vertical="center"/>
    </xf>
    <xf numFmtId="0" fontId="44" fillId="0" borderId="0" xfId="6" applyFill="1">
      <alignment vertical="center"/>
    </xf>
    <xf numFmtId="0" fontId="40" fillId="0" borderId="0" xfId="8" applyFill="1">
      <alignment horizontal="left" vertical="center"/>
    </xf>
    <xf numFmtId="0" fontId="9" fillId="0" borderId="0" xfId="12" applyFont="1" applyFill="1" applyAlignment="1">
      <alignment horizontal="left" vertical="center"/>
    </xf>
    <xf numFmtId="0" fontId="37" fillId="0" borderId="0" xfId="0" applyFont="1"/>
    <xf numFmtId="0" fontId="40" fillId="4" borderId="1" xfId="8" applyBorder="1">
      <alignment horizontal="left" vertical="center"/>
    </xf>
    <xf numFmtId="4" fontId="26" fillId="0" borderId="0" xfId="18" applyFont="1" applyBorder="1">
      <alignment horizontal="center" vertical="center"/>
    </xf>
    <xf numFmtId="0" fontId="25" fillId="0" borderId="0" xfId="0" applyFont="1" applyAlignment="1" applyProtection="1">
      <alignment horizontal="center" vertical="center"/>
      <protection locked="0"/>
    </xf>
    <xf numFmtId="0" fontId="26" fillId="0" borderId="0" xfId="0" applyFont="1"/>
    <xf numFmtId="0" fontId="5" fillId="2" borderId="0" xfId="9">
      <alignment horizontal="center" vertical="center"/>
    </xf>
    <xf numFmtId="0" fontId="35" fillId="4" borderId="2" xfId="55">
      <alignment horizontal="center" vertical="center"/>
    </xf>
    <xf numFmtId="0" fontId="42" fillId="4" borderId="0" xfId="8" applyFont="1">
      <alignment horizontal="left" vertical="center"/>
    </xf>
    <xf numFmtId="0" fontId="6" fillId="4" borderId="0" xfId="56">
      <alignment horizontal="left" vertical="center"/>
    </xf>
    <xf numFmtId="0" fontId="43" fillId="4" borderId="0" xfId="57">
      <alignment horizontal="left" vertical="center"/>
    </xf>
    <xf numFmtId="0" fontId="10" fillId="0" borderId="0" xfId="58"/>
    <xf numFmtId="0" fontId="35" fillId="4" borderId="2" xfId="55" applyAlignment="1">
      <alignment horizontal="left" vertical="center"/>
    </xf>
    <xf numFmtId="0" fontId="35" fillId="4" borderId="7" xfId="55" applyBorder="1" applyAlignment="1">
      <alignment horizontal="left" vertical="center"/>
    </xf>
    <xf numFmtId="0" fontId="0" fillId="4" borderId="0" xfId="7" applyFont="1">
      <alignment horizontal="left" vertical="center"/>
    </xf>
    <xf numFmtId="4" fontId="26" fillId="4" borderId="0" xfId="18" applyFont="1" applyFill="1" applyBorder="1">
      <alignment horizontal="center" vertical="center"/>
    </xf>
    <xf numFmtId="9" fontId="26" fillId="4" borderId="0" xfId="14" applyFont="1" applyFill="1" applyBorder="1" applyAlignment="1">
      <alignment horizontal="center" vertical="center"/>
    </xf>
    <xf numFmtId="0" fontId="13" fillId="6" borderId="0" xfId="29">
      <alignment horizontal="left" vertical="center" indent="1"/>
    </xf>
    <xf numFmtId="168" fontId="2" fillId="0" borderId="2" xfId="44">
      <alignment horizontal="center" vertical="center"/>
    </xf>
    <xf numFmtId="0" fontId="2" fillId="0" borderId="0" xfId="7" applyFont="1" applyFill="1" applyAlignment="1">
      <alignment horizontal="left" vertical="center" indent="1"/>
    </xf>
    <xf numFmtId="0" fontId="45" fillId="0" borderId="0" xfId="35" applyFont="1">
      <alignment horizontal="left" vertical="center" indent="1"/>
    </xf>
    <xf numFmtId="0" fontId="11" fillId="0" borderId="0" xfId="33"/>
    <xf numFmtId="0" fontId="22" fillId="10" borderId="0" xfId="37">
      <alignment horizontal="left" vertical="center" indent="1"/>
    </xf>
    <xf numFmtId="0" fontId="3" fillId="4" borderId="3" xfId="7" applyBorder="1">
      <alignment horizontal="left" vertical="center"/>
    </xf>
    <xf numFmtId="166" fontId="35" fillId="4" borderId="2" xfId="43" applyNumberFormat="1">
      <alignment horizontal="center" vertical="center"/>
    </xf>
    <xf numFmtId="164" fontId="8" fillId="4" borderId="0" xfId="27" applyBorder="1">
      <alignment horizontal="center" vertical="center"/>
    </xf>
    <xf numFmtId="0" fontId="26" fillId="4" borderId="0" xfId="8" applyFont="1" applyAlignment="1">
      <alignment horizontal="center" vertical="center"/>
    </xf>
    <xf numFmtId="166" fontId="26" fillId="4" borderId="0" xfId="8" applyNumberFormat="1" applyFont="1" applyAlignment="1">
      <alignment horizontal="center" vertical="center"/>
    </xf>
    <xf numFmtId="0" fontId="26" fillId="4" borderId="0" xfId="12" applyFont="1" applyAlignment="1">
      <alignment horizontal="center" vertical="center"/>
    </xf>
    <xf numFmtId="0" fontId="27" fillId="4" borderId="0" xfId="0" applyFont="1" applyFill="1" applyAlignment="1">
      <alignment horizontal="center" vertical="center"/>
    </xf>
    <xf numFmtId="0" fontId="27" fillId="4" borderId="0" xfId="0" applyFont="1" applyFill="1"/>
    <xf numFmtId="0" fontId="26" fillId="4" borderId="0" xfId="0" applyFont="1" applyFill="1"/>
    <xf numFmtId="0" fontId="28" fillId="4" borderId="0" xfId="7" applyFont="1" applyAlignment="1">
      <alignment horizontal="center" vertical="center"/>
    </xf>
    <xf numFmtId="0" fontId="29" fillId="4" borderId="0" xfId="0" applyFont="1" applyFill="1" applyAlignment="1">
      <alignment horizontal="center" vertical="center"/>
    </xf>
    <xf numFmtId="0" fontId="30" fillId="4" borderId="0" xfId="0" applyFont="1" applyFill="1" applyAlignment="1">
      <alignment horizontal="center" vertical="center"/>
    </xf>
    <xf numFmtId="0" fontId="30" fillId="4" borderId="0" xfId="0" applyFont="1" applyFill="1" applyAlignment="1">
      <alignment horizontal="left" vertical="center"/>
    </xf>
    <xf numFmtId="14" fontId="3" fillId="4" borderId="0" xfId="7" applyNumberFormat="1">
      <alignment horizontal="left" vertical="center"/>
    </xf>
    <xf numFmtId="0" fontId="18" fillId="4" borderId="0" xfId="34" applyFill="1" applyBorder="1"/>
    <xf numFmtId="166" fontId="2" fillId="4" borderId="0" xfId="19" applyNumberFormat="1" applyFill="1" applyBorder="1">
      <alignment horizontal="center" vertical="center"/>
    </xf>
    <xf numFmtId="167" fontId="3" fillId="4" borderId="0" xfId="42" applyNumberFormat="1" applyFont="1" applyFill="1" applyBorder="1" applyAlignment="1">
      <alignment horizontal="center" vertical="center"/>
    </xf>
    <xf numFmtId="0" fontId="33" fillId="4" borderId="0" xfId="0" applyFont="1" applyFill="1"/>
    <xf numFmtId="0" fontId="46" fillId="13" borderId="10" xfId="41" applyBorder="1">
      <alignment horizontal="left" vertical="center"/>
    </xf>
    <xf numFmtId="0" fontId="46" fillId="13" borderId="12" xfId="41" applyBorder="1">
      <alignment horizontal="left" vertical="center"/>
    </xf>
    <xf numFmtId="0" fontId="46" fillId="13" borderId="14" xfId="41" applyBorder="1">
      <alignment horizontal="left" vertical="center"/>
    </xf>
    <xf numFmtId="0" fontId="46" fillId="13" borderId="13" xfId="41" applyBorder="1">
      <alignment horizontal="left" vertical="center"/>
    </xf>
    <xf numFmtId="0" fontId="46" fillId="13" borderId="15" xfId="41" applyBorder="1">
      <alignment horizontal="left" vertical="center"/>
    </xf>
    <xf numFmtId="0" fontId="46" fillId="13" borderId="17" xfId="41" applyBorder="1">
      <alignment horizontal="left" vertical="center"/>
    </xf>
    <xf numFmtId="0" fontId="46" fillId="13" borderId="11" xfId="41" applyBorder="1">
      <alignment horizontal="left" vertical="center"/>
    </xf>
    <xf numFmtId="0" fontId="46" fillId="13" borderId="16" xfId="41" applyBorder="1">
      <alignment horizontal="left" vertical="center"/>
    </xf>
    <xf numFmtId="0" fontId="46" fillId="13" borderId="18" xfId="41" applyBorder="1">
      <alignment horizontal="left" vertical="center"/>
    </xf>
    <xf numFmtId="0" fontId="47" fillId="13" borderId="9" xfId="41" applyFont="1" applyBorder="1">
      <alignment horizontal="left" vertical="center"/>
    </xf>
    <xf numFmtId="0" fontId="50" fillId="4" borderId="0" xfId="61">
      <alignment horizontal="left" vertical="center"/>
    </xf>
    <xf numFmtId="0" fontId="49" fillId="4" borderId="0" xfId="60">
      <alignment horizontal="left" vertical="center"/>
    </xf>
    <xf numFmtId="3" fontId="2" fillId="0" borderId="2" xfId="19">
      <alignment horizontal="center" vertical="center"/>
    </xf>
    <xf numFmtId="3" fontId="35" fillId="4" borderId="2" xfId="55" applyNumberFormat="1">
      <alignment horizontal="center" vertical="center"/>
    </xf>
    <xf numFmtId="0" fontId="51" fillId="4" borderId="1" xfId="8" applyFont="1" applyBorder="1">
      <alignment horizontal="left" vertical="center"/>
    </xf>
    <xf numFmtId="0" fontId="52" fillId="4" borderId="1" xfId="8" applyFont="1" applyBorder="1">
      <alignment horizontal="left" vertical="center"/>
    </xf>
    <xf numFmtId="0" fontId="53" fillId="4" borderId="1" xfId="56" applyFont="1" applyBorder="1">
      <alignment horizontal="left" vertical="center"/>
    </xf>
    <xf numFmtId="0" fontId="35" fillId="4" borderId="19" xfId="55" applyBorder="1">
      <alignment horizontal="center" vertical="center"/>
    </xf>
    <xf numFmtId="0" fontId="6" fillId="4" borderId="1" xfId="56" applyBorder="1">
      <alignment horizontal="left" vertical="center"/>
    </xf>
    <xf numFmtId="0" fontId="46" fillId="13" borderId="9" xfId="41" applyBorder="1">
      <alignment horizontal="left" vertical="center"/>
    </xf>
    <xf numFmtId="9" fontId="8" fillId="4" borderId="0" xfId="11">
      <alignment horizontal="center" vertical="center"/>
    </xf>
    <xf numFmtId="164" fontId="8" fillId="4" borderId="0" xfId="10">
      <alignment horizontal="center" vertical="center"/>
    </xf>
    <xf numFmtId="0" fontId="6" fillId="4" borderId="1" xfId="12" applyBorder="1">
      <alignment horizontal="left" vertical="center" indent="1"/>
    </xf>
    <xf numFmtId="0" fontId="42" fillId="4" borderId="1" xfId="8" applyFont="1" applyBorder="1">
      <alignment horizontal="left" vertical="center"/>
    </xf>
    <xf numFmtId="2" fontId="32" fillId="4" borderId="1" xfId="0" applyNumberFormat="1" applyFont="1" applyFill="1" applyBorder="1" applyAlignment="1">
      <alignment horizontal="center"/>
    </xf>
    <xf numFmtId="0" fontId="48" fillId="11" borderId="0" xfId="63">
      <alignment horizontal="center" vertical="center"/>
    </xf>
    <xf numFmtId="0" fontId="22" fillId="11" borderId="0" xfId="64">
      <alignment horizontal="left" vertical="center" indent="1"/>
    </xf>
    <xf numFmtId="0" fontId="59" fillId="0" borderId="0" xfId="2" applyFont="1"/>
    <xf numFmtId="0" fontId="60" fillId="14" borderId="2" xfId="65">
      <alignment horizontal="center" vertical="center"/>
    </xf>
    <xf numFmtId="0" fontId="61" fillId="15" borderId="2" xfId="66">
      <alignment horizontal="center" vertical="center"/>
    </xf>
    <xf numFmtId="0" fontId="35" fillId="4" borderId="2" xfId="67">
      <alignment horizontal="left" vertical="center"/>
    </xf>
    <xf numFmtId="0" fontId="62" fillId="4" borderId="2" xfId="68">
      <alignment horizontal="left" vertical="center"/>
    </xf>
    <xf numFmtId="0" fontId="35" fillId="4" borderId="6" xfId="67" applyBorder="1">
      <alignment horizontal="left" vertical="center"/>
    </xf>
    <xf numFmtId="0" fontId="35" fillId="4" borderId="7" xfId="67" applyBorder="1">
      <alignment horizontal="left" vertical="center"/>
    </xf>
    <xf numFmtId="0" fontId="35" fillId="4" borderId="19" xfId="67" applyBorder="1">
      <alignment horizontal="left" vertical="center"/>
    </xf>
    <xf numFmtId="0" fontId="40" fillId="9" borderId="0" xfId="8" applyFill="1">
      <alignment horizontal="left" vertical="center"/>
    </xf>
    <xf numFmtId="0" fontId="17" fillId="11" borderId="0" xfId="32" applyFill="1">
      <alignment vertical="center"/>
    </xf>
    <xf numFmtId="0" fontId="46" fillId="13" borderId="20" xfId="41" applyBorder="1">
      <alignment horizontal="left" vertical="center"/>
    </xf>
    <xf numFmtId="0" fontId="47" fillId="13" borderId="21" xfId="41" applyFont="1" applyBorder="1">
      <alignment horizontal="left" vertical="center"/>
    </xf>
    <xf numFmtId="0" fontId="46" fillId="13" borderId="21" xfId="41" applyBorder="1">
      <alignment horizontal="left" vertical="center"/>
    </xf>
    <xf numFmtId="170" fontId="35" fillId="4" borderId="2" xfId="14" applyNumberFormat="1" applyFont="1" applyFill="1" applyBorder="1" applyAlignment="1">
      <alignment horizontal="center" vertical="center"/>
    </xf>
  </cellXfs>
  <cellStyles count="69">
    <cellStyle name="Alert" xfId="62" xr:uid="{34EFE908-8095-4010-8F93-8CFE88055637}"/>
    <cellStyle name="Arguments" xfId="67" xr:uid="{A98BE7F9-9AF1-41BC-93A1-04622A5983FD}"/>
    <cellStyle name="Arguments hyperlink" xfId="68" xr:uid="{5B3BC2F2-D301-4F3B-B97E-D17F59423576}"/>
    <cellStyle name="Block heading" xfId="5" xr:uid="{74527274-3B4A-494A-B37C-EA50686E114C}"/>
    <cellStyle name="Block subheading" xfId="50" xr:uid="{34E62905-A3E0-4883-B81A-BDB58FC88DA7}"/>
    <cellStyle name="Code" xfId="25" xr:uid="{99B3520F-01DD-4F8E-A8D0-24EAA04E90EB}"/>
    <cellStyle name="Comma" xfId="42" builtinId="3"/>
    <cellStyle name="Content bold" xfId="7" xr:uid="{468A1381-682E-4BF1-945B-DF2E2BCA4419}"/>
    <cellStyle name="Content bold total" xfId="28" xr:uid="{17159E75-EF9F-42B8-8195-E83583796F67}"/>
    <cellStyle name="Content hidden" xfId="53" xr:uid="{8E56D08F-467A-4F3D-ADA8-ECA27B2FFCD3}"/>
    <cellStyle name="Content normal" xfId="8" xr:uid="{55F96DE2-2B61-4529-A3B8-2B8B8AA0D350}"/>
    <cellStyle name="Equation column header" xfId="9" xr:uid="{B705D3A4-E195-47DF-A4D1-BA1FDC70C701}"/>
    <cellStyle name="Equation source" xfId="6" xr:uid="{348FC12D-3392-478F-B0B3-D4FA4BBA59E4}"/>
    <cellStyle name="Equation table header" xfId="1" xr:uid="{11780056-D3CA-48D4-90AF-8DF1A50E1B13}"/>
    <cellStyle name="Euqation table row 2" xfId="13" xr:uid="{2CAEAB93-BC87-4606-B5A1-3C2F7B5C52A1}"/>
    <cellStyle name="Hyperlink" xfId="34" builtinId="8"/>
    <cellStyle name="Information tip" xfId="41" xr:uid="{7D200D09-32E3-4546-9822-1B93AD118A74}"/>
    <cellStyle name="Information variation" xfId="57" xr:uid="{205494A3-14DD-4E6A-BDD3-5C5A864D6FA7}"/>
    <cellStyle name="Input block subheading" xfId="31" xr:uid="{A9FEBDB0-0992-4E30-96E5-9F9CAE92E3FB}"/>
    <cellStyle name="Input date" xfId="44" xr:uid="{A1D72D5E-DCF3-445F-8FC0-A147E105D774}"/>
    <cellStyle name="Input date calculated" xfId="48" xr:uid="{5A42AD0E-F665-46A9-9757-6B6A4BE7013E}"/>
    <cellStyle name="Input number 2 decimal places" xfId="18" xr:uid="{F9671E40-5700-4055-A6D2-272CF9DB620E}"/>
    <cellStyle name="Input number 2 decimal places calculated" xfId="49" xr:uid="{C04BA53C-14E1-48A5-99A3-C9FD44741A2A}"/>
    <cellStyle name="Input number 3 decimal places calculated" xfId="52" xr:uid="{637E6039-0A01-48EF-8C15-C29A497EF449}"/>
    <cellStyle name="Input number 3 decimal places disabled" xfId="23" xr:uid="{6B1B6177-B1C0-4190-858F-6E4C823402C3}"/>
    <cellStyle name="Input number 6 decimal places calculated" xfId="54" xr:uid="{CE70A7A2-3CEE-4689-8FF6-8EB6FCE0A94C}"/>
    <cellStyle name="Input number general" xfId="59" xr:uid="{D8583F7D-F13A-4EA8-BAA6-B42739FDBDDB}"/>
    <cellStyle name="Input number general calculated" xfId="55" xr:uid="{34755FEB-6E4E-4BD7-A478-DF7299A7A914}"/>
    <cellStyle name="Input number no decimals" xfId="19" xr:uid="{B33B4FB5-F3F4-4036-B2DD-663B694E2A90}"/>
    <cellStyle name="Input number no decimals calculated" xfId="43" xr:uid="{5A48F48F-03B2-410E-887B-2A9297006BAF}"/>
    <cellStyle name="Input number no decimals disabled" xfId="24" xr:uid="{7ABDCB2D-7703-4392-9553-5620789B1E19}"/>
    <cellStyle name="Input number percent disabled" xfId="22" xr:uid="{D0E8B42E-13A8-477C-99CB-5FF73C5BBAA4}"/>
    <cellStyle name="Input page heading" xfId="33" xr:uid="{74FB9B3B-4B5B-4B7F-A54C-22E0724783C8}"/>
    <cellStyle name="Input page section heading" xfId="32" xr:uid="{1A05B367-BE5D-4E2B-9831-A28D5CFAC8EC}"/>
    <cellStyle name="Input percent" xfId="17" xr:uid="{923E56A7-7902-46CD-9AA8-0D69F2E1ECA1}"/>
    <cellStyle name="Input select" xfId="16" xr:uid="{3CF2E653-7F22-4996-ABB9-95CA16698B1F}"/>
    <cellStyle name="Input select disabled" xfId="21" xr:uid="{5CE680CC-504C-444D-8337-CF97D9BB5A78}"/>
    <cellStyle name="Input table column header" xfId="30" xr:uid="{EF98B018-1246-451D-91C2-97FCD443EDC9}"/>
    <cellStyle name="Input table header" xfId="29" xr:uid="{04872377-9FDD-4D5A-91FC-B9D8DA1E8E91}"/>
    <cellStyle name="Input text" xfId="15" xr:uid="{4C71A4C5-ADD8-4A09-A7FE-940DA96821F6}"/>
    <cellStyle name="Input text calculated" xfId="51" xr:uid="{43DCF082-1F0D-4E07-9785-CAF41B37CFCC}"/>
    <cellStyle name="Input text disabled" xfId="20" xr:uid="{79E76B35-E5FF-43A1-B0D0-016F346F8B97}"/>
    <cellStyle name="Menu link child" xfId="40" xr:uid="{609090D3-DE1E-48FE-A8AA-233CE9B146E0}"/>
    <cellStyle name="Menu link default" xfId="35" xr:uid="{11B84453-1DD4-492A-B241-FE6AD4CB25FA}"/>
    <cellStyle name="Menu link selected" xfId="37" xr:uid="{B16EBA6F-62C4-483F-8E15-B20D06ABF61F}"/>
    <cellStyle name="Menu link selected equations" xfId="39" xr:uid="{7AFCC545-C221-4BAC-933E-19109D0FB654}"/>
    <cellStyle name="Menu link selected input" xfId="38" xr:uid="{17D327F4-9149-4DAC-85BB-811698090830}"/>
    <cellStyle name="Menu link selected results" xfId="64" xr:uid="{0DC56464-F1A3-42A3-BF89-514E2163E7F0}"/>
    <cellStyle name="Menu section title" xfId="36" xr:uid="{E2117B15-AE58-4F76-B13B-671D455A4107}"/>
    <cellStyle name="Normal" xfId="0" builtinId="0"/>
    <cellStyle name="Normal 2" xfId="58" xr:uid="{FE64FEFB-54C6-42B4-AA7F-D49670F5ED19}"/>
    <cellStyle name="Normal 2 2" xfId="47" xr:uid="{B8803ACE-513D-4EEF-BBE0-0BB76AE7D7F4}"/>
    <cellStyle name="Normal 4" xfId="45" xr:uid="{99CD1B63-5040-4067-BBD7-470030C57E5D}"/>
    <cellStyle name="Normal 5" xfId="46" xr:uid="{C95BEC9B-545D-4D75-A129-77179ED2BD99}"/>
    <cellStyle name="Number diplsay percent" xfId="11" xr:uid="{2A2547EE-93B6-4F82-A56A-1A45D8712142}"/>
    <cellStyle name="Number display decimal" xfId="10" xr:uid="{D6C655C7-D21F-4B70-8143-4C163C43FE08}"/>
    <cellStyle name="Number display decimal total" xfId="27" xr:uid="{A9378C0C-CCAE-43D1-BC2C-BD4A9766DA0D}"/>
    <cellStyle name="Page heading" xfId="2" xr:uid="{255E304E-A5AB-40F0-8E3A-91C132147F10}"/>
    <cellStyle name="Page section heading" xfId="4" xr:uid="{B654AFF3-28A2-43B8-AE91-E7D2C159A294}"/>
    <cellStyle name="Page source" xfId="3" xr:uid="{35DF92BD-4909-4EA7-B1E6-C0EDAAEB1713}"/>
    <cellStyle name="Percent" xfId="14" builtinId="5"/>
    <cellStyle name="Results table column header" xfId="63" xr:uid="{A846043F-10AE-4BED-BAA6-90407C977915}"/>
    <cellStyle name="Table description" xfId="61" xr:uid="{8BD2F353-2E3C-42FF-89E9-616E85DC18C5}"/>
    <cellStyle name="Table name" xfId="60" xr:uid="{D56F17A4-9740-44B6-BDDB-150E2C950B8B}"/>
    <cellStyle name="Unit" xfId="12" xr:uid="{90B9E191-F5E0-43AB-A245-D6CA23D4ADFC}"/>
    <cellStyle name="Unit no indent" xfId="56" xr:uid="{2829D020-DAD8-4B7D-9262-450720E27D2B}"/>
    <cellStyle name="Unit total" xfId="26" xr:uid="{65428923-3DAD-47B6-8DDF-0EBD05E7C55B}"/>
    <cellStyle name="Variable type input" xfId="65" xr:uid="{515940C5-98BF-44F7-AAB8-0D7808DD5C6C}"/>
    <cellStyle name="Variable type other" xfId="66" xr:uid="{5D88A237-9D54-45E0-A48E-F67D0639FDE2}"/>
  </cellStyles>
  <dxfs count="71">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b val="0"/>
        <i val="0"/>
        <strike val="0"/>
        <condense val="0"/>
        <extend val="0"/>
        <outline val="0"/>
        <shadow val="0"/>
        <u val="none"/>
        <vertAlign val="baseline"/>
        <sz val="11"/>
        <color theme="1"/>
        <name val="Times New Roman"/>
        <family val="2"/>
        <scheme val="minor"/>
      </font>
      <fill>
        <patternFill patternType="none">
          <fgColor indexed="64"/>
          <bgColor indexed="65"/>
        </patternFill>
      </fill>
    </dxf>
    <dxf>
      <font>
        <color theme="1" tint="0.24994659260841701"/>
      </font>
      <fill>
        <patternFill patternType="solid">
          <fgColor indexed="64"/>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fill>
        <patternFill>
          <bgColor theme="0" tint="-4.9989318521683403E-2"/>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183C1B"/>
      </font>
      <fill>
        <patternFill patternType="solid">
          <fgColor indexed="64"/>
          <bgColor rgb="FFB2D498"/>
        </patternFill>
      </fill>
    </dxf>
    <dxf>
      <font>
        <color theme="1" tint="0.24994659260841701"/>
      </font>
      <border>
        <left/>
        <right/>
        <top/>
        <bottom/>
        <vertical/>
        <horizontal/>
      </border>
    </dxf>
    <dxf>
      <font>
        <color theme="1" tint="0.24994659260841701"/>
      </font>
      <fill>
        <patternFill patternType="none">
          <fgColor indexed="64"/>
          <bgColor auto="1"/>
        </patternFill>
      </fill>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ont>
        <color theme="1" tint="0.24994659260841701"/>
      </font>
      <border>
        <left style="thin">
          <color theme="0" tint="-0.34998626667073579"/>
        </left>
        <right style="thin">
          <color theme="0" tint="-0.34998626667073579"/>
        </right>
        <top style="thin">
          <color theme="0" tint="-0.34998626667073579"/>
        </top>
        <bottom style="thin">
          <color theme="0" tint="-0.34998626667073579"/>
        </bottom>
        <vertical style="thin">
          <color theme="0" tint="-0.34998626667073579"/>
        </vertical>
        <horizontal style="thin">
          <color theme="0" tint="-0.34998626667073579"/>
        </horizontal>
      </border>
    </dxf>
    <dxf>
      <fill>
        <patternFill>
          <fgColor theme="0"/>
          <bgColor theme="0" tint="-4.9989318521683403E-2"/>
        </patternFill>
      </fill>
    </dxf>
    <dxf>
      <fill>
        <patternFill>
          <bgColor theme="0" tint="-0.14996795556505021"/>
        </patternFill>
      </fill>
    </dxf>
    <dxf>
      <font>
        <b/>
        <i val="0"/>
        <color rgb="FF533001"/>
      </font>
      <fill>
        <patternFill patternType="solid">
          <fgColor indexed="64"/>
          <bgColor rgb="FFFFCC66"/>
        </patternFill>
      </fill>
    </dxf>
    <dxf>
      <font>
        <color theme="1" tint="0.24994659260841701"/>
      </font>
      <border>
        <left/>
        <right/>
        <top/>
        <bottom/>
        <vertical/>
        <horizontal/>
      </border>
    </dxf>
  </dxfs>
  <tableStyles count="3" defaultTableStyle="Equation table" defaultPivotStyle="PivotStyleLight16">
    <tableStyle name="Editable table" pivot="0" count="6" xr9:uid="{8C498A1C-5864-4BF8-8739-A3055FE117E0}">
      <tableStyleElement type="wholeTable" dxfId="70"/>
      <tableStyleElement type="headerRow" dxfId="69"/>
      <tableStyleElement type="totalRow" dxfId="68"/>
      <tableStyleElement type="firstColumn" dxfId="67"/>
      <tableStyleElement type="firstRowStripe" dxfId="66"/>
      <tableStyleElement type="secondRowStripe" dxfId="65"/>
    </tableStyle>
    <tableStyle name="Equation table" pivot="0" count="6" xr9:uid="{B247698E-E41D-4CCD-AA0A-C14817E9DE65}">
      <tableStyleElement type="wholeTable" dxfId="64"/>
      <tableStyleElement type="headerRow" dxfId="63"/>
      <tableStyleElement type="totalRow" dxfId="62"/>
      <tableStyleElement type="firstColumn" dxfId="61"/>
      <tableStyleElement type="firstRowStripe" dxfId="60"/>
      <tableStyleElement type="secondRowStripe" dxfId="59"/>
    </tableStyle>
    <tableStyle name="Table Style 1" pivot="0" count="0" xr9:uid="{97B370DB-5463-4A31-9160-5A96BD6A559D}"/>
  </tableStyles>
  <colors>
    <mruColors>
      <color rgb="FF0C769E"/>
      <color rgb="FF008000"/>
      <color rgb="FFC44340"/>
      <color rgb="FFFFCCCC"/>
      <color rgb="FFC4433F"/>
      <color rgb="FFE9F2FB"/>
      <color rgb="FF183C1B"/>
      <color rgb="FFB2D498"/>
      <color rgb="FFCC6600"/>
      <color rgb="FF4F478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0/relationships/richValueRel" Target="richData/richValueRel.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06/relationships/rdRichValueTypes" Target="richData/rdRichValueTyp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sharedStrings" Target="sharedStrings.xml"/><Relationship Id="rId20"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styles" Target="styles.xml"/><Relationship Id="rId23" Type="http://schemas.openxmlformats.org/officeDocument/2006/relationships/customXml" Target="../customXml/item1.xml"/><Relationship Id="rId10" Type="http://schemas.openxmlformats.org/officeDocument/2006/relationships/worksheet" Target="worksheets/sheet10.xml"/><Relationship Id="rId19"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doughnutChart>
        <c:varyColors val="1"/>
        <c:dLbls>
          <c:showLegendKey val="0"/>
          <c:showVal val="0"/>
          <c:showCatName val="0"/>
          <c:showSerName val="0"/>
          <c:showPercent val="0"/>
          <c:showBubbleSize val="0"/>
          <c:showLeaderLines val="0"/>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oneCellAnchor>
    <xdr:from>
      <xdr:col>3</xdr:col>
      <xdr:colOff>217774</xdr:colOff>
      <xdr:row>7</xdr:row>
      <xdr:rowOff>3135</xdr:rowOff>
    </xdr:from>
    <xdr:ext cx="1928078" cy="505267"/>
    <xdr:sp macro="" textlink="'4.7.1.1-2 Manure Methane'!C1">
      <xdr:nvSpPr>
        <xdr:cNvPr id="2" name="TextBox 1">
          <a:extLst>
            <a:ext uri="{FF2B5EF4-FFF2-40B4-BE49-F238E27FC236}">
              <a16:creationId xmlns:a16="http://schemas.microsoft.com/office/drawing/2014/main" id="{3B503452-64E4-4041-812B-B7191D6DC263}"/>
            </a:ext>
          </a:extLst>
        </xdr:cNvPr>
        <xdr:cNvSpPr txBox="1"/>
      </xdr:nvSpPr>
      <xdr:spPr>
        <a:xfrm>
          <a:off x="2894299" y="1870035"/>
          <a:ext cx="192807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5A1819D9-BE73-49E0-8414-E65561BAF014}" type="TxLink">
            <a:rPr lang="en-US" sz="1400" b="0" i="0" u="none" strike="noStrike">
              <a:solidFill>
                <a:srgbClr val="0C769E"/>
              </a:solidFill>
              <a:latin typeface="Times New Roman"/>
              <a:cs typeface="Times New Roman"/>
            </a:rPr>
            <a:pPr algn="ctr"/>
            <a:t>4.7.1.1-2 Manure Methane</a:t>
          </a:fld>
          <a:endParaRPr lang="en-AU" sz="1400" b="0">
            <a:solidFill>
              <a:srgbClr val="0C769E"/>
            </a:solidFill>
          </a:endParaRPr>
        </a:p>
      </xdr:txBody>
    </xdr:sp>
    <xdr:clientData/>
  </xdr:oneCellAnchor>
  <xdr:oneCellAnchor>
    <xdr:from>
      <xdr:col>7</xdr:col>
      <xdr:colOff>254730</xdr:colOff>
      <xdr:row>7</xdr:row>
      <xdr:rowOff>3136</xdr:rowOff>
    </xdr:from>
    <xdr:ext cx="1946138" cy="505267"/>
    <xdr:sp macro="" textlink="'4.7.1.3-4 Soil Direct N2O'!C1">
      <xdr:nvSpPr>
        <xdr:cNvPr id="4" name="TextBox 3">
          <a:extLst>
            <a:ext uri="{FF2B5EF4-FFF2-40B4-BE49-F238E27FC236}">
              <a16:creationId xmlns:a16="http://schemas.microsoft.com/office/drawing/2014/main" id="{C4257C06-9F2B-4941-8D4B-9A2D04E1F9C9}"/>
            </a:ext>
          </a:extLst>
        </xdr:cNvPr>
        <xdr:cNvSpPr txBox="1"/>
      </xdr:nvSpPr>
      <xdr:spPr>
        <a:xfrm>
          <a:off x="5369655" y="1870036"/>
          <a:ext cx="1946138" cy="505267"/>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70C66FB3-537F-47DC-A689-0DFF3B216FA0}" type="TxLink">
            <a:rPr lang="en-US" sz="1400" b="0" i="0" u="none" strike="noStrike">
              <a:solidFill>
                <a:srgbClr val="002060"/>
              </a:solidFill>
              <a:latin typeface="Times New Roman"/>
              <a:cs typeface="Times New Roman"/>
            </a:rPr>
            <a:pPr algn="ctr"/>
            <a:t>4.7.1.3-4 Manure Soil Direct N2O</a:t>
          </a:fld>
          <a:endParaRPr lang="en-AU" sz="1400" b="0">
            <a:solidFill>
              <a:srgbClr val="002060"/>
            </a:solidFill>
          </a:endParaRPr>
        </a:p>
      </xdr:txBody>
    </xdr:sp>
    <xdr:clientData/>
  </xdr:oneCellAnchor>
  <xdr:twoCellAnchor>
    <xdr:from>
      <xdr:col>7</xdr:col>
      <xdr:colOff>366215</xdr:colOff>
      <xdr:row>9</xdr:row>
      <xdr:rowOff>180108</xdr:rowOff>
    </xdr:from>
    <xdr:to>
      <xdr:col>10</xdr:col>
      <xdr:colOff>52136</xdr:colOff>
      <xdr:row>12</xdr:row>
      <xdr:rowOff>157158</xdr:rowOff>
    </xdr:to>
    <xdr:sp macro="" textlink="'4.7.1.3-4 Soil Direct N2O'!D5">
      <xdr:nvSpPr>
        <xdr:cNvPr id="5" name="TextBox 4">
          <a:extLst>
            <a:ext uri="{FF2B5EF4-FFF2-40B4-BE49-F238E27FC236}">
              <a16:creationId xmlns:a16="http://schemas.microsoft.com/office/drawing/2014/main" id="{1D9A1F2E-1D34-44C4-A814-116FF25706CF}"/>
            </a:ext>
          </a:extLst>
        </xdr:cNvPr>
        <xdr:cNvSpPr txBox="1"/>
      </xdr:nvSpPr>
      <xdr:spPr>
        <a:xfrm>
          <a:off x="5481140" y="2542308"/>
          <a:ext cx="1514721" cy="720000"/>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3CE1A144-81DD-4A29-B423-E3EE4C4DF570}" type="TxLink">
            <a:rPr lang="en-US" sz="1000" b="0" i="0" u="none" strike="noStrike">
              <a:solidFill>
                <a:srgbClr val="002060"/>
              </a:solidFill>
              <a:latin typeface="Times New Roman"/>
              <a:cs typeface="Times New Roman"/>
            </a:rPr>
            <a:pPr algn="ctr"/>
            <a:t>Annual nitrogen excreted by livestock to pasture, range and paddock</a:t>
          </a:fld>
          <a:endParaRPr lang="en-AU" sz="1000">
            <a:solidFill>
              <a:srgbClr val="002060"/>
            </a:solidFill>
          </a:endParaRPr>
        </a:p>
      </xdr:txBody>
    </xdr:sp>
    <xdr:clientData/>
  </xdr:twoCellAnchor>
  <xdr:oneCellAnchor>
    <xdr:from>
      <xdr:col>11</xdr:col>
      <xdr:colOff>150435</xdr:colOff>
      <xdr:row>6</xdr:row>
      <xdr:rowOff>242803</xdr:rowOff>
    </xdr:from>
    <xdr:ext cx="1905000" cy="711733"/>
    <xdr:sp macro="" textlink="'4.7.1.5-6 Soil Atmos Deposition'!C1">
      <xdr:nvSpPr>
        <xdr:cNvPr id="6" name="TextBox 5">
          <a:extLst>
            <a:ext uri="{FF2B5EF4-FFF2-40B4-BE49-F238E27FC236}">
              <a16:creationId xmlns:a16="http://schemas.microsoft.com/office/drawing/2014/main" id="{802EA2E0-B0F7-4C24-B5E1-096DFC74BC99}"/>
            </a:ext>
          </a:extLst>
        </xdr:cNvPr>
        <xdr:cNvSpPr txBox="1"/>
      </xdr:nvSpPr>
      <xdr:spPr>
        <a:xfrm>
          <a:off x="7703760" y="1862053"/>
          <a:ext cx="1905000"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ABF60719-CC31-45E8-92FC-49FEE7790297}" type="TxLink">
            <a:rPr lang="en-US" sz="1400" b="0" i="0" u="none" strike="noStrike">
              <a:solidFill>
                <a:srgbClr val="7030A0"/>
              </a:solidFill>
              <a:latin typeface="Times New Roman"/>
              <a:cs typeface="Times New Roman"/>
            </a:rPr>
            <a:pPr algn="ctr"/>
            <a:t>4.7.1.4-5 Manure Soil Atmospheric Deposition</a:t>
          </a:fld>
          <a:endParaRPr lang="en-AU" sz="1400" b="0">
            <a:solidFill>
              <a:srgbClr val="7030A0"/>
            </a:solidFill>
          </a:endParaRPr>
        </a:p>
      </xdr:txBody>
    </xdr:sp>
    <xdr:clientData/>
  </xdr:oneCellAnchor>
  <xdr:oneCellAnchor>
    <xdr:from>
      <xdr:col>15</xdr:col>
      <xdr:colOff>518155</xdr:colOff>
      <xdr:row>6</xdr:row>
      <xdr:rowOff>231736</xdr:rowOff>
    </xdr:from>
    <xdr:ext cx="1683647" cy="711733"/>
    <xdr:sp macro="" textlink="'4.7.1.7-8 Soil Leaching Runoff'!C1">
      <xdr:nvSpPr>
        <xdr:cNvPr id="8" name="TextBox 7">
          <a:extLst>
            <a:ext uri="{FF2B5EF4-FFF2-40B4-BE49-F238E27FC236}">
              <a16:creationId xmlns:a16="http://schemas.microsoft.com/office/drawing/2014/main" id="{3B546504-E89D-477B-AF73-C368EECD911A}"/>
            </a:ext>
          </a:extLst>
        </xdr:cNvPr>
        <xdr:cNvSpPr txBox="1"/>
      </xdr:nvSpPr>
      <xdr:spPr>
        <a:xfrm>
          <a:off x="10509880" y="1850986"/>
          <a:ext cx="1683647" cy="71173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fld id="{80B42E19-73B9-41B3-A8ED-28F470B1A627}" type="TxLink">
            <a:rPr lang="en-US" sz="1400" b="0" i="0" u="none" strike="noStrike">
              <a:solidFill>
                <a:srgbClr val="C00000"/>
              </a:solidFill>
              <a:latin typeface="Times New Roman"/>
              <a:cs typeface="Times New Roman"/>
            </a:rPr>
            <a:pPr algn="ctr"/>
            <a:t>4.7.1.7-8 Manure Soil Leaching and Runoff</a:t>
          </a:fld>
          <a:endParaRPr lang="en-AU" sz="1400" b="0">
            <a:solidFill>
              <a:srgbClr val="C00000"/>
            </a:solidFill>
          </a:endParaRPr>
        </a:p>
      </xdr:txBody>
    </xdr:sp>
    <xdr:clientData/>
  </xdr:oneCellAnchor>
  <xdr:twoCellAnchor>
    <xdr:from>
      <xdr:col>3</xdr:col>
      <xdr:colOff>389782</xdr:colOff>
      <xdr:row>9</xdr:row>
      <xdr:rowOff>187035</xdr:rowOff>
    </xdr:from>
    <xdr:to>
      <xdr:col>6</xdr:col>
      <xdr:colOff>70261</xdr:colOff>
      <xdr:row>12</xdr:row>
      <xdr:rowOff>164086</xdr:rowOff>
    </xdr:to>
    <xdr:sp macro="" textlink="'4.7.1.1-2 Manure Methane'!D5">
      <xdr:nvSpPr>
        <xdr:cNvPr id="16" name="TextBox 15">
          <a:extLst>
            <a:ext uri="{FF2B5EF4-FFF2-40B4-BE49-F238E27FC236}">
              <a16:creationId xmlns:a16="http://schemas.microsoft.com/office/drawing/2014/main" id="{A391DA18-C458-4E43-BCCB-7D7FA0C9843E}"/>
            </a:ext>
          </a:extLst>
        </xdr:cNvPr>
        <xdr:cNvSpPr txBox="1"/>
      </xdr:nvSpPr>
      <xdr:spPr>
        <a:xfrm>
          <a:off x="3066307" y="2549235"/>
          <a:ext cx="1509279" cy="720001"/>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5370C9F3-5091-4865-AC1C-2631F8268E1F}" type="TxLink">
            <a:rPr lang="en-US" sz="1000" b="0" i="0" u="none" strike="noStrike">
              <a:solidFill>
                <a:srgbClr val="0C769E"/>
              </a:solidFill>
              <a:latin typeface="Times New Roman"/>
              <a:cs typeface="Times New Roman"/>
            </a:rPr>
            <a:pPr algn="ctr"/>
            <a:t>Annual methane production from manure management</a:t>
          </a:fld>
          <a:endParaRPr lang="en-AU" sz="1000">
            <a:solidFill>
              <a:srgbClr val="0C769E"/>
            </a:solidFill>
          </a:endParaRPr>
        </a:p>
      </xdr:txBody>
    </xdr:sp>
    <xdr:clientData/>
  </xdr:twoCellAnchor>
  <xdr:twoCellAnchor>
    <xdr:from>
      <xdr:col>3</xdr:col>
      <xdr:colOff>362568</xdr:colOff>
      <xdr:row>19</xdr:row>
      <xdr:rowOff>197785</xdr:rowOff>
    </xdr:from>
    <xdr:to>
      <xdr:col>6</xdr:col>
      <xdr:colOff>43047</xdr:colOff>
      <xdr:row>22</xdr:row>
      <xdr:rowOff>169885</xdr:rowOff>
    </xdr:to>
    <xdr:sp macro="" textlink="'4.7.1.1-2 Manure Methane'!D76">
      <xdr:nvSpPr>
        <xdr:cNvPr id="20" name="TextBox 19">
          <a:extLst>
            <a:ext uri="{FF2B5EF4-FFF2-40B4-BE49-F238E27FC236}">
              <a16:creationId xmlns:a16="http://schemas.microsoft.com/office/drawing/2014/main" id="{050A7C22-4BD7-4D52-9D6E-89987EDCC59C}"/>
            </a:ext>
          </a:extLst>
        </xdr:cNvPr>
        <xdr:cNvSpPr txBox="1"/>
      </xdr:nvSpPr>
      <xdr:spPr>
        <a:xfrm>
          <a:off x="3039093" y="5036485"/>
          <a:ext cx="1509279" cy="715050"/>
        </a:xfrm>
        <a:prstGeom prst="rect">
          <a:avLst/>
        </a:prstGeom>
        <a:solidFill>
          <a:schemeClr val="lt1"/>
        </a:solidFill>
        <a:ln w="9525" cmpd="sng">
          <a:solidFill>
            <a:srgbClr val="0C769E"/>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B96A758-AA4C-437E-AD90-8445A56A6224}" type="TxLink">
            <a:rPr lang="en-US" sz="1000" b="1" i="0" u="none" strike="noStrike">
              <a:solidFill>
                <a:srgbClr val="0C769E"/>
              </a:solidFill>
              <a:latin typeface="Times New Roman"/>
              <a:cs typeface="Times New Roman"/>
            </a:rPr>
            <a:pPr algn="ctr"/>
            <a:t>Total annual methane production from manure management of other livestock</a:t>
          </a:fld>
          <a:endParaRPr lang="en-AU" sz="1000" b="1">
            <a:solidFill>
              <a:srgbClr val="0C769E"/>
            </a:solidFill>
          </a:endParaRPr>
        </a:p>
      </xdr:txBody>
    </xdr:sp>
    <xdr:clientData/>
  </xdr:twoCellAnchor>
  <xdr:twoCellAnchor>
    <xdr:from>
      <xdr:col>4</xdr:col>
      <xdr:colOff>507609</xdr:colOff>
      <xdr:row>12</xdr:row>
      <xdr:rowOff>164085</xdr:rowOff>
    </xdr:from>
    <xdr:to>
      <xdr:col>4</xdr:col>
      <xdr:colOff>534823</xdr:colOff>
      <xdr:row>19</xdr:row>
      <xdr:rowOff>197784</xdr:rowOff>
    </xdr:to>
    <xdr:cxnSp macro="">
      <xdr:nvCxnSpPr>
        <xdr:cNvPr id="24" name="Connector: Curved 23">
          <a:extLst>
            <a:ext uri="{FF2B5EF4-FFF2-40B4-BE49-F238E27FC236}">
              <a16:creationId xmlns:a16="http://schemas.microsoft.com/office/drawing/2014/main" id="{DC7C8163-CA33-4F29-8BC7-CA3B1B1A1E9F}"/>
            </a:ext>
          </a:extLst>
        </xdr:cNvPr>
        <xdr:cNvCxnSpPr>
          <a:cxnSpLocks/>
          <a:stCxn id="16" idx="2"/>
          <a:endCxn id="20" idx="0"/>
        </xdr:cNvCxnSpPr>
      </xdr:nvCxnSpPr>
      <xdr:spPr>
        <a:xfrm rot="5400000">
          <a:off x="2923716" y="4139253"/>
          <a:ext cx="1767249" cy="27214"/>
        </a:xfrm>
        <a:prstGeom prst="curved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7</xdr:col>
      <xdr:colOff>366215</xdr:colOff>
      <xdr:row>19</xdr:row>
      <xdr:rowOff>216216</xdr:rowOff>
    </xdr:from>
    <xdr:to>
      <xdr:col>10</xdr:col>
      <xdr:colOff>52136</xdr:colOff>
      <xdr:row>22</xdr:row>
      <xdr:rowOff>193267</xdr:rowOff>
    </xdr:to>
    <xdr:sp macro="" textlink="'4.7.1.3-4 Soil Direct N2O'!D57">
      <xdr:nvSpPr>
        <xdr:cNvPr id="28" name="TextBox 27">
          <a:extLst>
            <a:ext uri="{FF2B5EF4-FFF2-40B4-BE49-F238E27FC236}">
              <a16:creationId xmlns:a16="http://schemas.microsoft.com/office/drawing/2014/main" id="{9698555D-C7EC-4EA2-890F-C4B4DFF81AF8}"/>
            </a:ext>
          </a:extLst>
        </xdr:cNvPr>
        <xdr:cNvSpPr txBox="1"/>
      </xdr:nvSpPr>
      <xdr:spPr>
        <a:xfrm>
          <a:off x="5481140" y="5054916"/>
          <a:ext cx="1514721" cy="720001"/>
        </a:xfrm>
        <a:prstGeom prst="rect">
          <a:avLst/>
        </a:prstGeom>
        <a:solidFill>
          <a:schemeClr val="lt1"/>
        </a:solidFill>
        <a:ln w="9525" cmpd="sng">
          <a:solidFill>
            <a:schemeClr val="accent5">
              <a:lumMod val="75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FA179A8-B6ED-444A-A13B-9EAD2C2DD96C}" type="TxLink">
            <a:rPr lang="en-US" sz="1000" b="1" i="0" u="none" strike="noStrike">
              <a:solidFill>
                <a:srgbClr val="002060"/>
              </a:solidFill>
              <a:latin typeface="Times New Roman"/>
              <a:cs typeface="Times New Roman"/>
            </a:rPr>
            <a:pPr algn="ctr"/>
            <a:t>Direct nitrous oxide emissions from agricultural soils from deposition of urine and dung to pasture</a:t>
          </a:fld>
          <a:endParaRPr lang="en-AU" sz="1000" b="1">
            <a:solidFill>
              <a:srgbClr val="002060"/>
            </a:solidFill>
          </a:endParaRPr>
        </a:p>
      </xdr:txBody>
    </xdr:sp>
    <xdr:clientData/>
  </xdr:twoCellAnchor>
  <xdr:twoCellAnchor>
    <xdr:from>
      <xdr:col>8</xdr:col>
      <xdr:colOff>507626</xdr:colOff>
      <xdr:row>12</xdr:row>
      <xdr:rowOff>163508</xdr:rowOff>
    </xdr:from>
    <xdr:to>
      <xdr:col>8</xdr:col>
      <xdr:colOff>520326</xdr:colOff>
      <xdr:row>19</xdr:row>
      <xdr:rowOff>222566</xdr:rowOff>
    </xdr:to>
    <xdr:cxnSp macro="">
      <xdr:nvCxnSpPr>
        <xdr:cNvPr id="31" name="Connector: Curved 30">
          <a:extLst>
            <a:ext uri="{FF2B5EF4-FFF2-40B4-BE49-F238E27FC236}">
              <a16:creationId xmlns:a16="http://schemas.microsoft.com/office/drawing/2014/main" id="{82785C84-7C60-405F-AAC3-AC8A3EBBDAE7}"/>
            </a:ext>
          </a:extLst>
        </xdr:cNvPr>
        <xdr:cNvCxnSpPr>
          <a:stCxn id="5" idx="2"/>
          <a:endCxn id="28" idx="0"/>
        </xdr:cNvCxnSpPr>
      </xdr:nvCxnSpPr>
      <xdr:spPr>
        <a:xfrm rot="5400000">
          <a:off x="5342197" y="4158612"/>
          <a:ext cx="1792608" cy="12700"/>
        </a:xfrm>
        <a:prstGeom prst="curvedConnector3">
          <a:avLst/>
        </a:prstGeom>
        <a:ln>
          <a:solidFill>
            <a:srgbClr val="00206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12</xdr:col>
      <xdr:colOff>607929</xdr:colOff>
      <xdr:row>18</xdr:row>
      <xdr:rowOff>161139</xdr:rowOff>
    </xdr:from>
    <xdr:to>
      <xdr:col>13</xdr:col>
      <xdr:colOff>1228</xdr:colOff>
      <xdr:row>19</xdr:row>
      <xdr:rowOff>234464</xdr:rowOff>
    </xdr:to>
    <xdr:cxnSp macro="">
      <xdr:nvCxnSpPr>
        <xdr:cNvPr id="47" name="Connector: Curved 46">
          <a:extLst>
            <a:ext uri="{FF2B5EF4-FFF2-40B4-BE49-F238E27FC236}">
              <a16:creationId xmlns:a16="http://schemas.microsoft.com/office/drawing/2014/main" id="{F64F7784-2DEB-46E0-BA40-BF4C7A0EC511}"/>
            </a:ext>
          </a:extLst>
        </xdr:cNvPr>
        <xdr:cNvCxnSpPr>
          <a:stCxn id="53" idx="2"/>
          <a:endCxn id="55" idx="0"/>
        </xdr:cNvCxnSpPr>
      </xdr:nvCxnSpPr>
      <xdr:spPr>
        <a:xfrm rot="16200000" flipH="1">
          <a:off x="8611816" y="4911227"/>
          <a:ext cx="320975" cy="2899"/>
        </a:xfrm>
        <a:prstGeom prst="curvedConnector3">
          <a:avLst>
            <a:gd name="adj1" fmla="val 50000"/>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15</xdr:col>
      <xdr:colOff>567980</xdr:colOff>
      <xdr:row>15</xdr:row>
      <xdr:rowOff>187304</xdr:rowOff>
    </xdr:from>
    <xdr:to>
      <xdr:col>18</xdr:col>
      <xdr:colOff>251180</xdr:colOff>
      <xdr:row>18</xdr:row>
      <xdr:rowOff>176916</xdr:rowOff>
    </xdr:to>
    <xdr:sp macro="" textlink="'4.7.1.7-8 Soil Leaching Runoff'!D5">
      <xdr:nvSpPr>
        <xdr:cNvPr id="54" name="TextBox 53">
          <a:extLst>
            <a:ext uri="{FF2B5EF4-FFF2-40B4-BE49-F238E27FC236}">
              <a16:creationId xmlns:a16="http://schemas.microsoft.com/office/drawing/2014/main" id="{95ED6D80-A9CA-4BE0-8876-0A2123740055}"/>
            </a:ext>
          </a:extLst>
        </xdr:cNvPr>
        <xdr:cNvSpPr txBox="1"/>
      </xdr:nvSpPr>
      <xdr:spPr>
        <a:xfrm>
          <a:off x="10559705" y="4035404"/>
          <a:ext cx="1512000" cy="732562"/>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23374314-469D-4FEE-A13F-1AAE719CA46F}" type="TxLink">
            <a:rPr lang="en-US" sz="1000" b="0" i="0" u="none" strike="noStrike">
              <a:solidFill>
                <a:srgbClr val="C00000"/>
              </a:solidFill>
              <a:latin typeface="Times New Roman"/>
              <a:cs typeface="Times New Roman"/>
            </a:rPr>
            <a:pPr algn="ctr"/>
            <a:t>Mass of nitrogen lost to leaching and runoff</a:t>
          </a:fld>
          <a:endParaRPr lang="en-AU" sz="1000" b="1">
            <a:solidFill>
              <a:srgbClr val="C00000"/>
            </a:solidFill>
          </a:endParaRPr>
        </a:p>
      </xdr:txBody>
    </xdr:sp>
    <xdr:clientData/>
  </xdr:twoCellAnchor>
  <xdr:twoCellAnchor>
    <xdr:from>
      <xdr:col>15</xdr:col>
      <xdr:colOff>584182</xdr:colOff>
      <xdr:row>20</xdr:row>
      <xdr:rowOff>8881</xdr:rowOff>
    </xdr:from>
    <xdr:to>
      <xdr:col>18</xdr:col>
      <xdr:colOff>274292</xdr:colOff>
      <xdr:row>22</xdr:row>
      <xdr:rowOff>228631</xdr:rowOff>
    </xdr:to>
    <xdr:sp macro="" textlink="'4.7.1.7-8 Soil Leaching Runoff'!D60">
      <xdr:nvSpPr>
        <xdr:cNvPr id="56" name="TextBox 55">
          <a:extLst>
            <a:ext uri="{FF2B5EF4-FFF2-40B4-BE49-F238E27FC236}">
              <a16:creationId xmlns:a16="http://schemas.microsoft.com/office/drawing/2014/main" id="{5FA3B127-61AF-470F-B0DC-C1C9FB586772}"/>
            </a:ext>
          </a:extLst>
        </xdr:cNvPr>
        <xdr:cNvSpPr txBox="1"/>
      </xdr:nvSpPr>
      <xdr:spPr>
        <a:xfrm>
          <a:off x="10575907" y="5095231"/>
          <a:ext cx="1518910" cy="715050"/>
        </a:xfrm>
        <a:prstGeom prst="rect">
          <a:avLst/>
        </a:prstGeom>
        <a:solidFill>
          <a:schemeClr val="lt1"/>
        </a:solidFill>
        <a:ln w="9525" cmpd="sng">
          <a:solidFill>
            <a:srgbClr val="C4434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E244C643-B55B-4F44-A52F-15E489C5DC43}" type="TxLink">
            <a:rPr lang="en-US" sz="1000" b="1" i="0" u="none" strike="noStrike">
              <a:solidFill>
                <a:srgbClr val="C00000"/>
              </a:solidFill>
              <a:latin typeface="Times New Roman"/>
              <a:cs typeface="Times New Roman"/>
            </a:rPr>
            <a:pPr algn="ctr"/>
            <a:t>Leaching and runoff emissions from urine and dung deposited on pasture</a:t>
          </a:fld>
          <a:endParaRPr lang="en-AU" sz="1000" b="1">
            <a:solidFill>
              <a:srgbClr val="C00000"/>
            </a:solidFill>
          </a:endParaRPr>
        </a:p>
      </xdr:txBody>
    </xdr:sp>
    <xdr:clientData/>
  </xdr:twoCellAnchor>
  <xdr:twoCellAnchor>
    <xdr:from>
      <xdr:col>20</xdr:col>
      <xdr:colOff>255813</xdr:colOff>
      <xdr:row>23</xdr:row>
      <xdr:rowOff>95372</xdr:rowOff>
    </xdr:from>
    <xdr:to>
      <xdr:col>23</xdr:col>
      <xdr:colOff>80443</xdr:colOff>
      <xdr:row>27</xdr:row>
      <xdr:rowOff>180975</xdr:rowOff>
    </xdr:to>
    <xdr:sp macro="" textlink="">
      <xdr:nvSpPr>
        <xdr:cNvPr id="66" name="Rectangle 65">
          <a:extLst>
            <a:ext uri="{FF2B5EF4-FFF2-40B4-BE49-F238E27FC236}">
              <a16:creationId xmlns:a16="http://schemas.microsoft.com/office/drawing/2014/main" id="{EFDC15EB-D7C8-4514-9216-49F739AAE7B6}"/>
            </a:ext>
          </a:extLst>
        </xdr:cNvPr>
        <xdr:cNvSpPr/>
      </xdr:nvSpPr>
      <xdr:spPr>
        <a:xfrm>
          <a:off x="13295538" y="5924672"/>
          <a:ext cx="1653430" cy="1076203"/>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Portion of manure runoff into water</a:t>
          </a:r>
        </a:p>
      </xdr:txBody>
    </xdr:sp>
    <xdr:clientData/>
  </xdr:twoCellAnchor>
  <xdr:twoCellAnchor>
    <xdr:from>
      <xdr:col>21</xdr:col>
      <xdr:colOff>457199</xdr:colOff>
      <xdr:row>20</xdr:row>
      <xdr:rowOff>133350</xdr:rowOff>
    </xdr:from>
    <xdr:to>
      <xdr:col>21</xdr:col>
      <xdr:colOff>472928</xdr:colOff>
      <xdr:row>23</xdr:row>
      <xdr:rowOff>95371</xdr:rowOff>
    </xdr:to>
    <xdr:cxnSp macro="">
      <xdr:nvCxnSpPr>
        <xdr:cNvPr id="77" name="Connector: Curved 76">
          <a:extLst>
            <a:ext uri="{FF2B5EF4-FFF2-40B4-BE49-F238E27FC236}">
              <a16:creationId xmlns:a16="http://schemas.microsoft.com/office/drawing/2014/main" id="{45D3BFD0-5625-4B70-A13F-3755781F8A37}"/>
            </a:ext>
          </a:extLst>
        </xdr:cNvPr>
        <xdr:cNvCxnSpPr>
          <a:cxnSpLocks/>
          <a:stCxn id="12" idx="2"/>
          <a:endCxn id="66" idx="0"/>
        </xdr:cNvCxnSpPr>
      </xdr:nvCxnSpPr>
      <xdr:spPr>
        <a:xfrm rot="16200000" flipH="1">
          <a:off x="13761903" y="5564321"/>
          <a:ext cx="704971" cy="15729"/>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20</xdr:col>
      <xdr:colOff>228599</xdr:colOff>
      <xdr:row>9</xdr:row>
      <xdr:rowOff>241093</xdr:rowOff>
    </xdr:from>
    <xdr:to>
      <xdr:col>23</xdr:col>
      <xdr:colOff>53228</xdr:colOff>
      <xdr:row>13</xdr:row>
      <xdr:rowOff>143122</xdr:rowOff>
    </xdr:to>
    <xdr:sp macro="" textlink="">
      <xdr:nvSpPr>
        <xdr:cNvPr id="84" name="Rectangle 83">
          <a:extLst>
            <a:ext uri="{FF2B5EF4-FFF2-40B4-BE49-F238E27FC236}">
              <a16:creationId xmlns:a16="http://schemas.microsoft.com/office/drawing/2014/main" id="{5BB228C1-0355-403A-85B2-6995AFEB84E7}"/>
            </a:ext>
          </a:extLst>
        </xdr:cNvPr>
        <xdr:cNvSpPr/>
      </xdr:nvSpPr>
      <xdr:spPr>
        <a:xfrm>
          <a:off x="13268324" y="2603293"/>
          <a:ext cx="1653429" cy="892629"/>
        </a:xfrm>
        <a:prstGeom prst="rect">
          <a:avLst/>
        </a:prstGeom>
      </xdr:spPr>
      <xdr:style>
        <a:lnRef idx="3">
          <a:schemeClr val="lt1"/>
        </a:lnRef>
        <a:fillRef idx="1">
          <a:schemeClr val="accent3"/>
        </a:fillRef>
        <a:effectRef idx="1">
          <a:schemeClr val="accent3"/>
        </a:effectRef>
        <a:fontRef idx="minor">
          <a:schemeClr val="lt1"/>
        </a:fontRef>
      </xdr:style>
      <xdr:txBody>
        <a:bodyPr vertOverflow="clip" horzOverflow="clip" rtlCol="0" anchor="ctr"/>
        <a:lstStyle/>
        <a:p>
          <a:pPr algn="ctr"/>
          <a:r>
            <a:rPr lang="en-AU" sz="1400"/>
            <a:t>Manure excreted on</a:t>
          </a:r>
          <a:r>
            <a:rPr lang="en-AU" sz="1400" baseline="0"/>
            <a:t> pasture range and paddock</a:t>
          </a:r>
          <a:endParaRPr lang="en-AU" sz="1400"/>
        </a:p>
      </xdr:txBody>
    </xdr:sp>
    <xdr:clientData/>
  </xdr:twoCellAnchor>
  <xdr:twoCellAnchor>
    <xdr:from>
      <xdr:col>21</xdr:col>
      <xdr:colOff>445714</xdr:colOff>
      <xdr:row>13</xdr:row>
      <xdr:rowOff>143121</xdr:rowOff>
    </xdr:from>
    <xdr:to>
      <xdr:col>21</xdr:col>
      <xdr:colOff>457199</xdr:colOff>
      <xdr:row>14</xdr:row>
      <xdr:rowOff>228600</xdr:rowOff>
    </xdr:to>
    <xdr:cxnSp macro="">
      <xdr:nvCxnSpPr>
        <xdr:cNvPr id="85" name="Connector: Curved 84">
          <a:extLst>
            <a:ext uri="{FF2B5EF4-FFF2-40B4-BE49-F238E27FC236}">
              <a16:creationId xmlns:a16="http://schemas.microsoft.com/office/drawing/2014/main" id="{1BC07B9E-FF90-42C1-8E3C-B5A95D054FED}"/>
            </a:ext>
          </a:extLst>
        </xdr:cNvPr>
        <xdr:cNvCxnSpPr>
          <a:cxnSpLocks/>
          <a:stCxn id="84" idx="2"/>
          <a:endCxn id="12" idx="0"/>
        </xdr:cNvCxnSpPr>
      </xdr:nvCxnSpPr>
      <xdr:spPr>
        <a:xfrm rot="16200000" flipH="1">
          <a:off x="13934217" y="3656743"/>
          <a:ext cx="333129" cy="11485"/>
        </a:xfrm>
        <a:prstGeom prst="curvedConnector3">
          <a:avLst/>
        </a:prstGeom>
        <a:ln>
          <a:solidFill>
            <a:schemeClr val="bg1">
              <a:lumMod val="50000"/>
            </a:schemeClr>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oneCellAnchor>
    <xdr:from>
      <xdr:col>19</xdr:col>
      <xdr:colOff>405615</xdr:colOff>
      <xdr:row>7</xdr:row>
      <xdr:rowOff>138598</xdr:rowOff>
    </xdr:from>
    <xdr:ext cx="2490354" cy="298800"/>
    <xdr:sp macro="" textlink="">
      <xdr:nvSpPr>
        <xdr:cNvPr id="87" name="TextBox 86">
          <a:extLst>
            <a:ext uri="{FF2B5EF4-FFF2-40B4-BE49-F238E27FC236}">
              <a16:creationId xmlns:a16="http://schemas.microsoft.com/office/drawing/2014/main" id="{C2AB4F09-0261-424F-8072-B6D0DE277972}"/>
            </a:ext>
          </a:extLst>
        </xdr:cNvPr>
        <xdr:cNvSpPr txBox="1"/>
      </xdr:nvSpPr>
      <xdr:spPr>
        <a:xfrm>
          <a:off x="12835740" y="2005498"/>
          <a:ext cx="2490354" cy="29880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ctr">
          <a:spAutoFit/>
        </a:bodyPr>
        <a:lstStyle/>
        <a:p>
          <a:pPr algn="ctr"/>
          <a:r>
            <a:rPr lang="en-AU" sz="1400" b="0">
              <a:solidFill>
                <a:schemeClr val="accent3">
                  <a:lumMod val="75000"/>
                </a:schemeClr>
              </a:solidFill>
            </a:rPr>
            <a:t>Manure management process</a:t>
          </a:r>
        </a:p>
      </xdr:txBody>
    </xdr:sp>
    <xdr:clientData/>
  </xdr:oneCellAnchor>
  <xdr:twoCellAnchor>
    <xdr:from>
      <xdr:col>11</xdr:col>
      <xdr:colOff>462889</xdr:colOff>
      <xdr:row>15</xdr:row>
      <xdr:rowOff>184088</xdr:rowOff>
    </xdr:from>
    <xdr:to>
      <xdr:col>14</xdr:col>
      <xdr:colOff>143368</xdr:colOff>
      <xdr:row>18</xdr:row>
      <xdr:rowOff>161140</xdr:rowOff>
    </xdr:to>
    <xdr:sp macro="" textlink="'4.7.1.5-6 Soil Atmos Deposition'!D5">
      <xdr:nvSpPr>
        <xdr:cNvPr id="53" name="TextBox 52">
          <a:extLst>
            <a:ext uri="{FF2B5EF4-FFF2-40B4-BE49-F238E27FC236}">
              <a16:creationId xmlns:a16="http://schemas.microsoft.com/office/drawing/2014/main" id="{BA71A6CA-D1BA-4D4D-990E-27D8C087EF33}"/>
            </a:ext>
          </a:extLst>
        </xdr:cNvPr>
        <xdr:cNvSpPr txBox="1"/>
      </xdr:nvSpPr>
      <xdr:spPr>
        <a:xfrm>
          <a:off x="8016214" y="4032188"/>
          <a:ext cx="1509279" cy="720002"/>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405D5A4C-5C05-413A-BF47-D75D932ABE37}" type="TxLink">
            <a:rPr lang="en-US" sz="1000" b="0" i="0" u="none" strike="noStrike">
              <a:solidFill>
                <a:srgbClr val="7030A0"/>
              </a:solidFill>
              <a:latin typeface="Times New Roman"/>
              <a:cs typeface="Times New Roman"/>
            </a:rPr>
            <a:pPr algn="ctr"/>
            <a:t>Mass of nitrogen volatilised from urine and faeces deposited on pasture</a:t>
          </a:fld>
          <a:endParaRPr lang="en-AU" sz="1000">
            <a:solidFill>
              <a:srgbClr val="7030A0"/>
            </a:solidFill>
          </a:endParaRPr>
        </a:p>
      </xdr:txBody>
    </xdr:sp>
    <xdr:clientData/>
  </xdr:twoCellAnchor>
  <xdr:twoCellAnchor>
    <xdr:from>
      <xdr:col>11</xdr:col>
      <xdr:colOff>465788</xdr:colOff>
      <xdr:row>19</xdr:row>
      <xdr:rowOff>234465</xdr:rowOff>
    </xdr:from>
    <xdr:to>
      <xdr:col>14</xdr:col>
      <xdr:colOff>146267</xdr:colOff>
      <xdr:row>22</xdr:row>
      <xdr:rowOff>206565</xdr:rowOff>
    </xdr:to>
    <xdr:sp macro="" textlink="'4.7.1.5-6 Soil Atmos Deposition'!D42">
      <xdr:nvSpPr>
        <xdr:cNvPr id="55" name="TextBox 54">
          <a:extLst>
            <a:ext uri="{FF2B5EF4-FFF2-40B4-BE49-F238E27FC236}">
              <a16:creationId xmlns:a16="http://schemas.microsoft.com/office/drawing/2014/main" id="{D2D728C0-C301-4FC2-953C-540E832F0A32}"/>
            </a:ext>
          </a:extLst>
        </xdr:cNvPr>
        <xdr:cNvSpPr txBox="1"/>
      </xdr:nvSpPr>
      <xdr:spPr>
        <a:xfrm>
          <a:off x="8019113" y="5073165"/>
          <a:ext cx="1509279" cy="715050"/>
        </a:xfrm>
        <a:prstGeom prst="rect">
          <a:avLst/>
        </a:prstGeom>
        <a:solidFill>
          <a:schemeClr val="lt1"/>
        </a:solidFill>
        <a:ln w="9525" cmpd="sng">
          <a:solidFill>
            <a:srgbClr val="7030A0"/>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fld id="{A8A21617-D88C-4597-A988-7ED3F80C257F}" type="TxLink">
            <a:rPr lang="en-US" sz="1000" b="1" i="0" u="none" strike="noStrike">
              <a:solidFill>
                <a:srgbClr val="7030A0"/>
              </a:solidFill>
              <a:latin typeface="Times New Roman"/>
              <a:cs typeface="Times New Roman"/>
            </a:rPr>
            <a:pPr algn="ctr"/>
            <a:t>Atmospheric deposition emissions from urine and dung deposited on pasture</a:t>
          </a:fld>
          <a:endParaRPr lang="en-AU" sz="1000" b="1">
            <a:solidFill>
              <a:srgbClr val="7030A0"/>
            </a:solidFill>
          </a:endParaRPr>
        </a:p>
      </xdr:txBody>
    </xdr:sp>
    <xdr:clientData/>
  </xdr:twoCellAnchor>
  <xdr:twoCellAnchor>
    <xdr:from>
      <xdr:col>19</xdr:col>
      <xdr:colOff>561974</xdr:colOff>
      <xdr:row>14</xdr:row>
      <xdr:rowOff>228601</xdr:rowOff>
    </xdr:from>
    <xdr:to>
      <xdr:col>23</xdr:col>
      <xdr:colOff>352424</xdr:colOff>
      <xdr:row>20</xdr:row>
      <xdr:rowOff>133351</xdr:rowOff>
    </xdr:to>
    <xdr:sp macro="" textlink="">
      <xdr:nvSpPr>
        <xdr:cNvPr id="12" name="Diamond 11">
          <a:extLst>
            <a:ext uri="{FF2B5EF4-FFF2-40B4-BE49-F238E27FC236}">
              <a16:creationId xmlns:a16="http://schemas.microsoft.com/office/drawing/2014/main" id="{30DD02BF-8ABB-AB5A-4151-0D58D10041BC}"/>
            </a:ext>
          </a:extLst>
        </xdr:cNvPr>
        <xdr:cNvSpPr/>
      </xdr:nvSpPr>
      <xdr:spPr>
        <a:xfrm>
          <a:off x="12992099" y="3829051"/>
          <a:ext cx="2228850" cy="1390650"/>
        </a:xfrm>
        <a:prstGeom prst="diamond">
          <a:avLst/>
        </a:prstGeom>
        <a:solidFill>
          <a:schemeClr val="bg1"/>
        </a:solidFill>
        <a:ln>
          <a:solidFill>
            <a:srgbClr val="008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AU" sz="1100" i="1">
              <a:solidFill>
                <a:srgbClr val="008000"/>
              </a:solidFill>
              <a:effectLst/>
              <a:latin typeface="+mn-lt"/>
              <a:ea typeface="+mn-ea"/>
              <a:cs typeface="+mn-cs"/>
            </a:rPr>
            <a:t>Do livestock have access to natural waterways</a:t>
          </a:r>
          <a:r>
            <a:rPr lang="en-AU" sz="1100" i="0">
              <a:ln>
                <a:solidFill>
                  <a:srgbClr val="008000"/>
                </a:solidFill>
              </a:ln>
              <a:solidFill>
                <a:srgbClr val="008000"/>
              </a:solidFill>
              <a:effectLst/>
              <a:latin typeface="+mn-lt"/>
              <a:ea typeface="+mn-ea"/>
              <a:cs typeface="+mn-cs"/>
            </a:rPr>
            <a:t>?</a:t>
          </a:r>
          <a:endParaRPr lang="en-AU">
            <a:solidFill>
              <a:srgbClr val="008000"/>
            </a:solidFill>
            <a:effectLst/>
          </a:endParaRPr>
        </a:p>
      </xdr:txBody>
    </xdr:sp>
    <xdr:clientData/>
  </xdr:twoCellAnchor>
  <xdr:oneCellAnchor>
    <xdr:from>
      <xdr:col>21</xdr:col>
      <xdr:colOff>409574</xdr:colOff>
      <xdr:row>21</xdr:row>
      <xdr:rowOff>1</xdr:rowOff>
    </xdr:from>
    <xdr:ext cx="404021" cy="254493"/>
    <xdr:sp macro="" textlink="">
      <xdr:nvSpPr>
        <xdr:cNvPr id="22" name="TextBox 21">
          <a:extLst>
            <a:ext uri="{FF2B5EF4-FFF2-40B4-BE49-F238E27FC236}">
              <a16:creationId xmlns:a16="http://schemas.microsoft.com/office/drawing/2014/main" id="{8BD05E50-87FF-D027-8569-DDE73BE060C3}"/>
            </a:ext>
          </a:extLst>
        </xdr:cNvPr>
        <xdr:cNvSpPr txBox="1"/>
      </xdr:nvSpPr>
      <xdr:spPr>
        <a:xfrm>
          <a:off x="14058899" y="5334001"/>
          <a:ext cx="404021" cy="254493"/>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AU" sz="1100"/>
            <a:t>Yes</a:t>
          </a:r>
        </a:p>
      </xdr:txBody>
    </xdr:sp>
    <xdr:clientData/>
  </xdr:oneCellAnchor>
  <xdr:twoCellAnchor>
    <xdr:from>
      <xdr:col>8</xdr:col>
      <xdr:colOff>513975</xdr:colOff>
      <xdr:row>12</xdr:row>
      <xdr:rowOff>157158</xdr:rowOff>
    </xdr:from>
    <xdr:to>
      <xdr:col>12</xdr:col>
      <xdr:colOff>607928</xdr:colOff>
      <xdr:row>15</xdr:row>
      <xdr:rowOff>184088</xdr:rowOff>
    </xdr:to>
    <xdr:cxnSp macro="">
      <xdr:nvCxnSpPr>
        <xdr:cNvPr id="43" name="Connector: Curved 42">
          <a:extLst>
            <a:ext uri="{FF2B5EF4-FFF2-40B4-BE49-F238E27FC236}">
              <a16:creationId xmlns:a16="http://schemas.microsoft.com/office/drawing/2014/main" id="{DDC5B99D-4AFB-FE1D-EEBF-25051B709967}"/>
            </a:ext>
          </a:extLst>
        </xdr:cNvPr>
        <xdr:cNvCxnSpPr>
          <a:stCxn id="5" idx="2"/>
          <a:endCxn id="53" idx="0"/>
        </xdr:cNvCxnSpPr>
      </xdr:nvCxnSpPr>
      <xdr:spPr>
        <a:xfrm rot="16200000" flipH="1">
          <a:off x="7119737" y="2381071"/>
          <a:ext cx="769880" cy="2532353"/>
        </a:xfrm>
        <a:prstGeom prst="curvedConnector3">
          <a:avLst/>
        </a:prstGeom>
        <a:ln>
          <a:solidFill>
            <a:srgbClr val="7030A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8</xdr:col>
      <xdr:colOff>513976</xdr:colOff>
      <xdr:row>12</xdr:row>
      <xdr:rowOff>157158</xdr:rowOff>
    </xdr:from>
    <xdr:to>
      <xdr:col>17</xdr:col>
      <xdr:colOff>104780</xdr:colOff>
      <xdr:row>15</xdr:row>
      <xdr:rowOff>187304</xdr:rowOff>
    </xdr:to>
    <xdr:cxnSp macro="">
      <xdr:nvCxnSpPr>
        <xdr:cNvPr id="45" name="Connector: Curved 44">
          <a:extLst>
            <a:ext uri="{FF2B5EF4-FFF2-40B4-BE49-F238E27FC236}">
              <a16:creationId xmlns:a16="http://schemas.microsoft.com/office/drawing/2014/main" id="{1C6CE0D8-1B87-A411-4DEE-0D9FE7796896}"/>
            </a:ext>
          </a:extLst>
        </xdr:cNvPr>
        <xdr:cNvCxnSpPr>
          <a:stCxn id="5" idx="2"/>
          <a:endCxn id="54" idx="0"/>
        </xdr:cNvCxnSpPr>
      </xdr:nvCxnSpPr>
      <xdr:spPr>
        <a:xfrm rot="16200000" flipH="1">
          <a:off x="8390555" y="1110254"/>
          <a:ext cx="773096" cy="5077204"/>
        </a:xfrm>
        <a:prstGeom prst="curvedConnector3">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17</xdr:col>
      <xdr:colOff>104780</xdr:colOff>
      <xdr:row>18</xdr:row>
      <xdr:rowOff>176915</xdr:rowOff>
    </xdr:from>
    <xdr:to>
      <xdr:col>17</xdr:col>
      <xdr:colOff>124437</xdr:colOff>
      <xdr:row>20</xdr:row>
      <xdr:rowOff>8880</xdr:rowOff>
    </xdr:to>
    <xdr:cxnSp macro="">
      <xdr:nvCxnSpPr>
        <xdr:cNvPr id="48" name="Connector: Curved 47">
          <a:extLst>
            <a:ext uri="{FF2B5EF4-FFF2-40B4-BE49-F238E27FC236}">
              <a16:creationId xmlns:a16="http://schemas.microsoft.com/office/drawing/2014/main" id="{2F6D3500-4CB3-3F86-AA65-25002D28774F}"/>
            </a:ext>
          </a:extLst>
        </xdr:cNvPr>
        <xdr:cNvCxnSpPr>
          <a:stCxn id="54" idx="2"/>
          <a:endCxn id="56" idx="0"/>
        </xdr:cNvCxnSpPr>
      </xdr:nvCxnSpPr>
      <xdr:spPr>
        <a:xfrm rot="16200000" flipH="1">
          <a:off x="11161901" y="4921769"/>
          <a:ext cx="327265" cy="19657"/>
        </a:xfrm>
        <a:prstGeom prst="curvedConnector3">
          <a:avLst>
            <a:gd name="adj1" fmla="val 50000"/>
          </a:avLst>
        </a:prstGeom>
        <a:ln>
          <a:solidFill>
            <a:srgbClr val="C00000"/>
          </a:solidFill>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8</xdr:col>
      <xdr:colOff>938212</xdr:colOff>
      <xdr:row>65</xdr:row>
      <xdr:rowOff>200025</xdr:rowOff>
    </xdr:from>
    <xdr:to>
      <xdr:col>10</xdr:col>
      <xdr:colOff>1443037</xdr:colOff>
      <xdr:row>77</xdr:row>
      <xdr:rowOff>85725</xdr:rowOff>
    </xdr:to>
    <xdr:graphicFrame macro="">
      <xdr:nvGraphicFramePr>
        <xdr:cNvPr id="6" name="Chart 5">
          <a:extLst>
            <a:ext uri="{FF2B5EF4-FFF2-40B4-BE49-F238E27FC236}">
              <a16:creationId xmlns:a16="http://schemas.microsoft.com/office/drawing/2014/main" id="{0DEA1AD2-453E-4F97-8BC2-DE4AF27985B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oneCellAnchor>
    <xdr:from>
      <xdr:col>3</xdr:col>
      <xdr:colOff>19050</xdr:colOff>
      <xdr:row>7</xdr:row>
      <xdr:rowOff>190500</xdr:rowOff>
    </xdr:from>
    <xdr:ext cx="2415790" cy="182871"/>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𝑗𝑚</m:t>
                        </m:r>
                      </m:sub>
                    </m:sSub>
                    <m:r>
                      <a:rPr lang="en-AU" sz="1100" i="1">
                        <a:latin typeface="Cambria Math" panose="02040503050406030204" pitchFamily="18" charset="0"/>
                      </a:rPr>
                      <m:t>=</m:t>
                    </m:r>
                    <m:r>
                      <a:rPr lang="en-AU" sz="1100" i="1">
                        <a:latin typeface="Cambria Math" panose="02040503050406030204" pitchFamily="18" charset="0"/>
                      </a:rPr>
                      <m:t>𝑉</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𝐵</m:t>
                        </m:r>
                      </m:e>
                      <m:sub>
                        <m:r>
                          <a:rPr lang="en-AU" sz="1100" i="1">
                            <a:latin typeface="Cambria Math" panose="02040503050406030204" pitchFamily="18" charset="0"/>
                          </a:rPr>
                          <m:t>𝑂</m:t>
                        </m:r>
                      </m:sub>
                    </m:sSub>
                    <m:r>
                      <a:rPr lang="en-AU" sz="1100" i="1">
                        <a:latin typeface="Cambria Math" panose="02040503050406030204" pitchFamily="18" charset="0"/>
                      </a:rPr>
                      <m:t>×</m:t>
                    </m:r>
                    <m:r>
                      <a:rPr lang="en-AU" sz="1100" i="1">
                        <a:latin typeface="Cambria Math" panose="02040503050406030204" pitchFamily="18" charset="0"/>
                      </a:rPr>
                      <m:t>𝑀𝑀</m:t>
                    </m:r>
                    <m:sSub>
                      <m:sSubPr>
                        <m:ctrlPr>
                          <a:rPr lang="en-AU" sz="1100" i="1">
                            <a:latin typeface="Cambria Math" panose="02040503050406030204" pitchFamily="18" charset="0"/>
                          </a:rPr>
                        </m:ctrlPr>
                      </m:sSubPr>
                      <m:e>
                        <m:r>
                          <a:rPr lang="en-AU" sz="1100" i="1">
                            <a:latin typeface="Cambria Math" panose="02040503050406030204" pitchFamily="18" charset="0"/>
                          </a:rPr>
                          <m:t>𝑆</m:t>
                        </m:r>
                      </m:e>
                      <m:sub>
                        <m:r>
                          <a:rPr lang="en-AU" sz="1100" i="1">
                            <a:latin typeface="Cambria Math" panose="02040503050406030204" pitchFamily="18" charset="0"/>
                          </a:rPr>
                          <m:t>𝑚</m:t>
                        </m:r>
                      </m:sub>
                    </m:sSub>
                    <m:r>
                      <a:rPr lang="en-AU" sz="1100" i="1">
                        <a:latin typeface="Cambria Math" panose="02040503050406030204" pitchFamily="18" charset="0"/>
                      </a:rPr>
                      <m:t>×</m:t>
                    </m:r>
                    <m:r>
                      <a:rPr lang="en-AU" sz="1100" i="1">
                        <a:latin typeface="Cambria Math" panose="02040503050406030204" pitchFamily="18" charset="0"/>
                      </a:rPr>
                      <m:t>𝑀𝐶</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𝑖𝑚</m:t>
                        </m:r>
                      </m:sub>
                    </m:sSub>
                    <m:r>
                      <a:rPr lang="en-AU" sz="1100" i="1">
                        <a:latin typeface="Cambria Math" panose="02040503050406030204" pitchFamily="18" charset="0"/>
                      </a:rPr>
                      <m:t>×</m:t>
                    </m:r>
                    <m:r>
                      <a:rPr lang="en-AU" sz="1100" i="1">
                        <a:latin typeface="Cambria Math" panose="02040503050406030204" pitchFamily="18" charset="0"/>
                      </a:rPr>
                      <m:t>𝜌</m:t>
                    </m:r>
                  </m:oMath>
                </m:oMathPara>
              </a14:m>
              <a:endParaRPr lang="en-AU" sz="1100"/>
            </a:p>
          </xdr:txBody>
        </xdr:sp>
      </mc:Choice>
      <mc:Fallback xmlns="">
        <xdr:sp macro="" textlink="">
          <xdr:nvSpPr>
            <xdr:cNvPr id="6" name="TextBox 5">
              <a:extLst>
                <a:ext uri="{FF2B5EF4-FFF2-40B4-BE49-F238E27FC236}">
                  <a16:creationId xmlns:a16="http://schemas.microsoft.com/office/drawing/2014/main" id="{A63C6CE9-9E0F-289D-0084-716910DE6444}"/>
                </a:ext>
              </a:extLst>
            </xdr:cNvPr>
            <xdr:cNvSpPr txBox="1"/>
          </xdr:nvSpPr>
          <xdr:spPr>
            <a:xfrm>
              <a:off x="2695575" y="2057400"/>
              <a:ext cx="2415790" cy="182871"/>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𝑀_𝑗𝑚=𝑉𝑆_𝑗×𝐵_𝑂×𝑀𝑀𝑆_𝑚×𝑀𝐶𝐹_𝑖𝑚×𝜌</a:t>
              </a:r>
              <a:endParaRPr lang="en-AU" sz="1100"/>
            </a:p>
          </xdr:txBody>
        </xdr:sp>
      </mc:Fallback>
    </mc:AlternateContent>
    <xdr:clientData/>
  </xdr:oneCellAnchor>
  <xdr:oneCellAnchor>
    <xdr:from>
      <xdr:col>3</xdr:col>
      <xdr:colOff>58270</xdr:colOff>
      <xdr:row>78</xdr:row>
      <xdr:rowOff>114300</xdr:rowOff>
    </xdr:from>
    <xdr:ext cx="2614755" cy="332079"/>
    <mc:AlternateContent xmlns:mc="http://schemas.openxmlformats.org/markup-compatibility/2006" xmlns:a14="http://schemas.microsoft.com/office/drawing/2010/main">
      <mc:Choice Requires="a14">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𝐶𝐻</m:t>
                        </m:r>
                        <m:r>
                          <a:rPr lang="en-AU" sz="1100" i="1">
                            <a:latin typeface="Cambria Math" panose="02040503050406030204" pitchFamily="18" charset="0"/>
                          </a:rPr>
                          <m:t>4</m:t>
                        </m:r>
                      </m:sub>
                    </m:sSub>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𝑚</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𝑗</m:t>
                                    </m:r>
                                  </m:sub>
                                </m:sSub>
                                <m:r>
                                  <a:rPr lang="en-AU" sz="1100" i="1">
                                    <a:latin typeface="Cambria Math" panose="02040503050406030204" pitchFamily="18" charset="0"/>
                                  </a:rPr>
                                  <m:t>𝑚</m:t>
                                </m:r>
                                <m:r>
                                  <a:rPr lang="en-AU" sz="1100" i="1">
                                    <a:latin typeface="Cambria Math" panose="02040503050406030204" pitchFamily="18" charset="0"/>
                                  </a:rPr>
                                  <m:t>×365</m:t>
                                </m:r>
                              </m:e>
                            </m:d>
                          </m:e>
                        </m:nary>
                      </m:e>
                    </m:nary>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9" name="TextBox 8">
              <a:extLst>
                <a:ext uri="{FF2B5EF4-FFF2-40B4-BE49-F238E27FC236}">
                  <a16:creationId xmlns:a16="http://schemas.microsoft.com/office/drawing/2014/main" id="{CF55DF87-1A74-8B4E-F162-BDE02A86BE56}"/>
                </a:ext>
              </a:extLst>
            </xdr:cNvPr>
            <xdr:cNvSpPr txBox="1"/>
          </xdr:nvSpPr>
          <xdr:spPr>
            <a:xfrm>
              <a:off x="2736476" y="19478065"/>
              <a:ext cx="2614755"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𝐸_𝐶𝐻4=∑10_𝑗▒∑10_𝑚▒(𝑁_𝑗×𝑀_𝑗 𝑚×365) ×10^(−3)</a:t>
              </a:r>
              <a:endParaRPr lang="en-AU" sz="1100"/>
            </a:p>
          </xdr:txBody>
        </xdr:sp>
      </mc:Fallback>
    </mc:AlternateContent>
    <xdr:clientData/>
  </xdr:oneCellAnchor>
</xdr:wsDr>
</file>

<file path=xl/drawings/drawing4.xml><?xml version="1.0" encoding="utf-8"?>
<xdr:wsDr xmlns:xdr="http://schemas.openxmlformats.org/drawingml/2006/spreadsheetDrawing" xmlns:a="http://schemas.openxmlformats.org/drawingml/2006/main">
  <xdr:oneCellAnchor>
    <xdr:from>
      <xdr:col>3</xdr:col>
      <xdr:colOff>41462</xdr:colOff>
      <xdr:row>7</xdr:row>
      <xdr:rowOff>89647</xdr:rowOff>
    </xdr:from>
    <xdr:ext cx="1698157" cy="332079"/>
    <mc:AlternateContent xmlns:mc="http://schemas.openxmlformats.org/markup-compatibility/2006" xmlns:a14="http://schemas.microsoft.com/office/drawing/2010/main">
      <mc:Choice Requires="a14">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r>
                      <a:rPr lang="en-AU" sz="1100" i="1">
                        <a:latin typeface="Cambria Math" panose="02040503050406030204" pitchFamily="18" charset="0"/>
                      </a:rPr>
                      <m:t>𝐴𝐸</m:t>
                    </m:r>
                    <m:r>
                      <a:rPr lang="en-AU" sz="1100" i="1">
                        <a:latin typeface="Cambria Math" panose="02040503050406030204" pitchFamily="18" charset="0"/>
                      </a:rPr>
                      <m:t>=</m:t>
                    </m:r>
                    <m:nary>
                      <m:naryPr>
                        <m:chr m:val="∑"/>
                        <m:limLoc m:val="subSup"/>
                        <m:supHide m:val="on"/>
                        <m:ctrlPr>
                          <a:rPr lang="en-AU" sz="1100" i="1">
                            <a:latin typeface="Cambria Math" panose="02040503050406030204" pitchFamily="18" charset="0"/>
                          </a:rPr>
                        </m:ctrlPr>
                      </m:naryPr>
                      <m:sub>
                        <m:r>
                          <a:rPr lang="en-AU" sz="1100" i="1">
                            <a:latin typeface="Cambria Math" panose="02040503050406030204" pitchFamily="18" charset="0"/>
                          </a:rPr>
                          <m:t>𝑗</m:t>
                        </m:r>
                      </m:sub>
                      <m:sup/>
                      <m:e>
                        <m:d>
                          <m:dPr>
                            <m:ctrlPr>
                              <a:rPr lang="en-AU" sz="1100" i="1">
                                <a:latin typeface="Cambria Math" panose="02040503050406030204" pitchFamily="18" charset="0"/>
                              </a:rPr>
                            </m:ctrlPr>
                          </m:dPr>
                          <m:e>
                            <m:sSub>
                              <m:sSubPr>
                                <m:ctrlPr>
                                  <a:rPr lang="en-AU" sz="1100" i="1">
                                    <a:latin typeface="Cambria Math" panose="02040503050406030204" pitchFamily="18" charset="0"/>
                                  </a:rPr>
                                </m:ctrlPr>
                              </m:sSubPr>
                              <m:e>
                                <m:r>
                                  <a:rPr lang="en-AU" sz="1100" i="1">
                                    <a:latin typeface="Cambria Math" panose="02040503050406030204" pitchFamily="18" charset="0"/>
                                  </a:rPr>
                                  <m:t>𝑁</m:t>
                                </m:r>
                              </m:e>
                              <m:sub>
                                <m:r>
                                  <a:rPr lang="en-AU" sz="1100" i="1">
                                    <a:latin typeface="Cambria Math" panose="02040503050406030204" pitchFamily="18" charset="0"/>
                                  </a:rPr>
                                  <m:t>𝑗</m:t>
                                </m:r>
                              </m:sub>
                            </m:sSub>
                            <m:r>
                              <a:rPr lang="en-AU" sz="1100" i="1">
                                <a:latin typeface="Cambria Math" panose="02040503050406030204" pitchFamily="18" charset="0"/>
                              </a:rPr>
                              <m:t>×</m:t>
                            </m:r>
                            <m:r>
                              <a:rPr lang="en-AU" sz="1100" i="1">
                                <a:latin typeface="Cambria Math" panose="02040503050406030204" pitchFamily="18" charset="0"/>
                              </a:rPr>
                              <m:t>𝑁</m:t>
                            </m:r>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𝑗</m:t>
                                </m:r>
                              </m:sub>
                            </m:sSub>
                            <m:r>
                              <a:rPr lang="en-AU" sz="1100" i="1">
                                <a:latin typeface="Cambria Math" panose="02040503050406030204" pitchFamily="18" charset="0"/>
                              </a:rPr>
                              <m:t>×365</m:t>
                            </m:r>
                          </m:e>
                        </m:d>
                      </m:e>
                    </m:nary>
                  </m:oMath>
                </m:oMathPara>
              </a14:m>
              <a:endParaRPr lang="en-AU" sz="1100"/>
            </a:p>
          </xdr:txBody>
        </xdr:sp>
      </mc:Choice>
      <mc:Fallback xmlns="">
        <xdr:sp macro="" textlink="">
          <xdr:nvSpPr>
            <xdr:cNvPr id="2" name="TextBox 1">
              <a:extLst>
                <a:ext uri="{FF2B5EF4-FFF2-40B4-BE49-F238E27FC236}">
                  <a16:creationId xmlns:a16="http://schemas.microsoft.com/office/drawing/2014/main" id="{940CD018-16EC-4F95-89EC-6A3CA4A37916}"/>
                </a:ext>
              </a:extLst>
            </xdr:cNvPr>
            <xdr:cNvSpPr txBox="1"/>
          </xdr:nvSpPr>
          <xdr:spPr>
            <a:xfrm>
              <a:off x="2719668" y="1949823"/>
              <a:ext cx="1698157" cy="332079"/>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𝐴𝐸=∑10_𝑗▒(𝑁_𝑗×𝑁𝐸_𝑗×365) </a:t>
              </a:r>
              <a:endParaRPr lang="en-AU" sz="1100"/>
            </a:p>
          </xdr:txBody>
        </xdr:sp>
      </mc:Fallback>
    </mc:AlternateContent>
    <xdr:clientData/>
  </xdr:oneCellAnchor>
  <xdr:oneCellAnchor>
    <xdr:from>
      <xdr:col>3</xdr:col>
      <xdr:colOff>2241</xdr:colOff>
      <xdr:row>59</xdr:row>
      <xdr:rowOff>147917</xdr:rowOff>
    </xdr:from>
    <xdr:ext cx="2334870"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𝑑𝑖𝑟</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𝑃𝑅𝑃</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D1AD4863-C501-B790-4A82-EF974319E030}"/>
                </a:ext>
              </a:extLst>
            </xdr:cNvPr>
            <xdr:cNvSpPr txBox="1"/>
          </xdr:nvSpPr>
          <xdr:spPr>
            <a:xfrm>
              <a:off x="2680447" y="14827623"/>
              <a:ext cx="2334870"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𝐸_(𝑁2𝑂,𝑑𝑖𝑟)=𝐴𝐸×𝐸𝐹_𝑃𝑅𝑃×𝐶_𝑁2𝑂×10^(−3)</a:t>
              </a:r>
              <a:endParaRPr lang="en-AU" sz="1100"/>
            </a:p>
          </xdr:txBody>
        </xdr:sp>
      </mc:Fallback>
    </mc:AlternateContent>
    <xdr:clientData/>
  </xdr:oneCellAnchor>
</xdr:wsDr>
</file>

<file path=xl/drawings/drawing5.xml><?xml version="1.0" encoding="utf-8"?>
<xdr:wsDr xmlns:xdr="http://schemas.openxmlformats.org/drawingml/2006/spreadsheetDrawing" xmlns:a="http://schemas.openxmlformats.org/drawingml/2006/main">
  <xdr:oneCellAnchor>
    <xdr:from>
      <xdr:col>3</xdr:col>
      <xdr:colOff>13446</xdr:colOff>
      <xdr:row>7</xdr:row>
      <xdr:rowOff>147919</xdr:rowOff>
    </xdr:from>
    <xdr:ext cx="1745413"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𝐹𝑟𝑎𝑐𝐺𝐴𝑆𝑀𝑠𝑜𝑖𝑙</m:t>
                    </m:r>
                  </m:oMath>
                </m:oMathPara>
              </a14:m>
              <a:endParaRPr lang="en-AU" sz="1100"/>
            </a:p>
          </xdr:txBody>
        </xdr:sp>
      </mc:Choice>
      <mc:Fallback xmlns="">
        <xdr:sp macro="" textlink="">
          <xdr:nvSpPr>
            <xdr:cNvPr id="4" name="TextBox 3">
              <a:extLst>
                <a:ext uri="{FF2B5EF4-FFF2-40B4-BE49-F238E27FC236}">
                  <a16:creationId xmlns:a16="http://schemas.microsoft.com/office/drawing/2014/main" id="{31DF2ADF-103B-5FEB-EBD9-256F159C682E}"/>
                </a:ext>
              </a:extLst>
            </xdr:cNvPr>
            <xdr:cNvSpPr txBox="1"/>
          </xdr:nvSpPr>
          <xdr:spPr>
            <a:xfrm>
              <a:off x="2691652" y="2008095"/>
              <a:ext cx="1745413"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𝑀_𝑣𝑜𝑙=𝐴𝐸×𝐹𝑟𝑎𝑐𝐺𝐴𝑆𝑀𝑠𝑜𝑖𝑙</a:t>
              </a:r>
              <a:endParaRPr lang="en-AU" sz="1100"/>
            </a:p>
          </xdr:txBody>
        </xdr:sp>
      </mc:Fallback>
    </mc:AlternateContent>
    <xdr:clientData/>
  </xdr:oneCellAnchor>
  <xdr:oneCellAnchor>
    <xdr:from>
      <xdr:col>3</xdr:col>
      <xdr:colOff>24653</xdr:colOff>
      <xdr:row>44</xdr:row>
      <xdr:rowOff>136712</xdr:rowOff>
    </xdr:from>
    <xdr:ext cx="2410467" cy="180114"/>
    <mc:AlternateContent xmlns:mc="http://schemas.openxmlformats.org/markup-compatibility/2006" xmlns:a14="http://schemas.microsoft.com/office/drawing/2010/main">
      <mc:Choice Requires="a14">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𝑎𝑑</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𝑣𝑜𝑙</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5" name="TextBox 4">
              <a:extLst>
                <a:ext uri="{FF2B5EF4-FFF2-40B4-BE49-F238E27FC236}">
                  <a16:creationId xmlns:a16="http://schemas.microsoft.com/office/drawing/2014/main" id="{B1B00ABB-9A07-89FE-0A06-C6F821411454}"/>
                </a:ext>
              </a:extLst>
            </xdr:cNvPr>
            <xdr:cNvSpPr txBox="1"/>
          </xdr:nvSpPr>
          <xdr:spPr>
            <a:xfrm>
              <a:off x="2702859" y="5694830"/>
              <a:ext cx="2410467"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𝐸_(𝑁2𝑂,𝑎𝑑)=𝑀_𝑣𝑜𝑙×𝐸𝐹_𝑁2𝑂×𝐶_𝑁2𝑂×10^(−3)</a:t>
              </a:r>
              <a:endParaRPr lang="en-AU" sz="1100"/>
            </a:p>
          </xdr:txBody>
        </xdr:sp>
      </mc:Fallback>
    </mc:AlternateContent>
    <xdr:clientData/>
  </xdr:oneCellAnchor>
</xdr:wsDr>
</file>

<file path=xl/drawings/drawing6.xml><?xml version="1.0" encoding="utf-8"?>
<xdr:wsDr xmlns:xdr="http://schemas.openxmlformats.org/drawingml/2006/spreadsheetDrawing" xmlns:a="http://schemas.openxmlformats.org/drawingml/2006/main">
  <xdr:oneCellAnchor>
    <xdr:from>
      <xdr:col>3</xdr:col>
      <xdr:colOff>47064</xdr:colOff>
      <xdr:row>7</xdr:row>
      <xdr:rowOff>125506</xdr:rowOff>
    </xdr:from>
    <xdr:ext cx="2421624" cy="165366"/>
    <mc:AlternateContent xmlns:mc="http://schemas.openxmlformats.org/markup-compatibility/2006" xmlns:a14="http://schemas.microsoft.com/office/drawing/2010/main">
      <mc:Choice Requires="a14">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𝐴𝐸</m:t>
                    </m:r>
                    <m:r>
                      <a:rPr lang="en-AU" sz="1100" i="1">
                        <a:latin typeface="Cambria Math" panose="02040503050406030204" pitchFamily="18" charset="0"/>
                      </a:rPr>
                      <m:t>×</m:t>
                    </m:r>
                    <m:r>
                      <a:rPr lang="en-AU" sz="1100" i="1">
                        <a:latin typeface="Cambria Math" panose="02040503050406030204" pitchFamily="18" charset="0"/>
                      </a:rPr>
                      <m:t>𝐹𝑟𝑎𝑐𝑊𝑒𝑡</m:t>
                    </m:r>
                    <m:r>
                      <a:rPr lang="en-AU" sz="1100" i="1">
                        <a:latin typeface="Cambria Math" panose="02040503050406030204" pitchFamily="18" charset="0"/>
                      </a:rPr>
                      <m:t>×</m:t>
                    </m:r>
                    <m:r>
                      <a:rPr lang="en-AU" sz="1100" i="1">
                        <a:latin typeface="Cambria Math" panose="02040503050406030204" pitchFamily="18" charset="0"/>
                      </a:rPr>
                      <m:t>𝐹𝑟𝑎𝑐𝐿𝐸𝐴𝐶𝐻</m:t>
                    </m:r>
                  </m:oMath>
                </m:oMathPara>
              </a14:m>
              <a:endParaRPr lang="en-AU" sz="1100"/>
            </a:p>
          </xdr:txBody>
        </xdr:sp>
      </mc:Choice>
      <mc:Fallback xmlns="">
        <xdr:sp macro="" textlink="">
          <xdr:nvSpPr>
            <xdr:cNvPr id="4" name="TextBox 3">
              <a:extLst>
                <a:ext uri="{FF2B5EF4-FFF2-40B4-BE49-F238E27FC236}">
                  <a16:creationId xmlns:a16="http://schemas.microsoft.com/office/drawing/2014/main" id="{76AE88C7-4683-0120-3D12-F6B27F4DB53B}"/>
                </a:ext>
              </a:extLst>
            </xdr:cNvPr>
            <xdr:cNvSpPr txBox="1"/>
          </xdr:nvSpPr>
          <xdr:spPr>
            <a:xfrm>
              <a:off x="2725270" y="1985682"/>
              <a:ext cx="2421624" cy="165366"/>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𝑀_𝑙𝑒𝑎𝑐ℎ=𝐴𝐸×𝐹𝑟𝑎𝑐𝑊𝑒𝑡×𝐹𝑟𝑎𝑐𝐿𝐸𝐴𝐶𝐻</a:t>
              </a:r>
              <a:endParaRPr lang="en-AU" sz="1100"/>
            </a:p>
          </xdr:txBody>
        </xdr:sp>
      </mc:Fallback>
    </mc:AlternateContent>
    <xdr:clientData/>
  </xdr:oneCellAnchor>
  <xdr:oneCellAnchor>
    <xdr:from>
      <xdr:col>3</xdr:col>
      <xdr:colOff>24652</xdr:colOff>
      <xdr:row>62</xdr:row>
      <xdr:rowOff>136711</xdr:rowOff>
    </xdr:from>
    <xdr:ext cx="2731838" cy="180114"/>
    <mc:AlternateContent xmlns:mc="http://schemas.openxmlformats.org/markup-compatibility/2006" xmlns:a14="http://schemas.microsoft.com/office/drawing/2010/main">
      <mc:Choice Requires="a14">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pPr/>
              <a14:m>
                <m:oMathPara xmlns:m="http://schemas.openxmlformats.org/officeDocument/2006/math">
                  <m:oMathParaPr>
                    <m:jc m:val="centerGroup"/>
                  </m:oMathParaPr>
                  <m:oMath xmlns:m="http://schemas.openxmlformats.org/officeDocument/2006/math">
                    <m:sSub>
                      <m:sSubPr>
                        <m:ctrlPr>
                          <a:rPr lang="en-AU" sz="1100" i="1">
                            <a:latin typeface="Cambria Math" panose="02040503050406030204" pitchFamily="18" charset="0"/>
                          </a:rPr>
                        </m:ctrlPr>
                      </m:sSubPr>
                      <m:e>
                        <m:r>
                          <a:rPr lang="en-AU" sz="1100" i="1">
                            <a:latin typeface="Cambria Math" panose="02040503050406030204" pitchFamily="18" charset="0"/>
                          </a:rPr>
                          <m:t>𝐸</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r>
                          <a:rPr lang="en-AU" sz="1100" i="1">
                            <a:latin typeface="Cambria Math" panose="02040503050406030204" pitchFamily="18" charset="0"/>
                          </a:rPr>
                          <m:t>,</m:t>
                        </m:r>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𝑀</m:t>
                        </m:r>
                      </m:e>
                      <m:sub>
                        <m:r>
                          <a:rPr lang="en-AU" sz="1100" i="1">
                            <a:latin typeface="Cambria Math" panose="02040503050406030204" pitchFamily="18" charset="0"/>
                          </a:rPr>
                          <m:t>𝑙𝑒𝑎𝑐h</m:t>
                        </m:r>
                      </m:sub>
                    </m:sSub>
                    <m:r>
                      <a:rPr lang="en-AU" sz="1100" i="1">
                        <a:latin typeface="Cambria Math" panose="02040503050406030204" pitchFamily="18" charset="0"/>
                      </a:rPr>
                      <m:t>×</m:t>
                    </m:r>
                    <m:r>
                      <a:rPr lang="en-AU" sz="1100" i="1">
                        <a:latin typeface="Cambria Math" panose="02040503050406030204" pitchFamily="18" charset="0"/>
                      </a:rPr>
                      <m:t>𝐸</m:t>
                    </m:r>
                    <m:sSub>
                      <m:sSubPr>
                        <m:ctrlPr>
                          <a:rPr lang="en-AU" sz="1100" i="1">
                            <a:latin typeface="Cambria Math" panose="02040503050406030204" pitchFamily="18" charset="0"/>
                          </a:rPr>
                        </m:ctrlPr>
                      </m:sSubPr>
                      <m:e>
                        <m:r>
                          <a:rPr lang="en-AU" sz="1100" i="1">
                            <a:latin typeface="Cambria Math" panose="02040503050406030204" pitchFamily="18" charset="0"/>
                          </a:rPr>
                          <m:t>𝐹</m:t>
                        </m:r>
                      </m:e>
                      <m:sub>
                        <m:r>
                          <a:rPr lang="en-AU" sz="1100" i="1">
                            <a:latin typeface="Cambria Math" panose="02040503050406030204" pitchFamily="18" charset="0"/>
                          </a:rPr>
                          <m:t>𝑙𝑒𝑎𝑐h</m:t>
                        </m:r>
                      </m:sub>
                    </m:sSub>
                    <m:r>
                      <a:rPr lang="en-AU" sz="1100" i="1">
                        <a:latin typeface="Cambria Math" panose="02040503050406030204" pitchFamily="18" charset="0"/>
                      </a:rPr>
                      <m:t>×</m:t>
                    </m:r>
                    <m:sSub>
                      <m:sSubPr>
                        <m:ctrlPr>
                          <a:rPr lang="en-AU" sz="1100" i="1">
                            <a:latin typeface="Cambria Math" panose="02040503050406030204" pitchFamily="18" charset="0"/>
                          </a:rPr>
                        </m:ctrlPr>
                      </m:sSubPr>
                      <m:e>
                        <m:r>
                          <a:rPr lang="en-AU" sz="1100" i="1">
                            <a:latin typeface="Cambria Math" panose="02040503050406030204" pitchFamily="18" charset="0"/>
                          </a:rPr>
                          <m:t>𝐶</m:t>
                        </m:r>
                      </m:e>
                      <m:sub>
                        <m:r>
                          <a:rPr lang="en-AU" sz="1100" i="1">
                            <a:latin typeface="Cambria Math" panose="02040503050406030204" pitchFamily="18" charset="0"/>
                          </a:rPr>
                          <m:t>𝑁</m:t>
                        </m:r>
                        <m:r>
                          <a:rPr lang="en-AU" sz="1100" i="1">
                            <a:latin typeface="Cambria Math" panose="02040503050406030204" pitchFamily="18" charset="0"/>
                          </a:rPr>
                          <m:t>2</m:t>
                        </m:r>
                        <m:r>
                          <a:rPr lang="en-AU" sz="1100" i="1">
                            <a:latin typeface="Cambria Math" panose="02040503050406030204" pitchFamily="18" charset="0"/>
                          </a:rPr>
                          <m:t>𝑂</m:t>
                        </m:r>
                      </m:sub>
                    </m:sSub>
                    <m:r>
                      <a:rPr lang="en-AU" sz="1100" i="1">
                        <a:latin typeface="Cambria Math" panose="02040503050406030204" pitchFamily="18" charset="0"/>
                      </a:rPr>
                      <m:t>×</m:t>
                    </m:r>
                    <m:sSup>
                      <m:sSupPr>
                        <m:ctrlPr>
                          <a:rPr lang="en-AU" sz="1100" i="1">
                            <a:latin typeface="Cambria Math" panose="02040503050406030204" pitchFamily="18" charset="0"/>
                          </a:rPr>
                        </m:ctrlPr>
                      </m:sSupPr>
                      <m:e>
                        <m:r>
                          <a:rPr lang="en-AU" sz="1100" i="1">
                            <a:latin typeface="Cambria Math" panose="02040503050406030204" pitchFamily="18" charset="0"/>
                          </a:rPr>
                          <m:t>10</m:t>
                        </m:r>
                      </m:e>
                      <m:sup>
                        <m:r>
                          <a:rPr lang="en-AU" sz="1100" i="1">
                            <a:latin typeface="Cambria Math" panose="02040503050406030204" pitchFamily="18" charset="0"/>
                          </a:rPr>
                          <m:t>−3</m:t>
                        </m:r>
                      </m:sup>
                    </m:sSup>
                  </m:oMath>
                </m:oMathPara>
              </a14:m>
              <a:endParaRPr lang="en-AU" sz="1100"/>
            </a:p>
          </xdr:txBody>
        </xdr:sp>
      </mc:Choice>
      <mc:Fallback xmlns="">
        <xdr:sp macro="" textlink="">
          <xdr:nvSpPr>
            <xdr:cNvPr id="6" name="TextBox 5">
              <a:extLst>
                <a:ext uri="{FF2B5EF4-FFF2-40B4-BE49-F238E27FC236}">
                  <a16:creationId xmlns:a16="http://schemas.microsoft.com/office/drawing/2014/main" id="{A44E6641-3D87-66B8-BA6E-80B860A444EF}"/>
                </a:ext>
              </a:extLst>
            </xdr:cNvPr>
            <xdr:cNvSpPr txBox="1"/>
          </xdr:nvSpPr>
          <xdr:spPr>
            <a:xfrm>
              <a:off x="2702858" y="15556005"/>
              <a:ext cx="2731838" cy="18011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lIns="0" tIns="0" rIns="0" bIns="0" rtlCol="0" anchor="t">
              <a:spAutoFit/>
            </a:bodyPr>
            <a:lstStyle/>
            <a:p>
              <a:r>
                <a:rPr lang="en-AU" sz="1100" i="0">
                  <a:latin typeface="Cambria Math" panose="02040503050406030204" pitchFamily="18" charset="0"/>
                </a:rPr>
                <a:t>𝐸_(𝑁2𝑂,𝑙𝑒𝑎𝑐ℎ)=𝑀_𝑙𝑒𝑎𝑐ℎ×𝐸𝐹_𝑙𝑒𝑎𝑐ℎ×𝐶_𝑁2𝑂×10^(−3)</a:t>
              </a:r>
              <a:endParaRPr lang="en-AU" sz="1100"/>
            </a:p>
          </xdr:txBody>
        </xdr:sp>
      </mc:Fallback>
    </mc:AlternateContent>
    <xdr:clientData/>
  </xdr:oneCellAnchor>
</xdr:wsDr>
</file>

<file path=xl/richData/_rels/richValueRel.xml.rels><?xml version="1.0" encoding="UTF-8" standalone="yes"?>
<Relationships xmlns="http://schemas.openxmlformats.org/package/2006/relationships"><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1">
  <rv s="0">
    <v>0</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6C3DBF8E-C122-4FF0-A00E-2CA6916F1435}" name="Table_SourceData_OtherLivestock_EntericEF" displayName="Table_SourceData_OtherLivestock_EntericEF" ref="D9:E17" totalsRowShown="0">
  <autoFilter ref="D9:E17" xr:uid="{6C3DBF8E-C122-4FF0-A00E-2CA6916F1435}">
    <filterColumn colId="0" hiddenButton="1"/>
    <filterColumn colId="1" hiddenButton="1"/>
  </autoFilter>
  <tableColumns count="2">
    <tableColumn id="1" xr3:uid="{C1BE61FE-4062-42B2-A2C3-5D1021EC5783}" name="Other livestock type">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 id="2" xr3:uid="{068A837D-7F3F-459D-A755-48E9682BAEAC}" name="Mj" dataDxfId="58" dataCellStyle="Content normal">
      <calculatedColumnFormula array="1">Common_InputFunctions.Utility_DisplayArrayInTable(SourceData_OtherLivestock.SourceData_OtherLivestock_EntericFermentationEmissionFactor_Data(),Table_SourceData_OtherLivestock_EntericEF[[#Headers],[Other livestock type]],0)</calculatedColumnFormula>
    </tableColumn>
  </tableColumns>
  <tableStyleInfo name="Equation table"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50599DA1-A8E6-43AC-9BA5-F5F05D972680}" name="Table_SourceData_OtherLivestock_VolatileSolids" displayName="Table_SourceData_OtherLivestock_VolatileSolids" ref="D24:E32" totalsRowShown="0" dataDxfId="57" dataCellStyle="Content normal">
  <autoFilter ref="D24:E32" xr:uid="{50599DA1-A8E6-43AC-9BA5-F5F05D972680}">
    <filterColumn colId="0" hiddenButton="1"/>
    <filterColumn colId="1" hiddenButton="1"/>
  </autoFilter>
  <tableColumns count="2">
    <tableColumn id="1" xr3:uid="{224F01F5-9F04-424C-9B4C-94B1D666F42B}" name="Other livestock type" dataDxfId="56"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 id="2" xr3:uid="{D62AC0D1-1095-4EC7-994A-E2C80051C1F2}" name="VSj" dataDxfId="55" dataCellStyle="Content normal">
      <calculatedColumnFormula array="1">Common_InputFunctions.Utility_DisplayArrayInTable(SourceData_OtherLivestock.SourceData_OtherLivestock_VolatileSolidsProduced_Data(),Table_SourceData_OtherLivestock_VolatileSolids[[#Headers],[Other livestock type]],0)</calculatedColumnFormula>
    </tableColumn>
  </tableColumns>
  <tableStyleInfo name="Equation table"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FDE3B07-3717-4AE7-8210-BEB8FBB5C09A}" name="Table_SourceData_OtherLivestock_NitrogenExcreted" displayName="Table_SourceData_OtherLivestock_NitrogenExcreted" ref="D39:E47" totalsRowShown="0" dataDxfId="54" dataCellStyle="Content normal">
  <autoFilter ref="D39:E47" xr:uid="{EFDE3B07-3717-4AE7-8210-BEB8FBB5C09A}">
    <filterColumn colId="0" hiddenButton="1"/>
    <filterColumn colId="1" hiddenButton="1"/>
  </autoFilter>
  <tableColumns count="2">
    <tableColumn id="1" xr3:uid="{99F8CB88-8A74-44CD-B1D3-22D4849941C6}" name="Other livestock type" dataDxfId="53"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 id="2" xr3:uid="{CD5FC568-A825-4281-84C4-C2307E67DC49}" name="NEj" dataDxfId="52" dataCellStyle="Content normal">
      <calculatedColumnFormula array="1">Common_InputFunctions.Utility_DisplayArrayInTable(SourceData_OtherLivestock.SourceData_OtherLivestock_NitrogenExcreted_Data(),Table_SourceData_OtherLivestock_NitrogenExcreted[[#Headers],[Other livestock type]],0)</calculatedColumnFormula>
    </tableColumn>
  </tableColumns>
  <tableStyleInfo name="Equation table"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7551F12E-AA31-4EE1-8F93-A397BC98EF70}" name="Table_SourceData_OtherLivestock_AverageLiveweight" displayName="Table_SourceData_OtherLivestock_AverageLiveweight" ref="D54:F64" totalsRowShown="0" dataDxfId="51" dataCellStyle="Content normal">
  <autoFilter ref="D54:F64" xr:uid="{7551F12E-AA31-4EE1-8F93-A397BC98EF70}">
    <filterColumn colId="0" hiddenButton="1"/>
    <filterColumn colId="1" hiddenButton="1"/>
    <filterColumn colId="2" hiddenButton="1"/>
  </autoFilter>
  <tableColumns count="3">
    <tableColumn id="1" xr3:uid="{816644D3-41EE-45F6-A3CE-CACB3EB69547}" name="Other livestock type" dataDxfId="50"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2" xr3:uid="{53512804-9E08-42E2-B55E-1C89A4C09FEE}" name="Wco" dataDxfId="49"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 id="3" xr3:uid="{0BB31A55-829C-489B-82D5-5810EC5F02C8}" name="Wco2" dataDxfId="48" dataCellStyle="Content normal">
      <calculatedColumnFormula array="1">Common_InputFunctions.Utility_DisplayArrayInTable(SourceData_OtherLivestock.SourceData_OtherLivestock_AverageLiveweight_Data(),Table_SourceData_OtherLivestock_AverageLiveweight[[#Headers],[Other livestock type]],0)</calculatedColumnFormula>
    </tableColumn>
  </tableColumns>
  <tableStyleInfo name="Equation table"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9A69C610-A352-421F-BE36-E6EDDE86179E}" name="Table_SourceData_OtherLivestock_FractionWasteInMMS" displayName="Table_SourceData_OtherLivestock_FractionWasteInMMS" ref="D71:F79" totalsRowShown="0" dataDxfId="47" dataCellStyle="Content normal">
  <autoFilter ref="D71:F79" xr:uid="{9A69C610-A352-421F-BE36-E6EDDE86179E}">
    <filterColumn colId="0" hiddenButton="1"/>
    <filterColumn colId="1" hiddenButton="1"/>
    <filterColumn colId="2" hiddenButton="1"/>
  </autoFilter>
  <tableColumns count="3">
    <tableColumn id="1" xr3:uid="{A6CB9AC6-F6CE-49B7-A982-F82076716CA3}" name="Other livestock type" dataDxfId="46"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2" xr3:uid="{8AFBE1CB-9936-4A35-A761-4DCB7B6BA889}" name="Pasture range and paddock" dataDxfId="45"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 id="3" xr3:uid="{95A534B1-6D18-468E-ACD4-CB91F74DE859}" name="Uncovered anaerobic lagoon" dataDxfId="44" dataCellStyle="Content normal">
      <calculatedColumnFormula array="1">Common_InputFunctions.Utility_DisplayArrayInTable(SourceData_OtherLivestock.SourceData_OtherLivestock_FractionWasteInMMS_Data(),Table_SourceData_OtherLivestock_FractionWasteInMMS[[#Headers],[Other livestock type]],0)</calculatedColumnFormula>
    </tableColumn>
  </tableColumns>
  <tableStyleInfo name="Equation table"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5A098EC4-878C-4F1B-9A39-76DE07EA3C35}" name="Table_SourceData_OtherLivestock_MCF" displayName="Table_SourceData_OtherLivestock_MCF" ref="D86:F94" totalsRowShown="0" dataDxfId="43" dataCellStyle="Content normal">
  <autoFilter ref="D86:F94" xr:uid="{5A098EC4-878C-4F1B-9A39-76DE07EA3C35}">
    <filterColumn colId="0" hiddenButton="1"/>
    <filterColumn colId="1" hiddenButton="1"/>
    <filterColumn colId="2" hiddenButton="1"/>
  </autoFilter>
  <tableColumns count="3">
    <tableColumn id="1" xr3:uid="{8D99AA70-8F55-4D11-BC0B-A089B4E9846C}" name="Other livestock type" dataDxfId="42"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2" xr3:uid="{8669BCCE-EDA0-482F-B818-E7495ADAD605}" name="Pasture range and paddock" dataDxfId="41"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 id="3" xr3:uid="{F18CF34C-B873-434B-8D03-00492CEC1FC6}" name="Uncovered anaerobic lagoon" dataDxfId="40" dataCellStyle="Content normal">
      <calculatedColumnFormula array="1">Common_InputFunctions.Utility_DisplayArrayInTable(SourceData_OtherLivestock.SourceData_OtherLivestock_MethaneConversionFactor_Data(),Table_SourceData_OtherLivestock_MCF[[#Headers],[Other livestock type]],0)</calculatedColumnFormula>
    </tableColumn>
  </tableColumns>
  <tableStyleInfo name="Equation table"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B8FC34BB-AAD9-4D2A-8283-00CB77181C08}" name="Table_SourceData_OtherLivestock_MethaneEmissionsPotential" displayName="Table_SourceData_OtherLivestock_MethaneEmissionsPotential" ref="D102:F110" totalsRowShown="0" dataDxfId="39" dataCellStyle="Content normal">
  <autoFilter ref="D102:F110" xr:uid="{B8FC34BB-AAD9-4D2A-8283-00CB77181C08}">
    <filterColumn colId="0" hiddenButton="1"/>
    <filterColumn colId="1" hiddenButton="1"/>
    <filterColumn colId="2" hiddenButton="1"/>
  </autoFilter>
  <tableColumns count="3">
    <tableColumn id="1" xr3:uid="{5720D920-9C04-4E20-8D42-759F7E36C7D8}" name="Other livestock type" dataDxfId="38"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2" xr3:uid="{E9A32AB0-4663-4816-913A-79DAAFF08391}" name="BO" dataDxfId="37"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 id="3" xr3:uid="{35962C17-3057-4CB9-8C5C-BED1CCB209DC}" name="Taken from" dataDxfId="36" dataCellStyle="Content normal">
      <calculatedColumnFormula array="1">Common_InputFunctions.Utility_DisplayArrayInTable(SourceData_OtherLivestock.SourceData_OtherLivestock_MethaneEmissionsPotential_Data(),Table_SourceData_OtherLivestock_MethaneEmissionsPotential[[#Headers],[Other livestock type]],0)</calculatedColumnFormula>
    </tableColumn>
  </tableColumns>
  <tableStyleInfo name="Equation tab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4EF07DDD-23D8-4736-97CF-A8FBCA38FE40}" name="Table_SourceData_OtherLivestock_CropProdSystems" displayName="Table_SourceData_OtherLivestock_CropProdSystems" ref="D120:D122" totalsRowShown="0">
  <autoFilter ref="D120:D122" xr:uid="{4EF07DDD-23D8-4736-97CF-A8FBCA38FE40}">
    <filterColumn colId="0" hiddenButton="1"/>
  </autoFilter>
  <tableColumns count="1">
    <tableColumn id="1" xr3:uid="{91758960-BAAD-433D-8E2E-334FBDB30D45}" name="Production system">
      <calculatedColumnFormula>#REF!</calculatedColumnFormula>
    </tableColumn>
  </tableColumns>
  <tableStyleInfo name="Equation table"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D2AE1D71-7FBD-43D5-BC37-EB7C84E39237}" name="Table_SourceData_OtherLivestock_IrrigationMethods" displayName="Table_SourceData_OtherLivestock_IrrigationMethods" ref="G120:G125" totalsRowShown="0">
  <autoFilter ref="G120:G125" xr:uid="{D2AE1D71-7FBD-43D5-BC37-EB7C84E39237}">
    <filterColumn colId="0" hiddenButton="1"/>
  </autoFilter>
  <tableColumns count="1">
    <tableColumn id="1" xr3:uid="{F5B9240F-3E19-4723-A88C-ABEEB70A41C4}" name="Irrigation method"/>
  </tableColumns>
  <tableStyleInfo name="Equation table"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57CC28B-CF78-4195-86CA-5AEBBA7FA04E}" name="Table_Data_MMSSymbols" displayName="Table_Data_MMSSymbols" ref="D9:F27" totalsRowShown="0">
  <autoFilter ref="D9:F27" xr:uid="{757CC28B-CF78-4195-86CA-5AEBBA7FA04E}">
    <filterColumn colId="0" hiddenButton="1"/>
    <filterColumn colId="1" hiddenButton="1"/>
    <filterColumn colId="2" hiddenButton="1"/>
  </autoFilter>
  <tableColumns count="3">
    <tableColumn id="1" xr3:uid="{FA4B4DF7-A993-40F2-870A-87A35A1D1CD3}" name="Symbol">
      <calculatedColumnFormula array="1">InputFunctions_Utilities.Utility_DisplayArrayInTable(CommonLivestock_SourceData.SourceData_Livestock_Common_SymbolsMMS_Data(), Table_Data_MMSSymbols[[#Headers],[Symbol]], 0)</calculatedColumnFormula>
    </tableColumn>
    <tableColumn id="2" xr3:uid="{8A23F85B-E11F-43B7-AF58-1032F42D9585}" name="Manure management system">
      <calculatedColumnFormula array="1">InputFunctions_Utilities.Utility_DisplayArrayInTable(CommonLivestock_SourceData.SourceData_Livestock_Common_SymbolsMMS_Data(), Table_Data_MMSSymbols[[#Headers],[Symbol]], 0)</calculatedColumnFormula>
    </tableColumn>
    <tableColumn id="3" xr3:uid="{58D0574C-2490-473B-A8E1-317E3A493B21}" name="Symbol and MMS">
      <calculatedColumnFormula array="1">InputFunctions_Utilities.Utility_DisplayArrayInTable(CommonLivestock_SourceData.SourceData_Livestock_Common_SymbolsMMS_Data(), Table_Data_MMSSymbols[[#Headers],[Symbol]], 0)</calculatedColumnFormula>
    </tableColumn>
  </tableColumns>
  <tableStyleInfo name="Equation table"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FC6B6FDB-39C9-44DB-B07A-596281048476}" name="Table_AustralianStates" displayName="Table_AustralianStates" ref="D6:F14" totalsRowShown="0">
  <autoFilter ref="D6:F14" xr:uid="{E0906749-7FC7-47DE-82F6-F796C4463018}">
    <filterColumn colId="0" hiddenButton="1"/>
    <filterColumn colId="1" hiddenButton="1"/>
    <filterColumn colId="2" hiddenButton="1"/>
  </autoFilter>
  <tableColumns count="3">
    <tableColumn id="1" xr3:uid="{8D9D8EA2-A68D-4614-85BA-0F315B28B22B}" name="State/Territory">
      <calculatedColumnFormula array="1">Common_InputFunctions.Utility_DisplayArrayInTable(Common_SourceData.Common_SourceData_AustralianStatesTerritories_Data(),Table_AustralianStates[[#Headers],[State/Territory]],0)</calculatedColumnFormula>
    </tableColumn>
    <tableColumn id="2" xr3:uid="{7CA81194-EB21-4E83-AA73-457DF5248415}" name="Common Name">
      <calculatedColumnFormula array="1">Common_InputFunctions.Utility_DisplayArrayInTable(Common_SourceData.Common_SourceData_AustralianStatesTerritories_Data(),Table_AustralianStates[[#Headers],[State/Territory]],0)</calculatedColumnFormula>
    </tableColumn>
    <tableColumn id="3" xr3:uid="{4F4710F9-2D92-4A41-8629-4F34BD7C3469}" name="Abbreviation">
      <calculatedColumnFormula array="1">Common_InputFunctions.Utility_DisplayArrayInTable(Common_SourceData.Common_SourceData_AustralianStatesTerritories_Data(),Table_AustralianStates[[#Headers],[State/Territory]],0)</calculatedColumnFormula>
    </tableColumn>
  </tableColumns>
  <tableStyleInfo name="Equation table"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46EB4109-7A16-4322-92E0-36A58C39492C}" name="Table_WASA4Areas" displayName="Table_WASA4Areas" ref="D20:D30" totalsRowShown="0">
  <autoFilter ref="D20:D30" xr:uid="{5FA81339-C6C8-4D36-BEEA-6C4AEDD9E676}">
    <filterColumn colId="0" hiddenButton="1"/>
  </autoFilter>
  <tableColumns count="1">
    <tableColumn id="1" xr3:uid="{E8BE105B-ADA6-463C-8A5C-64F46434D3D0}" name="SA 4 Name">
      <calculatedColumnFormula array="1">Common_InputFunctions.Utility_DisplayArrayInTable(Common_SourceData.Common_SourceData_WASA4Areas_Data(), Table_WASA4Areas[[#Headers],[SA 4 Name]], 0)</calculatedColumnFormula>
    </tableColumn>
  </tableColumns>
  <tableStyleInfo name="Equation table"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CB3368B1-94D6-4BF8-8F7A-54D84C083EBC}" name="Table_GWPData" displayName="Table_GWPData" ref="D36:E43" totalsRowShown="0">
  <autoFilter ref="D36:E43" xr:uid="{B8E87A66-3E41-4AD3-925D-01EE21B43D7A}">
    <filterColumn colId="0" hiddenButton="1"/>
    <filterColumn colId="1" hiddenButton="1"/>
  </autoFilter>
  <tableColumns count="2">
    <tableColumn id="1" xr3:uid="{AF27F796-517A-4A4F-883A-20B6B44039D7}" name="Gas">
      <calculatedColumnFormula array="1">Common_InputFunctions.Utility_DisplayArrayInTable(Common_SourceData.Common_SourceData_GWP_Data(), Table_GWPData[[#Headers],[Gas]], 0)</calculatedColumnFormula>
    </tableColumn>
    <tableColumn id="2" xr3:uid="{22C2AF2C-B7BB-4FFE-9EA6-36E8CE178CE5}" name="CO2-e factor">
      <calculatedColumnFormula array="1">Common_InputFunctions.Utility_DisplayArrayInTable(Common_SourceData.Common_SourceData_GWP_Data(), Table_GWPData[[#Headers],[Gas]], 0)</calculatedColumnFormula>
    </tableColumn>
  </tableColumns>
  <tableStyleInfo name="Equation table"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445C0DFE-1BFA-4B65-999E-791F1349C6F5}" name="Table_GasToMolecularConversionFactor" displayName="Table_GasToMolecularConversionFactor" ref="D47:H54" totalsRowShown="0">
  <autoFilter ref="D47:H54" xr:uid="{C1F562BB-DAA6-45BB-951A-7BAFA5B64B45}">
    <filterColumn colId="0" hiddenButton="1"/>
    <filterColumn colId="1" hiddenButton="1"/>
    <filterColumn colId="2" hiddenButton="1"/>
    <filterColumn colId="3" hiddenButton="1"/>
    <filterColumn colId="4" hiddenButton="1"/>
  </autoFilter>
  <tableColumns count="5">
    <tableColumn id="1" xr3:uid="{BDD6D4C0-9572-497D-BA81-056A4E2F1000}" name="Gas">
      <calculatedColumnFormula array="1">Common_InputFunctions.Utility_DisplayArrayInTable(Common_SourceData.Common_SourceData_ConvertGasElementalToMolecular_Data(),Table_GasToMolecularConversionFactor[[#Headers],[Gas]], 0)</calculatedColumnFormula>
    </tableColumn>
    <tableColumn id="5" xr3:uid="{9802BAEC-70C6-4B67-95CC-E43570FEBB9A}" name="Conversion factor">
      <calculatedColumnFormula array="1">Common_InputFunctions.Utility_DisplayArrayInTable(Common_SourceData.Common_SourceData_ConvertGasElementalToMolecular_Data(),Table_GasToMolecularConversionFactor[[#Headers],[Gas]], 0)</calculatedColumnFormula>
    </tableColumn>
    <tableColumn id="2" xr3:uid="{728278C4-1ECA-47B1-83C5-9070B3154751}" name="Conversion factor 1">
      <calculatedColumnFormula array="1">Common_InputFunctions.Utility_DisplayArrayInTable(Common_SourceData.Common_SourceData_ConvertGasElementalToMolecular_Data(),Table_GasToMolecularConversionFactor[[#Headers],[Gas]], 0)</calculatedColumnFormula>
    </tableColumn>
    <tableColumn id="3" xr3:uid="{F1AF8D8D-558C-478C-88C0-D7FFECE801AE}" name="Conversion factor 2">
      <calculatedColumnFormula array="1">Common_InputFunctions.Utility_DisplayArrayInTable(Common_SourceData.Common_SourceData_ConvertGasElementalToMolecular_Data(),Table_GasToMolecularConversionFactor[[#Headers],[Gas]], 0)</calculatedColumnFormula>
    </tableColumn>
    <tableColumn id="4" xr3:uid="{F5B19595-DA9C-4C87-A41E-0CF7A73B4D7F}" name="Conversion factor combined">
      <calculatedColumnFormula>Table_GasToMolecularConversionFactor[[#This Row],[Conversion factor 1]]/Table_GasToMolecularConversionFactor[[#This Row],[Conversion factor 2]]</calculatedColumnFormula>
    </tableColumn>
  </tableColumns>
  <tableStyleInfo name="Equation table"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9B2BF63-4ECF-4EC3-8CF2-9D62F8799ED7}" name="Table_SourceData_ClimateZones" displayName="Table_SourceData_ClimateZones" ref="D89:S97" totalsRowShown="0">
  <autoFilter ref="D89:S97" xr:uid="{5A437AE9-7724-4CF2-ACCF-291078682F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C2DCCDDC-F0D6-46F3-9F31-1FB81485F9B7}" name="Climate zone" totalsRowCellStyle="Content bold">
      <calculatedColumnFormula array="1">Common_InputFunctions.Utility_DisplayArrayInTable(Common_SourceData.Common_SourceData_ClimateZones_Data(), Table_SourceData_ClimateZones[[#Headers],[Climate zone]], 0)</calculatedColumnFormula>
    </tableColumn>
    <tableColumn id="2" xr3:uid="{085D949F-3C9F-4972-865D-9738FC7D39E4}" name="MAT" totalsRowDxfId="35" totalsRowCellStyle="Content bold">
      <calculatedColumnFormula array="1">Common_InputFunctions.Utility_DisplayArrayInTable(Common_SourceData.Common_SourceData_ClimateZones_Data(), Table_SourceData_ClimateZones[[#Headers],[Climate zone]], 0)</calculatedColumnFormula>
    </tableColumn>
    <tableColumn id="3" xr3:uid="{8E99D282-BC43-4434-8796-AEDEF3920BE4}" name="MAP" totalsRowDxfId="34" totalsRowCellStyle="Content bold">
      <calculatedColumnFormula array="1">Common_InputFunctions.Utility_DisplayArrayInTable(Common_SourceData.Common_SourceData_ClimateZones_Data(), Table_SourceData_ClimateZones[[#Headers],[Climate zone]], 0)</calculatedColumnFormula>
    </tableColumn>
    <tableColumn id="4" xr3:uid="{8A9F1878-474B-4CA1-9D44-B0FB65DEB401}" name="Frost days per year" totalsRowDxfId="33" totalsRowCellStyle="Content bold">
      <calculatedColumnFormula array="1">Common_InputFunctions.Utility_DisplayArrayInTable(Common_SourceData.Common_SourceData_ClimateZones_Data(), Table_SourceData_ClimateZones[[#Headers],[Climate zone]], 0)</calculatedColumnFormula>
    </tableColumn>
    <tableColumn id="5" xr3:uid="{04EE6251-A51B-478A-BC75-F69CF15D0497}" name="Elevation" totalsRowDxfId="32" totalsRowCellStyle="Content bold">
      <calculatedColumnFormula array="1">Common_InputFunctions.Utility_DisplayArrayInTable(Common_SourceData.Common_SourceData_ClimateZones_Data(), Table_SourceData_ClimateZones[[#Headers],[Climate zone]], 0)</calculatedColumnFormula>
    </tableColumn>
    <tableColumn id="6" xr3:uid="{163A4D02-6241-4478-BC63-B8332314253F}" name="MAP:PET" totalsRowDxfId="31" totalsRowCellStyle="Content bold">
      <calculatedColumnFormula array="1">Common_InputFunctions.Utility_DisplayArrayInTable(Common_SourceData.Common_SourceData_ClimateZones_Data(), Table_SourceData_ClimateZones[[#Headers],[Climate zone]], 0)</calculatedColumnFormula>
    </tableColumn>
    <tableColumn id="7" xr3:uid="{0B7B69B5-7FC2-4DC1-B266-23B289F65875}" name="Min temp" totalsRowDxfId="30" totalsRowCellStyle="Content bold">
      <calculatedColumnFormula array="1">Common_InputFunctions.Utility_DisplayArrayInTable(Common_SourceData.Common_SourceData_ClimateZones_Data(), Table_SourceData_ClimateZones[[#Headers],[Climate zone]], 0)</calculatedColumnFormula>
    </tableColumn>
    <tableColumn id="8" xr3:uid="{543AE399-BD8B-43A0-ADE9-FCAB4605503B}" name="Max temp" totalsRowDxfId="29" totalsRowCellStyle="Content bold">
      <calculatedColumnFormula array="1">Common_InputFunctions.Utility_DisplayArrayInTable(Common_SourceData.Common_SourceData_ClimateZones_Data(), Table_SourceData_ClimateZones[[#Headers],[Climate zone]], 0)</calculatedColumnFormula>
    </tableColumn>
    <tableColumn id="9" xr3:uid="{209AB0DF-461D-4417-A84F-A746C445D0DF}" name="Min rainfall" totalsRowDxfId="28" totalsRowCellStyle="Content bold">
      <calculatedColumnFormula array="1">Common_InputFunctions.Utility_DisplayArrayInTable(Common_SourceData.Common_SourceData_ClimateZones_Data(), Table_SourceData_ClimateZones[[#Headers],[Climate zone]], 0)</calculatedColumnFormula>
    </tableColumn>
    <tableColumn id="10" xr3:uid="{30AC38E7-F0DC-44EE-8147-A9FAA73374BE}" name="Max rainfall" totalsRowDxfId="27" totalsRowCellStyle="Content bold">
      <calculatedColumnFormula array="1">Common_InputFunctions.Utility_DisplayArrayInTable(Common_SourceData.Common_SourceData_ClimateZones_Data(), Table_SourceData_ClimateZones[[#Headers],[Climate zone]], 0)</calculatedColumnFormula>
    </tableColumn>
    <tableColumn id="11" xr3:uid="{6A50662F-EECF-4250-A6E7-B71C10F7F5B0}" name="Min frost days" totalsRowDxfId="26" totalsRowCellStyle="Content bold">
      <calculatedColumnFormula array="1">Common_InputFunctions.Utility_DisplayArrayInTable(Common_SourceData.Common_SourceData_ClimateZones_Data(), Table_SourceData_ClimateZones[[#Headers],[Climate zone]], 0)</calculatedColumnFormula>
    </tableColumn>
    <tableColumn id="15" xr3:uid="{BB06D093-E69A-4676-BD96-D9CBAF229E1B}" name="Max frost days" totalsRowDxfId="25" totalsRowCellStyle="Content bold">
      <calculatedColumnFormula array="1">Common_InputFunctions.Utility_DisplayArrayInTable(Common_SourceData.Common_SourceData_ClimateZones_Data(), Table_SourceData_ClimateZones[[#Headers],[Climate zone]], 0)</calculatedColumnFormula>
    </tableColumn>
    <tableColumn id="12" xr3:uid="{A54A01F4-29B9-4008-8B43-595A9603406D}" name="Min elevation" totalsRowDxfId="24" totalsRowCellStyle="Content bold">
      <calculatedColumnFormula array="1">Common_InputFunctions.Utility_DisplayArrayInTable(Common_SourceData.Common_SourceData_ClimateZones_Data(), Table_SourceData_ClimateZones[[#Headers],[Climate zone]], 0)</calculatedColumnFormula>
    </tableColumn>
    <tableColumn id="16" xr3:uid="{808C5875-68DD-448E-8572-98E488BDEC32}" name="Max elevation" totalsRowDxfId="23" totalsRowCellStyle="Content bold">
      <calculatedColumnFormula array="1">Common_InputFunctions.Utility_DisplayArrayInTable(Common_SourceData.Common_SourceData_ClimateZones_Data(), Table_SourceData_ClimateZones[[#Headers],[Climate zone]], 0)</calculatedColumnFormula>
    </tableColumn>
    <tableColumn id="13" xr3:uid="{14D0D466-C603-44F1-9239-488927F5D894}" name="Min MAP:PET" totalsRowDxfId="22" totalsRowCellStyle="Content bold">
      <calculatedColumnFormula array="1">Common_InputFunctions.Utility_DisplayArrayInTable(Common_SourceData.Common_SourceData_ClimateZones_Data(), Table_SourceData_ClimateZones[[#Headers],[Climate zone]], 0)</calculatedColumnFormula>
    </tableColumn>
    <tableColumn id="17" xr3:uid="{D4DF1A32-A877-425B-887C-8CBD6B3A674F}" name="Max MAP:PET" totalsRowDxfId="21" totalsRowCellStyle="Content bold">
      <calculatedColumnFormula array="1">Common_InputFunctions.Utility_DisplayArrayInTable(Common_SourceData.Common_SourceData_ClimateZones_Data(), Table_SourceData_ClimateZones[[#Headers],[Climate zone]], 0)</calculatedColumnFormula>
    </tableColumn>
  </tableColumns>
  <tableStyleInfo name="Equation table"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F85B6BA6-EBDD-4917-8629-AA549398D3D8}" name="Table_SourceData_WetDryZones" displayName="Table_SourceData_WetDryZones" ref="D63:E77" totalsRowShown="0">
  <autoFilter ref="D63:E77" xr:uid="{3597E019-B21E-4B76-BCC8-D02D497BCFA9}">
    <filterColumn colId="0" hiddenButton="1"/>
    <filterColumn colId="1" hiddenButton="1"/>
  </autoFilter>
  <tableColumns count="2">
    <tableColumn id="1" xr3:uid="{F9E03CCA-29B0-4DFA-BB92-47A4DA346452}" name="Climate zone" totalsRowCellStyle="Content bold">
      <calculatedColumnFormula array="1">Common_InputFunctions.Utility_DisplayArrayInTable(Common_SourceData.Common_SourceData_WetAndDryZones_Data(), Table_SourceData_WetDryZones[[#Headers],[Climate zone]], 0)</calculatedColumnFormula>
    </tableColumn>
    <tableColumn id="2" xr3:uid="{4F3558C5-FC0E-4FAD-B715-8FF569D9AB01}" name="Wet or Dry Zone" totalsRowDxfId="20" totalsRowCellStyle="Content bold">
      <calculatedColumnFormula array="1">Common_InputFunctions.Utility_DisplayArrayInTable(Common_SourceData.Common_SourceData_WetAndDryZones_Data(), Table_SourceData_WetDryZones[[#Headers],[Climate zone]], 0)</calculatedColumnFormula>
    </tableColumn>
  </tableColumns>
  <tableStyleInfo name="Equation table"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3000B7EA-5CFD-4C95-96DA-A6934D74B474}" name="Table_SourceData_TemperatureZones" displayName="Table_SourceData_TemperatureZones" ref="D109:G112" totalsRowShown="0">
  <autoFilter ref="D109:G112" xr:uid="{AB16FEAB-AB03-45E1-BBD4-66D29CD412DF}">
    <filterColumn colId="0" hiddenButton="1"/>
    <filterColumn colId="1" hiddenButton="1"/>
    <filterColumn colId="2" hiddenButton="1"/>
    <filterColumn colId="3" hiddenButton="1"/>
  </autoFilter>
  <tableColumns count="4">
    <tableColumn id="1" xr3:uid="{8F276D39-DE04-4A20-942C-5A83D3A7502B}" name="Temperature Zone">
      <calculatedColumnFormula array="1">Common_InputFunctions.Utility_DisplayArrayInTable(Common_SourceData.Common_SourceData_TemperatureZones_Data(),Table_SourceData_TemperatureZones[[#Headers],[Temperature Zone]],0)</calculatedColumnFormula>
    </tableColumn>
    <tableColumn id="2" xr3:uid="{D4915A01-DA87-4C09-B32E-662E37E3A0B4}" name="MAT">
      <calculatedColumnFormula array="1">Common_InputFunctions.Utility_DisplayArrayInTable(Common_SourceData.Common_SourceData_TemperatureZones_Data(),Table_SourceData_TemperatureZones[[#Headers],[Temperature Zone]],0)</calculatedColumnFormula>
    </tableColumn>
    <tableColumn id="3" xr3:uid="{6EC2186D-66AB-4B7E-A085-EE28E052E5B0}" name="Min MAT">
      <calculatedColumnFormula array="1">Common_InputFunctions.Utility_DisplayArrayInTable(Common_SourceData.Common_SourceData_TemperatureZones_Data(),Table_SourceData_TemperatureZones[[#Headers],[Temperature Zone]],0)</calculatedColumnFormula>
    </tableColumn>
    <tableColumn id="4" xr3:uid="{DCE40066-03DA-4742-8D0B-AA1C523EB845}" name="Max MAT">
      <calculatedColumnFormula array="1">Common_InputFunctions.Utility_DisplayArrayInTable(Common_SourceData.Common_SourceData_TemperatureZones_Data(),Table_SourceData_TemperatureZones[[#Headers],[Temperature Zone]],0)</calculatedColumnFormula>
    </tableColumn>
  </tableColumns>
  <tableStyleInfo name="Equation table"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398397E7-170E-47D5-84AC-DBDA25FEEB3B}" name="Table_SourceData_RainfallZones" displayName="Table_SourceData_RainfallZones" ref="D119:G121" totalsRowShown="0">
  <autoFilter ref="D119:G121" xr:uid="{E08772F3-2E8C-40A8-B755-08A5BBDF4130}">
    <filterColumn colId="0" hiddenButton="1"/>
    <filterColumn colId="1" hiddenButton="1"/>
    <filterColumn colId="2" hiddenButton="1"/>
    <filterColumn colId="3" hiddenButton="1"/>
  </autoFilter>
  <tableColumns count="4">
    <tableColumn id="1" xr3:uid="{6175785E-683F-4FC6-A3DF-4F1B35AC8EE2}" name="Rainfall Zone">
      <calculatedColumnFormula array="1">Common_InputFunctions.Utility_DisplayArrayInTable(Common_SourceData.Common_SourceData_RainfallZones_Data(),Table_SourceData_RainfallZones[[#Headers],[Rainfall Zone]],0)</calculatedColumnFormula>
    </tableColumn>
    <tableColumn id="2" xr3:uid="{3FDE8615-A5D5-46C7-801B-A64A34EF39B7}" name="Annual rainfall">
      <calculatedColumnFormula array="1">Common_InputFunctions.Utility_DisplayArrayInTable(Common_SourceData.Common_SourceData_RainfallZones_Data(),Table_SourceData_RainfallZones[[#Headers],[Rainfall Zone]],0)</calculatedColumnFormula>
    </tableColumn>
    <tableColumn id="3" xr3:uid="{77894486-2DB0-4DB6-8743-6B8F0C94E39F}" name="Min rainfall">
      <calculatedColumnFormula array="1">Common_InputFunctions.Utility_DisplayArrayInTable(Common_SourceData.Common_SourceData_RainfallZones_Data(),Table_SourceData_RainfallZones[[#Headers],[Rainfall Zone]],0)</calculatedColumnFormula>
    </tableColumn>
    <tableColumn id="4" xr3:uid="{940F6A47-B6FE-4F96-80ED-598E434A30F1}" name="Max rainfall">
      <calculatedColumnFormula array="1">Common_InputFunctions.Utility_DisplayArrayInTable(Common_SourceData.Common_SourceData_RainfallZones_Data(),Table_SourceData_RainfallZones[[#Headers],[Rainfall Zone]],0)</calculatedColumnFormula>
    </tableColumn>
  </tableColumns>
  <tableStyleInfo name="Equation table"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7" xr:uid="{A03D6921-AF80-420C-80B9-07981D56513F}" name="Table_SourceData_LeachingZones" displayName="Table_SourceData_LeachingZones" ref="D127:E129" totalsRowShown="0">
  <autoFilter ref="D127:E129" xr:uid="{A159E140-02ED-4547-B6E1-6695D8B16A11}">
    <filterColumn colId="0" hiddenButton="1"/>
    <filterColumn colId="1" hiddenButton="1"/>
  </autoFilter>
  <tableColumns count="2">
    <tableColumn id="1" xr3:uid="{1A3D1EFC-C92D-4747-813D-931E4925A028}" name="Leaching Zone">
      <calculatedColumnFormula array="1">Common_InputFunctions.Utility_DisplayArrayInTable(Common_SourceData.Common_SourceData_LeachingZones_Data(), Table_SourceData_LeachingZones[[#Headers],[Leaching Zone]], 0)</calculatedColumnFormula>
    </tableColumn>
    <tableColumn id="2" xr3:uid="{A577D465-C3A8-4623-9CED-76461D6E142E}" name="Leaching criteria">
      <calculatedColumnFormula array="1">Common_InputFunctions.Utility_DisplayArrayInTable(Common_SourceData.Common_SourceData_LeachingZones_Data(), Table_SourceData_LeachingZones[[#Headers],[Leaching Zone]], 0)</calculatedColumnFormula>
    </tableColumn>
  </tableColumns>
  <tableStyleInfo name="Equation table"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8" xr:uid="{48E39D59-C131-4396-8A2A-D8C57E50B4BC}" name="Table_SourceData_DataScores_Scope3" displayName="Table_SourceData_DataScores_Scope3" ref="D153:E158" totalsRowShown="0">
  <autoFilter ref="D153:E158" xr:uid="{133D42B0-F6D2-470A-858A-37E6A7F5EC2B}">
    <filterColumn colId="0" hiddenButton="1"/>
    <filterColumn colId="1" hiddenButton="1"/>
  </autoFilter>
  <tableColumns count="2">
    <tableColumn id="1" xr3:uid="{653FBE11-AAB4-4E3C-892D-D288E9F2B7B6}" name="Data source">
      <calculatedColumnFormula array="1">Common_InputFunctions.Utility_DisplayArrayInTable(Common_SourceData.Common_SourceData_DataScores_Scope3_Data(), Table_SourceData_DataScores_Scope3[[#Headers],[Data source]], 0)</calculatedColumnFormula>
    </tableColumn>
    <tableColumn id="2" xr3:uid="{AA539FCD-8160-447C-95D7-993FF3D9EE37}" name="Data score">
      <calculatedColumnFormula array="1">Common_InputFunctions.Utility_DisplayArrayInTable(Common_SourceData.Common_SourceData_DataScores_Scope3_Data(), Table_SourceData_DataScores_Scope3[[#Headers],[Data source]], 0)</calculatedColumnFormula>
    </tableColumn>
  </tableColumns>
  <tableStyleInfo name="Equation table"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9" xr:uid="{4C35AF62-1A17-42DB-871F-D7B2AFBD643D}" name="Table_SourceData_FracWET" displayName="Table_SourceData_FracWET" ref="D134:E136" totalsRowShown="0">
  <autoFilter ref="D134:E136" xr:uid="{308E99BE-FE1F-47A4-B2CA-97217277C4E9}">
    <filterColumn colId="0" hiddenButton="1"/>
    <filterColumn colId="1" hiddenButton="1"/>
  </autoFilter>
  <tableColumns count="2">
    <tableColumn id="1" xr3:uid="{98A0A3BA-3AA7-49C3-89F0-7DECBD7F87E0}" name="Is in leaching zone">
      <calculatedColumnFormula array="1">Common_InputFunctions.Utility_DisplayArrayInTable(Common_SourceData.Common_SourceData_FracWET_Data(),Table_SourceData_FracWET[[#Headers],[Is in leaching zone]],0)</calculatedColumnFormula>
    </tableColumn>
    <tableColumn id="2" xr3:uid="{83D3C20F-03AF-42A2-AFAF-E188DFDAAB7C}" name="FracWET" dataDxfId="19">
      <calculatedColumnFormula array="1">Common_InputFunctions.Utility_DisplayArrayInTable(Common_SourceData.Common_SourceData_FracWET_Data(),Table_SourceData_FracWET[[#Headers],[Is in leaching zone]],0)</calculatedColumnFormula>
    </tableColumn>
  </tableColumns>
  <tableStyleInfo name="Equation table"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0" xr:uid="{D09402D6-A961-44A3-AB2F-80A4A04C56EF}" name="Table_SourceData_Common_EFN2O" displayName="Table_SourceData_Common_EFN2O" ref="D186:H199" totalsRowShown="0">
  <autoFilter ref="D186:H199" xr:uid="{D41FBEA4-8379-4DF7-A068-BF94D364F1A2}">
    <filterColumn colId="0" hiddenButton="1"/>
    <filterColumn colId="1" hiddenButton="1"/>
    <filterColumn colId="2" hiddenButton="1"/>
    <filterColumn colId="3" hiddenButton="1"/>
    <filterColumn colId="4" hiddenButton="1"/>
  </autoFilter>
  <tableColumns count="5">
    <tableColumn id="1" xr3:uid="{E8BD89A5-3583-4A16-91E6-F8D32C1D9C18}" name="Production system j">
      <calculatedColumnFormula array="1">Common_InputFunctions.Utility_DisplayArrayInTable(Common_SourceData.Common_SourceData_EFN2O_Data(), Table_SourceData_Common_EFN2O[[#Headers],[Production system j]], 0)</calculatedColumnFormula>
    </tableColumn>
    <tableColumn id="2" xr3:uid="{98AB8D20-DC97-47F4-B0EB-3D2D9CF6A6B4}" name="EFN2O">
      <calculatedColumnFormula array="1">Common_InputFunctions.Utility_DisplayArrayInTable(Common_SourceData.Common_SourceData_EFN2O_Data(), Table_SourceData_Common_EFN2O[[#Headers],[Production system j]], 0)</calculatedColumnFormula>
    </tableColumn>
    <tableColumn id="3" xr3:uid="{F3048E47-EFF4-498E-8D46-E4F8D0BE9AE1}" name="Production system only">
      <calculatedColumnFormula array="1">Common_InputFunctions.Utility_DisplayArrayInTable(Common_SourceData.Common_SourceData_EFN2O_Data(), Table_SourceData_Common_EFN2O[[#Headers],[Production system j]], 0)</calculatedColumnFormula>
    </tableColumn>
    <tableColumn id="4" xr3:uid="{61DCF957-F499-4D35-A8D1-1B2B14583ADB}" name="Irrigation method">
      <calculatedColumnFormula array="1">Common_InputFunctions.Utility_DisplayArrayInTable(Common_SourceData.Common_SourceData_EFN2O_Data(), Table_SourceData_Common_EFN2O[[#Headers],[Production system j]], 0)</calculatedColumnFormula>
    </tableColumn>
    <tableColumn id="5" xr3:uid="{14739323-C540-4BCB-9A3E-02AD7825C20C}" name="Rainfall zone">
      <calculatedColumnFormula array="1">Common_InputFunctions.Utility_DisplayArrayInTable(Common_SourceData.Common_SourceData_EFN2O_Data(), Table_SourceData_Common_EFN2O[[#Headers],[Production system j]], 0)</calculatedColumnFormula>
    </tableColumn>
  </tableColumns>
  <tableStyleInfo name="Equation table"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8" xr:uid="{349D3DF0-4C1C-404D-AFC9-22BF53B86C77}" name="Table_SourceData_FracWETIrrigation" displayName="Table_SourceData_FracWETIrrigation" ref="D142:E147" totalsRowShown="0">
  <autoFilter ref="D142:E147" xr:uid="{1F48CA34-50DE-46D5-B32A-BB3A1E818E37}">
    <filterColumn colId="0" hiddenButton="1"/>
    <filterColumn colId="1" hiddenButton="1"/>
  </autoFilter>
  <tableColumns count="2">
    <tableColumn id="1" xr3:uid="{3F869A0F-445B-459C-AD76-C43D66243802}" name="Irrigation type i">
      <calculatedColumnFormula array="1">Common_InputFunctions.Utility_DisplayArrayInTable(Common_SourceData.Common_SourceData_FracWETIrrigation_Data(), Table_SourceData_FracWETIrrigation[[#Headers],[Irrigation type i]], 0)</calculatedColumnFormula>
    </tableColumn>
    <tableColumn id="2" xr3:uid="{DA1A4153-2AFC-4A3F-81BD-926EBF6CDAFF}" name="FracWET" dataDxfId="18" dataCellStyle="Content normal">
      <calculatedColumnFormula array="1">Common_InputFunctions.Utility_DisplayArrayInTable(Common_SourceData.Common_SourceData_FracWETIrrigation_Data(), Table_SourceData_FracWETIrrigation[[#Headers],[Irrigation type i]], 0)</calculatedColumnFormula>
    </tableColumn>
  </tableColumns>
  <tableStyleInfo name="Equation table"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0" xr:uid="{3DEE1F2F-0CC9-4142-8B7E-092D2682C857}" name="Table_SourceData_EFPastureRangeAndPaddock" displayName="Table_SourceData_EFPastureRangeAndPaddock" ref="D206:E208" totalsRowShown="0">
  <autoFilter ref="D206:E208" xr:uid="{D5BE3F89-D70E-4C53-A71C-E756622DEF38}">
    <filterColumn colId="0" hiddenButton="1"/>
    <filterColumn colId="1" hiddenButton="1"/>
  </autoFilter>
  <tableColumns count="2">
    <tableColumn id="1" xr3:uid="{25AB7809-B0B0-4B3F-B26D-935CF994DD92}" name="Climate zone">
      <calculatedColumnFormula array="1">Common_InputFunctions.Utility_DisplayArrayInTable(Common_SourceData.Common_SourceData_EFPastureRangeAndPaddock_Data(), Table_SourceData_EFPastureRangeAndPaddock[[#Headers],[Climate zone]], 0)</calculatedColumnFormula>
    </tableColumn>
    <tableColumn id="2" xr3:uid="{5EB5D3A5-2CB1-4374-AFF4-6292EAB435E6}" name="EFPRP" dataDxfId="17" dataCellStyle="Content normal">
      <calculatedColumnFormula array="1">Common_InputFunctions.Utility_DisplayArrayInTable(Common_SourceData.Common_SourceData_EFPastureRangeAndPaddock_Data(), Table_SourceData_EFPastureRangeAndPaddock[[#Headers],[Climate zone]], 0)</calculatedColumnFormula>
    </tableColumn>
  </tableColumns>
  <tableStyleInfo name="Equation table"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1" xr:uid="{E7C16B54-9272-47FD-9DD8-3DD27D1CBD63}" name="Table_SourceData_Common_MonthToSeason" displayName="Table_SourceData_Common_MonthToSeason" ref="D212:E224" totalsRowShown="0">
  <autoFilter ref="D212:E224" xr:uid="{97796C3A-D95E-4077-AA20-A8FE4145DAAD}">
    <filterColumn colId="0" hiddenButton="1"/>
    <filterColumn colId="1" hiddenButton="1"/>
  </autoFilter>
  <tableColumns count="2">
    <tableColumn id="1" xr3:uid="{9E066805-A7A8-42A1-AEAD-2D0A0F98638D}" name="Month">
      <calculatedColumnFormula array="1">Common_InputFunctions.Utility_DisplayArrayInTable(Common_SourceData.Common_SourceData_MonthsToSeasons_Data(), Table_SourceData_Common_MonthToSeason[[#Headers],[Month]], 0)</calculatedColumnFormula>
    </tableColumn>
    <tableColumn id="2" xr3:uid="{5FACF69C-E542-4A97-B154-ED182A7D4A65}" name="Season" dataDxfId="16" dataCellStyle="Content normal">
      <calculatedColumnFormula array="1">Common_InputFunctions.Utility_DisplayArrayInTable(Common_SourceData.Common_SourceData_MonthsToSeasons_Data(), Table_SourceData_Common_MonthToSeason[[#Headers],[Month]], 0)</calculatedColumnFormula>
    </tableColumn>
  </tableColumns>
  <tableStyleInfo name="Equation table"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2" xr:uid="{CA7DDC87-6036-4E12-8133-3018BF6612E1}" name="Table_SourceData_Common_MCFTemperatureZone" displayName="Table_SourceData_Common_MCFTemperatureZone" ref="D231:S250" totalsRowShown="0">
  <autoFilter ref="D231:S250" xr:uid="{1D72DD9B-C8FA-48F4-9A11-20231FF87B5A}">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autoFilter>
  <tableColumns count="16">
    <tableColumn id="1" xr3:uid="{D60D1CFA-4A63-42F1-ACE1-82BAE1308656}" name="Temperature zone">
      <calculatedColumnFormula array="1">Common_InputFunctions.Utility_DisplayArrayInTable(Common_SourceData.Common_SourceData_MCFTemperatureZone_Data(),Table_SourceData_Common_MCFTemperatureZone[[#Headers],[Temperature zone]],0)</calculatedColumnFormula>
    </tableColumn>
    <tableColumn id="2" xr3:uid="{3C564E27-E185-496B-A330-E4D9605703FD}" name="MAT (ºC)" dataDxfId="1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3" xr3:uid="{A818A779-AFB9-4CE3-8852-0DB2C96ABD11}" name="Anaerobic lagoon" dataDxfId="1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4" xr3:uid="{F77A5000-E707-4583-9D8F-45A2A7A1CE49}" name="Digester / covered lagoons" dataDxfId="1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5" xr3:uid="{52CDECDF-F499-4FA4-9C30-6699803FC36C}" name="Liquid systems" dataDxfId="1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6" xr3:uid="{395B210D-71D4-4709-ACE9-5F7B69D48D20}" name="Daily spread" dataDxfId="11"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7" xr3:uid="{CBD9C4B7-DBD3-447B-9516-B01AF2D1EA5E}" name="Composting (passive windrow)" dataDxfId="10"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8" xr3:uid="{4A687C6D-AA56-4AE6-9026-7D85E0E2428C}" name="Solid storage" dataDxfId="9"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9" xr3:uid="{27A1A806-2F80-4500-B309-D9F79F8565FB}" name="Pit storage" dataDxfId="8"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0" xr3:uid="{88260F93-4DC8-441A-8187-14BF00D048B8}" name="Deep litter" dataDxfId="7"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1" xr3:uid="{C8E25584-0560-4214-9506-F247C8941C71}" name="Poultry manure with bedding" dataDxfId="6"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2" xr3:uid="{B1BC0AC2-0009-4CCF-8250-71AE91D3D491}" name="Poultry manure without bedding" dataDxfId="5"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3" xr3:uid="{A04E251C-D36B-406C-A4DE-80A4ABE938A3}" name="Direct processing" dataDxfId="4"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4" xr3:uid="{75EFD31E-5E04-4093-8672-13DAE0D3B3F2}" name="Direct application" dataDxfId="3"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5" xr3:uid="{4C84D9ED-C72E-4170-B03D-03CAB55BA59F}" name="Pasture range and paddock" dataDxfId="2" dataCellStyle="Content normal">
      <calculatedColumnFormula array="1">Common_InputFunctions.Utility_DisplayArrayInTable(Common_SourceData.Common_SourceData_MCFTemperatureZone_Data(),Table_SourceData_Common_MCFTemperatureZone[[#Headers],[Temperature zone]],0)</calculatedColumnFormula>
    </tableColumn>
    <tableColumn id="16" xr3:uid="{BDD47183-C151-40B2-85CD-C839C803B2DC}" name="MAT raw" dataDxfId="1" dataCellStyle="Content normal">
      <calculatedColumnFormula array="1">Common_InputFunctions.Utility_DisplayArrayInTable(Common_SourceData.Common_SourceData_MCFTemperatureZone_Data(),Table_SourceData_Common_MCFTemperatureZone[[#Headers],[Temperature zone]],0)</calculatedColumnFormula>
    </tableColumn>
  </tableColumns>
  <tableStyleInfo name="Equation table" showFirstColumn="0" showLastColumn="0" showRowStripes="1" showColumnStripes="0"/>
</table>
</file>

<file path=xl/tables/table2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3" xr:uid="{0BC7828E-6F8E-4059-8196-2C8B1594590D}" name="Table_SourceData_Common_EFOrganicFertCropResidues" displayName="Table_SourceData_Common_EFOrganicFertCropResidues" ref="D257:E259" totalsRowShown="0">
  <autoFilter ref="D257:E259" xr:uid="{56E01C14-1BB8-4015-9158-4CEB4D3B605C}">
    <filterColumn colId="0" hiddenButton="1"/>
    <filterColumn colId="1" hiddenButton="1"/>
  </autoFilter>
  <tableColumns count="2">
    <tableColumn id="1" xr3:uid="{FF8BFB87-4EC2-4DCA-99C7-CC22317FD350}" name="Climate Zone">
      <calculatedColumnFormula array="1">Common_InputFunctions.Utility_DisplayArrayInTable(Common_SourceData.Common_SourceData_EFOrganicFertiliserAndCropResidues_Data(), Table_SourceData_Common_EFOrganicFertCropResidues[[#Headers],[Climate Zone]], 0)</calculatedColumnFormula>
    </tableColumn>
    <tableColumn id="2" xr3:uid="{E1F7C91A-9352-4C6F-9C33-48F3841846CA}" name="EFNi &amp; EFN2Oi" dataDxfId="0" dataCellStyle="Content normal">
      <calculatedColumnFormula array="1">Common_InputFunctions.Utility_DisplayArrayInTable(Common_SourceData.Common_SourceData_EFOrganicFertiliserAndCropResidues_Data(), Table_SourceData_Common_EFOrganicFertCropResidues[[#Headers],[Climate Zone]], 0)</calculatedColumnFormula>
    </tableColumn>
  </tableColumns>
  <tableStyleInfo name="Equation table" showFirstColumn="0" showLastColumn="0" showRowStripes="1" showColumnStripes="0"/>
</table>
</file>

<file path=xl/theme/theme1.xml><?xml version="1.0" encoding="utf-8"?>
<a:theme xmlns:a="http://schemas.openxmlformats.org/drawingml/2006/main" name="Office Theme">
  <a:themeElements>
    <a:clrScheme name="ZNE-Ag">
      <a:dk1>
        <a:sysClr val="windowText" lastClr="000000"/>
      </a:dk1>
      <a:lt1>
        <a:sysClr val="window" lastClr="FFFFFF"/>
      </a:lt1>
      <a:dk2>
        <a:srgbClr val="0E2841"/>
      </a:dk2>
      <a:lt2>
        <a:srgbClr val="E8E8E8"/>
      </a:lt2>
      <a:accent1>
        <a:srgbClr val="0B769F"/>
      </a:accent1>
      <a:accent2>
        <a:srgbClr val="CC6600"/>
      </a:accent2>
      <a:accent3>
        <a:srgbClr val="008000"/>
      </a:accent3>
      <a:accent4>
        <a:srgbClr val="C4433F"/>
      </a:accent4>
      <a:accent5>
        <a:srgbClr val="4F4789"/>
      </a:accent5>
      <a:accent6>
        <a:srgbClr val="FFCC66"/>
      </a:accent6>
      <a:hlink>
        <a:srgbClr val="467886"/>
      </a:hlink>
      <a:folHlink>
        <a:srgbClr val="894763"/>
      </a:folHlink>
    </a:clrScheme>
    <a:fontScheme name="Custom 1">
      <a:majorFont>
        <a:latin typeface="Times New Roman"/>
        <a:ea typeface=""/>
        <a:cs typeface=""/>
      </a:majorFont>
      <a:minorFont>
        <a:latin typeface="Times New Roman"/>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98" row="4">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102233F-B6A7-4C5C-980A-848E7A11A33D}">
  <we:reference id="wa200003696" version="1.3.0.0" store="en-US" storeType="OMEX"/>
  <we:alternateReferences>
    <we:reference id="WA200003696" version="1.3.0.0" store="WA200003696" storeType="OMEX"/>
  </we:alternateReferences>
  <we:properties>
    <we:property name="projectV0_1-56c6e055-265e-4713-816e-a646dbb708de" value="{&quot;kind&quot;:&quot;AFEJSONBlobNode&quot;,&quot;id&quot;:&quot;{B6BE249C-20B1-4A62-BBCD-F2A46D88BCAB}&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5.bin"/></Relationships>
</file>

<file path=xl/worksheets/_rels/sheet10.xml.rels><?xml version="1.0" encoding="UTF-8" standalone="yes"?>
<Relationships xmlns="http://schemas.openxmlformats.org/package/2006/relationships"><Relationship Id="rId8" Type="http://schemas.openxmlformats.org/officeDocument/2006/relationships/table" Target="../tables/table8.xml"/><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 Id="rId9" Type="http://schemas.openxmlformats.org/officeDocument/2006/relationships/table" Target="../tables/table9.xml"/></Relationships>
</file>

<file path=xl/worksheets/_rels/sheet11.xml.rels><?xml version="1.0" encoding="UTF-8" standalone="yes"?>
<Relationships xmlns="http://schemas.openxmlformats.org/package/2006/relationships"><Relationship Id="rId2" Type="http://schemas.openxmlformats.org/officeDocument/2006/relationships/table" Target="../tables/table10.xml"/><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8" Type="http://schemas.openxmlformats.org/officeDocument/2006/relationships/table" Target="../tables/table17.xml"/><Relationship Id="rId13" Type="http://schemas.openxmlformats.org/officeDocument/2006/relationships/table" Target="../tables/table22.xml"/><Relationship Id="rId18" Type="http://schemas.openxmlformats.org/officeDocument/2006/relationships/table" Target="../tables/table27.xml"/><Relationship Id="rId3" Type="http://schemas.openxmlformats.org/officeDocument/2006/relationships/table" Target="../tables/table12.xml"/><Relationship Id="rId7" Type="http://schemas.openxmlformats.org/officeDocument/2006/relationships/table" Target="../tables/table16.xml"/><Relationship Id="rId12" Type="http://schemas.openxmlformats.org/officeDocument/2006/relationships/table" Target="../tables/table21.xml"/><Relationship Id="rId17" Type="http://schemas.openxmlformats.org/officeDocument/2006/relationships/table" Target="../tables/table26.xml"/><Relationship Id="rId2" Type="http://schemas.openxmlformats.org/officeDocument/2006/relationships/table" Target="../tables/table11.xml"/><Relationship Id="rId16" Type="http://schemas.openxmlformats.org/officeDocument/2006/relationships/table" Target="../tables/table25.xml"/><Relationship Id="rId1" Type="http://schemas.openxmlformats.org/officeDocument/2006/relationships/printerSettings" Target="../printerSettings/printerSettings7.bin"/><Relationship Id="rId6" Type="http://schemas.openxmlformats.org/officeDocument/2006/relationships/table" Target="../tables/table15.xml"/><Relationship Id="rId11" Type="http://schemas.openxmlformats.org/officeDocument/2006/relationships/table" Target="../tables/table20.xml"/><Relationship Id="rId5" Type="http://schemas.openxmlformats.org/officeDocument/2006/relationships/table" Target="../tables/table14.xml"/><Relationship Id="rId15" Type="http://schemas.openxmlformats.org/officeDocument/2006/relationships/table" Target="../tables/table24.xml"/><Relationship Id="rId10" Type="http://schemas.openxmlformats.org/officeDocument/2006/relationships/table" Target="../tables/table19.xml"/><Relationship Id="rId4" Type="http://schemas.openxmlformats.org/officeDocument/2006/relationships/table" Target="../tables/table13.xml"/><Relationship Id="rId9" Type="http://schemas.openxmlformats.org/officeDocument/2006/relationships/table" Target="../tables/table18.xml"/><Relationship Id="rId14" Type="http://schemas.openxmlformats.org/officeDocument/2006/relationships/table" Target="../tables/table2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CF26AA-F4FA-460F-9B3A-C19960195F0B}">
  <dimension ref="A1"/>
  <sheetViews>
    <sheetView workbookViewId="0"/>
  </sheetViews>
  <sheetFormatPr defaultRowHeight="15" x14ac:dyDescent="0.25"/>
  <sheetData>
    <row r="1" spans="1:1" x14ac:dyDescent="0.25">
      <c r="A1" t="s">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158DA9-14A0-4A7B-BE9B-F61C0C2C127D}">
  <dimension ref="A1:BL82"/>
  <sheetViews>
    <sheetView showGridLines="0" zoomScaleNormal="100" workbookViewId="0">
      <selection activeCell="A4" sqref="A4"/>
    </sheetView>
  </sheetViews>
  <sheetFormatPr defaultRowHeight="15" x14ac:dyDescent="0.25"/>
  <cols>
    <col min="1" max="1" width="30.7109375" customWidth="1"/>
    <col min="2" max="3" width="4.7109375" customWidth="1"/>
  </cols>
  <sheetData>
    <row r="1" spans="1:64" ht="30" customHeight="1" x14ac:dyDescent="0.35">
      <c r="A1" s="67" t="e" vm="1">
        <v>#VALUE!</v>
      </c>
      <c r="C1" s="114" t="s">
        <v>235</v>
      </c>
      <c r="D1" s="122"/>
      <c r="E1" s="122"/>
      <c r="F1" s="122"/>
      <c r="G1" s="122"/>
      <c r="H1" s="122"/>
      <c r="I1" s="122"/>
      <c r="J1" s="122"/>
      <c r="K1" s="122"/>
      <c r="L1" s="122"/>
      <c r="M1" s="122"/>
      <c r="N1" s="122"/>
      <c r="O1" s="122"/>
      <c r="P1" s="122"/>
      <c r="Q1" s="122"/>
      <c r="R1" s="122"/>
      <c r="S1" s="122"/>
      <c r="T1" s="122"/>
      <c r="U1" s="122"/>
      <c r="V1" s="122"/>
      <c r="W1" s="122"/>
      <c r="X1" s="122"/>
      <c r="Y1" s="122"/>
      <c r="Z1" s="122"/>
      <c r="AA1" s="122"/>
      <c r="AB1" s="122"/>
      <c r="AC1" s="122"/>
      <c r="AD1" s="122"/>
      <c r="AE1" s="122"/>
      <c r="AF1" s="122"/>
      <c r="AG1" s="122"/>
    </row>
    <row r="2" spans="1:64" ht="20.100000000000001" customHeight="1" x14ac:dyDescent="0.25">
      <c r="A2" s="9"/>
      <c r="C2" s="122"/>
      <c r="D2" s="122"/>
      <c r="E2" s="122"/>
      <c r="F2" s="122"/>
      <c r="G2" s="122"/>
      <c r="H2" s="122"/>
      <c r="I2" s="122"/>
      <c r="J2" s="122"/>
      <c r="K2" s="122"/>
      <c r="L2" s="122"/>
      <c r="M2" s="122"/>
      <c r="N2" s="122"/>
      <c r="O2" s="122"/>
      <c r="P2" s="122"/>
      <c r="Q2" s="122"/>
      <c r="R2" s="122"/>
      <c r="S2" s="122"/>
      <c r="T2" s="122"/>
      <c r="U2" s="122"/>
      <c r="V2" s="122"/>
      <c r="W2" s="122"/>
      <c r="X2" s="122"/>
      <c r="Y2" s="122"/>
      <c r="Z2" s="122"/>
      <c r="AA2" s="122"/>
      <c r="AB2" s="122"/>
      <c r="AC2" s="122"/>
      <c r="AD2" s="122"/>
      <c r="AE2" s="122"/>
      <c r="AF2" s="122"/>
      <c r="AG2" s="122"/>
    </row>
    <row r="3" spans="1:64" ht="20.100000000000001" customHeight="1" x14ac:dyDescent="0.25">
      <c r="A3" s="17" t="str">
        <f>HYPERLINK("#'Home'!A1", "Home")</f>
        <v>Home</v>
      </c>
      <c r="C3" s="123"/>
      <c r="D3" s="123"/>
      <c r="E3" s="123"/>
      <c r="F3" s="123"/>
      <c r="G3" s="123"/>
      <c r="H3" s="123"/>
      <c r="I3" s="123"/>
      <c r="J3" s="123"/>
      <c r="K3" s="123"/>
      <c r="L3" s="123"/>
      <c r="M3" s="123"/>
      <c r="N3" s="123"/>
      <c r="O3" s="123"/>
      <c r="P3" s="123"/>
      <c r="Q3" s="123"/>
      <c r="R3" s="123"/>
      <c r="S3" s="123"/>
      <c r="T3" s="123"/>
      <c r="U3" s="123"/>
      <c r="V3" s="123"/>
      <c r="W3" s="123"/>
      <c r="X3" s="123"/>
      <c r="Y3" s="123"/>
      <c r="Z3" s="123"/>
      <c r="AA3" s="123"/>
      <c r="AB3" s="123"/>
      <c r="AC3" s="123"/>
      <c r="AD3" s="123"/>
      <c r="AE3" s="123"/>
      <c r="AF3" s="123"/>
      <c r="AG3" s="123"/>
      <c r="AH3" s="123"/>
      <c r="AI3" s="123"/>
      <c r="AJ3" s="123"/>
      <c r="AK3" s="123"/>
      <c r="AL3" s="123"/>
      <c r="AM3" s="123"/>
      <c r="AN3" s="123"/>
      <c r="AO3" s="123"/>
      <c r="AP3" s="123"/>
      <c r="AQ3" s="123"/>
      <c r="AR3" s="123"/>
      <c r="AS3" s="123"/>
      <c r="AT3" s="123"/>
      <c r="AU3" s="123"/>
      <c r="AV3" s="123"/>
      <c r="AW3" s="123"/>
      <c r="AX3" s="123"/>
      <c r="AY3" s="123"/>
      <c r="AZ3" s="123"/>
      <c r="BA3" s="123"/>
      <c r="BB3" s="123"/>
      <c r="BC3" s="123"/>
      <c r="BD3" s="123"/>
      <c r="BE3" s="123"/>
      <c r="BF3" s="123"/>
      <c r="BG3" s="123"/>
      <c r="BH3" s="123"/>
      <c r="BI3" s="123"/>
      <c r="BJ3" s="123"/>
      <c r="BK3" s="123"/>
      <c r="BL3" s="123"/>
    </row>
    <row r="4" spans="1:64" ht="20.100000000000001" customHeight="1" x14ac:dyDescent="0.25">
      <c r="A4" s="113" t="str">
        <f>HYPERLINK("#'Overview'!A1", "Overview")</f>
        <v>Overview</v>
      </c>
      <c r="C4" s="1"/>
      <c r="D4" s="1"/>
      <c r="E4" s="1"/>
      <c r="F4" s="1"/>
      <c r="G4" s="1"/>
      <c r="H4" s="1"/>
      <c r="I4" s="1"/>
      <c r="J4" s="1"/>
      <c r="K4" s="1"/>
      <c r="L4" s="1"/>
      <c r="M4" s="1"/>
      <c r="N4" s="1"/>
      <c r="O4" s="1"/>
      <c r="P4" s="1"/>
      <c r="Q4" s="1"/>
      <c r="R4" s="1"/>
      <c r="S4" s="1"/>
      <c r="T4" s="1"/>
      <c r="U4" s="1"/>
      <c r="V4" s="1"/>
      <c r="W4" s="1"/>
      <c r="X4" s="1"/>
      <c r="Y4" s="1"/>
      <c r="Z4" s="1"/>
      <c r="AA4" s="1"/>
      <c r="AB4" s="1"/>
      <c r="AC4" s="1"/>
      <c r="AD4" s="1"/>
      <c r="AE4" s="1"/>
      <c r="AF4" s="1"/>
      <c r="AG4" s="1"/>
      <c r="AH4" s="24"/>
      <c r="AI4" s="24"/>
      <c r="AJ4" s="24"/>
      <c r="AK4" s="24"/>
      <c r="AL4" s="24"/>
      <c r="AM4" s="24"/>
      <c r="AN4" s="24"/>
      <c r="AO4" s="24"/>
      <c r="AP4" s="24"/>
      <c r="AQ4" s="24"/>
      <c r="AR4" s="24"/>
      <c r="AS4" s="24"/>
      <c r="AT4" s="24"/>
      <c r="AU4" s="24"/>
      <c r="AV4" s="24"/>
      <c r="AW4" s="24"/>
      <c r="AX4" s="24"/>
      <c r="AY4" s="24"/>
      <c r="AZ4" s="24"/>
      <c r="BA4" s="24"/>
      <c r="BB4" s="24"/>
      <c r="BC4" s="24"/>
      <c r="BD4" s="24"/>
      <c r="BE4" s="24"/>
      <c r="BF4" s="24"/>
      <c r="BG4" s="24"/>
      <c r="BH4" s="24"/>
      <c r="BI4" s="24"/>
      <c r="BJ4" s="24"/>
      <c r="BK4" s="24"/>
      <c r="BL4" s="24"/>
    </row>
    <row r="5" spans="1:64" ht="20.100000000000001" customHeight="1" x14ac:dyDescent="0.25">
      <c r="A5" s="17" t="str">
        <f>HYPERLINK("#'Results'!A1", "Results")</f>
        <v>Results</v>
      </c>
      <c r="C5" s="1"/>
      <c r="D5" s="124" t="s">
        <v>139</v>
      </c>
      <c r="E5" s="124"/>
      <c r="F5" s="124"/>
      <c r="G5" s="124"/>
      <c r="H5" s="124"/>
      <c r="I5" s="106"/>
      <c r="J5" s="91"/>
      <c r="K5" s="91"/>
      <c r="L5" s="91"/>
      <c r="M5" s="91"/>
      <c r="N5" s="91"/>
      <c r="O5" s="91"/>
      <c r="P5" s="91"/>
      <c r="Q5" s="91"/>
      <c r="R5" s="91"/>
      <c r="S5" s="91"/>
      <c r="T5" s="91"/>
      <c r="U5" s="91"/>
      <c r="V5" s="87"/>
      <c r="W5" s="1"/>
      <c r="X5" s="1"/>
      <c r="Y5" s="1"/>
      <c r="Z5" s="1"/>
      <c r="AA5" s="1"/>
      <c r="AB5" s="1"/>
      <c r="AC5" s="1"/>
      <c r="AD5" s="1"/>
      <c r="AE5" s="1"/>
      <c r="AF5" s="1"/>
      <c r="AG5" s="1"/>
      <c r="AH5" s="24"/>
      <c r="AI5" s="24"/>
      <c r="AJ5" s="24"/>
      <c r="AK5" s="24"/>
      <c r="AL5" s="24"/>
      <c r="AM5" s="24"/>
      <c r="AN5" s="24"/>
      <c r="AO5" s="24"/>
      <c r="AP5" s="24"/>
      <c r="AQ5" s="24"/>
      <c r="AR5" s="24"/>
      <c r="AS5" s="24"/>
      <c r="AT5" s="24"/>
      <c r="AU5" s="24"/>
      <c r="AV5" s="24"/>
      <c r="AW5" s="24"/>
      <c r="AX5" s="24"/>
      <c r="AY5" s="24"/>
      <c r="AZ5" s="24"/>
      <c r="BA5" s="24"/>
      <c r="BB5" s="24"/>
      <c r="BC5" s="24"/>
      <c r="BD5" s="24"/>
      <c r="BE5" s="24"/>
      <c r="BF5" s="24"/>
      <c r="BG5" s="24"/>
      <c r="BH5" s="24"/>
      <c r="BI5" s="24"/>
      <c r="BJ5" s="24"/>
      <c r="BK5" s="24"/>
      <c r="BL5" s="24"/>
    </row>
    <row r="6" spans="1:64" ht="20.100000000000001" customHeight="1" x14ac:dyDescent="0.25">
      <c r="A6" s="16"/>
      <c r="C6" s="1"/>
      <c r="D6" s="125" t="s">
        <v>140</v>
      </c>
      <c r="E6" s="126"/>
      <c r="F6" s="126"/>
      <c r="G6" s="126"/>
      <c r="H6" s="126"/>
      <c r="I6" s="93"/>
      <c r="J6" s="90"/>
      <c r="K6" s="90"/>
      <c r="L6" s="90"/>
      <c r="M6" s="90"/>
      <c r="N6" s="90"/>
      <c r="O6" s="90"/>
      <c r="P6" s="90"/>
      <c r="Q6" s="90"/>
      <c r="R6" s="90"/>
      <c r="S6" s="90"/>
      <c r="T6" s="90"/>
      <c r="U6" s="90"/>
      <c r="V6" s="88"/>
      <c r="W6" s="1"/>
      <c r="X6" s="1"/>
      <c r="Y6" s="1"/>
      <c r="Z6" s="1"/>
      <c r="AA6" s="1"/>
      <c r="AB6" s="1"/>
      <c r="AC6" s="1"/>
      <c r="AD6" s="1"/>
      <c r="AE6" s="1"/>
      <c r="AF6" s="1"/>
      <c r="AG6" s="1"/>
      <c r="AH6" s="24"/>
      <c r="AI6" s="24"/>
      <c r="AJ6" s="24"/>
      <c r="AK6" s="24"/>
      <c r="AL6" s="24"/>
      <c r="AM6" s="24"/>
      <c r="AN6" s="24"/>
      <c r="AO6" s="24"/>
      <c r="AP6" s="24"/>
      <c r="AQ6" s="24"/>
      <c r="AR6" s="24"/>
      <c r="AS6" s="24"/>
      <c r="AT6" s="24"/>
      <c r="AU6" s="24"/>
      <c r="AV6" s="24"/>
      <c r="AW6" s="24"/>
      <c r="AX6" s="24"/>
      <c r="AY6" s="24"/>
      <c r="AZ6" s="24"/>
      <c r="BA6" s="24"/>
      <c r="BB6" s="24"/>
      <c r="BC6" s="24"/>
      <c r="BD6" s="24"/>
      <c r="BE6" s="24"/>
      <c r="BF6" s="24"/>
      <c r="BG6" s="24"/>
      <c r="BH6" s="24"/>
      <c r="BI6" s="24"/>
      <c r="BJ6" s="24"/>
      <c r="BK6" s="24"/>
      <c r="BL6" s="24"/>
    </row>
    <row r="7" spans="1:64" ht="20.100000000000001" customHeight="1" x14ac:dyDescent="0.25">
      <c r="A7" s="20" t="s">
        <v>1</v>
      </c>
      <c r="C7" s="1"/>
      <c r="D7" s="1"/>
      <c r="E7" s="1"/>
      <c r="F7" s="1"/>
      <c r="G7" s="1"/>
      <c r="H7" s="1"/>
      <c r="I7" s="1"/>
      <c r="J7" s="1"/>
      <c r="K7" s="1"/>
      <c r="L7" s="1"/>
      <c r="M7" s="1"/>
      <c r="N7" s="1"/>
      <c r="O7" s="1"/>
      <c r="P7" s="1"/>
      <c r="Q7" s="1"/>
      <c r="R7" s="1"/>
      <c r="S7" s="1"/>
      <c r="T7" s="1"/>
      <c r="U7" s="1"/>
      <c r="V7" s="1"/>
      <c r="W7" s="1"/>
      <c r="X7" s="1"/>
      <c r="Y7" s="1"/>
      <c r="Z7" s="1"/>
      <c r="AA7" s="1"/>
      <c r="AB7" s="1"/>
      <c r="AC7" s="1"/>
      <c r="AD7" s="1"/>
      <c r="AE7" s="1"/>
      <c r="AF7" s="1"/>
      <c r="AG7" s="1"/>
      <c r="AH7" s="24"/>
      <c r="AI7" s="24"/>
      <c r="AJ7" s="24"/>
      <c r="AK7" s="24"/>
      <c r="AL7" s="24"/>
      <c r="AM7" s="24"/>
      <c r="AN7" s="24"/>
      <c r="AO7" s="24"/>
      <c r="AP7" s="24"/>
      <c r="AQ7" s="24"/>
      <c r="AR7" s="24"/>
      <c r="AS7" s="24"/>
      <c r="AT7" s="24"/>
      <c r="AU7" s="24"/>
      <c r="AV7" s="24"/>
      <c r="AW7" s="24"/>
      <c r="AX7" s="24"/>
      <c r="AY7" s="24"/>
      <c r="AZ7" s="24"/>
      <c r="BA7" s="24"/>
      <c r="BB7" s="24"/>
      <c r="BC7" s="24"/>
      <c r="BD7" s="24"/>
      <c r="BE7" s="24"/>
      <c r="BF7" s="24"/>
      <c r="BG7" s="24"/>
      <c r="BH7" s="24"/>
      <c r="BI7" s="24"/>
      <c r="BJ7" s="24"/>
      <c r="BK7" s="24"/>
      <c r="BL7" s="24"/>
    </row>
    <row r="8" spans="1:64" ht="20.100000000000001" customHeight="1" x14ac:dyDescent="0.25">
      <c r="A8" s="17" t="str">
        <f>HYPERLINK("#'Input - Site'!A1", "Site")</f>
        <v>Site</v>
      </c>
      <c r="C8" s="1"/>
      <c r="D8" s="1"/>
      <c r="E8" s="1"/>
      <c r="F8" s="1"/>
      <c r="G8" s="1"/>
      <c r="H8" s="1"/>
      <c r="I8" s="1"/>
      <c r="J8" s="1"/>
      <c r="K8" s="1"/>
      <c r="L8" s="1"/>
      <c r="M8" s="1"/>
      <c r="N8" s="1"/>
      <c r="O8" s="1"/>
      <c r="P8" s="1"/>
      <c r="Q8" s="1"/>
      <c r="R8" s="1"/>
      <c r="S8" s="1"/>
      <c r="T8" s="1"/>
      <c r="U8" s="1"/>
      <c r="V8" s="1"/>
      <c r="W8" s="1"/>
      <c r="X8" s="1"/>
      <c r="Y8" s="1"/>
      <c r="Z8" s="1"/>
      <c r="AA8" s="1"/>
      <c r="AB8" s="1"/>
      <c r="AC8" s="1"/>
      <c r="AD8" s="1"/>
      <c r="AE8" s="1"/>
      <c r="AF8" s="1"/>
      <c r="AG8" s="1"/>
      <c r="AH8" s="24"/>
      <c r="AI8" s="24"/>
      <c r="AJ8" s="24"/>
      <c r="AK8" s="24"/>
      <c r="AL8" s="24"/>
      <c r="AM8" s="24"/>
      <c r="AN8" s="24"/>
      <c r="AO8" s="24"/>
      <c r="AP8" s="24"/>
      <c r="AQ8" s="24"/>
      <c r="AR8" s="24"/>
      <c r="AS8" s="24"/>
      <c r="AT8" s="24"/>
      <c r="AU8" s="24"/>
      <c r="AV8" s="24"/>
      <c r="AW8" s="24"/>
      <c r="AX8" s="24"/>
      <c r="AY8" s="24"/>
      <c r="AZ8" s="24"/>
      <c r="BA8" s="24"/>
      <c r="BB8" s="24"/>
      <c r="BC8" s="24"/>
      <c r="BD8" s="24"/>
      <c r="BE8" s="24"/>
      <c r="BF8" s="24"/>
      <c r="BG8" s="24"/>
      <c r="BH8" s="24"/>
      <c r="BI8" s="24"/>
      <c r="BJ8" s="24"/>
      <c r="BK8" s="24"/>
      <c r="BL8" s="24"/>
    </row>
    <row r="9" spans="1:64" ht="20.100000000000001" customHeight="1" x14ac:dyDescent="0.25">
      <c r="A9" s="17" t="str">
        <f>HYPERLINK("#'Input - Other Livestock'!A1", "Other Livestock")</f>
        <v>Other Livestock</v>
      </c>
      <c r="C9" s="1"/>
      <c r="D9" s="1"/>
      <c r="E9" s="1"/>
      <c r="F9" s="1"/>
      <c r="G9" s="1"/>
      <c r="H9" s="1"/>
      <c r="I9" s="1"/>
      <c r="J9" s="1"/>
      <c r="K9" s="1"/>
      <c r="L9" s="1"/>
      <c r="M9" s="1"/>
      <c r="N9" s="1"/>
      <c r="O9" s="1"/>
      <c r="P9" s="1"/>
      <c r="Q9" s="1"/>
      <c r="R9" s="1"/>
      <c r="S9" s="1"/>
      <c r="T9" s="1"/>
      <c r="U9" s="1"/>
      <c r="V9" s="1"/>
      <c r="W9" s="1"/>
      <c r="X9" s="1"/>
      <c r="Y9" s="1"/>
      <c r="Z9" s="1"/>
      <c r="AA9" s="1"/>
      <c r="AB9" s="1"/>
      <c r="AC9" s="1"/>
      <c r="AD9" s="1"/>
      <c r="AE9" s="1"/>
      <c r="AF9" s="1"/>
      <c r="AG9" s="1"/>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row>
    <row r="10" spans="1:64" ht="20.100000000000001" customHeight="1" x14ac:dyDescent="0.25">
      <c r="A10" s="17"/>
      <c r="C10" s="1"/>
      <c r="D10" s="1"/>
      <c r="E10" s="1"/>
      <c r="F10" s="1"/>
      <c r="G10" s="1"/>
      <c r="H10" s="1"/>
      <c r="I10" s="1"/>
      <c r="J10" s="1"/>
      <c r="K10" s="1"/>
      <c r="L10" s="1"/>
      <c r="M10" s="1"/>
      <c r="N10" s="1"/>
      <c r="O10" s="1"/>
      <c r="P10" s="1"/>
      <c r="Q10" s="1"/>
      <c r="R10" s="1"/>
      <c r="S10" s="1"/>
      <c r="T10" s="1"/>
      <c r="U10" s="1"/>
      <c r="V10" s="1"/>
      <c r="W10" s="1"/>
      <c r="X10" s="1"/>
      <c r="Y10" s="1"/>
      <c r="Z10" s="1"/>
      <c r="AA10" s="1"/>
      <c r="AB10" s="1"/>
      <c r="AC10" s="1"/>
      <c r="AD10" s="1"/>
      <c r="AE10" s="1"/>
      <c r="AF10" s="1"/>
      <c r="AG10" s="1"/>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row>
    <row r="11" spans="1:64" ht="20.100000000000001" customHeight="1" x14ac:dyDescent="0.25">
      <c r="A11" s="19" t="s">
        <v>71</v>
      </c>
      <c r="C11" s="1"/>
      <c r="D11" s="1"/>
      <c r="E11" s="1"/>
      <c r="F11" s="1"/>
      <c r="G11" s="1"/>
      <c r="H11" s="1"/>
      <c r="I11" s="1"/>
      <c r="J11" s="1"/>
      <c r="K11" s="1"/>
      <c r="L11" s="1"/>
      <c r="M11" s="1"/>
      <c r="N11" s="1"/>
      <c r="O11" s="1"/>
      <c r="P11" s="1"/>
      <c r="Q11" s="1"/>
      <c r="R11" s="1"/>
      <c r="S11" s="1"/>
      <c r="T11" s="1"/>
      <c r="U11" s="1"/>
      <c r="V11" s="1"/>
      <c r="W11" s="1"/>
      <c r="X11" s="1"/>
      <c r="Y11" s="1"/>
      <c r="Z11" s="1"/>
      <c r="AA11" s="1"/>
      <c r="AB11" s="1"/>
      <c r="AC11" s="1"/>
      <c r="AD11" s="1"/>
      <c r="AE11" s="1"/>
      <c r="AF11" s="1"/>
      <c r="AG11" s="1"/>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row>
    <row r="12" spans="1:64" ht="20.100000000000001" customHeight="1" x14ac:dyDescent="0.25">
      <c r="A12" s="17" t="str">
        <f>HYPERLINK("#'4.7.1.1-2 Manure Methane'!A1", "4.7.1.1-2 Methane")</f>
        <v>4.7.1.1-2 Methane</v>
      </c>
      <c r="C12" s="1"/>
      <c r="D12" s="1"/>
      <c r="E12" s="1"/>
      <c r="F12" s="1"/>
      <c r="G12" s="1"/>
      <c r="H12" s="1"/>
      <c r="I12" s="1"/>
      <c r="J12" s="1"/>
      <c r="K12" s="1"/>
      <c r="L12" s="1"/>
      <c r="M12" s="1"/>
      <c r="N12" s="1"/>
      <c r="O12" s="1"/>
      <c r="P12" s="1"/>
      <c r="Q12" s="1"/>
      <c r="R12" s="1"/>
      <c r="S12" s="1"/>
      <c r="T12" s="1"/>
      <c r="U12" s="1"/>
      <c r="V12" s="1"/>
      <c r="W12" s="1"/>
      <c r="X12" s="1"/>
      <c r="Y12" s="1"/>
      <c r="Z12" s="1"/>
      <c r="AA12" s="1"/>
      <c r="AB12" s="1"/>
      <c r="AC12" s="1"/>
      <c r="AD12" s="1"/>
      <c r="AE12" s="1"/>
      <c r="AF12" s="1"/>
      <c r="AG12" s="1"/>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row>
    <row r="13" spans="1:64" ht="20.100000000000001" customHeight="1" x14ac:dyDescent="0.25">
      <c r="A13" s="17" t="str">
        <f>HYPERLINK("#'4.7.1.3-4 Soil Direct N2O'!A1", "4.7.1.3-4 Soil Direct N2O")</f>
        <v>4.7.1.3-4 Soil Direct N2O</v>
      </c>
      <c r="C13" s="1"/>
      <c r="D13" s="1"/>
      <c r="E13" s="1"/>
      <c r="F13" s="1"/>
      <c r="G13" s="1"/>
      <c r="H13" s="1"/>
      <c r="I13" s="1"/>
      <c r="J13" s="1"/>
      <c r="K13" s="1"/>
      <c r="L13" s="1"/>
      <c r="M13" s="1"/>
      <c r="N13" s="1"/>
      <c r="O13" s="1"/>
      <c r="P13" s="1"/>
      <c r="Q13" s="1"/>
      <c r="R13" s="1"/>
      <c r="S13" s="1"/>
      <c r="T13" s="1"/>
      <c r="U13" s="1"/>
      <c r="V13" s="1"/>
      <c r="W13" s="1"/>
      <c r="X13" s="1"/>
      <c r="Y13" s="1"/>
      <c r="Z13" s="1"/>
      <c r="AA13" s="1"/>
      <c r="AB13" s="1"/>
      <c r="AC13" s="1"/>
      <c r="AD13" s="1"/>
      <c r="AE13" s="1"/>
      <c r="AF13" s="1"/>
      <c r="AG13" s="1"/>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row>
    <row r="14" spans="1:64" ht="20.100000000000001" customHeight="1" x14ac:dyDescent="0.25">
      <c r="A14" s="17" t="str">
        <f>HYPERLINK("#'4.7.1.5-6 Soil Atmos Deposition'!A1", "4.7.1.5-6 Soil Atmos deposition")</f>
        <v>4.7.1.5-6 Soil Atmos deposition</v>
      </c>
      <c r="C14" s="1"/>
      <c r="D14" s="1"/>
      <c r="E14" s="1"/>
      <c r="F14" s="1"/>
      <c r="G14" s="1"/>
      <c r="H14" s="1"/>
      <c r="I14" s="1"/>
      <c r="J14" s="1"/>
      <c r="K14" s="1"/>
      <c r="L14" s="1"/>
      <c r="M14" s="1"/>
      <c r="N14" s="1"/>
      <c r="O14" s="1"/>
      <c r="P14" s="1"/>
      <c r="Q14" s="1"/>
      <c r="R14" s="1"/>
      <c r="S14" s="1"/>
      <c r="T14" s="1"/>
      <c r="U14" s="1"/>
      <c r="V14" s="1"/>
      <c r="W14" s="1"/>
      <c r="X14" s="1"/>
      <c r="Y14" s="1"/>
      <c r="Z14" s="1"/>
      <c r="AA14" s="1"/>
      <c r="AB14" s="1"/>
      <c r="AC14" s="1"/>
      <c r="AD14" s="1"/>
      <c r="AE14" s="1"/>
      <c r="AF14" s="1"/>
      <c r="AG14" s="1"/>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row>
    <row r="15" spans="1:64" ht="20.100000000000001" customHeight="1" x14ac:dyDescent="0.25">
      <c r="A15" s="17" t="str">
        <f>HYPERLINK("#'4.7.1.7-8 Soil Leaching Runoff'!A1", "4.7.1.8-9 Soil Leaching &amp; Runoff")</f>
        <v>4.7.1.8-9 Soil Leaching &amp; Runoff</v>
      </c>
      <c r="C15" s="1"/>
      <c r="D15" s="1"/>
      <c r="E15" s="1"/>
      <c r="F15" s="1"/>
      <c r="G15" s="1"/>
      <c r="H15" s="1"/>
      <c r="I15" s="1"/>
      <c r="J15" s="1"/>
      <c r="K15" s="1"/>
      <c r="L15" s="1"/>
      <c r="M15" s="1"/>
      <c r="N15" s="1"/>
      <c r="O15" s="1"/>
      <c r="P15" s="1"/>
      <c r="Q15" s="1"/>
      <c r="R15" s="1"/>
      <c r="S15" s="1"/>
      <c r="T15" s="1"/>
      <c r="U15" s="1"/>
      <c r="V15" s="1"/>
      <c r="W15" s="1"/>
      <c r="X15" s="1"/>
      <c r="Y15" s="1"/>
      <c r="Z15" s="1"/>
      <c r="AA15" s="1"/>
      <c r="AB15" s="1"/>
      <c r="AC15" s="1"/>
      <c r="AD15" s="1"/>
      <c r="AE15" s="1"/>
      <c r="AF15" s="1"/>
      <c r="AG15" s="1"/>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row>
    <row r="16" spans="1:64" ht="20.100000000000001" customHeight="1" x14ac:dyDescent="0.25">
      <c r="C16" s="1"/>
      <c r="D16" s="1"/>
      <c r="E16" s="1"/>
      <c r="F16" s="1"/>
      <c r="G16" s="1"/>
      <c r="H16" s="1"/>
      <c r="I16" s="1"/>
      <c r="J16" s="1"/>
      <c r="K16" s="1"/>
      <c r="L16" s="1"/>
      <c r="M16" s="1"/>
      <c r="N16" s="1"/>
      <c r="O16" s="1"/>
      <c r="P16" s="1"/>
      <c r="Q16" s="1"/>
      <c r="R16" s="1"/>
      <c r="S16" s="1"/>
      <c r="T16" s="1"/>
      <c r="U16" s="1"/>
      <c r="V16" s="1"/>
      <c r="W16" s="1"/>
      <c r="X16" s="1"/>
      <c r="Y16" s="1"/>
      <c r="Z16" s="1"/>
      <c r="AA16" s="1"/>
      <c r="AB16" s="1"/>
      <c r="AC16" s="1"/>
      <c r="AD16" s="1"/>
      <c r="AE16" s="1"/>
      <c r="AF16" s="1"/>
      <c r="AG16" s="1"/>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row>
    <row r="17" spans="1:64" ht="20.100000000000001" customHeight="1" x14ac:dyDescent="0.25">
      <c r="A17" s="18" t="s">
        <v>2</v>
      </c>
      <c r="C17" s="1"/>
      <c r="D17" s="1"/>
      <c r="E17" s="1"/>
      <c r="F17" s="1"/>
      <c r="G17" s="1"/>
      <c r="H17" s="1"/>
      <c r="I17" s="1"/>
      <c r="J17" s="1"/>
      <c r="K17" s="1"/>
      <c r="L17" s="1"/>
      <c r="M17" s="1"/>
      <c r="N17" s="1"/>
      <c r="O17" s="1"/>
      <c r="P17" s="1"/>
      <c r="Q17" s="1"/>
      <c r="R17" s="1"/>
      <c r="S17" s="1"/>
      <c r="T17" s="1"/>
      <c r="U17" s="1"/>
      <c r="V17" s="1"/>
      <c r="W17" s="1"/>
      <c r="X17" s="1"/>
      <c r="Y17" s="1"/>
      <c r="Z17" s="1"/>
      <c r="AA17" s="1"/>
      <c r="AB17" s="1"/>
      <c r="AC17" s="1"/>
      <c r="AD17" s="1"/>
      <c r="AE17" s="1"/>
      <c r="AF17" s="1"/>
      <c r="AG17" s="1"/>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row>
    <row r="18" spans="1:64" ht="20.100000000000001" customHeight="1" x14ac:dyDescent="0.25">
      <c r="A18" s="17" t="str">
        <f>HYPERLINK("#'Constants - Other Livestock'!A1", "Constants - Other Livestock")</f>
        <v>Constants - Other Livestock</v>
      </c>
      <c r="C18" s="1"/>
      <c r="D18" s="1"/>
      <c r="E18" s="1"/>
      <c r="F18" s="1"/>
      <c r="G18" s="1"/>
      <c r="H18" s="1"/>
      <c r="I18" s="1"/>
      <c r="J18" s="1"/>
      <c r="K18" s="1"/>
      <c r="L18" s="1"/>
      <c r="M18" s="1"/>
      <c r="N18" s="1"/>
      <c r="O18" s="1"/>
      <c r="P18" s="1"/>
      <c r="Q18" s="1"/>
      <c r="R18" s="1"/>
      <c r="S18" s="1"/>
      <c r="T18" s="1"/>
      <c r="U18" s="1"/>
      <c r="V18" s="1"/>
      <c r="W18" s="1"/>
      <c r="X18" s="1"/>
      <c r="Y18" s="1"/>
      <c r="Z18" s="1"/>
      <c r="AA18" s="1"/>
      <c r="AB18" s="1"/>
      <c r="AC18" s="1"/>
      <c r="AD18" s="1"/>
      <c r="AE18" s="1"/>
      <c r="AF18" s="1"/>
      <c r="AG18" s="1"/>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row>
    <row r="19" spans="1:64" ht="20.100000000000001" customHeight="1" x14ac:dyDescent="0.25">
      <c r="A19" s="17" t="str">
        <f>HYPERLINK("#'Constants - Livestock'!A1", "Constants - Livestock")</f>
        <v>Constants - Livestock</v>
      </c>
      <c r="C19" s="1"/>
      <c r="D19" s="1"/>
      <c r="E19" s="1"/>
      <c r="F19" s="1"/>
      <c r="G19" s="1"/>
      <c r="H19" s="1"/>
      <c r="I19" s="1"/>
      <c r="J19" s="1"/>
      <c r="K19" s="1"/>
      <c r="L19" s="1"/>
      <c r="M19" s="1"/>
      <c r="N19" s="1"/>
      <c r="O19" s="1"/>
      <c r="P19" s="1"/>
      <c r="Q19" s="1"/>
      <c r="R19" s="1"/>
      <c r="S19" s="1"/>
      <c r="T19" s="1"/>
      <c r="U19" s="1"/>
      <c r="V19" s="1"/>
      <c r="W19" s="1"/>
      <c r="X19" s="1"/>
      <c r="Y19" s="1"/>
      <c r="Z19" s="1"/>
      <c r="AA19" s="1"/>
      <c r="AB19" s="1"/>
      <c r="AC19" s="1"/>
      <c r="AD19" s="1"/>
      <c r="AE19" s="1"/>
      <c r="AF19" s="1"/>
      <c r="AG19" s="1"/>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row>
    <row r="20" spans="1:64" ht="20.100000000000001" customHeight="1" x14ac:dyDescent="0.25">
      <c r="A20" s="17" t="str">
        <f>HYPERLINK("#'Constants - Common'!A1", "Constants - Common")</f>
        <v>Constants - Common</v>
      </c>
      <c r="C20" s="1"/>
      <c r="D20" s="1"/>
      <c r="E20" s="1"/>
      <c r="F20" s="1"/>
      <c r="G20" s="1"/>
      <c r="H20" s="1"/>
      <c r="I20" s="1"/>
      <c r="J20" s="1"/>
      <c r="K20" s="1"/>
      <c r="L20" s="1"/>
      <c r="M20" s="1"/>
      <c r="N20" s="1"/>
      <c r="O20" s="1"/>
      <c r="P20" s="1"/>
      <c r="Q20" s="1"/>
      <c r="R20" s="1"/>
      <c r="S20" s="1"/>
      <c r="T20" s="1"/>
      <c r="U20" s="1"/>
      <c r="V20" s="1"/>
      <c r="W20" s="1"/>
      <c r="X20" s="1"/>
      <c r="Y20" s="1"/>
      <c r="Z20" s="1"/>
      <c r="AA20" s="1"/>
      <c r="AB20" s="1"/>
      <c r="AC20" s="1"/>
      <c r="AD20" s="1"/>
      <c r="AE20" s="1"/>
      <c r="AF20" s="1"/>
      <c r="AG20" s="1"/>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row>
    <row r="21" spans="1:64" ht="20.100000000000001" customHeight="1" x14ac:dyDescent="0.25">
      <c r="A21" s="17" t="str">
        <f>HYPERLINK("#'Acknowledgements'!A1", "Acknowledgements")</f>
        <v>Acknowledgements</v>
      </c>
      <c r="C21" s="1"/>
      <c r="D21" s="1"/>
      <c r="E21" s="1"/>
      <c r="F21" s="1"/>
      <c r="G21" s="1"/>
      <c r="H21" s="1"/>
      <c r="I21" s="1"/>
      <c r="J21" s="1"/>
      <c r="K21" s="1"/>
      <c r="L21" s="1"/>
      <c r="M21" s="1"/>
      <c r="N21" s="1"/>
      <c r="O21" s="1"/>
      <c r="P21" s="1"/>
      <c r="Q21" s="1"/>
      <c r="R21" s="1"/>
      <c r="S21" s="1"/>
      <c r="T21" s="1"/>
      <c r="U21" s="1"/>
      <c r="V21" s="1"/>
      <c r="W21" s="1"/>
      <c r="X21" s="1"/>
      <c r="Y21" s="1"/>
      <c r="Z21" s="1"/>
      <c r="AA21" s="1"/>
      <c r="AB21" s="1"/>
      <c r="AC21" s="1"/>
      <c r="AD21" s="1"/>
      <c r="AE21" s="1"/>
      <c r="AF21" s="1"/>
      <c r="AG21" s="1"/>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row>
    <row r="22" spans="1:64" ht="20.100000000000001" customHeight="1" x14ac:dyDescent="0.25">
      <c r="C22" s="1"/>
      <c r="D22" s="1"/>
      <c r="E22" s="1"/>
      <c r="F22" s="1"/>
      <c r="G22" s="1"/>
      <c r="H22" s="1"/>
      <c r="I22" s="1"/>
      <c r="J22" s="1"/>
      <c r="K22" s="1"/>
      <c r="L22" s="1"/>
      <c r="M22" s="1"/>
      <c r="N22" s="1"/>
      <c r="O22" s="1"/>
      <c r="P22" s="1"/>
      <c r="Q22" s="1"/>
      <c r="R22" s="1"/>
      <c r="S22" s="1"/>
      <c r="T22" s="1"/>
      <c r="U22" s="1"/>
      <c r="V22" s="1"/>
      <c r="W22" s="1"/>
      <c r="X22" s="1"/>
      <c r="Y22" s="1"/>
      <c r="Z22" s="1"/>
      <c r="AA22" s="1"/>
      <c r="AB22" s="1"/>
      <c r="AC22" s="1"/>
      <c r="AD22" s="1"/>
      <c r="AE22" s="1"/>
      <c r="AF22" s="1"/>
      <c r="AG22" s="1"/>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row>
    <row r="23" spans="1:64" ht="20.100000000000001" customHeight="1" x14ac:dyDescent="0.25">
      <c r="C23" s="1"/>
      <c r="D23" s="1"/>
      <c r="E23" s="1"/>
      <c r="F23" s="1"/>
      <c r="G23" s="1"/>
      <c r="H23" s="1"/>
      <c r="I23" s="1"/>
      <c r="J23" s="1"/>
      <c r="K23" s="1"/>
      <c r="L23" s="1"/>
      <c r="M23" s="1"/>
      <c r="N23" s="1"/>
      <c r="O23" s="1"/>
      <c r="P23" s="1"/>
      <c r="Q23" s="1"/>
      <c r="R23" s="1"/>
      <c r="S23" s="1"/>
      <c r="T23" s="1"/>
      <c r="U23" s="1"/>
      <c r="V23" s="1"/>
      <c r="W23" s="1"/>
      <c r="X23" s="1"/>
      <c r="Y23" s="1"/>
      <c r="Z23" s="1"/>
      <c r="AA23" s="1"/>
      <c r="AB23" s="1"/>
      <c r="AC23" s="1"/>
      <c r="AD23" s="1"/>
      <c r="AE23" s="1"/>
      <c r="AF23" s="1"/>
      <c r="AG23" s="1"/>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row>
    <row r="24" spans="1:64" ht="20.100000000000001" customHeight="1" x14ac:dyDescent="0.25">
      <c r="A24" s="17"/>
      <c r="C24" s="1"/>
      <c r="D24" s="1"/>
      <c r="E24" s="1"/>
      <c r="F24" s="1"/>
      <c r="G24" s="1"/>
      <c r="H24" s="1"/>
      <c r="I24" s="1"/>
      <c r="J24" s="1"/>
      <c r="K24" s="1"/>
      <c r="L24" s="1"/>
      <c r="M24" s="1"/>
      <c r="N24" s="1"/>
      <c r="O24" s="1"/>
      <c r="P24" s="1"/>
      <c r="Q24" s="1"/>
      <c r="R24" s="1"/>
      <c r="S24" s="1"/>
      <c r="T24" s="1"/>
      <c r="U24" s="1"/>
      <c r="V24" s="1"/>
      <c r="W24" s="1"/>
      <c r="X24" s="1"/>
      <c r="Y24" s="1"/>
      <c r="Z24" s="1"/>
      <c r="AA24" s="1"/>
      <c r="AB24" s="1"/>
      <c r="AC24" s="1"/>
      <c r="AD24" s="1"/>
      <c r="AE24" s="1"/>
      <c r="AF24" s="1"/>
      <c r="AG24" s="1"/>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row>
    <row r="25" spans="1:64" ht="20.100000000000001" customHeight="1" x14ac:dyDescent="0.25">
      <c r="A25" s="17"/>
      <c r="C25" s="1"/>
      <c r="D25" s="1"/>
      <c r="E25" s="1"/>
      <c r="F25" s="1"/>
      <c r="G25" s="1"/>
      <c r="H25" s="1"/>
      <c r="I25" s="1"/>
      <c r="J25" s="1"/>
      <c r="K25" s="1"/>
      <c r="L25" s="1"/>
      <c r="M25" s="1"/>
      <c r="N25" s="1"/>
      <c r="O25" s="1"/>
      <c r="P25" s="1"/>
      <c r="Q25" s="1"/>
      <c r="R25" s="1"/>
      <c r="S25" s="1"/>
      <c r="T25" s="1"/>
      <c r="U25" s="1"/>
      <c r="V25" s="1"/>
      <c r="W25" s="1"/>
      <c r="X25" s="1"/>
      <c r="Y25" s="1"/>
      <c r="Z25" s="1"/>
      <c r="AA25" s="1"/>
      <c r="AB25" s="1"/>
      <c r="AC25" s="1"/>
      <c r="AD25" s="1"/>
      <c r="AE25" s="1"/>
      <c r="AF25" s="1"/>
      <c r="AG25" s="1"/>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row>
    <row r="26" spans="1:64" ht="20.100000000000001" customHeight="1" x14ac:dyDescent="0.25">
      <c r="C26" s="1"/>
      <c r="D26" s="1"/>
      <c r="E26" s="1"/>
      <c r="F26" s="1"/>
      <c r="G26" s="1"/>
      <c r="H26" s="1"/>
      <c r="I26" s="1"/>
      <c r="J26" s="1"/>
      <c r="K26" s="1"/>
      <c r="L26" s="1"/>
      <c r="M26" s="1"/>
      <c r="N26" s="1"/>
      <c r="O26" s="1"/>
      <c r="P26" s="1"/>
      <c r="Q26" s="1"/>
      <c r="R26" s="1"/>
      <c r="S26" s="1"/>
      <c r="T26" s="1"/>
      <c r="U26" s="1"/>
      <c r="V26" s="1"/>
      <c r="W26" s="1"/>
      <c r="X26" s="1"/>
      <c r="Y26" s="1"/>
      <c r="Z26" s="1"/>
      <c r="AA26" s="1"/>
      <c r="AB26" s="1"/>
      <c r="AC26" s="1"/>
      <c r="AD26" s="1"/>
      <c r="AE26" s="1"/>
      <c r="AF26" s="1"/>
      <c r="AG26" s="1"/>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row>
    <row r="27" spans="1:64" ht="20.100000000000001" customHeight="1" x14ac:dyDescent="0.25">
      <c r="C27" s="1"/>
      <c r="D27" s="1"/>
      <c r="E27" s="1"/>
      <c r="F27" s="1"/>
      <c r="G27" s="1"/>
      <c r="H27" s="1"/>
      <c r="I27" s="1"/>
      <c r="J27" s="1"/>
      <c r="K27" s="1"/>
      <c r="L27" s="1"/>
      <c r="M27" s="1"/>
      <c r="N27" s="1"/>
      <c r="O27" s="1"/>
      <c r="P27" s="1"/>
      <c r="Q27" s="1"/>
      <c r="R27" s="1"/>
      <c r="S27" s="1"/>
      <c r="T27" s="1"/>
      <c r="U27" s="1"/>
      <c r="V27" s="1"/>
      <c r="W27" s="1"/>
      <c r="X27" s="1"/>
      <c r="Y27" s="1"/>
      <c r="Z27" s="1"/>
      <c r="AA27" s="1"/>
      <c r="AB27" s="1"/>
      <c r="AC27" s="1"/>
      <c r="AD27" s="1"/>
      <c r="AE27" s="1"/>
      <c r="AF27" s="1"/>
      <c r="AG27" s="1"/>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row>
    <row r="28" spans="1:64" ht="20.100000000000001" customHeight="1" x14ac:dyDescent="0.25">
      <c r="C28" s="1"/>
      <c r="D28" s="1"/>
      <c r="E28" s="1"/>
      <c r="F28" s="1"/>
      <c r="G28" s="1"/>
      <c r="H28" s="1"/>
      <c r="I28" s="1"/>
      <c r="J28" s="1"/>
      <c r="K28" s="1"/>
      <c r="L28" s="1"/>
      <c r="M28" s="1"/>
      <c r="N28" s="1"/>
      <c r="O28" s="1"/>
      <c r="P28" s="1"/>
      <c r="Q28" s="1"/>
      <c r="R28" s="1"/>
      <c r="S28" s="1"/>
      <c r="T28" s="1"/>
      <c r="U28" s="1"/>
      <c r="V28" s="1"/>
      <c r="W28" s="1"/>
      <c r="X28" s="1"/>
      <c r="Y28" s="1"/>
      <c r="Z28" s="1"/>
      <c r="AA28" s="1"/>
      <c r="AB28" s="1"/>
      <c r="AC28" s="1"/>
      <c r="AD28" s="1"/>
      <c r="AE28" s="1"/>
      <c r="AF28" s="1"/>
      <c r="AG28" s="1"/>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row>
    <row r="29" spans="1:64" ht="20.100000000000001" customHeight="1" x14ac:dyDescent="0.25">
      <c r="C29" s="1"/>
      <c r="D29" s="1"/>
      <c r="E29" s="1"/>
      <c r="F29" s="1"/>
      <c r="G29" s="1"/>
      <c r="H29" s="1"/>
      <c r="I29" s="1"/>
      <c r="J29" s="1"/>
      <c r="K29" s="1"/>
      <c r="L29" s="1"/>
      <c r="M29" s="1"/>
      <c r="N29" s="1"/>
      <c r="O29" s="1"/>
      <c r="P29" s="1"/>
      <c r="Q29" s="1"/>
      <c r="R29" s="1"/>
      <c r="S29" s="1"/>
      <c r="T29" s="1"/>
      <c r="U29" s="1"/>
      <c r="V29" s="1"/>
      <c r="W29" s="1"/>
      <c r="X29" s="1"/>
      <c r="Y29" s="1"/>
      <c r="Z29" s="1"/>
      <c r="AA29" s="1"/>
      <c r="AB29" s="1"/>
      <c r="AC29" s="1"/>
      <c r="AD29" s="1"/>
      <c r="AE29" s="1"/>
      <c r="AF29" s="1"/>
      <c r="AG29" s="1"/>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row>
    <row r="30" spans="1:64" ht="20.100000000000001" customHeight="1" x14ac:dyDescent="0.25">
      <c r="C30" s="1"/>
      <c r="D30" s="1"/>
      <c r="E30" s="1"/>
      <c r="F30" s="1"/>
      <c r="G30" s="1"/>
      <c r="H30" s="1"/>
      <c r="I30" s="1"/>
      <c r="J30" s="1"/>
      <c r="K30" s="1"/>
      <c r="L30" s="1"/>
      <c r="M30" s="1"/>
      <c r="N30" s="1"/>
      <c r="O30" s="1"/>
      <c r="P30" s="1"/>
      <c r="Q30" s="1"/>
      <c r="R30" s="1"/>
      <c r="S30" s="1"/>
      <c r="T30" s="1"/>
      <c r="U30" s="1"/>
      <c r="V30" s="1"/>
      <c r="W30" s="1"/>
      <c r="X30" s="1"/>
      <c r="Y30" s="1"/>
      <c r="Z30" s="1"/>
      <c r="AA30" s="1"/>
      <c r="AB30" s="1"/>
      <c r="AC30" s="1"/>
      <c r="AD30" s="1"/>
      <c r="AE30" s="1"/>
      <c r="AF30" s="1"/>
      <c r="AG30" s="1"/>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row>
    <row r="31" spans="1:64" ht="20.100000000000001" customHeight="1" x14ac:dyDescent="0.25">
      <c r="C31" s="1"/>
      <c r="D31" s="1"/>
      <c r="E31" s="1"/>
      <c r="F31" s="1"/>
      <c r="G31" s="1"/>
      <c r="H31" s="1"/>
      <c r="I31" s="1"/>
      <c r="J31" s="1"/>
      <c r="K31" s="1"/>
      <c r="L31" s="1"/>
      <c r="M31" s="1"/>
      <c r="N31" s="1"/>
      <c r="O31" s="1"/>
      <c r="P31" s="1"/>
      <c r="Q31" s="1"/>
      <c r="R31" s="1"/>
      <c r="S31" s="1"/>
      <c r="T31" s="1"/>
      <c r="U31" s="1"/>
      <c r="V31" s="1"/>
      <c r="W31" s="1"/>
      <c r="X31" s="1"/>
      <c r="Y31" s="1"/>
      <c r="Z31" s="1"/>
      <c r="AA31" s="1"/>
      <c r="AB31" s="1"/>
      <c r="AC31" s="1"/>
      <c r="AD31" s="1"/>
      <c r="AE31" s="1"/>
      <c r="AF31" s="1"/>
      <c r="AG31" s="1"/>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row>
    <row r="32" spans="1:64" ht="20.100000000000001" customHeight="1" x14ac:dyDescent="0.25">
      <c r="C32" s="1"/>
      <c r="D32" s="1"/>
      <c r="E32" s="1"/>
      <c r="F32" s="1"/>
      <c r="G32" s="1"/>
      <c r="H32" s="1"/>
      <c r="I32" s="1"/>
      <c r="J32" s="1"/>
      <c r="K32" s="1"/>
      <c r="L32" s="1"/>
      <c r="M32" s="1"/>
      <c r="N32" s="1"/>
      <c r="O32" s="1"/>
      <c r="P32" s="1"/>
      <c r="Q32" s="1"/>
      <c r="R32" s="1"/>
      <c r="S32" s="1"/>
      <c r="T32" s="1"/>
      <c r="U32" s="1"/>
      <c r="V32" s="1"/>
      <c r="W32" s="1"/>
      <c r="X32" s="1"/>
      <c r="Y32" s="1"/>
      <c r="Z32" s="1"/>
      <c r="AA32" s="1"/>
      <c r="AB32" s="1"/>
      <c r="AC32" s="1"/>
      <c r="AD32" s="1"/>
      <c r="AE32" s="1"/>
      <c r="AF32" s="1"/>
      <c r="AG32" s="1"/>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row>
    <row r="33" spans="3:64" ht="20.100000000000001" customHeight="1" x14ac:dyDescent="0.25">
      <c r="C33" s="1"/>
      <c r="D33" s="1"/>
      <c r="E33" s="1"/>
      <c r="F33" s="1"/>
      <c r="G33" s="1"/>
      <c r="H33" s="1"/>
      <c r="I33" s="1"/>
      <c r="J33" s="1"/>
      <c r="K33" s="1"/>
      <c r="L33" s="1"/>
      <c r="M33" s="1"/>
      <c r="N33" s="1"/>
      <c r="O33" s="1"/>
      <c r="P33" s="1"/>
      <c r="Q33" s="1"/>
      <c r="R33" s="1"/>
      <c r="S33" s="1"/>
      <c r="T33" s="1"/>
      <c r="U33" s="1"/>
      <c r="V33" s="1"/>
      <c r="W33" s="1"/>
      <c r="X33" s="1"/>
      <c r="Y33" s="1"/>
      <c r="Z33" s="1"/>
      <c r="AA33" s="1"/>
      <c r="AB33" s="1"/>
      <c r="AC33" s="1"/>
      <c r="AD33" s="1"/>
      <c r="AE33" s="1"/>
      <c r="AF33" s="1"/>
      <c r="AG33" s="1"/>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row>
    <row r="34" spans="3:64" ht="20.100000000000001" customHeight="1" x14ac:dyDescent="0.25">
      <c r="C34" s="1"/>
      <c r="D34" s="1"/>
      <c r="E34" s="1"/>
      <c r="F34" s="1"/>
      <c r="G34" s="1"/>
      <c r="H34" s="1"/>
      <c r="I34" s="1"/>
      <c r="J34" s="1"/>
      <c r="K34" s="1"/>
      <c r="L34" s="1"/>
      <c r="M34" s="1"/>
      <c r="N34" s="1"/>
      <c r="O34" s="1"/>
      <c r="P34" s="1"/>
      <c r="Q34" s="1"/>
      <c r="R34" s="1"/>
      <c r="S34" s="1"/>
      <c r="T34" s="1"/>
      <c r="U34" s="1"/>
      <c r="V34" s="1"/>
      <c r="W34" s="1"/>
      <c r="X34" s="1"/>
      <c r="Y34" s="1"/>
      <c r="Z34" s="1"/>
      <c r="AA34" s="1"/>
      <c r="AB34" s="1"/>
      <c r="AC34" s="1"/>
      <c r="AD34" s="1"/>
      <c r="AE34" s="1"/>
      <c r="AF34" s="1"/>
      <c r="AG34" s="1"/>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row>
    <row r="35" spans="3:64" ht="20.100000000000001" customHeight="1" x14ac:dyDescent="0.25">
      <c r="C35" s="1"/>
      <c r="D35" s="1"/>
      <c r="E35" s="1"/>
      <c r="F35" s="1"/>
      <c r="G35" s="1"/>
      <c r="H35" s="1"/>
      <c r="I35" s="1"/>
      <c r="J35" s="1"/>
      <c r="K35" s="1"/>
      <c r="L35" s="1"/>
      <c r="M35" s="1"/>
      <c r="N35" s="1"/>
      <c r="O35" s="1"/>
      <c r="P35" s="1"/>
      <c r="Q35" s="1"/>
      <c r="R35" s="1"/>
      <c r="S35" s="1"/>
      <c r="T35" s="1"/>
      <c r="U35" s="1"/>
      <c r="V35" s="1"/>
      <c r="W35" s="1"/>
      <c r="X35" s="1"/>
      <c r="Y35" s="1"/>
      <c r="Z35" s="1"/>
      <c r="AA35" s="1"/>
      <c r="AB35" s="1"/>
      <c r="AC35" s="1"/>
      <c r="AD35" s="1"/>
      <c r="AE35" s="1"/>
      <c r="AF35" s="1"/>
      <c r="AG35" s="1"/>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row>
    <row r="36" spans="3:64" ht="20.100000000000001" customHeight="1" x14ac:dyDescent="0.25">
      <c r="C36" s="1"/>
      <c r="D36" s="1"/>
      <c r="E36" s="1"/>
      <c r="F36" s="1"/>
      <c r="G36" s="1"/>
      <c r="H36" s="1"/>
      <c r="I36" s="1"/>
      <c r="J36" s="1"/>
      <c r="K36" s="1"/>
      <c r="L36" s="1"/>
      <c r="M36" s="1"/>
      <c r="N36" s="1"/>
      <c r="O36" s="1"/>
      <c r="P36" s="1"/>
      <c r="Q36" s="1"/>
      <c r="R36" s="1"/>
      <c r="S36" s="1"/>
      <c r="T36" s="1"/>
      <c r="U36" s="1"/>
      <c r="V36" s="1"/>
      <c r="W36" s="1"/>
      <c r="X36" s="1"/>
      <c r="Y36" s="1"/>
      <c r="Z36" s="1"/>
      <c r="AA36" s="1"/>
      <c r="AB36" s="1"/>
      <c r="AC36" s="1"/>
      <c r="AD36" s="1"/>
      <c r="AE36" s="1"/>
      <c r="AF36" s="1"/>
      <c r="AG36" s="1"/>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row>
    <row r="37" spans="3:64" ht="20.100000000000001" customHeight="1" x14ac:dyDescent="0.25">
      <c r="C37" s="24"/>
      <c r="D37" s="24"/>
      <c r="E37" s="24"/>
      <c r="F37" s="24"/>
      <c r="G37" s="24"/>
      <c r="H37" s="24"/>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row>
    <row r="38" spans="3:64" ht="20.100000000000001" customHeight="1" x14ac:dyDescent="0.25">
      <c r="C38" s="24"/>
      <c r="D38" s="24"/>
      <c r="E38" s="24"/>
      <c r="F38" s="24"/>
      <c r="G38" s="24"/>
      <c r="H38" s="24"/>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row>
    <row r="39" spans="3:64" ht="20.100000000000001" customHeight="1" x14ac:dyDescent="0.25">
      <c r="C39" s="24"/>
      <c r="D39" s="24"/>
      <c r="E39" s="24"/>
      <c r="F39" s="24"/>
      <c r="G39" s="24"/>
      <c r="H39" s="24"/>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row>
    <row r="40" spans="3:64" ht="20.100000000000001" customHeight="1" x14ac:dyDescent="0.25">
      <c r="C40" s="24"/>
      <c r="D40" s="24"/>
      <c r="E40" s="24"/>
      <c r="F40" s="24"/>
      <c r="G40" s="24"/>
      <c r="H40" s="24"/>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row>
    <row r="41" spans="3:64" ht="20.100000000000001" customHeight="1" x14ac:dyDescent="0.25">
      <c r="C41" s="24"/>
      <c r="D41" s="24"/>
      <c r="E41" s="24"/>
      <c r="F41" s="24"/>
      <c r="G41" s="24"/>
      <c r="H41" s="24"/>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row>
    <row r="42" spans="3:64" ht="20.100000000000001" customHeight="1" x14ac:dyDescent="0.25">
      <c r="C42" s="24"/>
      <c r="D42" s="24"/>
      <c r="E42" s="24"/>
      <c r="F42" s="24"/>
      <c r="G42" s="24"/>
      <c r="H42" s="24"/>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row>
    <row r="43" spans="3:64" ht="20.100000000000001" customHeight="1" x14ac:dyDescent="0.25">
      <c r="C43" s="24"/>
      <c r="D43" s="24"/>
      <c r="E43" s="24"/>
      <c r="F43" s="24"/>
      <c r="G43" s="24"/>
      <c r="H43" s="24"/>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row>
    <row r="44" spans="3:64" ht="20.100000000000001" customHeight="1" x14ac:dyDescent="0.25">
      <c r="C44" s="24"/>
      <c r="D44" s="24"/>
      <c r="E44" s="24"/>
      <c r="F44" s="24"/>
      <c r="G44" s="24"/>
      <c r="H44" s="24"/>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row>
    <row r="45" spans="3:64" ht="20.100000000000001" customHeight="1" x14ac:dyDescent="0.25">
      <c r="C45" s="24"/>
      <c r="D45" s="24"/>
      <c r="E45" s="24"/>
      <c r="F45" s="24"/>
      <c r="G45" s="24"/>
      <c r="H45" s="24"/>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row>
    <row r="46" spans="3:64" ht="20.100000000000001" customHeight="1" x14ac:dyDescent="0.25">
      <c r="C46" s="24"/>
      <c r="D46" s="24"/>
      <c r="E46" s="24"/>
      <c r="F46" s="24"/>
      <c r="G46" s="24"/>
      <c r="H46" s="24"/>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row>
    <row r="47" spans="3:64" ht="20.100000000000001" customHeight="1" x14ac:dyDescent="0.25">
      <c r="C47" s="24"/>
      <c r="D47" s="24"/>
      <c r="E47" s="24"/>
      <c r="F47" s="24"/>
      <c r="G47" s="24"/>
      <c r="H47" s="24"/>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row>
    <row r="48" spans="3:64" ht="20.100000000000001" customHeight="1" x14ac:dyDescent="0.25">
      <c r="C48" s="24"/>
      <c r="D48" s="24"/>
      <c r="E48" s="24"/>
      <c r="F48" s="24"/>
      <c r="G48" s="24"/>
      <c r="H48" s="24"/>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row>
    <row r="49" spans="3:64" ht="20.100000000000001" customHeight="1" x14ac:dyDescent="0.25">
      <c r="C49" s="24"/>
      <c r="D49" s="24"/>
      <c r="E49" s="24"/>
      <c r="F49" s="24"/>
      <c r="G49" s="24"/>
      <c r="H49" s="24"/>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row>
    <row r="50" spans="3:64" ht="20.100000000000001" customHeight="1" x14ac:dyDescent="0.25">
      <c r="C50" s="24"/>
      <c r="D50" s="24"/>
      <c r="E50" s="24"/>
      <c r="F50" s="24"/>
      <c r="G50" s="24"/>
      <c r="H50" s="24"/>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row>
    <row r="51" spans="3:64" ht="20.100000000000001" customHeight="1" x14ac:dyDescent="0.25">
      <c r="C51" s="24"/>
      <c r="D51" s="24"/>
      <c r="E51" s="24"/>
      <c r="F51" s="24"/>
      <c r="G51" s="24"/>
      <c r="H51" s="24"/>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row>
    <row r="52" spans="3:64" ht="20.100000000000001" customHeight="1" x14ac:dyDescent="0.25">
      <c r="C52" s="24"/>
      <c r="D52" s="24"/>
      <c r="E52" s="24"/>
      <c r="F52" s="24"/>
      <c r="G52" s="24"/>
      <c r="H52" s="24"/>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row>
    <row r="53" spans="3:64" ht="20.100000000000001" customHeight="1" x14ac:dyDescent="0.25">
      <c r="C53" s="24"/>
      <c r="D53" s="24"/>
      <c r="E53" s="24"/>
      <c r="F53" s="24"/>
      <c r="G53" s="24"/>
      <c r="H53" s="24"/>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row>
    <row r="54" spans="3:64" ht="20.100000000000001" customHeight="1" x14ac:dyDescent="0.25">
      <c r="C54" s="24"/>
      <c r="D54" s="24"/>
      <c r="E54" s="24"/>
      <c r="F54" s="24"/>
      <c r="G54" s="24"/>
      <c r="H54" s="24"/>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row>
    <row r="55" spans="3:64" ht="20.100000000000001" customHeight="1" x14ac:dyDescent="0.25">
      <c r="C55" s="24"/>
      <c r="D55" s="24"/>
      <c r="E55" s="24"/>
      <c r="F55" s="24"/>
      <c r="G55" s="24"/>
      <c r="H55" s="24"/>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row>
    <row r="56" spans="3:64" ht="20.100000000000001" customHeight="1" x14ac:dyDescent="0.25">
      <c r="C56" s="24"/>
      <c r="D56" s="24"/>
      <c r="E56" s="24"/>
      <c r="F56" s="24"/>
      <c r="G56" s="24"/>
      <c r="H56" s="24"/>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row>
    <row r="57" spans="3:64" ht="20.100000000000001" customHeight="1" x14ac:dyDescent="0.25">
      <c r="C57" s="24"/>
      <c r="D57" s="24"/>
      <c r="E57" s="24"/>
      <c r="F57" s="24"/>
      <c r="G57" s="24"/>
      <c r="H57" s="24"/>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row>
    <row r="58" spans="3:64" ht="20.100000000000001" customHeight="1" x14ac:dyDescent="0.25">
      <c r="C58" s="24"/>
      <c r="D58" s="24"/>
      <c r="E58" s="24"/>
      <c r="F58" s="24"/>
      <c r="G58" s="24"/>
      <c r="H58" s="24"/>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row>
    <row r="59" spans="3:64" x14ac:dyDescent="0.25">
      <c r="C59" s="24"/>
      <c r="D59" s="24"/>
      <c r="E59" s="24"/>
      <c r="F59" s="24"/>
      <c r="G59" s="24"/>
      <c r="H59" s="24"/>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row>
    <row r="60" spans="3:64" x14ac:dyDescent="0.25">
      <c r="C60" s="24"/>
      <c r="D60" s="24"/>
      <c r="E60" s="24"/>
      <c r="F60" s="24"/>
      <c r="G60" s="24"/>
      <c r="H60" s="24"/>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row>
    <row r="61" spans="3:64" x14ac:dyDescent="0.25">
      <c r="C61" s="24"/>
      <c r="D61" s="24"/>
      <c r="E61" s="24"/>
      <c r="F61" s="24"/>
      <c r="G61" s="24"/>
      <c r="H61" s="24"/>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row>
    <row r="62" spans="3:64" x14ac:dyDescent="0.25">
      <c r="C62" s="24"/>
      <c r="D62" s="24"/>
      <c r="E62" s="24"/>
      <c r="F62" s="24"/>
      <c r="G62" s="24"/>
      <c r="H62" s="24"/>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row>
    <row r="63" spans="3:64" x14ac:dyDescent="0.25">
      <c r="C63" s="24"/>
      <c r="D63" s="24"/>
      <c r="E63" s="24"/>
      <c r="F63" s="24"/>
      <c r="G63" s="24"/>
      <c r="H63" s="24"/>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row>
    <row r="64" spans="3:64" x14ac:dyDescent="0.25">
      <c r="C64" s="24"/>
      <c r="D64" s="24"/>
      <c r="E64" s="24"/>
      <c r="F64" s="24"/>
      <c r="G64" s="24"/>
      <c r="H64" s="24"/>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row>
    <row r="65" spans="3:64" x14ac:dyDescent="0.25">
      <c r="C65" s="24"/>
      <c r="D65" s="24"/>
      <c r="E65" s="24"/>
      <c r="F65" s="24"/>
      <c r="G65" s="24"/>
      <c r="H65" s="24"/>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row>
    <row r="66" spans="3:64" x14ac:dyDescent="0.25">
      <c r="C66" s="24"/>
      <c r="D66" s="24"/>
      <c r="E66" s="24"/>
      <c r="F66" s="24"/>
      <c r="G66" s="24"/>
      <c r="H66" s="24"/>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row>
    <row r="67" spans="3:64" x14ac:dyDescent="0.25">
      <c r="C67" s="24"/>
      <c r="D67" s="24"/>
      <c r="E67" s="24"/>
      <c r="F67" s="24"/>
      <c r="G67" s="24"/>
      <c r="H67" s="24"/>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row>
    <row r="68" spans="3:64" x14ac:dyDescent="0.25">
      <c r="C68" s="24"/>
      <c r="D68" s="24"/>
      <c r="E68" s="24"/>
      <c r="F68" s="24"/>
      <c r="G68" s="24"/>
      <c r="H68" s="24"/>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row>
    <row r="69" spans="3:64" x14ac:dyDescent="0.25">
      <c r="C69" s="24"/>
      <c r="D69" s="24"/>
      <c r="E69" s="24"/>
      <c r="F69" s="24"/>
      <c r="G69" s="24"/>
      <c r="H69" s="24"/>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row>
    <row r="70" spans="3:64" x14ac:dyDescent="0.25">
      <c r="C70" s="24"/>
      <c r="D70" s="24"/>
      <c r="E70" s="24"/>
      <c r="F70" s="24"/>
      <c r="G70" s="24"/>
      <c r="H70" s="24"/>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row>
    <row r="71" spans="3:64" x14ac:dyDescent="0.25">
      <c r="C71" s="24"/>
      <c r="D71" s="24"/>
      <c r="E71" s="24"/>
      <c r="F71" s="24"/>
      <c r="G71" s="24"/>
      <c r="H71" s="24"/>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row>
    <row r="72" spans="3:64" x14ac:dyDescent="0.25">
      <c r="C72" s="24"/>
      <c r="D72" s="24"/>
      <c r="E72" s="24"/>
      <c r="F72" s="24"/>
      <c r="G72" s="24"/>
      <c r="H72" s="24"/>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row>
    <row r="73" spans="3:64" x14ac:dyDescent="0.25">
      <c r="C73" s="24"/>
      <c r="D73" s="24"/>
      <c r="E73" s="24"/>
      <c r="F73" s="24"/>
      <c r="G73" s="24"/>
      <c r="H73" s="24"/>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row>
    <row r="74" spans="3:64" x14ac:dyDescent="0.25">
      <c r="C74" s="24"/>
      <c r="D74" s="24"/>
      <c r="E74" s="24"/>
      <c r="F74" s="24"/>
      <c r="G74" s="24"/>
      <c r="H74" s="24"/>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row>
    <row r="75" spans="3:64" x14ac:dyDescent="0.25">
      <c r="C75" s="24"/>
      <c r="D75" s="24"/>
      <c r="E75" s="24"/>
      <c r="F75" s="24"/>
      <c r="G75" s="24"/>
      <c r="H75" s="24"/>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row>
    <row r="76" spans="3:64" x14ac:dyDescent="0.25">
      <c r="C76" s="24"/>
      <c r="D76" s="24"/>
      <c r="E76" s="24"/>
      <c r="F76" s="24"/>
      <c r="G76" s="24"/>
      <c r="H76" s="24"/>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row>
    <row r="77" spans="3:64" x14ac:dyDescent="0.25">
      <c r="C77" s="24"/>
      <c r="D77" s="24"/>
      <c r="E77" s="24"/>
      <c r="F77" s="24"/>
      <c r="G77" s="24"/>
      <c r="H77" s="24"/>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row>
    <row r="78" spans="3:64" x14ac:dyDescent="0.25">
      <c r="C78" s="24"/>
      <c r="D78" s="24"/>
      <c r="E78" s="24"/>
      <c r="F78" s="24"/>
      <c r="G78" s="24"/>
      <c r="H78" s="24"/>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row>
    <row r="79" spans="3:64" x14ac:dyDescent="0.25">
      <c r="C79" s="24"/>
      <c r="D79" s="24"/>
      <c r="E79" s="24"/>
      <c r="F79" s="24"/>
      <c r="G79" s="24"/>
      <c r="H79" s="24"/>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row>
    <row r="80" spans="3:64" x14ac:dyDescent="0.25">
      <c r="C80" s="24"/>
      <c r="D80" s="24"/>
      <c r="E80" s="24"/>
      <c r="F80" s="24"/>
      <c r="G80" s="24"/>
      <c r="H80" s="24"/>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row>
    <row r="81" spans="3:64" x14ac:dyDescent="0.25">
      <c r="C81" s="24"/>
      <c r="D81" s="24"/>
      <c r="E81" s="24"/>
      <c r="F81" s="24"/>
      <c r="G81" s="24"/>
      <c r="H81" s="24"/>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row>
    <row r="82" spans="3:64" x14ac:dyDescent="0.25">
      <c r="C82" s="24"/>
      <c r="D82" s="24"/>
      <c r="E82" s="24"/>
      <c r="F82" s="24"/>
      <c r="G82" s="24"/>
      <c r="H82" s="24"/>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E30AE0-5101-4331-B8DF-043DE9AAFBA8}">
  <sheetPr>
    <pageSetUpPr autoPageBreaks="0"/>
  </sheetPr>
  <dimension ref="A1:L87"/>
  <sheetViews>
    <sheetView showGridLines="0" zoomScaleNormal="100" workbookViewId="0">
      <selection activeCell="A4" sqref="A4"/>
    </sheetView>
  </sheetViews>
  <sheetFormatPr defaultRowHeight="15" x14ac:dyDescent="0.25"/>
  <cols>
    <col min="1" max="1" width="30.7109375" customWidth="1"/>
    <col min="2" max="3" width="2.7109375" customWidth="1"/>
    <col min="4" max="4" width="96.28515625" customWidth="1"/>
    <col min="5" max="6" width="28.7109375" customWidth="1"/>
    <col min="7" max="7" width="32.85546875" customWidth="1"/>
    <col min="8" max="8" width="36.85546875" customWidth="1"/>
    <col min="9" max="10" width="31.5703125" customWidth="1"/>
    <col min="11" max="11" width="25.28515625" customWidth="1"/>
    <col min="12" max="12" width="7.42578125" customWidth="1"/>
    <col min="13" max="27" width="28.7109375" customWidth="1"/>
  </cols>
  <sheetData>
    <row r="1" spans="1:12" ht="30" customHeight="1" x14ac:dyDescent="0.35">
      <c r="A1" s="67" t="e" vm="1">
        <v>#VALUE!</v>
      </c>
      <c r="C1" s="114" t="s">
        <v>234</v>
      </c>
    </row>
    <row r="2" spans="1:12" ht="20.100000000000001" customHeight="1" x14ac:dyDescent="0.25">
      <c r="A2" s="9"/>
      <c r="C2" s="9"/>
    </row>
    <row r="3" spans="1:12" ht="20.100000000000001" customHeight="1" x14ac:dyDescent="0.25">
      <c r="A3" s="17" t="str">
        <f>HYPERLINK("#'Home'!A1", "Home")</f>
        <v>Home</v>
      </c>
      <c r="C3" s="24"/>
      <c r="D3" s="24"/>
      <c r="E3" s="24"/>
      <c r="F3" s="24"/>
      <c r="G3" s="24"/>
      <c r="H3" s="24"/>
      <c r="I3" s="24"/>
      <c r="J3" s="24"/>
      <c r="K3" s="24"/>
      <c r="L3" s="24"/>
    </row>
    <row r="4" spans="1:12" ht="20.100000000000001" customHeight="1" x14ac:dyDescent="0.25">
      <c r="A4" s="17" t="str">
        <f>HYPERLINK("#'Overview'!A1", "Overview")</f>
        <v>Overview</v>
      </c>
      <c r="C4" s="24"/>
      <c r="D4" s="6" t="s">
        <v>3</v>
      </c>
      <c r="E4" s="26"/>
      <c r="F4" s="26"/>
      <c r="G4" s="26"/>
      <c r="H4" s="6"/>
      <c r="I4" s="6"/>
      <c r="J4" s="6"/>
      <c r="K4" s="6"/>
      <c r="L4" s="27"/>
    </row>
    <row r="5" spans="1:12" ht="20.100000000000001" customHeight="1" x14ac:dyDescent="0.3">
      <c r="A5" s="113" t="str">
        <f>HYPERLINK("#'Results'!A1", "Results")</f>
        <v>Results</v>
      </c>
      <c r="C5" s="24"/>
      <c r="D5" s="28"/>
      <c r="E5" s="29"/>
      <c r="F5" s="29"/>
      <c r="G5" s="29"/>
      <c r="H5" s="26"/>
      <c r="I5" s="24"/>
      <c r="J5" s="24"/>
      <c r="K5" s="24"/>
      <c r="L5" s="24"/>
    </row>
    <row r="6" spans="1:12" ht="20.100000000000001" customHeight="1" x14ac:dyDescent="0.25">
      <c r="A6" s="16"/>
      <c r="C6" s="24"/>
      <c r="D6" s="112" t="s">
        <v>96</v>
      </c>
      <c r="E6" s="112" t="s">
        <v>118</v>
      </c>
      <c r="F6" s="112" t="s">
        <v>119</v>
      </c>
      <c r="G6" s="112" t="s">
        <v>111</v>
      </c>
      <c r="H6" s="112" t="s">
        <v>120</v>
      </c>
      <c r="I6" s="112" t="s">
        <v>122</v>
      </c>
      <c r="J6" s="112" t="s">
        <v>112</v>
      </c>
      <c r="K6" s="24"/>
      <c r="L6" s="24"/>
    </row>
    <row r="7" spans="1:12" ht="20.100000000000001" customHeight="1" x14ac:dyDescent="0.25">
      <c r="A7" s="20" t="s">
        <v>1</v>
      </c>
      <c r="C7" s="24"/>
      <c r="D7" s="1" t="s">
        <v>241</v>
      </c>
      <c r="E7" s="108">
        <f>'4.7.1.1-2 Manure Methane'!E113</f>
        <v>11.990348051537779</v>
      </c>
      <c r="F7" s="108">
        <f>'4.7.1.1-2 Manure Methane'!O113</f>
        <v>12.103057674611057</v>
      </c>
      <c r="G7" s="55" t="str">
        <f>'4.7.1.1-2 Manure Methane'!F113</f>
        <v>t CH4</v>
      </c>
      <c r="H7" s="108">
        <f>'4.7.1.1-2 Manure Methane'!E118</f>
        <v>335.72974544305782</v>
      </c>
      <c r="I7" s="108">
        <f>'4.7.1.1-2 Manure Methane'!O118</f>
        <v>338.8856148891096</v>
      </c>
      <c r="J7" s="55" t="s">
        <v>121</v>
      </c>
      <c r="K7" s="24"/>
      <c r="L7" s="24"/>
    </row>
    <row r="8" spans="1:12" ht="20.100000000000001" customHeight="1" x14ac:dyDescent="0.25">
      <c r="A8" s="17" t="str">
        <f>HYPERLINK("#'Input - Site'!A1", "Site")</f>
        <v>Site</v>
      </c>
      <c r="C8" s="24"/>
      <c r="D8" s="1" t="s">
        <v>242</v>
      </c>
      <c r="E8" s="108">
        <f>'4.7.1.3-4 Soil Direct N2O'!E70</f>
        <v>519.12802857142856</v>
      </c>
      <c r="F8" s="108">
        <f>E8</f>
        <v>519.12802857142856</v>
      </c>
      <c r="G8" s="55" t="s">
        <v>206</v>
      </c>
      <c r="H8" s="108">
        <f>'4.7.1.3-4 Soil Direct N2O'!E75</f>
        <v>137568.92757142856</v>
      </c>
      <c r="I8" s="108">
        <f>H8</f>
        <v>137568.92757142856</v>
      </c>
      <c r="J8" s="55" t="s">
        <v>121</v>
      </c>
      <c r="K8" s="24"/>
      <c r="L8" s="24"/>
    </row>
    <row r="9" spans="1:12" ht="20.100000000000001" customHeight="1" x14ac:dyDescent="0.25">
      <c r="A9" s="17" t="str">
        <f>HYPERLINK("#'Input - Other Livestock'!A1", "Other Livestock")</f>
        <v>Other Livestock</v>
      </c>
      <c r="C9" s="24"/>
      <c r="D9" s="1" t="s">
        <v>243</v>
      </c>
      <c r="E9" s="108">
        <f>'4.7.1.5-6 Soil Atmos Deposition'!E81</f>
        <v>186.11705144999996</v>
      </c>
      <c r="F9" s="108">
        <f>E9</f>
        <v>186.11705144999996</v>
      </c>
      <c r="G9" s="55" t="s">
        <v>206</v>
      </c>
      <c r="H9" s="108">
        <f>'4.7.1.5-6 Soil Atmos Deposition'!E86</f>
        <v>49321.018634249987</v>
      </c>
      <c r="I9" s="108">
        <f>H9</f>
        <v>49321.018634249987</v>
      </c>
      <c r="J9" s="55" t="s">
        <v>121</v>
      </c>
      <c r="K9" s="24"/>
      <c r="L9" s="24"/>
    </row>
    <row r="10" spans="1:12" ht="20.100000000000001" customHeight="1" x14ac:dyDescent="0.25">
      <c r="A10" s="17"/>
      <c r="C10" s="24"/>
      <c r="D10" s="1" t="s">
        <v>240</v>
      </c>
      <c r="E10" s="108">
        <f>'4.7.1.7-8 Soil Leaching Runoff'!E72</f>
        <v>3.0587417142857145</v>
      </c>
      <c r="F10" s="108">
        <f>E10</f>
        <v>3.0587417142857145</v>
      </c>
      <c r="G10" s="55" t="s">
        <v>206</v>
      </c>
      <c r="H10" s="108">
        <f>'4.7.1.7-8 Soil Leaching Runoff'!E77</f>
        <v>810.56655428571435</v>
      </c>
      <c r="I10" s="108">
        <f>H10</f>
        <v>810.56655428571435</v>
      </c>
      <c r="J10" s="55" t="s">
        <v>121</v>
      </c>
      <c r="K10" s="24"/>
      <c r="L10" s="24"/>
    </row>
    <row r="11" spans="1:12" ht="20.100000000000001" customHeight="1" x14ac:dyDescent="0.3">
      <c r="A11" s="19" t="s">
        <v>71</v>
      </c>
      <c r="C11" s="24"/>
      <c r="D11" s="31" t="s">
        <v>110</v>
      </c>
      <c r="E11" s="25"/>
      <c r="F11" s="31"/>
      <c r="G11" s="31"/>
      <c r="H11" s="111">
        <f>SUM(H7:H10)</f>
        <v>188036.24250540731</v>
      </c>
      <c r="I11" s="111">
        <f>SUM(I7:I10)</f>
        <v>188039.39837485336</v>
      </c>
      <c r="J11" s="105" t="s">
        <v>121</v>
      </c>
      <c r="K11" s="24"/>
      <c r="L11" s="24"/>
    </row>
    <row r="12" spans="1:12" ht="20.100000000000001" customHeight="1" x14ac:dyDescent="0.25">
      <c r="A12" s="17" t="str">
        <f>HYPERLINK("#'4.7.1.1-2 Manure Methane'!A1", "4.7.1.1-2 Methane")</f>
        <v>4.7.1.1-2 Methane</v>
      </c>
      <c r="C12" s="24"/>
      <c r="D12" s="1"/>
      <c r="E12" s="1"/>
      <c r="F12" s="1"/>
      <c r="G12" s="1"/>
      <c r="H12" s="1"/>
      <c r="I12" s="1"/>
      <c r="J12" s="1"/>
      <c r="K12" s="24"/>
      <c r="L12" s="24"/>
    </row>
    <row r="13" spans="1:12" ht="20.100000000000001" customHeight="1" x14ac:dyDescent="0.25">
      <c r="A13" s="17" t="str">
        <f>HYPERLINK("#'4.7.1.3-4 Soil Direct N2O'!A1", "4.7.1.3-4 Soil Direct N2O")</f>
        <v>4.7.1.3-4 Soil Direct N2O</v>
      </c>
      <c r="C13" s="24"/>
      <c r="D13" s="1"/>
      <c r="E13" s="1"/>
      <c r="F13" s="1"/>
      <c r="G13" s="1"/>
      <c r="H13" s="1"/>
      <c r="I13" s="1"/>
      <c r="J13" s="1"/>
      <c r="K13" s="24"/>
      <c r="L13" s="24"/>
    </row>
    <row r="14" spans="1:12" ht="20.100000000000001" customHeight="1" x14ac:dyDescent="0.25">
      <c r="A14" s="17" t="str">
        <f>HYPERLINK("#'4.7.1.5-6 Soil Atmos Deposition'!A1", "4.7.1.5-6 Soil Atmos deposition")</f>
        <v>4.7.1.5-6 Soil Atmos deposition</v>
      </c>
      <c r="C14" s="24"/>
      <c r="D14" s="1"/>
      <c r="E14" s="1"/>
      <c r="F14" s="1"/>
      <c r="G14" s="1"/>
      <c r="H14" s="1"/>
      <c r="I14" s="1"/>
      <c r="J14" s="1"/>
      <c r="K14" s="24"/>
      <c r="L14" s="24"/>
    </row>
    <row r="15" spans="1:12" ht="20.100000000000001" customHeight="1" x14ac:dyDescent="0.25">
      <c r="A15" s="17" t="str">
        <f>HYPERLINK("#'4.7.1.7-8 Soil Leaching Runoff'!A1", "4.7.1.8-9 Soil Leaching &amp; Runoff")</f>
        <v>4.7.1.8-9 Soil Leaching &amp; Runoff</v>
      </c>
      <c r="C15" s="24"/>
      <c r="D15" s="1"/>
      <c r="E15" s="1"/>
      <c r="F15" s="1"/>
      <c r="G15" s="1"/>
      <c r="H15" s="1"/>
      <c r="I15" s="1"/>
      <c r="J15" s="1"/>
      <c r="K15" s="24"/>
      <c r="L15" s="24"/>
    </row>
    <row r="16" spans="1:12" ht="20.100000000000001" customHeight="1" x14ac:dyDescent="0.25">
      <c r="C16" s="24"/>
      <c r="D16" s="1"/>
      <c r="E16" s="1"/>
      <c r="F16" s="1"/>
      <c r="G16" s="1"/>
      <c r="H16" s="1"/>
      <c r="I16" s="1"/>
      <c r="J16" s="1"/>
      <c r="K16" s="24"/>
      <c r="L16" s="24"/>
    </row>
    <row r="17" spans="1:12" ht="20.100000000000001" customHeight="1" x14ac:dyDescent="0.25">
      <c r="A17" s="18" t="s">
        <v>2</v>
      </c>
      <c r="C17" s="24"/>
      <c r="D17" s="1"/>
      <c r="E17" s="1"/>
      <c r="F17" s="1"/>
      <c r="G17" s="1"/>
      <c r="H17" s="1"/>
      <c r="I17" s="1"/>
      <c r="J17" s="1"/>
      <c r="K17" s="24"/>
      <c r="L17" s="24"/>
    </row>
    <row r="18" spans="1:12" ht="20.100000000000001" customHeight="1" x14ac:dyDescent="0.25">
      <c r="A18" s="17" t="str">
        <f>HYPERLINK("#'Constants - Other Livestock'!A1", "Constants - Other Livestock")</f>
        <v>Constants - Other Livestock</v>
      </c>
      <c r="C18" s="24"/>
      <c r="D18" s="1"/>
      <c r="E18" s="1"/>
      <c r="F18" s="1"/>
      <c r="G18" s="1"/>
      <c r="H18" s="1"/>
      <c r="I18" s="1"/>
      <c r="J18" s="1"/>
      <c r="K18" s="24"/>
      <c r="L18" s="24"/>
    </row>
    <row r="19" spans="1:12" ht="20.100000000000001" customHeight="1" x14ac:dyDescent="0.25">
      <c r="A19" s="17" t="str">
        <f>HYPERLINK("#'Constants - Livestock'!A1", "Constants - Livestock")</f>
        <v>Constants - Livestock</v>
      </c>
      <c r="C19" s="24"/>
      <c r="D19" s="1"/>
      <c r="E19" s="1"/>
      <c r="F19" s="1"/>
      <c r="G19" s="1"/>
      <c r="H19" s="1"/>
      <c r="I19" s="1"/>
      <c r="J19" s="1"/>
      <c r="K19" s="24"/>
      <c r="L19" s="24"/>
    </row>
    <row r="20" spans="1:12" ht="20.100000000000001" customHeight="1" x14ac:dyDescent="0.25">
      <c r="A20" s="17" t="str">
        <f>HYPERLINK("#'Constants - Common'!A1", "Constants - Common")</f>
        <v>Constants - Common</v>
      </c>
      <c r="C20" s="24"/>
      <c r="D20" s="1"/>
      <c r="E20" s="1"/>
      <c r="F20" s="1"/>
      <c r="G20" s="1"/>
      <c r="H20" s="1"/>
      <c r="I20" s="1"/>
      <c r="J20" s="1"/>
      <c r="K20" s="24"/>
      <c r="L20" s="24"/>
    </row>
    <row r="21" spans="1:12" ht="20.100000000000001" customHeight="1" x14ac:dyDescent="0.25">
      <c r="A21" s="17" t="str">
        <f>HYPERLINK("#'Acknowledgements'!A1", "Acknowledgements")</f>
        <v>Acknowledgements</v>
      </c>
      <c r="C21" s="24"/>
      <c r="D21" s="1"/>
      <c r="E21" s="1"/>
      <c r="F21" s="1"/>
      <c r="G21" s="1"/>
      <c r="H21" s="1"/>
      <c r="I21" s="1"/>
      <c r="J21" s="1"/>
      <c r="K21" s="24"/>
      <c r="L21" s="24"/>
    </row>
    <row r="22" spans="1:12" ht="20.100000000000001" customHeight="1" x14ac:dyDescent="0.25">
      <c r="C22" s="24"/>
      <c r="D22" s="1"/>
      <c r="E22" s="1"/>
      <c r="F22" s="1"/>
      <c r="G22" s="1"/>
      <c r="H22" s="1"/>
      <c r="I22" s="1"/>
      <c r="J22" s="1"/>
      <c r="K22" s="24"/>
      <c r="L22" s="24"/>
    </row>
    <row r="23" spans="1:12" ht="20.100000000000001" customHeight="1" x14ac:dyDescent="0.25">
      <c r="C23" s="24"/>
      <c r="D23" s="1"/>
      <c r="E23" s="1"/>
      <c r="F23" s="1"/>
      <c r="G23" s="1"/>
      <c r="H23" s="1"/>
      <c r="I23" s="1"/>
      <c r="J23" s="1"/>
      <c r="K23" s="24"/>
      <c r="L23" s="24"/>
    </row>
    <row r="24" spans="1:12" ht="20.100000000000001" customHeight="1" x14ac:dyDescent="0.25">
      <c r="A24" s="17"/>
      <c r="C24" s="24"/>
      <c r="D24" s="1"/>
      <c r="E24" s="1"/>
      <c r="F24" s="1"/>
      <c r="G24" s="1"/>
      <c r="H24" s="1"/>
      <c r="I24" s="1"/>
      <c r="J24" s="1"/>
      <c r="K24" s="24"/>
      <c r="L24" s="24"/>
    </row>
    <row r="25" spans="1:12" ht="20.100000000000001" customHeight="1" x14ac:dyDescent="0.25">
      <c r="C25" s="24"/>
      <c r="D25" s="1"/>
      <c r="E25" s="1"/>
      <c r="F25" s="1"/>
      <c r="G25" s="1"/>
      <c r="H25" s="1"/>
      <c r="I25" s="1"/>
      <c r="J25" s="1"/>
      <c r="K25" s="24"/>
      <c r="L25" s="24"/>
    </row>
    <row r="26" spans="1:12" ht="20.100000000000001" customHeight="1" x14ac:dyDescent="0.25">
      <c r="C26" s="24"/>
      <c r="D26" s="1"/>
      <c r="E26" s="1"/>
      <c r="F26" s="1"/>
      <c r="G26" s="1"/>
      <c r="H26" s="1"/>
      <c r="I26" s="1"/>
      <c r="J26" s="1"/>
      <c r="K26" s="24"/>
      <c r="L26" s="24"/>
    </row>
    <row r="27" spans="1:12" ht="20.100000000000001" customHeight="1" x14ac:dyDescent="0.25">
      <c r="C27" s="24"/>
      <c r="D27" s="1"/>
      <c r="E27" s="1"/>
      <c r="F27" s="1"/>
      <c r="G27" s="1"/>
      <c r="H27" s="1"/>
      <c r="I27" s="1"/>
      <c r="J27" s="1"/>
      <c r="K27" s="24"/>
      <c r="L27" s="24"/>
    </row>
    <row r="28" spans="1:12" ht="20.100000000000001" customHeight="1" x14ac:dyDescent="0.25">
      <c r="C28" s="24"/>
      <c r="D28" s="1"/>
      <c r="E28" s="1"/>
      <c r="F28" s="1"/>
      <c r="G28" s="1"/>
      <c r="H28" s="1"/>
      <c r="I28" s="1"/>
      <c r="J28" s="1"/>
      <c r="K28" s="24"/>
      <c r="L28" s="24"/>
    </row>
    <row r="29" spans="1:12" ht="20.100000000000001" customHeight="1" x14ac:dyDescent="0.25">
      <c r="C29" s="24"/>
      <c r="D29" s="1"/>
      <c r="E29" s="1"/>
      <c r="F29" s="1"/>
      <c r="G29" s="1"/>
      <c r="H29" s="24"/>
      <c r="I29" s="24"/>
      <c r="J29" s="24"/>
      <c r="K29" s="24"/>
      <c r="L29" s="24"/>
    </row>
    <row r="30" spans="1:12" ht="20.100000000000001" customHeight="1" x14ac:dyDescent="0.25">
      <c r="C30" s="24"/>
      <c r="D30" s="1"/>
      <c r="E30" s="1"/>
      <c r="F30" s="1"/>
      <c r="G30" s="1"/>
      <c r="H30" s="24"/>
      <c r="I30" s="24"/>
      <c r="J30" s="24"/>
      <c r="K30" s="24"/>
      <c r="L30" s="24"/>
    </row>
    <row r="31" spans="1:12" ht="20.100000000000001" customHeight="1" x14ac:dyDescent="0.25">
      <c r="C31" s="24"/>
      <c r="D31" s="1"/>
      <c r="E31" s="1"/>
      <c r="F31" s="1"/>
      <c r="G31" s="1"/>
      <c r="H31" s="24"/>
      <c r="I31" s="24"/>
      <c r="J31" s="24"/>
      <c r="K31" s="24"/>
      <c r="L31" s="24"/>
    </row>
    <row r="32" spans="1:12" ht="20.100000000000001" customHeight="1" x14ac:dyDescent="0.25">
      <c r="C32" s="24"/>
      <c r="D32" s="1"/>
      <c r="E32" s="1"/>
      <c r="F32" s="1"/>
      <c r="G32" s="1"/>
      <c r="H32" s="26"/>
      <c r="I32" s="24"/>
      <c r="J32" s="24"/>
      <c r="K32" s="24"/>
      <c r="L32" s="24"/>
    </row>
    <row r="33" spans="3:12" ht="20.100000000000001" customHeight="1" x14ac:dyDescent="0.3">
      <c r="C33" s="24"/>
      <c r="D33" s="1"/>
      <c r="E33" s="1"/>
      <c r="F33" s="1"/>
      <c r="G33" s="1"/>
      <c r="H33" s="29"/>
      <c r="I33" s="24"/>
      <c r="J33" s="24"/>
      <c r="K33" s="24"/>
      <c r="L33" s="24"/>
    </row>
    <row r="34" spans="3:12" ht="20.100000000000001" customHeight="1" x14ac:dyDescent="0.25">
      <c r="C34" s="24"/>
      <c r="D34" s="1"/>
      <c r="E34" s="1"/>
      <c r="F34" s="1"/>
      <c r="G34" s="1"/>
      <c r="H34" s="1"/>
      <c r="I34" s="24"/>
      <c r="J34" s="24"/>
      <c r="K34" s="24"/>
      <c r="L34" s="24"/>
    </row>
    <row r="35" spans="3:12" ht="20.100000000000001" customHeight="1" x14ac:dyDescent="0.25">
      <c r="C35" s="24"/>
      <c r="D35" s="1"/>
      <c r="E35" s="1"/>
      <c r="F35" s="1"/>
      <c r="G35" s="1"/>
      <c r="H35" s="1"/>
      <c r="I35" s="24"/>
      <c r="J35" s="24"/>
      <c r="K35" s="24"/>
      <c r="L35" s="24"/>
    </row>
    <row r="36" spans="3:12" ht="20.100000000000001" customHeight="1" x14ac:dyDescent="0.25">
      <c r="C36" s="24"/>
      <c r="D36" s="1"/>
      <c r="E36" s="1"/>
      <c r="F36" s="1"/>
      <c r="G36" s="1"/>
      <c r="H36" s="1"/>
      <c r="I36" s="24"/>
      <c r="J36" s="24"/>
      <c r="K36" s="24"/>
      <c r="L36" s="24"/>
    </row>
    <row r="37" spans="3:12" ht="20.100000000000001" customHeight="1" x14ac:dyDescent="0.25">
      <c r="C37" s="24"/>
      <c r="D37" s="1"/>
      <c r="E37" s="1"/>
      <c r="F37" s="1"/>
      <c r="G37" s="1"/>
      <c r="H37" s="1"/>
      <c r="I37" s="24"/>
      <c r="J37" s="24"/>
      <c r="K37" s="24"/>
      <c r="L37" s="24"/>
    </row>
    <row r="38" spans="3:12" ht="20.100000000000001" customHeight="1" x14ac:dyDescent="0.25">
      <c r="C38" s="24"/>
      <c r="D38" s="1"/>
      <c r="E38" s="1"/>
      <c r="F38" s="1"/>
      <c r="G38" s="1"/>
      <c r="H38" s="1"/>
      <c r="I38" s="107"/>
      <c r="J38" s="107"/>
      <c r="K38" s="107"/>
      <c r="L38" s="24"/>
    </row>
    <row r="39" spans="3:12" ht="20.100000000000001" customHeight="1" x14ac:dyDescent="0.25">
      <c r="C39" s="24"/>
      <c r="D39" s="1"/>
      <c r="E39" s="1"/>
      <c r="F39" s="1"/>
      <c r="G39" s="1"/>
      <c r="H39" s="1"/>
      <c r="I39" s="107"/>
      <c r="J39" s="107"/>
      <c r="K39" s="107"/>
      <c r="L39" s="24"/>
    </row>
    <row r="40" spans="3:12" ht="20.100000000000001" customHeight="1" x14ac:dyDescent="0.25">
      <c r="C40" s="24"/>
      <c r="D40" s="1"/>
      <c r="E40" s="1"/>
      <c r="F40" s="1"/>
      <c r="G40" s="1"/>
      <c r="H40" s="1"/>
      <c r="I40" s="107"/>
      <c r="J40" s="107"/>
      <c r="K40" s="107"/>
      <c r="L40" s="24"/>
    </row>
    <row r="41" spans="3:12" ht="20.100000000000001" customHeight="1" x14ac:dyDescent="0.25">
      <c r="C41" s="24"/>
      <c r="D41" s="1"/>
      <c r="E41" s="1"/>
      <c r="F41" s="1"/>
      <c r="G41" s="1"/>
      <c r="H41" s="1"/>
      <c r="I41" s="107"/>
      <c r="J41" s="107"/>
      <c r="K41" s="107"/>
      <c r="L41" s="24"/>
    </row>
    <row r="42" spans="3:12" ht="20.100000000000001" customHeight="1" x14ac:dyDescent="0.25">
      <c r="C42" s="24"/>
      <c r="D42" s="1"/>
      <c r="E42" s="1"/>
      <c r="F42" s="1"/>
      <c r="G42" s="1"/>
      <c r="H42" s="1"/>
      <c r="I42" s="107"/>
      <c r="J42" s="107"/>
      <c r="K42" s="107"/>
      <c r="L42" s="24"/>
    </row>
    <row r="43" spans="3:12" ht="20.100000000000001" customHeight="1" x14ac:dyDescent="0.25">
      <c r="C43" s="24"/>
      <c r="D43" s="1"/>
      <c r="E43" s="1"/>
      <c r="F43" s="1"/>
      <c r="G43" s="1"/>
      <c r="H43" s="1"/>
      <c r="I43" s="107"/>
      <c r="J43" s="107"/>
      <c r="K43" s="107"/>
      <c r="L43" s="24"/>
    </row>
    <row r="44" spans="3:12" ht="20.100000000000001" customHeight="1" x14ac:dyDescent="0.25">
      <c r="C44" s="24"/>
      <c r="D44" s="1"/>
      <c r="E44" s="1"/>
      <c r="F44" s="1"/>
      <c r="G44" s="1"/>
      <c r="H44" s="1"/>
      <c r="I44" s="107"/>
      <c r="J44" s="107"/>
      <c r="K44" s="107"/>
      <c r="L44" s="24"/>
    </row>
    <row r="45" spans="3:12" ht="20.100000000000001" customHeight="1" x14ac:dyDescent="0.25">
      <c r="C45" s="24"/>
      <c r="D45" s="1"/>
      <c r="E45" s="1"/>
      <c r="F45" s="1"/>
      <c r="G45" s="1"/>
      <c r="H45" s="1"/>
      <c r="I45" s="107"/>
      <c r="J45" s="107"/>
      <c r="K45" s="107"/>
      <c r="L45" s="24"/>
    </row>
    <row r="46" spans="3:12" ht="20.100000000000001" customHeight="1" x14ac:dyDescent="0.25">
      <c r="C46" s="24"/>
      <c r="D46" s="1"/>
      <c r="E46" s="1"/>
      <c r="F46" s="1"/>
      <c r="G46" s="1"/>
      <c r="H46" s="1"/>
      <c r="I46" s="107"/>
      <c r="J46" s="107"/>
      <c r="K46" s="107"/>
      <c r="L46" s="24"/>
    </row>
    <row r="47" spans="3:12" ht="20.100000000000001" customHeight="1" x14ac:dyDescent="0.25">
      <c r="C47" s="24"/>
      <c r="D47" s="1"/>
      <c r="E47" s="1"/>
      <c r="F47" s="1"/>
      <c r="G47" s="1"/>
      <c r="H47" s="1"/>
      <c r="I47" s="107"/>
      <c r="J47" s="107"/>
      <c r="K47" s="107"/>
      <c r="L47" s="24"/>
    </row>
    <row r="48" spans="3:12" ht="20.100000000000001" customHeight="1" x14ac:dyDescent="0.25">
      <c r="C48" s="24"/>
      <c r="D48" s="1"/>
      <c r="E48" s="1"/>
      <c r="F48" s="1"/>
      <c r="G48" s="1"/>
      <c r="H48" s="1"/>
      <c r="I48" s="107"/>
      <c r="J48" s="107"/>
      <c r="K48" s="107"/>
      <c r="L48" s="24"/>
    </row>
    <row r="49" spans="3:12" ht="20.100000000000001" customHeight="1" x14ac:dyDescent="0.25">
      <c r="C49" s="24"/>
      <c r="D49" s="1"/>
      <c r="E49" s="1"/>
      <c r="F49" s="1"/>
      <c r="G49" s="1"/>
      <c r="H49" s="107"/>
      <c r="I49" s="107"/>
      <c r="J49" s="107"/>
      <c r="K49" s="107"/>
      <c r="L49" s="24"/>
    </row>
    <row r="50" spans="3:12" ht="20.100000000000001" customHeight="1" x14ac:dyDescent="0.25">
      <c r="C50" s="24"/>
      <c r="D50" s="1"/>
      <c r="E50" s="1"/>
      <c r="F50" s="1"/>
      <c r="G50" s="1"/>
      <c r="H50" s="107"/>
      <c r="I50" s="107"/>
      <c r="J50" s="107"/>
      <c r="K50" s="107"/>
      <c r="L50" s="24"/>
    </row>
    <row r="51" spans="3:12" ht="20.100000000000001" customHeight="1" x14ac:dyDescent="0.25">
      <c r="C51" s="24"/>
      <c r="D51" s="1"/>
      <c r="E51" s="1"/>
      <c r="F51" s="1"/>
      <c r="G51" s="1"/>
      <c r="H51" s="107"/>
      <c r="I51" s="107"/>
      <c r="J51" s="107"/>
      <c r="K51" s="107"/>
      <c r="L51" s="24"/>
    </row>
    <row r="52" spans="3:12" ht="20.100000000000001" customHeight="1" x14ac:dyDescent="0.25">
      <c r="C52" s="24"/>
      <c r="D52" s="1"/>
      <c r="E52" s="1"/>
      <c r="F52" s="1"/>
      <c r="G52" s="1"/>
      <c r="H52" s="107"/>
      <c r="I52" s="107"/>
      <c r="J52" s="107"/>
      <c r="K52" s="107"/>
      <c r="L52" s="24"/>
    </row>
    <row r="53" spans="3:12" ht="20.100000000000001" customHeight="1" x14ac:dyDescent="0.25">
      <c r="C53" s="24"/>
      <c r="D53" s="1"/>
      <c r="E53" s="1"/>
      <c r="F53" s="1"/>
      <c r="G53" s="1"/>
      <c r="H53" s="107"/>
      <c r="I53" s="107"/>
      <c r="J53" s="107"/>
      <c r="K53" s="107"/>
      <c r="L53" s="24"/>
    </row>
    <row r="54" spans="3:12" ht="20.100000000000001" customHeight="1" x14ac:dyDescent="0.25">
      <c r="C54" s="24"/>
      <c r="D54" s="1"/>
      <c r="E54" s="1"/>
      <c r="F54" s="1"/>
      <c r="G54" s="1"/>
      <c r="H54" s="24"/>
      <c r="I54" s="24"/>
      <c r="J54" s="24"/>
      <c r="K54" s="24"/>
      <c r="L54" s="24"/>
    </row>
    <row r="55" spans="3:12" ht="20.100000000000001" customHeight="1" x14ac:dyDescent="0.25">
      <c r="C55" s="24"/>
      <c r="D55" s="1"/>
      <c r="E55" s="1"/>
      <c r="F55" s="1"/>
      <c r="G55" s="1"/>
      <c r="H55" s="24"/>
      <c r="I55" s="24"/>
      <c r="J55" s="24"/>
      <c r="K55" s="24"/>
      <c r="L55" s="24"/>
    </row>
    <row r="56" spans="3:12" ht="20.100000000000001" customHeight="1" x14ac:dyDescent="0.25">
      <c r="C56" s="24"/>
      <c r="D56" s="1"/>
      <c r="E56" s="1"/>
      <c r="F56" s="1"/>
      <c r="G56" s="1"/>
      <c r="H56" s="24"/>
      <c r="I56" s="24"/>
      <c r="J56" s="24"/>
      <c r="K56" s="24"/>
      <c r="L56" s="24"/>
    </row>
    <row r="57" spans="3:12" ht="20.100000000000001" customHeight="1" x14ac:dyDescent="0.25">
      <c r="C57" s="24"/>
      <c r="D57" s="1"/>
      <c r="E57" s="1"/>
      <c r="F57" s="1"/>
      <c r="G57" s="1"/>
      <c r="H57" s="24"/>
      <c r="I57" s="24"/>
      <c r="J57" s="24"/>
      <c r="K57" s="24"/>
      <c r="L57" s="24"/>
    </row>
    <row r="58" spans="3:12" ht="20.100000000000001" customHeight="1" x14ac:dyDescent="0.25">
      <c r="C58" s="24"/>
      <c r="D58" s="1"/>
      <c r="E58" s="32"/>
      <c r="F58" s="30"/>
      <c r="G58" s="24"/>
      <c r="H58" s="24"/>
      <c r="I58" s="24"/>
      <c r="J58" s="24"/>
      <c r="K58" s="24"/>
      <c r="L58" s="24"/>
    </row>
    <row r="59" spans="3:12" ht="20.100000000000001" customHeight="1" x14ac:dyDescent="0.25">
      <c r="C59" s="24"/>
      <c r="D59" s="1"/>
      <c r="E59" s="1"/>
      <c r="F59" s="1"/>
      <c r="G59" s="1"/>
      <c r="H59" s="1"/>
      <c r="I59" s="1"/>
      <c r="J59" s="1"/>
      <c r="K59" s="1"/>
      <c r="L59" s="24"/>
    </row>
    <row r="60" spans="3:12" ht="20.100000000000001" customHeight="1" x14ac:dyDescent="0.25">
      <c r="C60" s="24"/>
      <c r="D60" s="1"/>
      <c r="E60" s="1"/>
      <c r="F60" s="1"/>
      <c r="G60" s="1"/>
      <c r="H60" s="1"/>
      <c r="I60" s="1"/>
      <c r="J60" s="1"/>
      <c r="K60" s="1"/>
      <c r="L60" s="24"/>
    </row>
    <row r="61" spans="3:12" ht="20.100000000000001" customHeight="1" x14ac:dyDescent="0.25">
      <c r="C61" s="24"/>
      <c r="D61" s="1"/>
      <c r="E61" s="1"/>
      <c r="F61" s="1"/>
      <c r="G61" s="1"/>
      <c r="H61" s="1"/>
      <c r="I61" s="1"/>
      <c r="J61" s="1"/>
      <c r="K61" s="1"/>
      <c r="L61" s="24"/>
    </row>
    <row r="62" spans="3:12" ht="20.100000000000001" customHeight="1" x14ac:dyDescent="0.25">
      <c r="C62" s="24"/>
      <c r="D62" s="1"/>
      <c r="E62" s="1"/>
      <c r="F62" s="1"/>
      <c r="G62" s="1"/>
      <c r="H62" s="1"/>
      <c r="I62" s="1"/>
      <c r="J62" s="1"/>
      <c r="K62" s="1"/>
      <c r="L62" s="24"/>
    </row>
    <row r="63" spans="3:12" ht="20.100000000000001" customHeight="1" x14ac:dyDescent="0.25">
      <c r="C63" s="24"/>
      <c r="D63" s="1"/>
      <c r="E63" s="1"/>
      <c r="F63" s="1"/>
      <c r="G63" s="1"/>
      <c r="H63" s="1"/>
      <c r="I63" s="1"/>
      <c r="J63" s="1"/>
      <c r="K63" s="1"/>
      <c r="L63" s="24"/>
    </row>
    <row r="64" spans="3:12" ht="20.100000000000001" customHeight="1" x14ac:dyDescent="0.25">
      <c r="C64" s="24"/>
      <c r="D64" s="1"/>
      <c r="E64" s="1"/>
      <c r="F64" s="1"/>
      <c r="G64" s="1"/>
      <c r="H64" s="1"/>
      <c r="I64" s="1"/>
      <c r="J64" s="1"/>
      <c r="K64" s="1"/>
      <c r="L64" s="24"/>
    </row>
    <row r="65" spans="3:12" ht="20.100000000000001" customHeight="1" x14ac:dyDescent="0.25">
      <c r="C65" s="24"/>
      <c r="D65" s="1"/>
      <c r="E65" s="1"/>
      <c r="F65" s="1"/>
      <c r="G65" s="1"/>
      <c r="H65" s="1"/>
      <c r="I65" s="1"/>
      <c r="J65" s="1"/>
      <c r="K65" s="1"/>
      <c r="L65" s="24"/>
    </row>
    <row r="66" spans="3:12" ht="20.100000000000001" customHeight="1" x14ac:dyDescent="0.25">
      <c r="C66" s="24"/>
      <c r="D66" s="1"/>
      <c r="E66" s="1"/>
      <c r="F66" s="1"/>
      <c r="G66" s="1"/>
      <c r="H66" s="1"/>
      <c r="I66" s="1"/>
      <c r="J66" s="1"/>
      <c r="K66" s="1"/>
      <c r="L66" s="24"/>
    </row>
    <row r="67" spans="3:12" ht="20.100000000000001" customHeight="1" x14ac:dyDescent="0.25">
      <c r="C67" s="24"/>
      <c r="D67" s="1"/>
      <c r="E67" s="1"/>
      <c r="F67" s="1"/>
      <c r="G67" s="1"/>
      <c r="H67" s="1"/>
      <c r="I67" s="1"/>
      <c r="J67" s="1"/>
      <c r="K67" s="1"/>
      <c r="L67" s="24"/>
    </row>
    <row r="68" spans="3:12" ht="20.100000000000001" customHeight="1" x14ac:dyDescent="0.25">
      <c r="C68" s="24"/>
      <c r="D68" s="1"/>
      <c r="E68" s="1"/>
      <c r="F68" s="1"/>
      <c r="G68" s="1"/>
      <c r="H68" s="1"/>
      <c r="I68" s="1"/>
      <c r="J68" s="1"/>
      <c r="K68" s="1"/>
      <c r="L68" s="24"/>
    </row>
    <row r="69" spans="3:12" ht="20.100000000000001" customHeight="1" x14ac:dyDescent="0.25">
      <c r="C69" s="24"/>
      <c r="D69" s="1"/>
      <c r="E69" s="1"/>
      <c r="F69" s="1"/>
      <c r="G69" s="1"/>
      <c r="H69" s="1"/>
      <c r="I69" s="1"/>
      <c r="J69" s="1"/>
      <c r="K69" s="1"/>
      <c r="L69" s="24"/>
    </row>
    <row r="70" spans="3:12" ht="20.100000000000001" customHeight="1" x14ac:dyDescent="0.25">
      <c r="C70" s="24"/>
      <c r="D70" s="1"/>
      <c r="E70" s="1"/>
      <c r="F70" s="1"/>
      <c r="G70" s="1"/>
      <c r="H70" s="1"/>
      <c r="I70" s="1"/>
      <c r="J70" s="1"/>
      <c r="K70" s="1"/>
      <c r="L70" s="24"/>
    </row>
    <row r="71" spans="3:12" ht="20.100000000000001" customHeight="1" x14ac:dyDescent="0.25">
      <c r="C71" s="24"/>
      <c r="D71" s="1"/>
      <c r="E71" s="1"/>
      <c r="F71" s="1"/>
      <c r="G71" s="1"/>
      <c r="H71" s="1"/>
      <c r="I71" s="1"/>
      <c r="J71" s="1"/>
      <c r="K71" s="1"/>
      <c r="L71" s="24"/>
    </row>
    <row r="72" spans="3:12" ht="20.100000000000001" customHeight="1" x14ac:dyDescent="0.25">
      <c r="C72" s="24"/>
      <c r="D72" s="1"/>
      <c r="E72" s="1"/>
      <c r="F72" s="1"/>
      <c r="G72" s="1"/>
      <c r="H72" s="1"/>
      <c r="I72" s="1"/>
      <c r="J72" s="1"/>
      <c r="K72" s="1"/>
      <c r="L72" s="24"/>
    </row>
    <row r="73" spans="3:12" ht="20.100000000000001" customHeight="1" x14ac:dyDescent="0.25">
      <c r="C73" s="24"/>
      <c r="D73" s="1"/>
      <c r="E73" s="1"/>
      <c r="F73" s="1"/>
      <c r="G73" s="1"/>
      <c r="H73" s="1"/>
      <c r="I73" s="1"/>
      <c r="J73" s="1"/>
      <c r="K73" s="1"/>
      <c r="L73" s="24"/>
    </row>
    <row r="74" spans="3:12" ht="20.100000000000001" customHeight="1" x14ac:dyDescent="0.25">
      <c r="C74" s="24"/>
      <c r="D74" s="1"/>
      <c r="E74" s="1"/>
      <c r="F74" s="1"/>
      <c r="G74" s="1"/>
      <c r="H74" s="1"/>
      <c r="I74" s="1"/>
      <c r="J74" s="1"/>
      <c r="K74" s="1"/>
      <c r="L74" s="24"/>
    </row>
    <row r="75" spans="3:12" ht="20.100000000000001" customHeight="1" x14ac:dyDescent="0.25">
      <c r="C75" s="24"/>
      <c r="D75" s="1"/>
      <c r="E75" s="1"/>
      <c r="F75" s="1"/>
      <c r="G75" s="1"/>
      <c r="H75" s="1"/>
      <c r="I75" s="1"/>
      <c r="J75" s="1"/>
      <c r="K75" s="1"/>
      <c r="L75" s="24"/>
    </row>
    <row r="76" spans="3:12" ht="15.75" x14ac:dyDescent="0.25">
      <c r="C76" s="24"/>
      <c r="D76" s="1"/>
      <c r="E76" s="1"/>
      <c r="F76" s="1"/>
      <c r="G76" s="1"/>
      <c r="H76" s="1"/>
      <c r="I76" s="1"/>
      <c r="J76" s="1"/>
      <c r="K76" s="1"/>
      <c r="L76" s="24"/>
    </row>
    <row r="77" spans="3:12" ht="15.75" x14ac:dyDescent="0.25">
      <c r="C77" s="24"/>
      <c r="D77" s="1"/>
      <c r="E77" s="1"/>
      <c r="F77" s="1"/>
      <c r="G77" s="1"/>
      <c r="H77" s="1"/>
      <c r="I77" s="1"/>
      <c r="J77" s="1"/>
      <c r="K77" s="1"/>
      <c r="L77" s="24"/>
    </row>
    <row r="78" spans="3:12" ht="15.75" x14ac:dyDescent="0.25">
      <c r="C78" s="24"/>
      <c r="D78" s="1"/>
      <c r="E78" s="1"/>
      <c r="F78" s="1"/>
      <c r="G78" s="1"/>
      <c r="H78" s="1"/>
      <c r="I78" s="1"/>
      <c r="J78" s="1"/>
      <c r="K78" s="1"/>
      <c r="L78" s="24"/>
    </row>
    <row r="79" spans="3:12" ht="15.75" x14ac:dyDescent="0.25">
      <c r="C79" s="24"/>
      <c r="D79" s="1"/>
      <c r="E79" s="1"/>
      <c r="F79" s="1"/>
      <c r="G79" s="1"/>
      <c r="H79" s="1"/>
      <c r="I79" s="1"/>
      <c r="J79" s="1"/>
      <c r="K79" s="1"/>
      <c r="L79" s="24"/>
    </row>
    <row r="80" spans="3:12" ht="15.75" x14ac:dyDescent="0.25">
      <c r="C80" s="24"/>
      <c r="D80" s="1"/>
      <c r="E80" s="1"/>
      <c r="F80" s="1"/>
      <c r="G80" s="1"/>
      <c r="H80" s="1"/>
      <c r="I80" s="1"/>
      <c r="J80" s="1"/>
      <c r="K80" s="1"/>
      <c r="L80" s="24"/>
    </row>
    <row r="81" spans="3:12" ht="15.75" x14ac:dyDescent="0.25">
      <c r="C81" s="24"/>
      <c r="D81" s="1"/>
      <c r="E81" s="1"/>
      <c r="F81" s="1"/>
      <c r="G81" s="1"/>
      <c r="H81" s="1"/>
      <c r="I81" s="1"/>
      <c r="J81" s="1"/>
      <c r="K81" s="1"/>
      <c r="L81" s="24"/>
    </row>
    <row r="82" spans="3:12" ht="15.75" x14ac:dyDescent="0.25">
      <c r="C82" s="24"/>
      <c r="D82" s="1"/>
      <c r="E82" s="1"/>
      <c r="F82" s="1"/>
      <c r="G82" s="1"/>
      <c r="H82" s="1"/>
      <c r="I82" s="1"/>
      <c r="J82" s="1"/>
      <c r="K82" s="1"/>
      <c r="L82" s="24"/>
    </row>
    <row r="83" spans="3:12" ht="15.75" x14ac:dyDescent="0.25">
      <c r="C83" s="24"/>
      <c r="D83" s="1"/>
      <c r="E83" s="1"/>
      <c r="F83" s="1"/>
      <c r="G83" s="1"/>
      <c r="H83" s="1"/>
      <c r="I83" s="1"/>
      <c r="J83" s="1"/>
      <c r="K83" s="1"/>
      <c r="L83" s="24"/>
    </row>
    <row r="84" spans="3:12" ht="15.75" x14ac:dyDescent="0.25">
      <c r="C84" s="24"/>
      <c r="D84" s="1"/>
      <c r="E84" s="1"/>
      <c r="F84" s="1"/>
      <c r="G84" s="1"/>
      <c r="H84" s="1"/>
      <c r="I84" s="1"/>
      <c r="J84" s="1"/>
      <c r="K84" s="1"/>
      <c r="L84" s="24"/>
    </row>
    <row r="85" spans="3:12" ht="15.75" x14ac:dyDescent="0.25">
      <c r="C85" s="24"/>
      <c r="D85" s="1"/>
      <c r="E85" s="1"/>
      <c r="F85" s="1"/>
      <c r="G85" s="1"/>
      <c r="H85" s="1"/>
      <c r="I85" s="1"/>
      <c r="J85" s="1"/>
      <c r="K85" s="1"/>
      <c r="L85" s="24"/>
    </row>
    <row r="86" spans="3:12" x14ac:dyDescent="0.25">
      <c r="C86" s="24"/>
      <c r="D86" s="24"/>
      <c r="E86" s="24"/>
      <c r="F86" s="24"/>
      <c r="G86" s="24"/>
      <c r="H86" s="24"/>
      <c r="I86" s="24"/>
      <c r="J86" s="24"/>
      <c r="K86" s="24"/>
      <c r="L86" s="24"/>
    </row>
    <row r="87" spans="3:12" x14ac:dyDescent="0.25">
      <c r="C87" s="24"/>
      <c r="D87" s="24"/>
      <c r="E87" s="24"/>
      <c r="F87" s="24"/>
      <c r="G87" s="24"/>
      <c r="H87" s="24"/>
      <c r="I87" s="24"/>
      <c r="J87" s="24"/>
      <c r="K87" s="24"/>
      <c r="L87" s="24"/>
    </row>
  </sheetData>
  <pageMargins left="0.7" right="0.7" top="0.75" bottom="0.75" header="0.3" footer="0.3"/>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A5447-7172-48EB-B2CF-AFAC4A9AE8CE}">
  <sheetPr>
    <pageSetUpPr autoPageBreaks="0"/>
  </sheetPr>
  <dimension ref="A1:AA115"/>
  <sheetViews>
    <sheetView showGridLines="0" zoomScaleNormal="100" workbookViewId="0">
      <selection activeCell="E13" sqref="E13"/>
    </sheetView>
  </sheetViews>
  <sheetFormatPr defaultColWidth="9.140625" defaultRowHeight="15.75" x14ac:dyDescent="0.25"/>
  <cols>
    <col min="1" max="1" width="30.7109375" style="16" customWidth="1"/>
    <col min="2" max="2" width="4.7109375" style="7" customWidth="1"/>
    <col min="3" max="3" width="4.7109375" style="3" customWidth="1"/>
    <col min="4" max="4" width="60.7109375" style="3" customWidth="1"/>
    <col min="5" max="5" width="50.7109375" style="3" customWidth="1"/>
    <col min="6" max="11" width="28.7109375" style="3" customWidth="1"/>
    <col min="12" max="25" width="28.7109375" style="7" customWidth="1"/>
    <col min="26" max="27" width="9.140625" style="7"/>
    <col min="28" max="16384" width="9.140625" style="3"/>
  </cols>
  <sheetData>
    <row r="1" spans="1:24" s="7" customFormat="1" ht="30" customHeight="1" x14ac:dyDescent="0.35">
      <c r="A1" s="67" t="e" vm="1">
        <v>#VALUE!</v>
      </c>
      <c r="C1" s="12" t="s">
        <v>77</v>
      </c>
    </row>
    <row r="2" spans="1:24" s="7" customFormat="1" ht="20.100000000000001" customHeight="1" x14ac:dyDescent="0.25">
      <c r="A2" s="9"/>
      <c r="C2" s="9"/>
      <c r="D2" s="9"/>
      <c r="E2" s="9"/>
      <c r="F2" s="9"/>
      <c r="G2" s="9"/>
      <c r="H2" s="9"/>
      <c r="I2" s="9"/>
      <c r="J2" s="9"/>
    </row>
    <row r="3" spans="1:24" ht="20.100000000000001" customHeight="1" x14ac:dyDescent="0.25">
      <c r="A3" s="17" t="str">
        <f>HYPERLINK("#'Home'!A1", "Home")</f>
        <v>Home</v>
      </c>
      <c r="C3" s="15"/>
      <c r="D3" s="15"/>
      <c r="E3" s="15"/>
      <c r="F3" s="15"/>
      <c r="G3" s="15"/>
      <c r="H3" s="15"/>
      <c r="I3" s="15"/>
      <c r="J3" s="15"/>
      <c r="K3" s="15"/>
      <c r="M3" s="11"/>
      <c r="N3" s="11"/>
      <c r="O3" s="11"/>
      <c r="P3" s="11"/>
      <c r="Q3" s="11"/>
      <c r="R3" s="11"/>
      <c r="S3" s="11"/>
      <c r="T3" s="11"/>
      <c r="U3" s="11"/>
      <c r="V3" s="11"/>
      <c r="W3" s="11"/>
      <c r="X3" s="11"/>
    </row>
    <row r="4" spans="1:24" ht="20.100000000000001" customHeight="1" x14ac:dyDescent="0.25">
      <c r="A4" s="17" t="str">
        <f>HYPERLINK("#'Overview'!A1", "Overview")</f>
        <v>Overview</v>
      </c>
      <c r="C4" s="69"/>
      <c r="D4" s="69"/>
      <c r="E4" s="69"/>
      <c r="F4" s="69"/>
      <c r="G4" s="69"/>
      <c r="H4" s="69"/>
      <c r="I4" s="69"/>
      <c r="J4" s="69"/>
      <c r="K4" s="69"/>
    </row>
    <row r="5" spans="1:24" ht="20.100000000000001" customHeight="1" x14ac:dyDescent="0.25">
      <c r="A5" s="17" t="str">
        <f>HYPERLINK("#'Results'!A1", "Results")</f>
        <v>Results</v>
      </c>
      <c r="D5" s="6" t="s">
        <v>13</v>
      </c>
      <c r="N5" s="43"/>
    </row>
    <row r="6" spans="1:24" ht="20.100000000000001" customHeight="1" x14ac:dyDescent="0.25">
      <c r="D6" s="14"/>
      <c r="N6" s="44"/>
    </row>
    <row r="7" spans="1:24" ht="20.100000000000001" customHeight="1" x14ac:dyDescent="0.25">
      <c r="A7" s="20" t="s">
        <v>1</v>
      </c>
      <c r="D7" s="1" t="s">
        <v>5</v>
      </c>
      <c r="E7" s="35" t="s">
        <v>4</v>
      </c>
      <c r="F7" s="2"/>
    </row>
    <row r="8" spans="1:24" ht="20.100000000000001" customHeight="1" x14ac:dyDescent="0.25">
      <c r="A8" s="21" t="str">
        <f>HYPERLINK("#'Input - Site'!A1", "Site")</f>
        <v>Site</v>
      </c>
      <c r="D8" s="10" t="s">
        <v>69</v>
      </c>
      <c r="E8" s="35" t="s">
        <v>70</v>
      </c>
    </row>
    <row r="9" spans="1:24" ht="20.100000000000001" customHeight="1" x14ac:dyDescent="0.25">
      <c r="A9" s="17" t="str">
        <f>HYPERLINK("#'Input - Other Livestock'!A1", "Other Livestock")</f>
        <v>Other Livestock</v>
      </c>
      <c r="N9" s="45"/>
    </row>
    <row r="10" spans="1:24" ht="20.100000000000001" customHeight="1" x14ac:dyDescent="0.25">
      <c r="A10" s="17"/>
      <c r="D10" s="94" t="s">
        <v>76</v>
      </c>
      <c r="E10" s="92"/>
      <c r="F10" s="95"/>
      <c r="G10" s="89"/>
      <c r="N10" s="45"/>
    </row>
    <row r="11" spans="1:24" ht="20.100000000000001" customHeight="1" x14ac:dyDescent="0.25">
      <c r="A11" s="19" t="s">
        <v>71</v>
      </c>
      <c r="N11" s="46"/>
    </row>
    <row r="12" spans="1:24" ht="20.100000000000001" customHeight="1" x14ac:dyDescent="0.25">
      <c r="A12" s="17" t="str">
        <f>HYPERLINK("#'4.7.1.1-2 Manure Methane'!A1", "4.7.1.1-2 Methane")</f>
        <v>4.7.1.1-2 Methane</v>
      </c>
      <c r="D12" s="10" t="s">
        <v>82</v>
      </c>
      <c r="E12" s="64">
        <v>45292</v>
      </c>
      <c r="F12" s="2" t="s">
        <v>67</v>
      </c>
    </row>
    <row r="13" spans="1:24" ht="20.100000000000001" customHeight="1" x14ac:dyDescent="0.25">
      <c r="A13" s="17" t="str">
        <f>HYPERLINK("#'4.7.1.3-4 Soil Direct N2O'!A1", "4.7.1.3-4 Soil Direct N2O")</f>
        <v>4.7.1.3-4 Soil Direct N2O</v>
      </c>
      <c r="D13" s="10" t="s">
        <v>83</v>
      </c>
      <c r="E13" s="70">
        <f>DATE(YEAR(E12)+1,MONTH(E12),DAY(E12))-1</f>
        <v>45657</v>
      </c>
      <c r="F13" s="2" t="s">
        <v>15</v>
      </c>
      <c r="N13" s="40"/>
      <c r="O13" s="40"/>
    </row>
    <row r="14" spans="1:24" ht="20.100000000000001" customHeight="1" x14ac:dyDescent="0.25">
      <c r="A14" s="17" t="str">
        <f>HYPERLINK("#'4.7.1.5-6 Soil Atmos Deposition'!A1", "4.7.1.5-6 Soil Atmos deposition")</f>
        <v>4.7.1.5-6 Soil Atmos deposition</v>
      </c>
      <c r="N14" s="40"/>
      <c r="O14" s="40"/>
    </row>
    <row r="15" spans="1:24" ht="20.100000000000001" customHeight="1" x14ac:dyDescent="0.25">
      <c r="A15" s="17" t="str">
        <f>HYPERLINK("#'4.7.1.7-8 Soil Leaching Runoff'!A1", "4.7.1.8-9 Soil Leaching &amp; Runoff")</f>
        <v>4.7.1.8-9 Soil Leaching &amp; Runoff</v>
      </c>
      <c r="N15" s="40"/>
      <c r="O15" s="40"/>
    </row>
    <row r="16" spans="1:24" ht="20.100000000000001" customHeight="1" x14ac:dyDescent="0.25">
      <c r="A16"/>
      <c r="D16" s="6" t="s">
        <v>12</v>
      </c>
      <c r="N16" s="40"/>
      <c r="O16" s="40"/>
    </row>
    <row r="17" spans="1:25" ht="20.100000000000001" customHeight="1" x14ac:dyDescent="0.25">
      <c r="A17" s="18" t="s">
        <v>2</v>
      </c>
    </row>
    <row r="18" spans="1:25" ht="20.100000000000001" customHeight="1" x14ac:dyDescent="0.25">
      <c r="A18" s="17" t="str">
        <f>HYPERLINK("#'Constants - Other Livestock'!A1", "Constants - Other Livestock")</f>
        <v>Constants - Other Livestock</v>
      </c>
      <c r="D18" s="96" t="s">
        <v>14</v>
      </c>
      <c r="E18" s="91"/>
      <c r="F18" s="91"/>
      <c r="G18" s="87"/>
    </row>
    <row r="19" spans="1:25" ht="20.100000000000001" customHeight="1" x14ac:dyDescent="0.25">
      <c r="A19" s="17" t="str">
        <f>HYPERLINK("#'Constants - Livestock'!A1", "Constants - Livestock")</f>
        <v>Constants - Livestock</v>
      </c>
      <c r="D19" s="93" t="s">
        <v>68</v>
      </c>
      <c r="E19" s="90"/>
      <c r="F19" s="90"/>
      <c r="G19" s="88"/>
      <c r="N19" s="43"/>
    </row>
    <row r="20" spans="1:25" ht="20.100000000000001" customHeight="1" x14ac:dyDescent="0.25">
      <c r="A20" s="17" t="str">
        <f>HYPERLINK("#'Constants - Common'!A1", "Constants - Common")</f>
        <v>Constants - Common</v>
      </c>
      <c r="D20" s="1"/>
      <c r="E20" s="33"/>
      <c r="F20" s="2"/>
      <c r="N20" s="44"/>
    </row>
    <row r="21" spans="1:25" ht="20.100000000000001" customHeight="1" x14ac:dyDescent="0.25">
      <c r="A21" s="17" t="str">
        <f>HYPERLINK("#'Acknowledgements'!A1", "Acknowledgements")</f>
        <v>Acknowledgements</v>
      </c>
      <c r="D21" s="1" t="s">
        <v>6</v>
      </c>
      <c r="E21" s="42" t="s">
        <v>85</v>
      </c>
      <c r="F21" s="2" t="s">
        <v>9</v>
      </c>
    </row>
    <row r="22" spans="1:25" ht="20.100000000000001" customHeight="1" x14ac:dyDescent="0.25">
      <c r="A22"/>
      <c r="D22" s="1" t="s">
        <v>22</v>
      </c>
      <c r="E22" s="42" t="s">
        <v>31</v>
      </c>
      <c r="F22" s="2" t="s">
        <v>9</v>
      </c>
      <c r="G22" s="1"/>
    </row>
    <row r="23" spans="1:25" ht="20.100000000000001" customHeight="1" x14ac:dyDescent="0.25">
      <c r="A23"/>
      <c r="D23" s="1" t="s">
        <v>7</v>
      </c>
      <c r="E23" s="42" t="s">
        <v>81</v>
      </c>
      <c r="F23" s="2" t="s">
        <v>9</v>
      </c>
    </row>
    <row r="24" spans="1:25" ht="20.100000000000001" customHeight="1" x14ac:dyDescent="0.25">
      <c r="A24" s="17"/>
      <c r="D24" s="1" t="s">
        <v>36</v>
      </c>
      <c r="E24" s="35">
        <v>307.7</v>
      </c>
      <c r="F24" s="2" t="s">
        <v>50</v>
      </c>
    </row>
    <row r="25" spans="1:25" ht="20.100000000000001" customHeight="1" x14ac:dyDescent="0.25">
      <c r="A25"/>
      <c r="D25" s="1" t="s">
        <v>58</v>
      </c>
      <c r="E25" s="35">
        <v>18</v>
      </c>
      <c r="F25" s="2" t="s">
        <v>10</v>
      </c>
      <c r="N25" s="44"/>
    </row>
    <row r="26" spans="1:25" ht="20.100000000000001" customHeight="1" x14ac:dyDescent="0.25">
      <c r="A26"/>
      <c r="D26" s="1" t="s">
        <v>59</v>
      </c>
      <c r="E26" s="35">
        <v>601</v>
      </c>
      <c r="F26" s="2" t="s">
        <v>11</v>
      </c>
    </row>
    <row r="27" spans="1:25" ht="20.100000000000001" customHeight="1" x14ac:dyDescent="0.25">
      <c r="A27"/>
      <c r="D27" s="10" t="s">
        <v>60</v>
      </c>
      <c r="E27" s="35">
        <v>1326</v>
      </c>
      <c r="F27" s="2" t="s">
        <v>11</v>
      </c>
    </row>
    <row r="28" spans="1:25" ht="20.100000000000001" customHeight="1" x14ac:dyDescent="0.25">
      <c r="A28"/>
      <c r="D28" s="1" t="s">
        <v>61</v>
      </c>
      <c r="E28" s="35">
        <v>7</v>
      </c>
      <c r="F28" s="2" t="s">
        <v>51</v>
      </c>
    </row>
    <row r="29" spans="1:25" ht="20.100000000000001" customHeight="1" x14ac:dyDescent="0.25">
      <c r="A29"/>
      <c r="D29" s="10" t="s">
        <v>57</v>
      </c>
      <c r="E29" s="53">
        <f>E26/E27</f>
        <v>0.45324283559577677</v>
      </c>
      <c r="F29" s="2"/>
    </row>
    <row r="30" spans="1:25" ht="20.100000000000001" customHeight="1" x14ac:dyDescent="0.25">
      <c r="A30"/>
      <c r="D30" s="10" t="s">
        <v>32</v>
      </c>
      <c r="E30" s="53" t="str">
        <f>Common_InputFunctions.Utility_LookupItemFromMinMax(E26,Table_SourceData_RainfallZones[Min rainfall],Table_SourceData_RainfallZones[Max rainfall],Table_SourceData_RainfallZones[Rainfall Zone])</f>
        <v>High rainfall</v>
      </c>
      <c r="G30" s="34"/>
      <c r="L30" s="50"/>
      <c r="M30" s="50"/>
      <c r="N30" s="50"/>
      <c r="O30" s="50"/>
      <c r="P30" s="50"/>
      <c r="Q30" s="50"/>
      <c r="R30" s="50"/>
      <c r="S30" s="50"/>
      <c r="T30" s="50"/>
      <c r="U30" s="50"/>
      <c r="V30" s="50"/>
      <c r="W30" s="50"/>
      <c r="X30" s="50"/>
      <c r="Y30" s="50"/>
    </row>
    <row r="31" spans="1:25" ht="20.100000000000001" customHeight="1" x14ac:dyDescent="0.25">
      <c r="A31"/>
      <c r="D31" s="1" t="s">
        <v>8</v>
      </c>
      <c r="E31" s="53" t="str">
        <f>Common_InputFunctions.Utility_GetClimateZone(E25,E26,E28,E24,E29,Table_SourceData_ClimateZones[Min temp],Table_SourceData_ClimateZones[Max temp],Table_SourceData_ClimateZones[Min rainfall],Table_SourceData_ClimateZones[Max rainfall],Table_SourceData_ClimateZones[Min frost days],Table_SourceData_ClimateZones[Max frost days],Table_SourceData_ClimateZones[Min elevation],Table_SourceData_ClimateZones[Max elevation],Table_SourceData_ClimateZones[Min MAP:PET],Table_SourceData_ClimateZones[Max MAP:PET],Table_SourceData_ClimateZones[Climate zone])</f>
        <v>Warm temperate dry</v>
      </c>
      <c r="F31" s="1"/>
      <c r="G31" s="33"/>
      <c r="L31" s="49"/>
      <c r="M31" s="49"/>
      <c r="N31" s="49"/>
      <c r="O31" s="49"/>
      <c r="P31" s="49"/>
      <c r="Q31" s="49"/>
      <c r="R31" s="49"/>
      <c r="S31" s="49"/>
      <c r="T31" s="49"/>
      <c r="U31" s="49"/>
      <c r="V31" s="49"/>
      <c r="W31" s="49"/>
      <c r="X31" s="49"/>
      <c r="Y31" s="49"/>
    </row>
    <row r="32" spans="1:25" ht="20.100000000000001" customHeight="1" x14ac:dyDescent="0.25">
      <c r="A32"/>
      <c r="D32" s="1" t="s">
        <v>78</v>
      </c>
      <c r="E32" s="53" t="str">
        <f>Common_InputFunctions.Utility_LookupValueInTable($E$31,Table_SourceData_WetDryZones[Climate zone],Table_SourceData_WetDryZones[Wet or Dry Zone])</f>
        <v>Dry climate zone</v>
      </c>
      <c r="F32" s="1"/>
      <c r="G32" s="33"/>
      <c r="L32" s="49"/>
      <c r="M32" s="49"/>
      <c r="N32" s="49"/>
      <c r="O32" s="49"/>
      <c r="P32" s="49"/>
      <c r="Q32" s="49"/>
      <c r="R32" s="49"/>
      <c r="S32" s="49"/>
      <c r="T32" s="49"/>
      <c r="U32" s="49"/>
      <c r="V32" s="49"/>
      <c r="W32" s="49"/>
      <c r="X32" s="49"/>
      <c r="Y32" s="49"/>
    </row>
    <row r="33" spans="1:25" ht="20.100000000000001" customHeight="1" x14ac:dyDescent="0.25">
      <c r="A33"/>
      <c r="D33" s="1" t="s">
        <v>49</v>
      </c>
      <c r="E33" s="53" t="str">
        <f>Common_InputFunctions.Utility_LookupItemFromMinMax(E25,Table_SourceData_TemperatureZones[Min MAT],Table_SourceData_TemperatureZones[Max MAT],Table_SourceData_TemperatureZones[Temperature Zone])</f>
        <v>Temperate</v>
      </c>
      <c r="G33" s="71"/>
      <c r="L33" s="49"/>
      <c r="M33" s="49"/>
      <c r="N33" s="49"/>
      <c r="O33" s="49"/>
      <c r="P33" s="49"/>
      <c r="Q33" s="49"/>
      <c r="R33" s="49"/>
      <c r="S33" s="49"/>
      <c r="T33" s="49"/>
      <c r="U33" s="49"/>
      <c r="V33" s="49"/>
      <c r="W33" s="49"/>
      <c r="X33" s="49"/>
      <c r="Y33" s="49"/>
    </row>
    <row r="34" spans="1:25" ht="20.100000000000001" customHeight="1" x14ac:dyDescent="0.25">
      <c r="A34"/>
      <c r="J34" s="61"/>
      <c r="K34" s="74"/>
      <c r="L34" s="49"/>
      <c r="M34" s="49"/>
      <c r="N34" s="49"/>
      <c r="O34" s="49"/>
      <c r="P34" s="49"/>
      <c r="Q34" s="49"/>
      <c r="R34" s="49"/>
      <c r="S34" s="49"/>
      <c r="T34" s="49"/>
      <c r="U34" s="49"/>
      <c r="V34" s="49"/>
      <c r="W34" s="49"/>
      <c r="X34" s="49"/>
      <c r="Y34" s="49"/>
    </row>
    <row r="35" spans="1:25" ht="20.100000000000001" customHeight="1" x14ac:dyDescent="0.25">
      <c r="A35"/>
      <c r="J35" s="61"/>
      <c r="K35" s="74"/>
      <c r="L35" s="49"/>
      <c r="M35" s="49"/>
      <c r="N35" s="49"/>
      <c r="O35" s="49"/>
      <c r="P35" s="49"/>
      <c r="Q35" s="49"/>
      <c r="R35" s="49"/>
      <c r="S35" s="49"/>
      <c r="T35" s="49"/>
      <c r="U35" s="49"/>
      <c r="V35" s="49"/>
      <c r="W35" s="49"/>
      <c r="X35" s="49"/>
      <c r="Y35" s="49"/>
    </row>
    <row r="36" spans="1:25" ht="20.100000000000001" customHeight="1" x14ac:dyDescent="0.25">
      <c r="A36"/>
      <c r="D36" s="72"/>
      <c r="E36" s="72"/>
      <c r="F36" s="73"/>
      <c r="G36" s="61"/>
      <c r="H36" s="61"/>
      <c r="I36" s="62"/>
      <c r="J36" s="61"/>
      <c r="K36" s="74"/>
      <c r="L36" s="49"/>
      <c r="M36" s="49"/>
      <c r="N36" s="49"/>
      <c r="O36" s="49"/>
      <c r="P36" s="49"/>
      <c r="Q36" s="49"/>
      <c r="R36" s="49"/>
      <c r="S36" s="49"/>
      <c r="T36" s="49"/>
      <c r="U36" s="49"/>
      <c r="V36" s="49"/>
      <c r="W36" s="49"/>
      <c r="X36" s="49"/>
      <c r="Y36" s="49"/>
    </row>
    <row r="37" spans="1:25" ht="20.100000000000001" customHeight="1" x14ac:dyDescent="0.25">
      <c r="A37"/>
      <c r="D37" s="72"/>
      <c r="E37" s="72"/>
      <c r="F37" s="73"/>
      <c r="G37" s="61"/>
      <c r="H37" s="61"/>
      <c r="I37" s="62"/>
      <c r="J37" s="61"/>
      <c r="K37" s="74"/>
      <c r="L37" s="49"/>
      <c r="M37" s="49"/>
      <c r="N37" s="49"/>
      <c r="O37" s="49"/>
      <c r="P37" s="49"/>
      <c r="Q37" s="49"/>
      <c r="R37" s="49"/>
      <c r="S37" s="49"/>
      <c r="T37" s="49"/>
      <c r="U37" s="49"/>
      <c r="V37" s="49"/>
      <c r="W37" s="49"/>
      <c r="X37" s="49"/>
      <c r="Y37" s="49"/>
    </row>
    <row r="38" spans="1:25" ht="20.100000000000001" customHeight="1" x14ac:dyDescent="0.25">
      <c r="A38"/>
      <c r="D38" s="72"/>
      <c r="E38" s="72"/>
      <c r="F38" s="73"/>
      <c r="G38" s="61"/>
      <c r="H38" s="61"/>
      <c r="I38" s="62"/>
      <c r="J38" s="61"/>
      <c r="K38" s="74"/>
      <c r="L38" s="49"/>
      <c r="M38" s="49"/>
      <c r="N38" s="49"/>
      <c r="O38" s="49"/>
      <c r="P38" s="49"/>
      <c r="Q38" s="49"/>
      <c r="R38" s="49"/>
      <c r="S38" s="49"/>
      <c r="T38" s="49"/>
      <c r="U38" s="49"/>
      <c r="V38" s="49"/>
      <c r="W38" s="49"/>
      <c r="X38" s="49"/>
      <c r="Y38" s="49"/>
    </row>
    <row r="39" spans="1:25" ht="20.100000000000001" customHeight="1" x14ac:dyDescent="0.25">
      <c r="A39"/>
      <c r="D39" s="72"/>
      <c r="E39" s="72"/>
      <c r="F39" s="73"/>
      <c r="G39" s="61"/>
      <c r="H39" s="61"/>
      <c r="I39" s="62"/>
      <c r="J39" s="61"/>
      <c r="K39" s="74"/>
      <c r="L39" s="49"/>
      <c r="M39" s="49"/>
      <c r="N39" s="49"/>
      <c r="O39" s="49"/>
      <c r="P39" s="49"/>
      <c r="Q39" s="49"/>
      <c r="R39" s="49"/>
      <c r="S39" s="49"/>
      <c r="T39" s="49"/>
      <c r="U39" s="49"/>
      <c r="V39" s="49"/>
      <c r="W39" s="49"/>
      <c r="X39" s="49"/>
      <c r="Y39" s="49"/>
    </row>
    <row r="40" spans="1:25" ht="20.100000000000001" customHeight="1" x14ac:dyDescent="0.25">
      <c r="A40"/>
      <c r="D40" s="75"/>
      <c r="E40" s="75"/>
      <c r="F40" s="75"/>
      <c r="G40" s="76"/>
      <c r="H40" s="77"/>
      <c r="I40" s="77"/>
      <c r="J40" s="77"/>
      <c r="K40" s="77"/>
      <c r="L40" s="51"/>
      <c r="M40" s="51"/>
      <c r="N40" s="51"/>
      <c r="O40" s="51"/>
      <c r="P40" s="51"/>
      <c r="Q40" s="51"/>
      <c r="R40" s="51"/>
      <c r="S40" s="51"/>
      <c r="T40" s="51"/>
      <c r="U40" s="51"/>
      <c r="V40" s="51"/>
      <c r="W40" s="51"/>
      <c r="X40" s="51"/>
      <c r="Y40" s="51"/>
    </row>
    <row r="41" spans="1:25" ht="20.100000000000001" customHeight="1" x14ac:dyDescent="0.25">
      <c r="A41"/>
    </row>
    <row r="42" spans="1:25" ht="20.100000000000001" customHeight="1" x14ac:dyDescent="0.25">
      <c r="A42"/>
    </row>
    <row r="43" spans="1:25" ht="20.100000000000001" customHeight="1" x14ac:dyDescent="0.25">
      <c r="A43"/>
    </row>
    <row r="44" spans="1:25" ht="20.100000000000001" customHeight="1" x14ac:dyDescent="0.25"/>
    <row r="45" spans="1:25" ht="20.100000000000001" customHeight="1" x14ac:dyDescent="0.25">
      <c r="D45" s="6"/>
    </row>
    <row r="46" spans="1:25" ht="20.100000000000001" customHeight="1" x14ac:dyDescent="0.25">
      <c r="D46" s="23"/>
    </row>
    <row r="47" spans="1:25" ht="20.100000000000001" customHeight="1" x14ac:dyDescent="0.25">
      <c r="D47" s="78"/>
      <c r="E47" s="78"/>
      <c r="F47" s="78"/>
      <c r="G47" s="78"/>
      <c r="H47" s="78"/>
    </row>
    <row r="48" spans="1:25" ht="20.100000000000001" customHeight="1" x14ac:dyDescent="0.25">
      <c r="D48" s="36"/>
      <c r="E48" s="36"/>
      <c r="F48" s="37"/>
      <c r="G48" s="37"/>
      <c r="H48" s="36"/>
    </row>
    <row r="49" spans="4:8" ht="20.100000000000001" customHeight="1" x14ac:dyDescent="0.25">
      <c r="D49" s="36"/>
      <c r="E49" s="36"/>
      <c r="F49" s="37"/>
      <c r="G49" s="37"/>
      <c r="H49" s="36"/>
    </row>
    <row r="50" spans="4:8" ht="20.100000000000001" customHeight="1" x14ac:dyDescent="0.25">
      <c r="D50" s="36"/>
      <c r="E50" s="36"/>
      <c r="F50" s="37"/>
      <c r="G50" s="37"/>
      <c r="H50" s="36"/>
    </row>
    <row r="51" spans="4:8" ht="20.100000000000001" customHeight="1" x14ac:dyDescent="0.25">
      <c r="D51" s="79"/>
      <c r="E51" s="80"/>
      <c r="F51" s="80"/>
      <c r="G51" s="80"/>
      <c r="H51" s="81"/>
    </row>
    <row r="52" spans="4:8" ht="20.100000000000001" customHeight="1" x14ac:dyDescent="0.25"/>
    <row r="53" spans="4:8" ht="20.100000000000001" customHeight="1" x14ac:dyDescent="0.25"/>
    <row r="54" spans="4:8" ht="20.100000000000001" customHeight="1" x14ac:dyDescent="0.25">
      <c r="G54" s="82"/>
    </row>
    <row r="55" spans="4:8" ht="20.100000000000001" customHeight="1" x14ac:dyDescent="0.25">
      <c r="D55" s="6"/>
    </row>
    <row r="56" spans="4:8" ht="20.100000000000001" customHeight="1" x14ac:dyDescent="0.25"/>
    <row r="57" spans="4:8" ht="20.100000000000001" customHeight="1" x14ac:dyDescent="0.25">
      <c r="D57" s="23"/>
      <c r="F57" s="83"/>
    </row>
    <row r="58" spans="4:8" ht="20.100000000000001" customHeight="1" x14ac:dyDescent="0.25">
      <c r="D58" s="1"/>
      <c r="E58" s="84"/>
    </row>
    <row r="59" spans="4:8" ht="20.100000000000001" customHeight="1" x14ac:dyDescent="0.25">
      <c r="D59" s="1"/>
      <c r="E59" s="84"/>
    </row>
    <row r="60" spans="4:8" ht="20.100000000000001" customHeight="1" x14ac:dyDescent="0.25">
      <c r="D60" s="1"/>
      <c r="E60" s="85"/>
    </row>
    <row r="61" spans="4:8" ht="20.100000000000001" customHeight="1" x14ac:dyDescent="0.25">
      <c r="D61" s="1"/>
    </row>
    <row r="62" spans="4:8" ht="20.100000000000001" customHeight="1" x14ac:dyDescent="0.25"/>
    <row r="63" spans="4:8" ht="20.100000000000001" customHeight="1" x14ac:dyDescent="0.25">
      <c r="D63" s="23"/>
    </row>
    <row r="64" spans="4:8" ht="20.100000000000001" customHeight="1" x14ac:dyDescent="0.25">
      <c r="D64" s="1"/>
      <c r="E64" s="84"/>
    </row>
    <row r="65" spans="4:9" ht="20.100000000000001" customHeight="1" x14ac:dyDescent="0.25">
      <c r="D65" s="1"/>
      <c r="E65" s="84"/>
    </row>
    <row r="66" spans="4:9" ht="20.100000000000001" customHeight="1" x14ac:dyDescent="0.25">
      <c r="D66" s="1"/>
      <c r="E66" s="85"/>
    </row>
    <row r="67" spans="4:9" ht="20.100000000000001" customHeight="1" x14ac:dyDescent="0.25"/>
    <row r="68" spans="4:9" ht="20.100000000000001" customHeight="1" x14ac:dyDescent="0.25"/>
    <row r="69" spans="4:9" ht="20.100000000000001" customHeight="1" x14ac:dyDescent="0.25">
      <c r="D69" s="60"/>
      <c r="E69" s="60"/>
      <c r="F69" s="60"/>
      <c r="G69" s="60"/>
      <c r="H69" s="60"/>
      <c r="I69" s="60"/>
    </row>
    <row r="70" spans="4:9" ht="20.100000000000001" customHeight="1" x14ac:dyDescent="0.25">
      <c r="D70" s="60"/>
      <c r="E70" s="60"/>
      <c r="F70" s="60"/>
      <c r="G70" s="60"/>
      <c r="H70" s="60"/>
      <c r="I70" s="60"/>
    </row>
    <row r="71" spans="4:9" ht="20.100000000000001" customHeight="1" x14ac:dyDescent="0.25">
      <c r="D71" s="60"/>
      <c r="E71" s="60"/>
      <c r="F71" s="60"/>
      <c r="G71" s="60"/>
      <c r="H71" s="60"/>
      <c r="I71" s="60"/>
    </row>
    <row r="72" spans="4:9" ht="20.100000000000001" customHeight="1" x14ac:dyDescent="0.25">
      <c r="D72" s="60"/>
      <c r="E72" s="60"/>
      <c r="F72" s="60"/>
      <c r="G72" s="60"/>
      <c r="H72" s="60"/>
      <c r="I72" s="60"/>
    </row>
    <row r="73" spans="4:9" ht="20.100000000000001" customHeight="1" x14ac:dyDescent="0.25"/>
    <row r="74" spans="4:9" ht="20.100000000000001" customHeight="1" x14ac:dyDescent="0.25"/>
    <row r="75" spans="4:9" ht="20.100000000000001" customHeight="1" x14ac:dyDescent="0.25"/>
    <row r="76" spans="4:9" ht="20.100000000000001" customHeight="1" x14ac:dyDescent="0.25"/>
    <row r="77" spans="4:9" ht="20.100000000000001" customHeight="1" x14ac:dyDescent="0.25"/>
    <row r="78" spans="4:9" ht="20.100000000000001" customHeight="1" x14ac:dyDescent="0.25">
      <c r="D78" s="86"/>
    </row>
    <row r="79" spans="4:9" ht="20.100000000000001" customHeight="1" x14ac:dyDescent="0.25">
      <c r="D79" s="86"/>
    </row>
    <row r="80" spans="4:9" ht="20.100000000000001" customHeight="1" x14ac:dyDescent="0.25">
      <c r="D80" s="86"/>
    </row>
    <row r="81" spans="4:4" ht="20.100000000000001" customHeight="1" x14ac:dyDescent="0.25">
      <c r="D81" s="86"/>
    </row>
    <row r="82" spans="4:4" ht="20.100000000000001" customHeight="1" x14ac:dyDescent="0.25">
      <c r="D82" s="86"/>
    </row>
    <row r="83" spans="4:4" ht="20.100000000000001" customHeight="1" x14ac:dyDescent="0.25"/>
    <row r="84" spans="4:4" ht="20.100000000000001" customHeight="1" x14ac:dyDescent="0.25"/>
    <row r="85" spans="4:4" ht="20.100000000000001" customHeight="1" x14ac:dyDescent="0.25"/>
    <row r="86" spans="4:4" ht="20.100000000000001" customHeight="1" x14ac:dyDescent="0.25"/>
    <row r="87" spans="4:4" ht="20.100000000000001" customHeight="1" x14ac:dyDescent="0.25"/>
    <row r="88" spans="4:4" ht="20.100000000000001" customHeight="1" x14ac:dyDescent="0.25"/>
    <row r="89" spans="4:4" ht="20.100000000000001" customHeight="1" x14ac:dyDescent="0.25"/>
    <row r="90" spans="4:4" ht="20.100000000000001" customHeight="1" x14ac:dyDescent="0.25"/>
    <row r="91" spans="4:4" ht="20.100000000000001" customHeight="1" x14ac:dyDescent="0.25"/>
    <row r="92" spans="4:4" ht="20.100000000000001" customHeight="1" x14ac:dyDescent="0.25"/>
    <row r="93" spans="4:4" ht="20.100000000000001" customHeight="1" x14ac:dyDescent="0.25"/>
    <row r="94" spans="4:4" ht="20.100000000000001" customHeight="1" x14ac:dyDescent="0.25"/>
    <row r="95" spans="4:4" ht="20.100000000000001" customHeight="1" x14ac:dyDescent="0.25"/>
    <row r="96" spans="4:4"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sheetData>
  <phoneticPr fontId="23" type="noConversion"/>
  <dataValidations count="4">
    <dataValidation type="list" allowBlank="1" showInputMessage="1" showErrorMessage="1" sqref="E21" xr:uid="{EEB98A76-93AC-411B-869F-680047BF5E1B}">
      <formula1>INDIRECT("Table_AustralianStates[Common Name]")</formula1>
    </dataValidation>
    <dataValidation type="list" allowBlank="1" showInputMessage="1" showErrorMessage="1" sqref="E22" xr:uid="{FEE229DB-9316-4962-B647-60038C54E99D}">
      <formula1>INDIRECT("Table_WASA4Areas[SA 4 Name]")</formula1>
    </dataValidation>
    <dataValidation type="list" allowBlank="1" showInputMessage="1" showErrorMessage="1" sqref="G36:G39" xr:uid="{1FAF98F1-BA66-4A46-872C-02D4419DFE3B}">
      <formula1>$D$41:$D$43</formula1>
    </dataValidation>
    <dataValidation type="list" allowBlank="1" showInputMessage="1" showErrorMessage="1" sqref="E23" xr:uid="{43B32D4A-5C2C-46E9-876B-6F8FA150486E}">
      <formula1>"YES - In leaching zone, NO - Not in leaching zone"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C610A2-02A7-4F78-A2BB-B4DFE856D1FB}">
  <dimension ref="A1:U165"/>
  <sheetViews>
    <sheetView showGridLines="0" topLeftCell="A29" zoomScaleNormal="100" workbookViewId="0">
      <selection activeCell="I50" sqref="I50"/>
    </sheetView>
  </sheetViews>
  <sheetFormatPr defaultRowHeight="15.75" x14ac:dyDescent="0.25"/>
  <cols>
    <col min="1" max="1" width="30.7109375" customWidth="1"/>
    <col min="2" max="2" width="4.7109375" customWidth="1"/>
    <col min="3" max="3" width="4.7109375" style="1" customWidth="1"/>
    <col min="4" max="4" width="73.28515625" style="1" customWidth="1"/>
    <col min="5" max="11" width="30.7109375" style="1" customWidth="1"/>
    <col min="12" max="12" width="4.7109375" style="1" customWidth="1"/>
    <col min="13" max="13" width="4.7109375" customWidth="1"/>
    <col min="14" max="14" width="4.7109375" style="57" customWidth="1"/>
    <col min="15" max="20" width="30.7109375" style="57" customWidth="1"/>
    <col min="21" max="21" width="4.7109375" style="57" customWidth="1"/>
  </cols>
  <sheetData>
    <row r="1" spans="1:21" s="67" customFormat="1" ht="30" customHeight="1" x14ac:dyDescent="0.35">
      <c r="A1" s="67" t="e" vm="1">
        <v>#VALUE!</v>
      </c>
      <c r="C1" s="67" t="s">
        <v>148</v>
      </c>
      <c r="N1" s="57"/>
      <c r="O1" s="57"/>
      <c r="P1" s="57"/>
      <c r="Q1" s="57"/>
      <c r="R1" s="57"/>
      <c r="S1" s="57"/>
      <c r="T1" s="57"/>
      <c r="U1" s="57"/>
    </row>
    <row r="2" spans="1:21" s="9" customFormat="1" ht="20.100000000000001" customHeight="1" x14ac:dyDescent="0.25">
      <c r="N2" s="57"/>
      <c r="O2" s="57"/>
      <c r="P2" s="57"/>
      <c r="Q2" s="57"/>
      <c r="R2" s="57"/>
      <c r="S2" s="57"/>
      <c r="T2" s="57"/>
      <c r="U2" s="57"/>
    </row>
    <row r="3" spans="1:21" ht="20.100000000000001" customHeight="1" x14ac:dyDescent="0.25">
      <c r="A3" s="17" t="str">
        <f>HYPERLINK("#'Home'!A1", "Home")</f>
        <v>Home</v>
      </c>
      <c r="C3" s="15"/>
      <c r="D3" s="15"/>
      <c r="E3" s="15"/>
      <c r="F3" s="15"/>
      <c r="G3" s="15"/>
      <c r="H3" s="15"/>
      <c r="I3" s="15"/>
      <c r="J3" s="15"/>
      <c r="K3" s="15"/>
      <c r="L3" s="15"/>
    </row>
    <row r="4" spans="1:21" ht="20.100000000000001" customHeight="1" x14ac:dyDescent="0.25">
      <c r="A4" s="17" t="str">
        <f>HYPERLINK("#'Overview'!A1", "Overview")</f>
        <v>Overview</v>
      </c>
    </row>
    <row r="5" spans="1:21" ht="20.100000000000001" customHeight="1" x14ac:dyDescent="0.25">
      <c r="A5" s="17" t="str">
        <f>HYPERLINK("#'Results'!A1", "Results")</f>
        <v>Results</v>
      </c>
      <c r="D5" s="6" t="s">
        <v>152</v>
      </c>
    </row>
    <row r="6" spans="1:21" ht="20.100000000000001" customHeight="1" x14ac:dyDescent="0.25">
      <c r="A6" s="16"/>
    </row>
    <row r="7" spans="1:21" ht="20.100000000000001" customHeight="1" x14ac:dyDescent="0.25">
      <c r="A7" s="20" t="s">
        <v>1</v>
      </c>
      <c r="D7" s="63"/>
      <c r="E7" s="41" t="s">
        <v>153</v>
      </c>
      <c r="F7" s="41" t="s">
        <v>154</v>
      </c>
      <c r="G7" s="41" t="s">
        <v>155</v>
      </c>
      <c r="H7" s="41" t="s">
        <v>156</v>
      </c>
    </row>
    <row r="8" spans="1:21" ht="20.100000000000001" customHeight="1" x14ac:dyDescent="0.25">
      <c r="A8" s="17" t="str">
        <f>HYPERLINK("#'Input - Site'!A1", "Site")</f>
        <v>Site</v>
      </c>
      <c r="D8" s="1" t="str">
        <f>"Average number of head between " &amp; TEXT('Input - Site'!$E$12, "dd mmm yy") &amp; " and " &amp; TEXT('Input - Site'!$E$13, "dd mmm yy")</f>
        <v>Average number of head between 01 Jan 24 and 31 Dec 24</v>
      </c>
      <c r="E8" s="99">
        <v>4300</v>
      </c>
      <c r="F8" s="99">
        <v>100</v>
      </c>
      <c r="G8" s="99">
        <v>100</v>
      </c>
      <c r="H8" s="99">
        <v>100</v>
      </c>
      <c r="I8" s="2" t="s">
        <v>86</v>
      </c>
      <c r="J8" s="2"/>
      <c r="K8" s="2"/>
    </row>
    <row r="9" spans="1:21" ht="20.100000000000001" customHeight="1" x14ac:dyDescent="0.25">
      <c r="A9" s="21" t="str">
        <f>HYPERLINK("#'Input - Other Livestock'!A1", "Other Livestock")</f>
        <v>Other Livestock</v>
      </c>
      <c r="J9" s="2"/>
      <c r="K9" s="2"/>
    </row>
    <row r="10" spans="1:21" ht="20.100000000000001" customHeight="1" x14ac:dyDescent="0.25">
      <c r="A10" s="17"/>
      <c r="D10" s="1" t="s">
        <v>175</v>
      </c>
      <c r="E10" s="42" t="s">
        <v>149</v>
      </c>
      <c r="F10" s="2" t="s">
        <v>9</v>
      </c>
    </row>
    <row r="11" spans="1:21" ht="20.100000000000001" customHeight="1" x14ac:dyDescent="0.25">
      <c r="A11" s="19" t="s">
        <v>71</v>
      </c>
    </row>
    <row r="12" spans="1:21" ht="20.100000000000001" customHeight="1" x14ac:dyDescent="0.25">
      <c r="A12" s="17" t="str">
        <f>HYPERLINK("#'4.7.1.1-2 Manure Methane'!A1", "4.7.1.1-2 Methane")</f>
        <v>4.7.1.1-2 Methane</v>
      </c>
      <c r="D12" s="63" t="s">
        <v>17</v>
      </c>
      <c r="E12" s="63" t="s">
        <v>150</v>
      </c>
    </row>
    <row r="13" spans="1:21" ht="20.100000000000001" customHeight="1" x14ac:dyDescent="0.25">
      <c r="A13" s="17" t="str">
        <f>HYPERLINK("#'4.7.1.3-4 Soil Direct N2O'!A1", "4.7.1.3-4 Soil Direct N2O")</f>
        <v>4.7.1.3-4 Soil Direct N2O</v>
      </c>
      <c r="D13" s="1" t="s">
        <v>137</v>
      </c>
      <c r="E13" s="127">
        <f>IF($E$10="Yes",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13" s="2" t="s">
        <v>151</v>
      </c>
    </row>
    <row r="14" spans="1:21" ht="20.100000000000001" customHeight="1" x14ac:dyDescent="0.25">
      <c r="A14" s="17" t="str">
        <f>HYPERLINK("#'4.7.1.5-6 Soil Atmos Deposition'!A1", "4.7.1.5-6 Soil Atmos deposition")</f>
        <v>4.7.1.5-6 Soil Atmos deposition</v>
      </c>
      <c r="D14" s="1" t="s">
        <v>126</v>
      </c>
      <c r="E14" s="127">
        <f>IF($E$10="Yes",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14" s="2" t="s">
        <v>151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1" t="s">
        <v>209</v>
      </c>
      <c r="E16" s="42" t="s">
        <v>101</v>
      </c>
      <c r="F16" s="2" t="s">
        <v>9</v>
      </c>
    </row>
    <row r="17" spans="1:11" ht="20.100000000000001" customHeight="1" x14ac:dyDescent="0.25">
      <c r="A17" s="18" t="s">
        <v>2</v>
      </c>
      <c r="E17" s="42" t="s">
        <v>104</v>
      </c>
      <c r="F17" s="2" t="s">
        <v>9</v>
      </c>
    </row>
    <row r="18" spans="1:11" ht="20.100000000000001" customHeight="1" x14ac:dyDescent="0.25">
      <c r="A18" s="17" t="str">
        <f>HYPERLINK("#'Constants - Other Livestock'!A1", "Constants - Other Livestock")</f>
        <v>Constants - Other Livestock</v>
      </c>
    </row>
    <row r="19" spans="1:11" ht="20.100000000000001" customHeight="1" x14ac:dyDescent="0.25">
      <c r="A19" s="17" t="str">
        <f>HYPERLINK("#'Constants - Livestock'!A1", "Constants - Livestock")</f>
        <v>Constants - Livestock</v>
      </c>
      <c r="D19" s="6" t="s">
        <v>157</v>
      </c>
    </row>
    <row r="20" spans="1:11" ht="20.100000000000001" customHeight="1" x14ac:dyDescent="0.25">
      <c r="A20" s="17" t="str">
        <f>HYPERLINK("#'Constants - Common'!A1", "Constants - Common")</f>
        <v>Constants - Common</v>
      </c>
    </row>
    <row r="21" spans="1:11" ht="20.100000000000001" customHeight="1" x14ac:dyDescent="0.25">
      <c r="A21" s="17" t="str">
        <f>HYPERLINK("#'Acknowledgements'!A1", "Acknowledgements")</f>
        <v>Acknowledgements</v>
      </c>
      <c r="D21" s="63"/>
      <c r="E21" s="41" t="s">
        <v>158</v>
      </c>
      <c r="F21" s="41" t="s">
        <v>159</v>
      </c>
      <c r="G21" s="41" t="s">
        <v>160</v>
      </c>
      <c r="H21" s="41" t="s">
        <v>161</v>
      </c>
      <c r="I21" s="41" t="s">
        <v>162</v>
      </c>
      <c r="J21" s="41" t="s">
        <v>163</v>
      </c>
    </row>
    <row r="22" spans="1:11" ht="20.100000000000001" customHeight="1" x14ac:dyDescent="0.25">
      <c r="D22" s="1" t="str">
        <f>"Average number of head between " &amp; TEXT('Input - Site'!$E$12, "dd mmm yy") &amp; " and " &amp; TEXT('Input - Site'!$E$13, "dd mmm yy")</f>
        <v>Average number of head between 01 Jan 24 and 31 Dec 24</v>
      </c>
      <c r="E22" s="99">
        <v>4300</v>
      </c>
      <c r="F22" s="99">
        <v>100</v>
      </c>
      <c r="G22" s="99">
        <v>100</v>
      </c>
      <c r="H22" s="99">
        <v>100</v>
      </c>
      <c r="I22" s="99">
        <v>100</v>
      </c>
      <c r="J22" s="99">
        <v>100</v>
      </c>
      <c r="K22" s="2" t="s">
        <v>86</v>
      </c>
    </row>
    <row r="23" spans="1:11" ht="20.100000000000001" customHeight="1" x14ac:dyDescent="0.25">
      <c r="J23" s="2"/>
      <c r="K23" s="2"/>
    </row>
    <row r="24" spans="1:11" ht="20.100000000000001" customHeight="1" x14ac:dyDescent="0.25">
      <c r="A24" s="17"/>
      <c r="D24" s="1" t="s">
        <v>176</v>
      </c>
      <c r="E24" s="42" t="s">
        <v>149</v>
      </c>
      <c r="F24" s="2" t="s">
        <v>9</v>
      </c>
      <c r="J24" s="2"/>
      <c r="K24" s="2"/>
    </row>
    <row r="25" spans="1:11" ht="20.100000000000001" customHeight="1" x14ac:dyDescent="0.25">
      <c r="A25" s="17"/>
      <c r="K25" s="2"/>
    </row>
    <row r="26" spans="1:11" ht="20.100000000000001" customHeight="1" x14ac:dyDescent="0.25">
      <c r="A26" s="17"/>
      <c r="D26" s="63" t="s">
        <v>17</v>
      </c>
      <c r="E26" s="63" t="s">
        <v>150</v>
      </c>
    </row>
    <row r="27" spans="1:11" ht="20.100000000000001" customHeight="1" x14ac:dyDescent="0.25">
      <c r="A27" s="17"/>
      <c r="D27" s="1" t="s">
        <v>137</v>
      </c>
      <c r="E27" s="127">
        <f>IF($E$24="Yes",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27" s="2" t="s">
        <v>151</v>
      </c>
    </row>
    <row r="28" spans="1:11" ht="20.100000000000001" customHeight="1" x14ac:dyDescent="0.25">
      <c r="A28" s="17"/>
      <c r="D28" s="1" t="s">
        <v>126</v>
      </c>
      <c r="E28" s="127">
        <f>IF($E$24="Yes",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28" s="2" t="s">
        <v>151</v>
      </c>
      <c r="K28" s="2"/>
    </row>
    <row r="29" spans="1:11" ht="20.100000000000001" customHeight="1" x14ac:dyDescent="0.25">
      <c r="A29" s="17"/>
      <c r="K29" s="2"/>
    </row>
    <row r="30" spans="1:11" ht="20.100000000000001" customHeight="1" x14ac:dyDescent="0.25">
      <c r="A30" s="17"/>
      <c r="D30" s="1" t="s">
        <v>210</v>
      </c>
      <c r="E30" s="42" t="s">
        <v>101</v>
      </c>
      <c r="F30" s="2" t="s">
        <v>9</v>
      </c>
      <c r="K30" s="2"/>
    </row>
    <row r="31" spans="1:11" ht="20.100000000000001" customHeight="1" x14ac:dyDescent="0.25">
      <c r="A31" s="66"/>
      <c r="E31" s="42" t="s">
        <v>104</v>
      </c>
      <c r="F31" s="2" t="s">
        <v>9</v>
      </c>
    </row>
    <row r="32" spans="1:11" ht="20.100000000000001" customHeight="1" x14ac:dyDescent="0.25">
      <c r="A32" s="66"/>
    </row>
    <row r="33" spans="1:11" ht="20.100000000000001" customHeight="1" x14ac:dyDescent="0.25">
      <c r="A33" s="17"/>
      <c r="D33" s="6" t="s">
        <v>164</v>
      </c>
      <c r="K33" s="2"/>
    </row>
    <row r="34" spans="1:11" ht="20.100000000000001" customHeight="1" x14ac:dyDescent="0.25"/>
    <row r="35" spans="1:11" ht="20.100000000000001" customHeight="1" x14ac:dyDescent="0.25">
      <c r="D35" s="63"/>
      <c r="E35" s="41" t="s">
        <v>165</v>
      </c>
      <c r="F35" s="41" t="s">
        <v>166</v>
      </c>
      <c r="G35" s="41" t="s">
        <v>167</v>
      </c>
      <c r="H35" s="41" t="s">
        <v>168</v>
      </c>
    </row>
    <row r="36" spans="1:11" ht="20.100000000000001" customHeight="1" x14ac:dyDescent="0.25">
      <c r="D36" s="1" t="str">
        <f>"Average number of head between " &amp; TEXT('Input - Site'!$E$12, "dd mmm yy") &amp; " and " &amp; TEXT('Input - Site'!$E$13, "dd mmm yy")</f>
        <v>Average number of head between 01 Jan 24 and 31 Dec 24</v>
      </c>
      <c r="E36" s="99">
        <v>4300</v>
      </c>
      <c r="F36" s="99">
        <v>100</v>
      </c>
      <c r="G36" s="99">
        <v>100</v>
      </c>
      <c r="H36" s="99">
        <v>100</v>
      </c>
      <c r="I36" s="2" t="s">
        <v>86</v>
      </c>
    </row>
    <row r="37" spans="1:11" ht="20.100000000000001" customHeight="1" x14ac:dyDescent="0.25"/>
    <row r="38" spans="1:11" ht="20.100000000000001" customHeight="1" x14ac:dyDescent="0.25">
      <c r="D38" s="1" t="s">
        <v>177</v>
      </c>
      <c r="E38" s="42" t="s">
        <v>149</v>
      </c>
      <c r="F38" s="2" t="s">
        <v>9</v>
      </c>
    </row>
    <row r="39" spans="1:11" ht="20.100000000000001" customHeight="1" x14ac:dyDescent="0.25">
      <c r="A39" s="17"/>
      <c r="J39" s="2"/>
    </row>
    <row r="40" spans="1:11" ht="20.100000000000001" customHeight="1" x14ac:dyDescent="0.25">
      <c r="D40" s="63" t="s">
        <v>17</v>
      </c>
      <c r="E40" s="63" t="s">
        <v>150</v>
      </c>
    </row>
    <row r="41" spans="1:11" ht="20.100000000000001" customHeight="1" x14ac:dyDescent="0.25">
      <c r="A41" s="47"/>
      <c r="D41" s="1" t="s">
        <v>137</v>
      </c>
      <c r="E41" s="127">
        <f>IF($E$38="Yes",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41" s="2" t="s">
        <v>151</v>
      </c>
    </row>
    <row r="42" spans="1:11" ht="20.100000000000001" customHeight="1" x14ac:dyDescent="0.25">
      <c r="D42" s="1" t="s">
        <v>126</v>
      </c>
      <c r="E42" s="127">
        <f>IF($E$38="Yes",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42" s="2" t="s">
        <v>151</v>
      </c>
      <c r="J42" s="2"/>
    </row>
    <row r="43" spans="1:11" ht="20.100000000000001" customHeight="1" x14ac:dyDescent="0.25">
      <c r="J43" s="2"/>
    </row>
    <row r="44" spans="1:11" ht="20.100000000000001" customHeight="1" x14ac:dyDescent="0.25">
      <c r="D44" s="1" t="s">
        <v>211</v>
      </c>
      <c r="E44" s="42" t="s">
        <v>101</v>
      </c>
      <c r="F44" s="2" t="s">
        <v>9</v>
      </c>
      <c r="J44" s="2"/>
    </row>
    <row r="45" spans="1:11" ht="20.100000000000001" customHeight="1" x14ac:dyDescent="0.25">
      <c r="E45" s="42" t="s">
        <v>104</v>
      </c>
      <c r="F45" s="2" t="s">
        <v>9</v>
      </c>
    </row>
    <row r="46" spans="1:11" ht="20.100000000000001" customHeight="1" x14ac:dyDescent="0.25"/>
    <row r="47" spans="1:11" ht="20.100000000000001" customHeight="1" x14ac:dyDescent="0.25">
      <c r="D47" s="6" t="s">
        <v>169</v>
      </c>
      <c r="J47" s="2"/>
      <c r="K47" s="2"/>
    </row>
    <row r="48" spans="1:11" ht="20.100000000000001" customHeight="1" x14ac:dyDescent="0.25">
      <c r="K48" s="2"/>
    </row>
    <row r="49" spans="4:11" ht="20.100000000000001" customHeight="1" x14ac:dyDescent="0.25">
      <c r="D49" s="63"/>
      <c r="E49" s="41" t="s">
        <v>170</v>
      </c>
      <c r="F49" s="41" t="s">
        <v>171</v>
      </c>
      <c r="G49" s="41" t="s">
        <v>172</v>
      </c>
      <c r="H49" s="41" t="s">
        <v>173</v>
      </c>
      <c r="I49" s="41" t="s">
        <v>174</v>
      </c>
    </row>
    <row r="50" spans="4:11" ht="20.100000000000001" customHeight="1" x14ac:dyDescent="0.25">
      <c r="D50" s="1" t="str">
        <f>"Average number of head between " &amp; TEXT('Input - Site'!$E$12, "dd mmm yy") &amp; " and " &amp; TEXT('Input - Site'!$E$13, "dd mmm yy")</f>
        <v>Average number of head between 01 Jan 24 and 31 Dec 24</v>
      </c>
      <c r="E50" s="99">
        <v>4300</v>
      </c>
      <c r="F50" s="99">
        <v>100</v>
      </c>
      <c r="G50" s="99">
        <v>100</v>
      </c>
      <c r="H50" s="99">
        <v>100</v>
      </c>
      <c r="I50" s="99">
        <v>100</v>
      </c>
      <c r="J50" s="2" t="s">
        <v>86</v>
      </c>
    </row>
    <row r="51" spans="4:11" ht="20.100000000000001" customHeight="1" x14ac:dyDescent="0.25"/>
    <row r="52" spans="4:11" ht="20.100000000000001" customHeight="1" x14ac:dyDescent="0.25">
      <c r="D52" s="1" t="s">
        <v>178</v>
      </c>
      <c r="E52" s="42" t="s">
        <v>149</v>
      </c>
      <c r="F52" s="42" t="s">
        <v>149</v>
      </c>
      <c r="G52" s="42" t="s">
        <v>149</v>
      </c>
      <c r="H52" s="42" t="s">
        <v>149</v>
      </c>
      <c r="I52" s="42" t="s">
        <v>149</v>
      </c>
      <c r="J52" s="2" t="s">
        <v>9</v>
      </c>
    </row>
    <row r="53" spans="4:11" ht="20.100000000000001" customHeight="1" x14ac:dyDescent="0.25">
      <c r="K53" s="2"/>
    </row>
    <row r="54" spans="4:11" ht="20.100000000000001" customHeight="1" x14ac:dyDescent="0.25">
      <c r="D54" s="63" t="s">
        <v>17</v>
      </c>
      <c r="E54" s="41" t="s">
        <v>170</v>
      </c>
      <c r="F54" s="41" t="s">
        <v>171</v>
      </c>
      <c r="G54" s="41" t="s">
        <v>172</v>
      </c>
      <c r="H54" s="41" t="s">
        <v>173</v>
      </c>
      <c r="I54" s="41" t="s">
        <v>174</v>
      </c>
      <c r="K54" s="2"/>
    </row>
    <row r="55" spans="4:11" ht="20.100000000000001" customHeight="1" x14ac:dyDescent="0.25">
      <c r="D55" s="1" t="s">
        <v>137</v>
      </c>
      <c r="E55" s="127">
        <f>IF($E$52="Yes",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F55" s="127">
        <f>IF($F$52="Yes",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G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H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I55" s="127">
        <f>IF($G$52="Yes", 1,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type],Table_SourceData_OtherLivestock_FractionWasteInMMS[Pasture range and paddock]))/100</f>
        <v>0.99659999999999993</v>
      </c>
      <c r="J55" s="2" t="s">
        <v>124</v>
      </c>
      <c r="K55" s="2"/>
    </row>
    <row r="56" spans="4:11" ht="20.100000000000001" customHeight="1" x14ac:dyDescent="0.25">
      <c r="D56" s="1" t="s">
        <v>126</v>
      </c>
      <c r="E56" s="127">
        <f>IF($E$52="Yes",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F56" s="127">
        <f>IF($F$52="Yes",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G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H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I56" s="127">
        <f>IF($G$52="Yes", 0, Common_InputFunctions.Utility_LookupValueInTableNumber(Common_InputFunctions.Utility_ConvertStateCommonNameToAbbreviation('Input - Site'!$E$21, Table_AustralianStates[Common Name], Table_AustralianStates[Abbreviation]),Table_SourceData_OtherLivestock_FractionWasteInMMS[Other livestock type],Table_SourceData_OtherLivestock_FractionWasteInMMS[Uncovered anaerobic lagoon]))/100</f>
        <v>3.4000000000000002E-3</v>
      </c>
      <c r="J56" s="2" t="s">
        <v>124</v>
      </c>
    </row>
    <row r="57" spans="4:11" ht="20.100000000000001" customHeight="1" x14ac:dyDescent="0.25">
      <c r="I57" s="2"/>
      <c r="J57" s="2"/>
    </row>
    <row r="58" spans="4:11" ht="20.100000000000001" customHeight="1" x14ac:dyDescent="0.25">
      <c r="D58" s="1" t="s">
        <v>207</v>
      </c>
      <c r="E58" s="42" t="s">
        <v>101</v>
      </c>
      <c r="F58" s="42" t="s">
        <v>101</v>
      </c>
      <c r="G58" s="42" t="s">
        <v>214</v>
      </c>
      <c r="H58" s="42" t="s">
        <v>214</v>
      </c>
      <c r="I58" s="42" t="s">
        <v>101</v>
      </c>
      <c r="J58" s="2" t="s">
        <v>9</v>
      </c>
      <c r="K58" s="2"/>
    </row>
    <row r="59" spans="4:11" ht="20.100000000000001" customHeight="1" x14ac:dyDescent="0.25">
      <c r="E59" s="42" t="s">
        <v>105</v>
      </c>
      <c r="F59" s="42" t="s">
        <v>106</v>
      </c>
      <c r="G59" s="42" t="s">
        <v>104</v>
      </c>
      <c r="H59" s="42" t="s">
        <v>107</v>
      </c>
      <c r="I59" s="42" t="s">
        <v>104</v>
      </c>
      <c r="J59" s="2" t="s">
        <v>9</v>
      </c>
    </row>
    <row r="60" spans="4:11" ht="20.100000000000001" customHeight="1" x14ac:dyDescent="0.25"/>
    <row r="61" spans="4:11" ht="20.100000000000001" customHeight="1" x14ac:dyDescent="0.25"/>
    <row r="62" spans="4:11" ht="20.100000000000001" customHeight="1" x14ac:dyDescent="0.25"/>
    <row r="63" spans="4:11" ht="20.100000000000001" customHeight="1" x14ac:dyDescent="0.25"/>
    <row r="64" spans="4:11" ht="20.100000000000001" customHeight="1" x14ac:dyDescent="0.25"/>
    <row r="65" ht="20.100000000000001" customHeight="1" x14ac:dyDescent="0.25"/>
    <row r="66" ht="20.100000000000001" customHeight="1" x14ac:dyDescent="0.25"/>
    <row r="67" ht="20.100000000000001" customHeight="1" x14ac:dyDescent="0.25"/>
    <row r="68" ht="20.100000000000001" customHeight="1" x14ac:dyDescent="0.25"/>
    <row r="69" ht="20.100000000000001" customHeight="1" x14ac:dyDescent="0.25"/>
    <row r="70" ht="20.100000000000001" customHeight="1" x14ac:dyDescent="0.25"/>
    <row r="71" ht="20.100000000000001" customHeight="1" x14ac:dyDescent="0.25"/>
    <row r="72" ht="20.100000000000001" customHeight="1" x14ac:dyDescent="0.25"/>
    <row r="73" ht="20.100000000000001" customHeight="1" x14ac:dyDescent="0.25"/>
    <row r="74" ht="20.100000000000001" customHeight="1" x14ac:dyDescent="0.25"/>
    <row r="75" ht="20.100000000000001" customHeight="1" x14ac:dyDescent="0.25"/>
    <row r="76" ht="20.100000000000001" customHeight="1" x14ac:dyDescent="0.25"/>
    <row r="77" ht="20.100000000000001" customHeight="1" x14ac:dyDescent="0.25"/>
    <row r="78" ht="20.100000000000001" customHeight="1" x14ac:dyDescent="0.25"/>
    <row r="79" ht="20.100000000000001" customHeight="1" x14ac:dyDescent="0.25"/>
    <row r="80"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sheetData>
  <dataValidations count="3">
    <dataValidation type="list" allowBlank="1" showInputMessage="1" showErrorMessage="1" sqref="E10 E24 E38 E52:I52" xr:uid="{ABE6F181-36EF-4BE7-BF40-DC01A8EBEDC2}">
      <formula1>"Yes, No"</formula1>
    </dataValidation>
    <dataValidation type="list" allowBlank="1" showInputMessage="1" showErrorMessage="1" sqref="E16 E30 E44 E58:I58" xr:uid="{47188BDD-8008-4E39-9815-C8B51ACE1B73}">
      <formula1>INDIRECT("Table_SourceData_OtherLivestock_CropProdSystems[Production system]")</formula1>
    </dataValidation>
    <dataValidation type="list" allowBlank="1" showInputMessage="1" showErrorMessage="1" sqref="E17 E31 E45 E59:I59" xr:uid="{084D7279-A83C-482F-8EB4-21628242A8E7}">
      <formula1>INDIRECT("Table_SourceData_OtherLivestock_IrrigationMethods[Irrigation method]")</formula1>
    </dataValidation>
  </dataValidations>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FC1CB6-2463-438A-90A4-6F54247DF8D8}">
  <dimension ref="A1:U183"/>
  <sheetViews>
    <sheetView showGridLines="0" topLeftCell="A101" zoomScaleNormal="100" workbookViewId="0">
      <selection activeCell="G116" sqref="G116"/>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236</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MMS_OtherLivestock_Methane_Equations.VEERG_4_7_1_1__2_AnnualMethaneProductionFromManureManagement_Title()</f>
        <v>Annual methane production from manure management</v>
      </c>
    </row>
    <row r="6" spans="1:21" ht="20.100000000000001" customHeight="1" x14ac:dyDescent="0.25">
      <c r="A6" s="16"/>
      <c r="D6" s="5" t="str" cm="1">
        <f t="array" ref="D6">MMS_OtherLivestock_Methane_Equations.VEERG_4_7_1_1__2_AnnualMethaneProductionFromManureManagement_Source()</f>
        <v>VEERG 2026: 4.7.1.1, Equation (2)</v>
      </c>
    </row>
    <row r="7" spans="1:21" ht="20.100000000000001" customHeight="1" x14ac:dyDescent="0.25">
      <c r="A7" s="20" t="s">
        <v>1</v>
      </c>
      <c r="D7" s="13" t="s">
        <v>23</v>
      </c>
      <c r="E7" s="13" t="str" cm="1">
        <f t="array" aca="1" ref="E7" ca="1">Common_InputFunctions.Utility_DisplayFunctionName(E65)</f>
        <v>=MMS_OtherLivestock_Methane_Equations.VEERG_4_7_1_1__2_AnnualMethaneProductionFromManureManagement</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MMS_OtherLivestock_Methane_Equations.VEERG_4_7_1_1__2_AnnualMethaneProductionFromManureManagement_Variable()</f>
        <v>M_jm</v>
      </c>
    </row>
    <row r="11" spans="1:21" ht="20.100000000000001" customHeight="1" x14ac:dyDescent="0.25">
      <c r="A11" s="19" t="s">
        <v>71</v>
      </c>
      <c r="D11" s="54" t="s">
        <v>16</v>
      </c>
      <c r="E11" s="55" t="str" cm="1">
        <f t="array" ref="E11">MMS_OtherLivestock_Methane_Equations.VEERG_4_7_1_1__2_AnnualMethaneProductionFromManureManagement_Unit()</f>
        <v>kg CH4/head/day</v>
      </c>
    </row>
    <row r="12" spans="1:21" ht="20.100000000000001" customHeight="1" x14ac:dyDescent="0.25">
      <c r="A12" s="22"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_xlfn.CHOOSECOLS(MMS_OtherLivestock_Methane_Equations.VEERG_4_7_1_1__2_AnnualMethaneProductionFromManureManagement_Arguments(),1,2)</f>
        <v>VS_j</v>
      </c>
      <c r="E13" s="120" t="str">
        <v>volatile solid production</v>
      </c>
      <c r="F13" s="121"/>
      <c r="G13" s="119"/>
      <c r="H13" s="117" t="str" cm="1">
        <f t="array" ref="H13:I18">_xlfn.CHOOSECOLS(MMS_OtherLivestock_Methane_Equations.VEERG_4_7_1_1__2_AnnualMethaneProductionFromManureManagement_Arguments(),3,4)</f>
        <v>kg/head/day</v>
      </c>
      <c r="I13" s="116" t="str">
        <v>Constant</v>
      </c>
      <c r="J13" s="118" t="str" cm="1">
        <f t="array" aca="1" ref="J13" ca="1">HYPERLINK(Common_InputFunctions.Utility_SourceHyperlink($D$20),$D$20)</f>
        <v>Table_VS_j</v>
      </c>
      <c r="N13" s="117" t="str" cm="1">
        <f t="array" ref="N13:O18">_xlfn.CHOOSECOLS(MMS_OtherLivestock_Methane_Equations.VEERG_4_7_1_1__2_AnnualMethaneProductionFromManureManagement_Arguments_Method2(),1,2)</f>
        <v>VS_j</v>
      </c>
      <c r="O13" s="120" t="str">
        <v>volatile solid production</v>
      </c>
      <c r="P13" s="121"/>
      <c r="Q13" s="119"/>
      <c r="R13" s="117" t="str" cm="1">
        <f t="array" ref="R13:S18">_xlfn.CHOOSECOLS(MMS_OtherLivestock_Methane_Equations.VEERG_4_7_1_1__2_AnnualMethaneProductionFromManureManagement_Arguments_Method2(),3,4)</f>
        <v>kg/head/day</v>
      </c>
      <c r="S13" s="116" t="str">
        <v>Constant</v>
      </c>
      <c r="T13" s="118"/>
    </row>
    <row r="14" spans="1:21" ht="20.100000000000001" customHeight="1" x14ac:dyDescent="0.25">
      <c r="A14" s="17" t="str">
        <f>HYPERLINK("#'4.7.1.5-6 Soil Atmos Deposition'!A1", "4.7.1.5-6 Soil Atmos deposition")</f>
        <v>4.7.1.5-6 Soil Atmos deposition</v>
      </c>
      <c r="D14" s="117" t="str">
        <v>B_O</v>
      </c>
      <c r="E14" s="120" t="str">
        <v>methane emissions potential</v>
      </c>
      <c r="F14" s="121"/>
      <c r="G14" s="119"/>
      <c r="H14" s="117" t="str">
        <v>m3 CH4/kg VS</v>
      </c>
      <c r="I14" s="116" t="str">
        <v>Constant</v>
      </c>
      <c r="J14" s="118" t="str" cm="1">
        <f t="array" aca="1" ref="J14" ca="1">HYPERLINK(Common_InputFunctions.Utility_SourceHyperlink($D$32),$D$32)</f>
        <v>Table_B_O</v>
      </c>
      <c r="N14" s="117" t="str">
        <v>B_O</v>
      </c>
      <c r="O14" s="120" t="str">
        <v>methane emissions potential</v>
      </c>
      <c r="P14" s="121"/>
      <c r="Q14" s="119"/>
      <c r="R14" s="117" t="str">
        <v>m3 CH4/kg VS</v>
      </c>
      <c r="S14" s="116" t="str">
        <v>Constant</v>
      </c>
      <c r="T14" s="118"/>
    </row>
    <row r="15" spans="1:21" ht="20.100000000000001" customHeight="1" x14ac:dyDescent="0.25">
      <c r="A15" s="17" t="str">
        <f>HYPERLINK("#'4.7.1.7-8 Soil Leaching Runoff'!A1", "4.7.1.8-9 Soil Leaching &amp; Runoff")</f>
        <v>4.7.1.8-9 Soil Leaching &amp; Runoff</v>
      </c>
      <c r="D15" s="117" t="str">
        <v>MMS_m</v>
      </c>
      <c r="E15" s="120" t="str">
        <v>fraction of waste in each manure management system</v>
      </c>
      <c r="F15" s="121"/>
      <c r="G15" s="119"/>
      <c r="H15" s="117" t="str">
        <v>fraction</v>
      </c>
      <c r="I15" s="116" t="str">
        <v>Constant</v>
      </c>
      <c r="J15" s="118" t="str" cm="1">
        <f t="array" aca="1" ref="J15" ca="1">HYPERLINK(Common_InputFunctions.Utility_SourceHyperlink($D$44),D44)</f>
        <v>Table_MMS_m</v>
      </c>
      <c r="N15" s="117" t="str">
        <v>MMS_m</v>
      </c>
      <c r="O15" s="120" t="str">
        <v>fraction of waste in each manure management system</v>
      </c>
      <c r="P15" s="121"/>
      <c r="Q15" s="119"/>
      <c r="R15" s="117" t="str">
        <v>fraction</v>
      </c>
      <c r="S15" s="116" t="str">
        <v>Constant</v>
      </c>
      <c r="T15" s="118"/>
    </row>
    <row r="16" spans="1:21" ht="20.100000000000001" customHeight="1" x14ac:dyDescent="0.25">
      <c r="D16" s="117" t="str">
        <v>MCF_im</v>
      </c>
      <c r="E16" s="120" t="str">
        <v>methane conversion factor for state and manure management system</v>
      </c>
      <c r="F16" s="121"/>
      <c r="G16" s="119"/>
      <c r="H16" s="117" t="str">
        <v>fraction</v>
      </c>
      <c r="I16" s="116" t="str">
        <v>Constant</v>
      </c>
      <c r="J16" s="118" t="str" cm="1">
        <f t="array" aca="1" ref="J16" ca="1">HYPERLINK(Common_InputFunctions.Utility_SourceHyperlink($D$56),$D$56)</f>
        <v>M1_Table_MCF_i_m</v>
      </c>
      <c r="N16" s="117" t="str">
        <v>MCF_im</v>
      </c>
      <c r="O16" s="120" t="str">
        <v>methane conversion factor for temperature zone and manure management system</v>
      </c>
      <c r="P16" s="121"/>
      <c r="Q16" s="119"/>
      <c r="R16" s="117" t="str">
        <v>fraction</v>
      </c>
      <c r="S16" s="116" t="str">
        <v>Constant</v>
      </c>
      <c r="T16" s="118" t="str" cm="1">
        <f t="array" aca="1" ref="T16" ca="1">HYPERLINK(Common_InputFunctions.Utility_SourceHyperlink($N$56),$N$56)</f>
        <v>M2_Table_MCF_i_m</v>
      </c>
    </row>
    <row r="17" spans="1:20" ht="20.100000000000001" customHeight="1" x14ac:dyDescent="0.25">
      <c r="A17" s="18" t="s">
        <v>2</v>
      </c>
      <c r="D17" s="117" t="str">
        <v>rho</v>
      </c>
      <c r="E17" s="120" t="str">
        <v>density of methane</v>
      </c>
      <c r="F17" s="121"/>
      <c r="G17" s="119"/>
      <c r="H17" s="117" t="str">
        <v>kg/m3</v>
      </c>
      <c r="I17" s="116" t="str">
        <v>Constant</v>
      </c>
      <c r="J17" s="117">
        <f>'Constants - Common'!$D$175</f>
        <v>0.6784</v>
      </c>
      <c r="N17" s="117" t="str">
        <v>rho</v>
      </c>
      <c r="O17" s="120" t="str">
        <v>density of methane</v>
      </c>
      <c r="P17" s="121"/>
      <c r="Q17" s="119"/>
      <c r="R17" s="117" t="str">
        <v>kg/m3</v>
      </c>
      <c r="S17" s="116" t="str">
        <v>Constant</v>
      </c>
      <c r="T17" s="117"/>
    </row>
    <row r="18" spans="1:20" ht="20.100000000000001" customHeight="1" x14ac:dyDescent="0.25">
      <c r="A18" s="17" t="str">
        <f>HYPERLINK("#'Constants - Other Livestock'!A1", "Constants - Other Livestock")</f>
        <v>Constants - Other Livestock</v>
      </c>
      <c r="D18" s="117" t="str">
        <v>i</v>
      </c>
      <c r="E18" s="120" t="str">
        <v>state</v>
      </c>
      <c r="F18" s="121"/>
      <c r="G18" s="119"/>
      <c r="H18" s="117" t="str">
        <v/>
      </c>
      <c r="I18" s="115" t="str">
        <v>Input</v>
      </c>
      <c r="J18" s="117" t="str">
        <f>Common_InputFunctions.Utility_ConvertStateCommonNameToAbbreviation(X_Cell_Site_State,Table_AustralianStates[Common Name],Table_AustralianStates[Abbreviation])</f>
        <v>NSW</v>
      </c>
      <c r="N18" s="117" t="str">
        <v>i</v>
      </c>
      <c r="O18" s="120" t="str">
        <v>mean annual temperature</v>
      </c>
      <c r="P18" s="121"/>
      <c r="Q18" s="119"/>
      <c r="R18" s="117" t="str">
        <v>degrees Celsius</v>
      </c>
      <c r="S18" s="115" t="str">
        <v>Input</v>
      </c>
      <c r="T18" s="117">
        <f>X_Cell_Site_AverageTemperature</f>
        <v>18</v>
      </c>
    </row>
    <row r="19" spans="1:20" ht="20.100000000000001" customHeight="1" x14ac:dyDescent="0.25">
      <c r="A19" s="17" t="str">
        <f>HYPERLINK("#'Constants - Livestock'!A1", "Constants - Livestock")</f>
        <v>Constants - Livestock</v>
      </c>
    </row>
    <row r="20" spans="1:20" ht="20.100000000000001" customHeight="1" x14ac:dyDescent="0.25">
      <c r="A20" s="17" t="str">
        <f>HYPERLINK("#'Constants - Common'!A1", "Constants - Common")</f>
        <v>Constants - Common</v>
      </c>
      <c r="D20" s="98" t="s">
        <v>181</v>
      </c>
    </row>
    <row r="21" spans="1:20" ht="20.100000000000001" customHeight="1" x14ac:dyDescent="0.25">
      <c r="A21" s="17" t="str">
        <f>HYPERLINK("#'Acknowledgements'!A1", "Acknowledgements")</f>
        <v>Acknowledgements</v>
      </c>
      <c r="D21" s="97" t="s">
        <v>182</v>
      </c>
    </row>
    <row r="22" spans="1:20" ht="20.100000000000001" customHeight="1" x14ac:dyDescent="0.25">
      <c r="D22" s="52" t="s">
        <v>183</v>
      </c>
      <c r="E22" s="52" t="s">
        <v>232</v>
      </c>
    </row>
    <row r="23" spans="1:20" ht="20.100000000000001" customHeight="1" x14ac:dyDescent="0.25">
      <c r="D23" s="53" t="str">
        <f>'Constants - Other Livestock'!D25</f>
        <v>Buffalo</v>
      </c>
      <c r="E23" s="53">
        <f>'Constants - Other Livestock'!E25</f>
        <v>2.73</v>
      </c>
      <c r="F23" s="2" t="str">
        <f>H13</f>
        <v>kg/head/day</v>
      </c>
    </row>
    <row r="24" spans="1:20" ht="20.100000000000001" customHeight="1" x14ac:dyDescent="0.25">
      <c r="A24" s="17"/>
      <c r="D24" s="53" t="str">
        <f>'Constants - Other Livestock'!D26</f>
        <v>Goats</v>
      </c>
      <c r="E24" s="53">
        <f>'Constants - Other Livestock'!E26</f>
        <v>0.34</v>
      </c>
    </row>
    <row r="25" spans="1:20" ht="20.100000000000001" customHeight="1" x14ac:dyDescent="0.25">
      <c r="D25" s="53" t="str">
        <f>'Constants - Other Livestock'!D27</f>
        <v>Deer</v>
      </c>
      <c r="E25" s="53">
        <f>'Constants - Other Livestock'!E27</f>
        <v>0.91</v>
      </c>
    </row>
    <row r="26" spans="1:20" ht="20.100000000000001" customHeight="1" x14ac:dyDescent="0.25">
      <c r="D26" s="53" t="str">
        <f>'Constants - Other Livestock'!D28</f>
        <v>Camels</v>
      </c>
      <c r="E26" s="53">
        <f>'Constants - Other Livestock'!E28</f>
        <v>2.73</v>
      </c>
    </row>
    <row r="27" spans="1:20" ht="20.100000000000001" customHeight="1" x14ac:dyDescent="0.25">
      <c r="D27" s="53" t="str">
        <f>'Constants - Other Livestock'!D29</f>
        <v>Alpacas</v>
      </c>
      <c r="E27" s="53">
        <f>'Constants - Other Livestock'!E29</f>
        <v>0.34</v>
      </c>
    </row>
    <row r="28" spans="1:20" ht="20.100000000000001" customHeight="1" x14ac:dyDescent="0.25">
      <c r="D28" s="53" t="str">
        <f>'Constants - Other Livestock'!D30</f>
        <v>Horses</v>
      </c>
      <c r="E28" s="53">
        <f>'Constants - Other Livestock'!E30</f>
        <v>2.73</v>
      </c>
    </row>
    <row r="29" spans="1:20" ht="20.100000000000001" customHeight="1" x14ac:dyDescent="0.25">
      <c r="D29" s="53" t="str">
        <f>'Constants - Other Livestock'!D31</f>
        <v>Mules/asses</v>
      </c>
      <c r="E29" s="53">
        <f>'Constants - Other Livestock'!E31</f>
        <v>0.91</v>
      </c>
    </row>
    <row r="30" spans="1:20" ht="20.100000000000001" customHeight="1" x14ac:dyDescent="0.25">
      <c r="D30" s="53" t="str">
        <f>'Constants - Other Livestock'!D32</f>
        <v>Emus/ostriches</v>
      </c>
      <c r="E30" s="53">
        <f>'Constants - Other Livestock'!E32</f>
        <v>0.34</v>
      </c>
    </row>
    <row r="31" spans="1:20" ht="20.100000000000001" customHeight="1" x14ac:dyDescent="0.25"/>
    <row r="32" spans="1:20" ht="20.100000000000001" customHeight="1" x14ac:dyDescent="0.25">
      <c r="D32" s="98" t="s">
        <v>184</v>
      </c>
    </row>
    <row r="33" spans="4:7" ht="20.100000000000001" customHeight="1" x14ac:dyDescent="0.25">
      <c r="D33" s="97" t="s">
        <v>185</v>
      </c>
    </row>
    <row r="34" spans="4:7" ht="20.100000000000001" customHeight="1" x14ac:dyDescent="0.25">
      <c r="D34" s="52" t="s">
        <v>183</v>
      </c>
      <c r="E34" s="52" t="s">
        <v>231</v>
      </c>
    </row>
    <row r="35" spans="4:7" ht="20.100000000000001" customHeight="1" x14ac:dyDescent="0.25">
      <c r="D35" s="53" t="str">
        <f>'Constants - Other Livestock'!D103</f>
        <v>Buffalo</v>
      </c>
      <c r="E35" s="53">
        <f>'Constants - Other Livestock'!E103</f>
        <v>0.19</v>
      </c>
      <c r="F35" s="2" t="str">
        <f>$H$14</f>
        <v>m3 CH4/kg VS</v>
      </c>
    </row>
    <row r="36" spans="4:7" ht="20.100000000000001" customHeight="1" x14ac:dyDescent="0.25">
      <c r="D36" s="53" t="str">
        <f>'Constants - Other Livestock'!D104</f>
        <v>Goats</v>
      </c>
      <c r="E36" s="53">
        <f>'Constants - Other Livestock'!E104</f>
        <v>0.24</v>
      </c>
    </row>
    <row r="37" spans="4:7" ht="20.100000000000001" customHeight="1" x14ac:dyDescent="0.25">
      <c r="D37" s="53" t="str">
        <f>'Constants - Other Livestock'!D105</f>
        <v>Deer</v>
      </c>
      <c r="E37" s="53">
        <f>'Constants - Other Livestock'!E105</f>
        <v>0.24</v>
      </c>
    </row>
    <row r="38" spans="4:7" ht="20.100000000000001" customHeight="1" x14ac:dyDescent="0.25">
      <c r="D38" s="53" t="str">
        <f>'Constants - Other Livestock'!D106</f>
        <v>Camels</v>
      </c>
      <c r="E38" s="53">
        <f>'Constants - Other Livestock'!E106</f>
        <v>0.24</v>
      </c>
    </row>
    <row r="39" spans="4:7" ht="20.100000000000001" customHeight="1" x14ac:dyDescent="0.25">
      <c r="D39" s="53" t="str">
        <f>'Constants - Other Livestock'!D107</f>
        <v>Alpacas</v>
      </c>
      <c r="E39" s="53">
        <f>'Constants - Other Livestock'!E107</f>
        <v>0.24</v>
      </c>
    </row>
    <row r="40" spans="4:7" ht="20.100000000000001" customHeight="1" x14ac:dyDescent="0.25">
      <c r="D40" s="53" t="str">
        <f>'Constants - Other Livestock'!D108</f>
        <v>Horses</v>
      </c>
      <c r="E40" s="53">
        <f>'Constants - Other Livestock'!E108</f>
        <v>0.19</v>
      </c>
    </row>
    <row r="41" spans="4:7" ht="20.100000000000001" customHeight="1" x14ac:dyDescent="0.25">
      <c r="D41" s="53" t="str">
        <f>'Constants - Other Livestock'!D109</f>
        <v>Mules/asses</v>
      </c>
      <c r="E41" s="53">
        <f>'Constants - Other Livestock'!E109</f>
        <v>0.24</v>
      </c>
    </row>
    <row r="42" spans="4:7" ht="20.100000000000001" customHeight="1" x14ac:dyDescent="0.25">
      <c r="D42" s="53" t="str">
        <f>'Constants - Other Livestock'!D110</f>
        <v>Emus/ostriches</v>
      </c>
      <c r="E42" s="53">
        <f>'Constants - Other Livestock'!E110</f>
        <v>0.36</v>
      </c>
    </row>
    <row r="43" spans="4:7" ht="20.100000000000001" customHeight="1" x14ac:dyDescent="0.25"/>
    <row r="44" spans="4:7" ht="20.100000000000001" customHeight="1" x14ac:dyDescent="0.25">
      <c r="D44" s="98" t="s">
        <v>186</v>
      </c>
    </row>
    <row r="45" spans="4:7" ht="20.100000000000001" customHeight="1" x14ac:dyDescent="0.25">
      <c r="D45" s="97" t="s">
        <v>187</v>
      </c>
    </row>
    <row r="46" spans="4:7" ht="20.100000000000001" customHeight="1" x14ac:dyDescent="0.25">
      <c r="D46" s="52" t="s">
        <v>183</v>
      </c>
      <c r="E46" s="52" t="s">
        <v>137</v>
      </c>
      <c r="F46" s="52" t="s">
        <v>126</v>
      </c>
    </row>
    <row r="47" spans="4:7" ht="20.100000000000001" customHeight="1" x14ac:dyDescent="0.25">
      <c r="D47" s="53" t="s">
        <v>152</v>
      </c>
      <c r="E47" s="53">
        <f>'Input - Other Livestock'!E13</f>
        <v>0.99659999999999993</v>
      </c>
      <c r="F47" s="53">
        <f>'Input - Other Livestock'!E14</f>
        <v>3.4000000000000002E-3</v>
      </c>
      <c r="G47" s="2" t="str">
        <f>$H$15</f>
        <v>fraction</v>
      </c>
    </row>
    <row r="48" spans="4:7" ht="20.100000000000001" customHeight="1" x14ac:dyDescent="0.25">
      <c r="D48" s="53" t="s">
        <v>157</v>
      </c>
      <c r="E48" s="53">
        <f>'Input - Other Livestock'!E27</f>
        <v>0.99659999999999993</v>
      </c>
      <c r="F48" s="53">
        <f>'Input - Other Livestock'!E28</f>
        <v>3.4000000000000002E-3</v>
      </c>
    </row>
    <row r="49" spans="4:16" ht="20.100000000000001" customHeight="1" x14ac:dyDescent="0.25">
      <c r="D49" s="53" t="s">
        <v>164</v>
      </c>
      <c r="E49" s="53">
        <f>'Input - Other Livestock'!E41</f>
        <v>0.99659999999999993</v>
      </c>
      <c r="F49" s="53">
        <f>'Input - Other Livestock'!E42</f>
        <v>3.4000000000000002E-3</v>
      </c>
    </row>
    <row r="50" spans="4:16" ht="20.100000000000001" customHeight="1" x14ac:dyDescent="0.25">
      <c r="D50" s="53" t="s">
        <v>170</v>
      </c>
      <c r="E50" s="53">
        <f>'Input - Other Livestock'!E55</f>
        <v>0.99659999999999993</v>
      </c>
      <c r="F50" s="53">
        <f>'Input - Other Livestock'!E56</f>
        <v>3.4000000000000002E-3</v>
      </c>
    </row>
    <row r="51" spans="4:16" ht="20.100000000000001" customHeight="1" x14ac:dyDescent="0.25">
      <c r="D51" s="53" t="s">
        <v>171</v>
      </c>
      <c r="E51" s="53">
        <f>'Input - Other Livestock'!F55</f>
        <v>0.99659999999999993</v>
      </c>
      <c r="F51" s="53">
        <f>'Input - Other Livestock'!F56</f>
        <v>3.4000000000000002E-3</v>
      </c>
    </row>
    <row r="52" spans="4:16" ht="20.100000000000001" customHeight="1" x14ac:dyDescent="0.25">
      <c r="D52" s="53" t="s">
        <v>172</v>
      </c>
      <c r="E52" s="53">
        <f>'Input - Other Livestock'!G55</f>
        <v>0.99659999999999993</v>
      </c>
      <c r="F52" s="53">
        <f>'Input - Other Livestock'!G56</f>
        <v>3.4000000000000002E-3</v>
      </c>
    </row>
    <row r="53" spans="4:16" ht="20.100000000000001" customHeight="1" x14ac:dyDescent="0.25">
      <c r="D53" s="53" t="s">
        <v>188</v>
      </c>
      <c r="E53" s="53">
        <f>'Input - Other Livestock'!H55</f>
        <v>0.99659999999999993</v>
      </c>
      <c r="F53" s="53">
        <f>'Input - Other Livestock'!H56</f>
        <v>3.4000000000000002E-3</v>
      </c>
    </row>
    <row r="54" spans="4:16" ht="20.100000000000001" customHeight="1" x14ac:dyDescent="0.25">
      <c r="D54" s="53" t="s">
        <v>189</v>
      </c>
      <c r="E54" s="53">
        <f>'Input - Other Livestock'!I55</f>
        <v>0.99659999999999993</v>
      </c>
      <c r="F54" s="53">
        <f>'Input - Other Livestock'!I56</f>
        <v>3.4000000000000002E-3</v>
      </c>
    </row>
    <row r="55" spans="4:16" ht="20.100000000000001" customHeight="1" x14ac:dyDescent="0.25"/>
    <row r="56" spans="4:16" ht="20.100000000000001" customHeight="1" x14ac:dyDescent="0.25">
      <c r="D56" s="98" t="s">
        <v>190</v>
      </c>
      <c r="N56" s="98" t="s">
        <v>192</v>
      </c>
    </row>
    <row r="57" spans="4:16" ht="20.100000000000001" customHeight="1" x14ac:dyDescent="0.25">
      <c r="D57" s="97" t="s">
        <v>191</v>
      </c>
      <c r="N57" s="97" t="s">
        <v>193</v>
      </c>
    </row>
    <row r="58" spans="4:16" ht="20.100000000000001" customHeight="1" x14ac:dyDescent="0.25">
      <c r="D58" s="52" t="s">
        <v>64</v>
      </c>
      <c r="E58" s="52" t="s">
        <v>84</v>
      </c>
      <c r="N58" s="52" t="s">
        <v>64</v>
      </c>
      <c r="O58" s="52" t="s">
        <v>84</v>
      </c>
    </row>
    <row r="59" spans="4:16" ht="20.100000000000001" customHeight="1" x14ac:dyDescent="0.25">
      <c r="D59" s="53" t="s">
        <v>137</v>
      </c>
      <c r="E59" s="53" cm="1">
        <f t="array" ref="E59">Common_InputFunctions.Utility_LookupValueInTableNumber($J$18,Table_SourceData_OtherLivestock_MCF[Other livestock type],Table_SourceData_OtherLivestock_MCF[Pasture range and paddock])</f>
        <v>4.7000000000000002E-3</v>
      </c>
      <c r="F59" s="2" t="str">
        <f>$H$16</f>
        <v>fraction</v>
      </c>
      <c r="N59" s="53" t="s">
        <v>137</v>
      </c>
      <c r="O59" s="53">
        <f>Common_InputFunctions.Common_GetMCFTemperatureZone($T$18,N59,Table_SourceData_Common_MCFTemperatureZone[MAT (ºC)],Table_SourceData_Common_MCFTemperatureZone[#Headers],Table_SourceData_Common_MCFTemperatureZone[])</f>
        <v>4.7000000000000002E-3</v>
      </c>
      <c r="P59" s="2" t="str">
        <f>$H$16</f>
        <v>fraction</v>
      </c>
    </row>
    <row r="60" spans="4:16" ht="20.100000000000001" customHeight="1" x14ac:dyDescent="0.25">
      <c r="D60" s="53" t="s">
        <v>126</v>
      </c>
      <c r="E60" s="53" cm="1">
        <f t="array" ref="E60">Common_InputFunctions.Utility_LookupValueInTableNumber($J$18,Table_SourceData_OtherLivestock_MCF[Other livestock type],Table_SourceData_OtherLivestock_MCF[Uncovered anaerobic lagoon])</f>
        <v>0.75</v>
      </c>
      <c r="N60" s="53" t="s">
        <v>126</v>
      </c>
      <c r="O60" s="53">
        <f>Common_InputFunctions.Common_GetMCFTemperatureZone($T$18,N60,Table_SourceData_Common_MCFTemperatureZone[MAT (ºC)],Table_SourceData_Common_MCFTemperatureZone[#Headers],Table_SourceData_Common_MCFTemperatureZone[])</f>
        <v>0.77</v>
      </c>
    </row>
    <row r="61" spans="4:16" ht="20.100000000000001" customHeight="1" x14ac:dyDescent="0.25"/>
    <row r="62" spans="4:16" ht="20.100000000000001" customHeight="1" x14ac:dyDescent="0.25">
      <c r="D62" s="98" t="s">
        <v>194</v>
      </c>
      <c r="N62" s="98" t="s">
        <v>196</v>
      </c>
    </row>
    <row r="63" spans="4:16" ht="20.100000000000001" customHeight="1" x14ac:dyDescent="0.25">
      <c r="D63" s="97" t="s">
        <v>195</v>
      </c>
      <c r="N63" s="97" t="s">
        <v>197</v>
      </c>
    </row>
    <row r="64" spans="4:16" ht="20.100000000000001" customHeight="1" x14ac:dyDescent="0.25">
      <c r="D64" s="52" t="s">
        <v>183</v>
      </c>
      <c r="E64" s="52" t="s">
        <v>137</v>
      </c>
      <c r="F64" s="52" t="s">
        <v>126</v>
      </c>
      <c r="N64" s="52" t="s">
        <v>183</v>
      </c>
      <c r="O64" s="52" t="s">
        <v>137</v>
      </c>
      <c r="P64" s="52" t="s">
        <v>126</v>
      </c>
    </row>
    <row r="65" spans="3:21" ht="20.100000000000001" customHeight="1" x14ac:dyDescent="0.25">
      <c r="D65" s="53" t="s">
        <v>152</v>
      </c>
      <c r="E65" s="53" cm="1">
        <f t="array" ref="E65">MMS_OtherLivestock_Methane_Equations.VEERG_4_7_1_1__2_AnnualMethaneProductionFromManureManagement($E23,$E35,E47,$E$59,$J$17)</f>
        <v>1.6482414364416005E-3</v>
      </c>
      <c r="F65" s="53" cm="1">
        <f t="array" ref="F65">MMS_OtherLivestock_Methane_Equations.VEERG_4_7_1_1__2_AnnualMethaneProductionFromManureManagement($E23,$E35,F47,$E$60,$J$17)</f>
        <v>8.9730950400000004E-4</v>
      </c>
      <c r="G65" s="2" t="str">
        <f>$E$11</f>
        <v>kg CH4/head/day</v>
      </c>
      <c r="N65" s="53" t="s">
        <v>152</v>
      </c>
      <c r="O65" s="53" cm="1">
        <f t="array" ref="O65">MMS_OtherLivestock_Methane_Equations.VEERG_4_7_1_1__2_AnnualMethaneProductionFromManureManagement($E23,$E35,E47,$O$59,$J$17)</f>
        <v>1.6482414364416005E-3</v>
      </c>
      <c r="P65" s="53" cm="1">
        <f t="array" ref="P65">MMS_OtherLivestock_Methane_Equations.VEERG_4_7_1_1__2_AnnualMethaneProductionFromManureManagement($E23,$E35,F47,$O$60,$J$17)</f>
        <v>9.2123775744000014E-4</v>
      </c>
      <c r="Q65" s="2" t="str">
        <f>$E$11</f>
        <v>kg CH4/head/day</v>
      </c>
    </row>
    <row r="66" spans="3:21" ht="20.100000000000001" customHeight="1" x14ac:dyDescent="0.25">
      <c r="D66" s="53" t="s">
        <v>157</v>
      </c>
      <c r="E66" s="53" cm="1">
        <f t="array" ref="E66">MMS_OtherLivestock_Methane_Equations.VEERG_4_7_1_1__2_AnnualMethaneProductionFromManureManagement($E24,$E36,E48,$E$59,$J$17)</f>
        <v>2.5929535610880004E-4</v>
      </c>
      <c r="F66" s="53" cm="1">
        <f t="array" ref="F66">MMS_OtherLivestock_Methane_Equations.VEERG_4_7_1_1__2_AnnualMethaneProductionFromManureManagement($E24,$E36,F48,$E$60,$J$17)</f>
        <v>1.4116147200000001E-4</v>
      </c>
      <c r="N66" s="53" t="s">
        <v>157</v>
      </c>
      <c r="O66" s="53" cm="1">
        <f t="array" ref="O66">MMS_OtherLivestock_Methane_Equations.VEERG_4_7_1_1__2_AnnualMethaneProductionFromManureManagement($E24,$E36,E48,$O$59,$J$17)</f>
        <v>2.5929535610880004E-4</v>
      </c>
      <c r="P66" s="53" cm="1">
        <f t="array" ref="P66">MMS_OtherLivestock_Methane_Equations.VEERG_4_7_1_1__2_AnnualMethaneProductionFromManureManagement($E24,$E36,F48,$O$60,$J$17)</f>
        <v>1.4492577792000002E-4</v>
      </c>
    </row>
    <row r="67" spans="3:21" ht="20.100000000000001" customHeight="1" x14ac:dyDescent="0.25">
      <c r="D67" s="53" t="s">
        <v>164</v>
      </c>
      <c r="E67" s="53" cm="1">
        <f t="array" ref="E67">MMS_OtherLivestock_Methane_Equations.VEERG_4_7_1_1__2_AnnualMethaneProductionFromManureManagement($E25,$E37,E49,$E$59,$J$17)</f>
        <v>6.9399639429120006E-4</v>
      </c>
      <c r="F67" s="53" cm="1">
        <f t="array" ref="F67">MMS_OtherLivestock_Methane_Equations.VEERG_4_7_1_1__2_AnnualMethaneProductionFromManureManagement($E25,$E37,F49,$E$60,$J$17)</f>
        <v>3.7781452800000003E-4</v>
      </c>
      <c r="N67" s="53" t="s">
        <v>164</v>
      </c>
      <c r="O67" s="53" cm="1">
        <f t="array" ref="O67">MMS_OtherLivestock_Methane_Equations.VEERG_4_7_1_1__2_AnnualMethaneProductionFromManureManagement($E25,$E37,E49,$O$59,$J$17)</f>
        <v>6.9399639429120006E-4</v>
      </c>
      <c r="P67" s="53" cm="1">
        <f t="array" ref="P67">MMS_OtherLivestock_Methane_Equations.VEERG_4_7_1_1__2_AnnualMethaneProductionFromManureManagement($E25,$E37,F49,$O$60,$J$17)</f>
        <v>3.8788958208000007E-4</v>
      </c>
    </row>
    <row r="68" spans="3:21" ht="20.100000000000001" customHeight="1" x14ac:dyDescent="0.25">
      <c r="D68" s="53" t="s">
        <v>170</v>
      </c>
      <c r="E68" s="53" cm="1">
        <f t="array" ref="E68">MMS_OtherLivestock_Methane_Equations.VEERG_4_7_1_1__2_AnnualMethaneProductionFromManureManagement($E26,$E38,E50,$E$59,$J$17)</f>
        <v>2.0819891828735997E-3</v>
      </c>
      <c r="F68" s="53" cm="1">
        <f t="array" ref="F68">MMS_OtherLivestock_Methane_Equations.VEERG_4_7_1_1__2_AnnualMethaneProductionFromManureManagement($E26,$E38,F50,$E$60,$J$17)</f>
        <v>1.1334435840000001E-3</v>
      </c>
      <c r="N68" s="53" t="s">
        <v>170</v>
      </c>
      <c r="O68" s="53" cm="1">
        <f t="array" ref="O68">MMS_OtherLivestock_Methane_Equations.VEERG_4_7_1_1__2_AnnualMethaneProductionFromManureManagement($E26,$E38,E50,$O$59,$J$17)</f>
        <v>2.0819891828735997E-3</v>
      </c>
      <c r="P68" s="53" cm="1">
        <f t="array" ref="P68">MMS_OtherLivestock_Methane_Equations.VEERG_4_7_1_1__2_AnnualMethaneProductionFromManureManagement($E26,$E38,F50,$O$60,$J$17)</f>
        <v>1.1636687462400002E-3</v>
      </c>
    </row>
    <row r="69" spans="3:21" ht="20.100000000000001" customHeight="1" x14ac:dyDescent="0.25">
      <c r="D69" s="53" t="s">
        <v>171</v>
      </c>
      <c r="E69" s="53" cm="1">
        <f t="array" ref="E69">MMS_OtherLivestock_Methane_Equations.VEERG_4_7_1_1__2_AnnualMethaneProductionFromManureManagement($E27,$E39,E51,$E$59,$J$17)</f>
        <v>2.5929535610880004E-4</v>
      </c>
      <c r="F69" s="53" cm="1">
        <f t="array" ref="F69">MMS_OtherLivestock_Methane_Equations.VEERG_4_7_1_1__2_AnnualMethaneProductionFromManureManagement($E27,$E39,F51,$E$60,$J$17)</f>
        <v>1.4116147200000001E-4</v>
      </c>
      <c r="N69" s="53" t="s">
        <v>171</v>
      </c>
      <c r="O69" s="53" cm="1">
        <f t="array" ref="O69">MMS_OtherLivestock_Methane_Equations.VEERG_4_7_1_1__2_AnnualMethaneProductionFromManureManagement($E27,$E39,E51,$O$59,$J$17)</f>
        <v>2.5929535610880004E-4</v>
      </c>
      <c r="P69" s="53" cm="1">
        <f t="array" ref="P69">MMS_OtherLivestock_Methane_Equations.VEERG_4_7_1_1__2_AnnualMethaneProductionFromManureManagement($E27,$E39,F51,$O$60,$J$17)</f>
        <v>1.4492577792000002E-4</v>
      </c>
    </row>
    <row r="70" spans="3:21" ht="20.100000000000001" customHeight="1" x14ac:dyDescent="0.25">
      <c r="D70" s="53" t="s">
        <v>172</v>
      </c>
      <c r="E70" s="53" cm="1">
        <f t="array" ref="E70">MMS_OtherLivestock_Methane_Equations.VEERG_4_7_1_1__2_AnnualMethaneProductionFromManureManagement($E28,$E40,E52,$E$59,$J$17)</f>
        <v>1.6482414364416005E-3</v>
      </c>
      <c r="F70" s="53" cm="1">
        <f t="array" ref="F70">MMS_OtherLivestock_Methane_Equations.VEERG_4_7_1_1__2_AnnualMethaneProductionFromManureManagement($E28,$E40,F52,$E$60,$J$17)</f>
        <v>8.9730950400000004E-4</v>
      </c>
      <c r="N70" s="53" t="s">
        <v>172</v>
      </c>
      <c r="O70" s="53" cm="1">
        <f t="array" ref="O70">MMS_OtherLivestock_Methane_Equations.VEERG_4_7_1_1__2_AnnualMethaneProductionFromManureManagement($E28,$E40,E52,$O$59,$J$17)</f>
        <v>1.6482414364416005E-3</v>
      </c>
      <c r="P70" s="53" cm="1">
        <f t="array" ref="P70">MMS_OtherLivestock_Methane_Equations.VEERG_4_7_1_1__2_AnnualMethaneProductionFromManureManagement($E28,$E40,F52,$O$60,$J$17)</f>
        <v>9.2123775744000014E-4</v>
      </c>
    </row>
    <row r="71" spans="3:21" ht="20.100000000000001" customHeight="1" x14ac:dyDescent="0.25">
      <c r="D71" s="53" t="s">
        <v>188</v>
      </c>
      <c r="E71" s="53" cm="1">
        <f t="array" ref="E71">MMS_OtherLivestock_Methane_Equations.VEERG_4_7_1_1__2_AnnualMethaneProductionFromManureManagement($E29,$E41,E53,$E$59,$J$17)</f>
        <v>6.9399639429120006E-4</v>
      </c>
      <c r="F71" s="53" cm="1">
        <f t="array" ref="F71">MMS_OtherLivestock_Methane_Equations.VEERG_4_7_1_1__2_AnnualMethaneProductionFromManureManagement($E29,$E41,F53,$E$60,$J$17)</f>
        <v>3.7781452800000003E-4</v>
      </c>
      <c r="N71" s="53" t="s">
        <v>188</v>
      </c>
      <c r="O71" s="53" cm="1">
        <f t="array" ref="O71">MMS_OtherLivestock_Methane_Equations.VEERG_4_7_1_1__2_AnnualMethaneProductionFromManureManagement($E29,$E41,E53,$O$59,$J$17)</f>
        <v>6.9399639429120006E-4</v>
      </c>
      <c r="P71" s="53" cm="1">
        <f t="array" ref="P71">MMS_OtherLivestock_Methane_Equations.VEERG_4_7_1_1__2_AnnualMethaneProductionFromManureManagement($E29,$E41,F53,$O$60,$J$17)</f>
        <v>3.8788958208000007E-4</v>
      </c>
    </row>
    <row r="72" spans="3:21" ht="20.100000000000001" customHeight="1" x14ac:dyDescent="0.25">
      <c r="D72" s="53" t="s">
        <v>189</v>
      </c>
      <c r="E72" s="53" cm="1">
        <f t="array" ref="E72">MMS_OtherLivestock_Methane_Equations.VEERG_4_7_1_1__2_AnnualMethaneProductionFromManureManagement($E30,$E42,E54,$E$59,$J$17)</f>
        <v>3.8894303416319999E-4</v>
      </c>
      <c r="F72" s="53" cm="1">
        <f t="array" ref="F72">MMS_OtherLivestock_Methane_Equations.VEERG_4_7_1_1__2_AnnualMethaneProductionFromManureManagement($E30,$E42,F54,$E$60,$J$17)</f>
        <v>2.1174220800000002E-4</v>
      </c>
      <c r="N72" s="53" t="s">
        <v>189</v>
      </c>
      <c r="O72" s="53" cm="1">
        <f t="array" ref="O72">MMS_OtherLivestock_Methane_Equations.VEERG_4_7_1_1__2_AnnualMethaneProductionFromManureManagement($E30,$E42,E54,$O$59,$J$17)</f>
        <v>3.8894303416319999E-4</v>
      </c>
      <c r="P72" s="53" cm="1">
        <f t="array" ref="P72">MMS_OtherLivestock_Methane_Equations.VEERG_4_7_1_1__2_AnnualMethaneProductionFromManureManagement($E30,$E42,F54,$O$60,$J$17)</f>
        <v>2.1738866688000001E-4</v>
      </c>
    </row>
    <row r="73" spans="3:21" ht="20.100000000000001" customHeight="1" x14ac:dyDescent="0.25"/>
    <row r="74" spans="3:21" ht="20.100000000000001" customHeight="1" x14ac:dyDescent="0.25"/>
    <row r="75" spans="3:21" ht="20.100000000000001" customHeight="1" x14ac:dyDescent="0.25">
      <c r="C75" s="48"/>
      <c r="D75" s="48"/>
      <c r="E75" s="48"/>
      <c r="F75" s="48"/>
      <c r="G75" s="48"/>
      <c r="H75" s="48"/>
      <c r="I75" s="48"/>
      <c r="J75" s="48"/>
      <c r="K75" s="48"/>
      <c r="M75" s="48"/>
      <c r="N75" s="48"/>
      <c r="O75" s="48"/>
      <c r="P75" s="48"/>
      <c r="Q75" s="48"/>
      <c r="R75" s="48"/>
      <c r="S75" s="48"/>
      <c r="T75" s="48"/>
      <c r="U75" s="48"/>
    </row>
    <row r="76" spans="3:21" ht="20.100000000000001" customHeight="1" x14ac:dyDescent="0.25">
      <c r="D76" s="6" t="str" cm="1">
        <f t="array" ref="D76">MMS_OtherLivestock_Methane_Equations.VEERG_4_7_1_1__1_TotalAnnualMethaneProductionFromManureManagementOtherLivestock_Title()</f>
        <v>Total annual methane production from manure management of other livestock</v>
      </c>
    </row>
    <row r="77" spans="3:21" ht="20.100000000000001" customHeight="1" x14ac:dyDescent="0.25">
      <c r="D77" s="5" t="str" cm="1">
        <f t="array" ref="D77">MMS_OtherLivestock_Methane_Equations.VEERG_4_7_1_1__1_TotalAnnualMethaneProductionFromManureManagementOtherLivestock_Source()</f>
        <v>VEERG 2026: 4.7.1.1, Equation (1)</v>
      </c>
    </row>
    <row r="78" spans="3:21" ht="20.100000000000001" customHeight="1" x14ac:dyDescent="0.25">
      <c r="D78" s="13" t="s">
        <v>23</v>
      </c>
      <c r="E78" s="13" t="str" cm="1">
        <f t="array" aca="1" ref="E78" ca="1">Common_InputFunctions.Utility_DisplayFunctionName(E104)</f>
        <v>=MMS_OtherLivestock_Methane_Equations.VEERG_4_7_1_1__1_TotalAnnualMethaneProductionFromManureManagementOtherLivestock</v>
      </c>
    </row>
    <row r="79" spans="3:21" ht="20.100000000000001" customHeight="1" x14ac:dyDescent="0.25"/>
    <row r="80" spans="3:21" ht="20.100000000000001" customHeight="1" x14ac:dyDescent="0.25"/>
    <row r="81" spans="4:9" ht="20.100000000000001" customHeight="1" x14ac:dyDescent="0.25">
      <c r="D81" s="54" t="s">
        <v>26</v>
      </c>
      <c r="E81" s="1" t="str" cm="1">
        <f t="array" ref="E81">MMS_OtherLivestock_Methane_Equations.VEERG_4_7_1_1__1_TotalAnnualMethaneProductionFromManureManagementOtherLivestock_Variable()</f>
        <v>E_CH4</v>
      </c>
    </row>
    <row r="82" spans="4:9" ht="20.100000000000001" customHeight="1" x14ac:dyDescent="0.25">
      <c r="D82" s="54" t="s">
        <v>16</v>
      </c>
      <c r="E82" s="55" t="str" cm="1">
        <f t="array" ref="E82">MMS_OtherLivestock_Methane_Equations.VEERG_4_7_1_1__1_TotalAnnualMethaneProductionFromManureManagementOtherLivestock_Unit()</f>
        <v>t CH4</v>
      </c>
    </row>
    <row r="83" spans="4:9" ht="20.100000000000001" customHeight="1" x14ac:dyDescent="0.25"/>
    <row r="84" spans="4:9" ht="20.100000000000001" customHeight="1" x14ac:dyDescent="0.25">
      <c r="D84" s="117" t="str" cm="1">
        <f t="array" ref="D84:E87">_xlfn.CHOOSECOLS(MMS_OtherLivestock_Methane_Equations.VEERG_4_7_1_1__1_TotalAnnualMethaneProductionFromManureManagementOtherLivestock_Arguments(),1,2)</f>
        <v>N_j</v>
      </c>
      <c r="E84" s="117" t="str">
        <v>average annual number of livestock per livestock type j</v>
      </c>
      <c r="F84" s="117"/>
      <c r="G84" s="117" t="str" cm="1">
        <f t="array" ref="G84:H87">_xlfn.CHOOSECOLS(MMS_OtherLivestock_Methane_Equations.VEERG_4_7_1_1__1_TotalAnnualMethaneProductionFromManureManagementOtherLivestock_Arguments(),3,4)</f>
        <v>head</v>
      </c>
      <c r="H84" s="115" t="str">
        <v>Input</v>
      </c>
      <c r="I84" s="118" t="str" cm="1">
        <f t="array" aca="1" ref="I84" ca="1">HYPERLINK(Common_InputFunctions.Utility_SourceHyperlink($D$89),$D$89)</f>
        <v>Table_N_j</v>
      </c>
    </row>
    <row r="85" spans="4:9" ht="20.100000000000001" customHeight="1" x14ac:dyDescent="0.25">
      <c r="D85" s="117" t="str">
        <v>M_jm</v>
      </c>
      <c r="E85" s="120" t="str">
        <v>annual methane production from manure management</v>
      </c>
      <c r="F85" s="119"/>
      <c r="G85" s="117" t="str">
        <v>kg CH4/head/day</v>
      </c>
      <c r="H85" s="116" t="str">
        <v>Calculated from 4.7.1.1, (2)</v>
      </c>
      <c r="I85" s="118" t="str" cm="1">
        <f t="array" aca="1" ref="I85" ca="1">HYPERLINK(Common_InputFunctions.Utility_SourceHyperlink($D$62),$D$62)</f>
        <v>M1_Table_M_j_m</v>
      </c>
    </row>
    <row r="86" spans="4:9" ht="20.100000000000001" customHeight="1" x14ac:dyDescent="0.25">
      <c r="D86" s="117" t="str">
        <v>j</v>
      </c>
      <c r="E86" s="120" t="str">
        <v>livestock type</v>
      </c>
      <c r="F86" s="119"/>
      <c r="G86" s="117" t="str">
        <v/>
      </c>
      <c r="H86" s="115" t="str">
        <v>Input</v>
      </c>
      <c r="I86" s="118" t="str" cm="1">
        <f t="array" aca="1" ref="I86" ca="1">HYPERLINK(Common_InputFunctions.Utility_SourceHyperlink($D$89),$D$89)</f>
        <v>Table_N_j</v>
      </c>
    </row>
    <row r="87" spans="4:9" ht="20.100000000000001" customHeight="1" x14ac:dyDescent="0.25">
      <c r="D87" s="117" t="str">
        <v>m</v>
      </c>
      <c r="E87" s="120" t="str">
        <v>manure management system</v>
      </c>
      <c r="F87" s="119"/>
      <c r="G87" s="117" t="str">
        <v/>
      </c>
      <c r="H87" s="115" t="str">
        <v>Input</v>
      </c>
      <c r="I87" s="118" t="str" cm="1">
        <f t="array" aca="1" ref="I87" ca="1">HYPERLINK(Common_InputFunctions.Utility_SourceHyperlink($D$62),$D$62)</f>
        <v>M1_Table_M_j_m</v>
      </c>
    </row>
    <row r="88" spans="4:9" ht="20.100000000000001" customHeight="1" x14ac:dyDescent="0.25"/>
    <row r="89" spans="4:9" ht="20.100000000000001" customHeight="1" x14ac:dyDescent="0.25">
      <c r="D89" s="98" t="s">
        <v>87</v>
      </c>
    </row>
    <row r="90" spans="4:9" ht="20.100000000000001" customHeight="1" x14ac:dyDescent="0.25">
      <c r="D90" s="97" t="s">
        <v>198</v>
      </c>
    </row>
    <row r="91" spans="4:9" ht="20.100000000000001" customHeight="1" x14ac:dyDescent="0.25">
      <c r="D91" s="41" t="s">
        <v>183</v>
      </c>
      <c r="E91" s="41" t="s">
        <v>230</v>
      </c>
    </row>
    <row r="92" spans="4:9" ht="20.100000000000001" customHeight="1" x14ac:dyDescent="0.25">
      <c r="D92" s="53" t="s">
        <v>152</v>
      </c>
      <c r="E92" s="100">
        <f>SUM(X_Table_OtherLivestock_Buffalo_Head)</f>
        <v>4600</v>
      </c>
      <c r="F92" s="2" t="str">
        <f>G84</f>
        <v>head</v>
      </c>
    </row>
    <row r="93" spans="4:9" ht="20.100000000000001" customHeight="1" x14ac:dyDescent="0.25">
      <c r="D93" s="53" t="s">
        <v>157</v>
      </c>
      <c r="E93" s="100">
        <f>SUM(X_Table_OtherLivestock_Goats_Head)</f>
        <v>4800</v>
      </c>
    </row>
    <row r="94" spans="4:9" ht="20.100000000000001" customHeight="1" x14ac:dyDescent="0.25">
      <c r="D94" s="53" t="s">
        <v>164</v>
      </c>
      <c r="E94" s="100">
        <f>SUM(X_Table_OtherLivestock_Deer_Head)</f>
        <v>4600</v>
      </c>
    </row>
    <row r="95" spans="4:9" ht="20.100000000000001" customHeight="1" x14ac:dyDescent="0.25">
      <c r="D95" s="53" t="s">
        <v>170</v>
      </c>
      <c r="E95" s="100">
        <f>X_Cell_OtherLivestock_Others_Camels_Head</f>
        <v>4300</v>
      </c>
    </row>
    <row r="96" spans="4:9" ht="20.100000000000001" customHeight="1" x14ac:dyDescent="0.25">
      <c r="D96" s="53" t="s">
        <v>171</v>
      </c>
      <c r="E96" s="100">
        <f>X_Cell_OtherLivestock_Others_Alpacas_Head</f>
        <v>100</v>
      </c>
    </row>
    <row r="97" spans="4:17" ht="20.100000000000001" customHeight="1" x14ac:dyDescent="0.25">
      <c r="D97" s="53" t="s">
        <v>172</v>
      </c>
      <c r="E97" s="100">
        <f>X_Cell_OtherLivestock_Others_Horses_Head</f>
        <v>100</v>
      </c>
    </row>
    <row r="98" spans="4:17" ht="20.100000000000001" customHeight="1" x14ac:dyDescent="0.25">
      <c r="D98" s="53" t="s">
        <v>188</v>
      </c>
      <c r="E98" s="100">
        <f>X_Cell_OtherLivestock_Others_Mules_Head</f>
        <v>100</v>
      </c>
    </row>
    <row r="99" spans="4:17" ht="20.100000000000001" customHeight="1" x14ac:dyDescent="0.25">
      <c r="D99" s="53" t="s">
        <v>189</v>
      </c>
      <c r="E99" s="100">
        <f>X_Cell_OtherLivestock_Others_Emus_Head</f>
        <v>100</v>
      </c>
    </row>
    <row r="100" spans="4:17" ht="20.100000000000001" customHeight="1" x14ac:dyDescent="0.25"/>
    <row r="101" spans="4:17" ht="20.100000000000001" customHeight="1" x14ac:dyDescent="0.25">
      <c r="D101" s="98" t="s">
        <v>199</v>
      </c>
      <c r="N101" s="98" t="s">
        <v>199</v>
      </c>
    </row>
    <row r="102" spans="4:17" ht="20.100000000000001" customHeight="1" x14ac:dyDescent="0.25">
      <c r="D102" s="97" t="s">
        <v>200</v>
      </c>
      <c r="N102" s="97" t="s">
        <v>200</v>
      </c>
    </row>
    <row r="103" spans="4:17" ht="20.100000000000001" customHeight="1" x14ac:dyDescent="0.25">
      <c r="D103" s="52" t="s">
        <v>183</v>
      </c>
      <c r="E103" s="52" t="s">
        <v>137</v>
      </c>
      <c r="F103" s="52" t="s">
        <v>126</v>
      </c>
      <c r="N103" s="52" t="s">
        <v>183</v>
      </c>
      <c r="O103" s="52" t="s">
        <v>137</v>
      </c>
      <c r="P103" s="52" t="s">
        <v>126</v>
      </c>
    </row>
    <row r="104" spans="4:17" ht="20.100000000000001" customHeight="1" x14ac:dyDescent="0.25">
      <c r="D104" s="53" t="s">
        <v>152</v>
      </c>
      <c r="E104" s="53" cm="1">
        <f t="array" ref="E104">MMS_OtherLivestock_Methane_Equations.VEERG_4_7_1_1__1_TotalAnnualMethaneProductionFromManureManagementOtherLivestock($E92,E65)</f>
        <v>2.7673973717854468</v>
      </c>
      <c r="F104" s="53" cm="1">
        <f t="array" ref="F104">MMS_OtherLivestock_Methane_Equations.VEERG_4_7_1_1__1_TotalAnnualMethaneProductionFromManureManagementOtherLivestock($E92,F65)</f>
        <v>1.5065826572160002</v>
      </c>
      <c r="G104" s="2" t="str">
        <f>$E$82</f>
        <v>t CH4</v>
      </c>
      <c r="N104" s="53" t="s">
        <v>152</v>
      </c>
      <c r="O104" s="53" cm="1">
        <f t="array" ref="O104">MMS_OtherLivestock_Methane_Equations.VEERG_4_7_1_1__1_TotalAnnualMethaneProductionFromManureManagementOtherLivestock($E92,O65)</f>
        <v>2.7673973717854468</v>
      </c>
      <c r="P104" s="53" cm="1">
        <f t="array" ref="P104">MMS_OtherLivestock_Methane_Equations.VEERG_4_7_1_1__1_TotalAnnualMethaneProductionFromManureManagementOtherLivestock($E92,P65)</f>
        <v>1.5467581947417601</v>
      </c>
      <c r="Q104" s="2" t="str">
        <f>$E$82</f>
        <v>t CH4</v>
      </c>
    </row>
    <row r="105" spans="4:17" ht="20.100000000000001" customHeight="1" x14ac:dyDescent="0.25">
      <c r="D105" s="53" t="s">
        <v>157</v>
      </c>
      <c r="E105" s="53" cm="1">
        <f t="array" ref="E105">MMS_OtherLivestock_Methane_Equations.VEERG_4_7_1_1__1_TotalAnnualMethaneProductionFromManureManagementOtherLivestock($E93,E66)</f>
        <v>0.45428546390261765</v>
      </c>
      <c r="F105" s="53" cm="1">
        <f t="array" ref="F105">MMS_OtherLivestock_Methane_Equations.VEERG_4_7_1_1__1_TotalAnnualMethaneProductionFromManureManagementOtherLivestock($E93,F66)</f>
        <v>0.24731489894400002</v>
      </c>
      <c r="N105" s="53" t="s">
        <v>157</v>
      </c>
      <c r="O105" s="53" cm="1">
        <f t="array" ref="O105">MMS_OtherLivestock_Methane_Equations.VEERG_4_7_1_1__1_TotalAnnualMethaneProductionFromManureManagementOtherLivestock($E93,O66)</f>
        <v>0.45428546390261765</v>
      </c>
      <c r="P105" s="53" cm="1">
        <f t="array" ref="P105">MMS_OtherLivestock_Methane_Equations.VEERG_4_7_1_1__1_TotalAnnualMethaneProductionFromManureManagementOtherLivestock($E93,P66)</f>
        <v>0.25390996291584</v>
      </c>
    </row>
    <row r="106" spans="4:17" ht="20.100000000000001" customHeight="1" x14ac:dyDescent="0.25">
      <c r="D106" s="53" t="s">
        <v>164</v>
      </c>
      <c r="E106" s="53" cm="1">
        <f t="array" ref="E106">MMS_OtherLivestock_Methane_Equations.VEERG_4_7_1_1__1_TotalAnnualMethaneProductionFromManureManagementOtherLivestock($E94,E67)</f>
        <v>1.1652199460149251</v>
      </c>
      <c r="F106" s="53" cm="1">
        <f t="array" ref="F106">MMS_OtherLivestock_Methane_Equations.VEERG_4_7_1_1__1_TotalAnnualMethaneProductionFromManureManagementOtherLivestock($E94,F67)</f>
        <v>0.6343505925120001</v>
      </c>
      <c r="N106" s="53" t="s">
        <v>164</v>
      </c>
      <c r="O106" s="53" cm="1">
        <f t="array" ref="O106">MMS_OtherLivestock_Methane_Equations.VEERG_4_7_1_1__1_TotalAnnualMethaneProductionFromManureManagementOtherLivestock($E94,O67)</f>
        <v>1.1652199460149251</v>
      </c>
      <c r="P106" s="53" cm="1">
        <f t="array" ref="P106">MMS_OtherLivestock_Methane_Equations.VEERG_4_7_1_1__1_TotalAnnualMethaneProductionFromManureManagementOtherLivestock($E94,P67)</f>
        <v>0.65126660831232008</v>
      </c>
    </row>
    <row r="107" spans="4:17" ht="20.100000000000001" customHeight="1" x14ac:dyDescent="0.25">
      <c r="D107" s="53" t="s">
        <v>170</v>
      </c>
      <c r="E107" s="53" cm="1">
        <f t="array" ref="E107">MMS_OtherLivestock_Methane_Equations.VEERG_4_7_1_1__1_TotalAnnualMethaneProductionFromManureManagementOtherLivestock($E95,E68)</f>
        <v>3.2676820225201144</v>
      </c>
      <c r="F107" s="53" cm="1">
        <f t="array" ref="F107">MMS_OtherLivestock_Methane_Equations.VEERG_4_7_1_1__1_TotalAnnualMethaneProductionFromManureManagementOtherLivestock($E95,F68)</f>
        <v>1.7789397050880003</v>
      </c>
      <c r="N107" s="53" t="s">
        <v>170</v>
      </c>
      <c r="O107" s="53" cm="1">
        <f t="array" ref="O107">MMS_OtherLivestock_Methane_Equations.VEERG_4_7_1_1__1_TotalAnnualMethaneProductionFromManureManagementOtherLivestock($E95,O68)</f>
        <v>3.2676820225201144</v>
      </c>
      <c r="P107" s="53" cm="1">
        <f t="array" ref="P107">MMS_OtherLivestock_Methane_Equations.VEERG_4_7_1_1__1_TotalAnnualMethaneProductionFromManureManagementOtherLivestock($E95,P68)</f>
        <v>1.8263780972236803</v>
      </c>
    </row>
    <row r="108" spans="4:17" ht="20.100000000000001" customHeight="1" x14ac:dyDescent="0.25">
      <c r="D108" s="53" t="s">
        <v>171</v>
      </c>
      <c r="E108" s="53" cm="1">
        <f t="array" ref="E108">MMS_OtherLivestock_Methane_Equations.VEERG_4_7_1_1__1_TotalAnnualMethaneProductionFromManureManagementOtherLivestock($E96,E69)</f>
        <v>9.464280497971201E-3</v>
      </c>
      <c r="F108" s="53" cm="1">
        <f t="array" ref="F108">MMS_OtherLivestock_Methane_Equations.VEERG_4_7_1_1__1_TotalAnnualMethaneProductionFromManureManagementOtherLivestock($E96,F69)</f>
        <v>5.1523937280000005E-3</v>
      </c>
      <c r="N108" s="53" t="s">
        <v>171</v>
      </c>
      <c r="O108" s="53" cm="1">
        <f t="array" ref="O108">MMS_OtherLivestock_Methane_Equations.VEERG_4_7_1_1__1_TotalAnnualMethaneProductionFromManureManagementOtherLivestock($E96,O69)</f>
        <v>9.464280497971201E-3</v>
      </c>
      <c r="P108" s="53" cm="1">
        <f t="array" ref="P108">MMS_OtherLivestock_Methane_Equations.VEERG_4_7_1_1__1_TotalAnnualMethaneProductionFromManureManagementOtherLivestock($E96,P69)</f>
        <v>5.2897908940800001E-3</v>
      </c>
    </row>
    <row r="109" spans="4:17" ht="20.100000000000001" customHeight="1" x14ac:dyDescent="0.25">
      <c r="D109" s="53" t="s">
        <v>172</v>
      </c>
      <c r="E109" s="53" cm="1">
        <f t="array" ref="E109">MMS_OtherLivestock_Methane_Equations.VEERG_4_7_1_1__1_TotalAnnualMethaneProductionFromManureManagementOtherLivestock($E97,E70)</f>
        <v>6.0160812430118414E-2</v>
      </c>
      <c r="F109" s="53" cm="1">
        <f t="array" ref="F109">MMS_OtherLivestock_Methane_Equations.VEERG_4_7_1_1__1_TotalAnnualMethaneProductionFromManureManagementOtherLivestock($E97,F70)</f>
        <v>3.2751796896000003E-2</v>
      </c>
      <c r="N109" s="53" t="s">
        <v>172</v>
      </c>
      <c r="O109" s="53" cm="1">
        <f t="array" ref="O109">MMS_OtherLivestock_Methane_Equations.VEERG_4_7_1_1__1_TotalAnnualMethaneProductionFromManureManagementOtherLivestock($E97,O70)</f>
        <v>6.0160812430118414E-2</v>
      </c>
      <c r="P109" s="53" cm="1">
        <f t="array" ref="P109">MMS_OtherLivestock_Methane_Equations.VEERG_4_7_1_1__1_TotalAnnualMethaneProductionFromManureManagementOtherLivestock($E97,P70)</f>
        <v>3.3625178146560013E-2</v>
      </c>
    </row>
    <row r="110" spans="4:17" ht="20.100000000000001" customHeight="1" x14ac:dyDescent="0.25">
      <c r="D110" s="53" t="s">
        <v>188</v>
      </c>
      <c r="E110" s="53" cm="1">
        <f t="array" ref="E110">MMS_OtherLivestock_Methane_Equations.VEERG_4_7_1_1__1_TotalAnnualMethaneProductionFromManureManagementOtherLivestock($E98,E71)</f>
        <v>2.5330868391628802E-2</v>
      </c>
      <c r="F110" s="53" cm="1">
        <f t="array" ref="F110">MMS_OtherLivestock_Methane_Equations.VEERG_4_7_1_1__1_TotalAnnualMethaneProductionFromManureManagementOtherLivestock($E98,F71)</f>
        <v>1.3790230272000003E-2</v>
      </c>
      <c r="N110" s="53" t="s">
        <v>188</v>
      </c>
      <c r="O110" s="53" cm="1">
        <f t="array" ref="O110">MMS_OtherLivestock_Methane_Equations.VEERG_4_7_1_1__1_TotalAnnualMethaneProductionFromManureManagementOtherLivestock($E98,O71)</f>
        <v>2.5330868391628802E-2</v>
      </c>
      <c r="P110" s="53" cm="1">
        <f t="array" ref="P110">MMS_OtherLivestock_Methane_Equations.VEERG_4_7_1_1__1_TotalAnnualMethaneProductionFromManureManagementOtherLivestock($E98,P71)</f>
        <v>1.4157969745920001E-2</v>
      </c>
    </row>
    <row r="111" spans="4:17" ht="20.100000000000001" customHeight="1" x14ac:dyDescent="0.25">
      <c r="D111" s="53" t="s">
        <v>189</v>
      </c>
      <c r="E111" s="53" cm="1">
        <f t="array" ref="E111">MMS_OtherLivestock_Methane_Equations.VEERG_4_7_1_1__1_TotalAnnualMethaneProductionFromManureManagementOtherLivestock($E99,E72)</f>
        <v>1.4196420746956798E-2</v>
      </c>
      <c r="F111" s="53" cm="1">
        <f t="array" ref="F111">MMS_OtherLivestock_Methane_Equations.VEERG_4_7_1_1__1_TotalAnnualMethaneProductionFromManureManagementOtherLivestock($E99,F72)</f>
        <v>7.7285905920000007E-3</v>
      </c>
      <c r="N111" s="53" t="s">
        <v>189</v>
      </c>
      <c r="O111" s="53" cm="1">
        <f t="array" ref="O111">MMS_OtherLivestock_Methane_Equations.VEERG_4_7_1_1__1_TotalAnnualMethaneProductionFromManureManagementOtherLivestock($E99,O72)</f>
        <v>1.4196420746956798E-2</v>
      </c>
      <c r="P111" s="53" cm="1">
        <f t="array" ref="P111">MMS_OtherLivestock_Methane_Equations.VEERG_4_7_1_1__1_TotalAnnualMethaneProductionFromManureManagementOtherLivestock($E99,P72)</f>
        <v>7.9346863411200001E-3</v>
      </c>
    </row>
    <row r="112" spans="4:17" ht="20.100000000000001" customHeight="1" x14ac:dyDescent="0.25"/>
    <row r="113" spans="4:18" ht="20.100000000000001" customHeight="1" x14ac:dyDescent="0.25">
      <c r="D113" s="101" t="s">
        <v>92</v>
      </c>
      <c r="E113" s="102">
        <f>SUM(E104:F111)</f>
        <v>11.990348051537779</v>
      </c>
      <c r="F113" s="103" t="str">
        <f>$E$82</f>
        <v>t CH4</v>
      </c>
      <c r="N113" s="101" t="s">
        <v>93</v>
      </c>
      <c r="O113" s="102">
        <f>SUM(O104:P111)</f>
        <v>12.103057674611057</v>
      </c>
      <c r="P113" s="103" t="str">
        <f>$E$82</f>
        <v>t CH4</v>
      </c>
    </row>
    <row r="114" spans="4:18" ht="20.100000000000001" customHeight="1" x14ac:dyDescent="0.25"/>
    <row r="115" spans="4:18" ht="20.100000000000001" customHeight="1" x14ac:dyDescent="0.25">
      <c r="D115" s="58" t="str" cm="1">
        <f t="array" ref="D115:E116">Common_Equations.Common_ConvertCH4ToCO2e_Arguments()</f>
        <v>ECH4</v>
      </c>
      <c r="E115" s="59" t="str">
        <v>Methane emissions (t CH4)</v>
      </c>
      <c r="F115" s="104"/>
      <c r="G115" s="53">
        <f>E113</f>
        <v>11.990348051537779</v>
      </c>
      <c r="H115" s="2" t="str">
        <f>$E$82</f>
        <v>t CH4</v>
      </c>
      <c r="N115" s="58" t="str" cm="1">
        <f t="array" ref="N115:O116">Common_Equations.Common_ConvertCH4ToCO2e_Arguments()</f>
        <v>ECH4</v>
      </c>
      <c r="O115" s="59" t="str">
        <v>Methane emissions (t CH4)</v>
      </c>
      <c r="P115" s="104"/>
      <c r="Q115" s="53">
        <f>O113</f>
        <v>12.103057674611057</v>
      </c>
      <c r="R115" s="2" t="str">
        <f>$E$82</f>
        <v>t CH4</v>
      </c>
    </row>
    <row r="116" spans="4:18" ht="20.100000000000001" customHeight="1" x14ac:dyDescent="0.25">
      <c r="D116" s="58" t="str">
        <v>GWPCH4</v>
      </c>
      <c r="E116" s="59" t="str">
        <v>Global warming potential for methane (t CO2-e / t CH4)</v>
      </c>
      <c r="F116" s="104"/>
      <c r="G116" s="53">
        <f>Common_InputFunctions.Utility_LookupValueInTableNumber("CH4",Table_GWPData[Gas],Table_GWPData[CO2-e factor])</f>
        <v>28</v>
      </c>
      <c r="N116" s="58" t="str">
        <v>GWPCH4</v>
      </c>
      <c r="O116" s="59" t="str">
        <v>Global warming potential for methane (t CO2-e / t CH4)</v>
      </c>
      <c r="P116" s="104"/>
      <c r="Q116" s="53">
        <f>Common_InputFunctions.Utility_LookupValueInTableNumber("CH4",Table_GWPData[Gas],Table_GWPData[CO2-e factor])</f>
        <v>28</v>
      </c>
    </row>
    <row r="117" spans="4:18" ht="20.100000000000001" customHeight="1" x14ac:dyDescent="0.25"/>
    <row r="118" spans="4:18" ht="20.100000000000001" customHeight="1" x14ac:dyDescent="0.25">
      <c r="D118" s="48" t="s">
        <v>94</v>
      </c>
      <c r="E118" s="48" cm="1">
        <f t="array" ref="E118">Common_Equations.Common_ConvertCH4ToCO2e(G115,G116)</f>
        <v>335.72974544305782</v>
      </c>
      <c r="F118" s="105" t="str" cm="1">
        <f t="array" ref="F118">Common_Equations.Common_ConvertN2OToCO2e_Unit()</f>
        <v>t CO2e</v>
      </c>
      <c r="N118" s="48" t="s">
        <v>95</v>
      </c>
      <c r="O118" s="48" cm="1">
        <f t="array" ref="O118">Common_Equations.Common_ConvertCH4ToCO2e(Q115,Q116)</f>
        <v>338.8856148891096</v>
      </c>
      <c r="P118" s="105" t="str" cm="1">
        <f t="array" ref="P118">Common_Equations.Common_ConvertN2OToCO2e_Unit()</f>
        <v>t CO2e</v>
      </c>
    </row>
    <row r="119" spans="4:18" ht="20.100000000000001" customHeight="1" x14ac:dyDescent="0.25"/>
    <row r="120" spans="4:18" ht="20.100000000000001" customHeight="1" x14ac:dyDescent="0.25"/>
    <row r="121" spans="4:18" ht="20.100000000000001" customHeight="1" x14ac:dyDescent="0.25"/>
    <row r="122" spans="4:18" ht="20.100000000000001" customHeight="1" x14ac:dyDescent="0.25"/>
    <row r="123" spans="4:18" ht="20.100000000000001" customHeight="1" x14ac:dyDescent="0.25"/>
    <row r="124" spans="4:18" ht="20.100000000000001" customHeight="1" x14ac:dyDescent="0.25"/>
    <row r="125" spans="4:18" ht="20.100000000000001" customHeight="1" x14ac:dyDescent="0.25"/>
    <row r="126" spans="4:18" ht="20.100000000000001" customHeight="1" x14ac:dyDescent="0.25"/>
    <row r="127" spans="4:18" ht="20.100000000000001" customHeight="1" x14ac:dyDescent="0.25"/>
    <row r="128" spans="4:1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F7BB680-B75F-4AE8-AA2D-EDF03FCB10D8}"/>
  </dataValidations>
  <pageMargins left="0.7" right="0.7" top="0.75" bottom="0.75" header="0.3" footer="0.3"/>
  <pageSetup paperSize="9" orientation="portrait" r:id="rId1"/>
  <ignoredErrors>
    <ignoredError sqref="I85" formula="1"/>
  </ignoredErrors>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D83A5C-7927-4EC6-AF32-4F9637A256E3}">
  <dimension ref="A1:U183"/>
  <sheetViews>
    <sheetView showGridLines="0" topLeftCell="A51" zoomScaleNormal="100" workbookViewId="0">
      <selection activeCell="G73" sqref="G73"/>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237</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MMS_OtherLivestock_Soil_N2ODirect.VEERG_4_7_1_3__2_AnnualNitrogenExcretedToPasture_Title()</f>
        <v>Annual nitrogen excreted by livestock to pasture, range and paddock</v>
      </c>
    </row>
    <row r="6" spans="1:21" ht="20.100000000000001" customHeight="1" x14ac:dyDescent="0.25">
      <c r="A6" s="16"/>
      <c r="D6" s="5" t="str" cm="1">
        <f t="array" ref="D6">MMS_OtherLivestock_Soil_N2ODirect.VEERG_4_7_1_3__2_AnnualNitrogenExcretedToPasture_Source()</f>
        <v>VEERG 2026: 4.7.1.3, Equation (2)</v>
      </c>
    </row>
    <row r="7" spans="1:21" ht="20.100000000000001" customHeight="1" x14ac:dyDescent="0.25">
      <c r="A7" s="20" t="s">
        <v>1</v>
      </c>
      <c r="D7" s="13" t="s">
        <v>23</v>
      </c>
      <c r="E7" s="13" t="str" cm="1">
        <f t="array" aca="1" ref="E7" ca="1">Common_InputFunctions.Utility_DisplayFunctionName(E44)</f>
        <v>=MMS_OtherLivestock_Soil_N2ODirect.VEERG_4_7_1_3__2_AnnualNitrogenExcretedToPasture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MMS_OtherLivestock_Soil_N2ODirect.VEERG_4_7_1_3__2_AnnualNitrogenExcretedToPasture_Variable()</f>
        <v>AE</v>
      </c>
    </row>
    <row r="11" spans="1:21" ht="20.100000000000001" customHeight="1" x14ac:dyDescent="0.25">
      <c r="A11" s="19" t="s">
        <v>71</v>
      </c>
      <c r="D11" s="54" t="s">
        <v>16</v>
      </c>
      <c r="E11" s="55" t="str" cm="1">
        <f t="array" ref="E11">MMS_OtherLivestock_Soil_N2ODirect.VEERG_4_7_1_3__2_AnnualNitrogenExcretedToPasture_Unit()</f>
        <v>kg N/year</v>
      </c>
    </row>
    <row r="12" spans="1:21" ht="20.100000000000001" customHeight="1" x14ac:dyDescent="0.25">
      <c r="A12" s="17" t="str">
        <f>HYPERLINK("#'4.7.1.1-2 Manure Methane'!A1", "4.7.1.1-2 Methane")</f>
        <v>4.7.1.1-2 Methane</v>
      </c>
    </row>
    <row r="13" spans="1:21" ht="20.100000000000001" customHeight="1" x14ac:dyDescent="0.25">
      <c r="A13" s="22" t="str">
        <f>HYPERLINK("#'4.7.1.3-4 Soil Direct N2O'!A1", "4.7.1.3-4 Soil Direct N2O")</f>
        <v>4.7.1.3-4 Soil Direct N2O</v>
      </c>
      <c r="D13" s="117" t="str" cm="1">
        <f t="array" ref="D13:E15">_xlfn.CHOOSECOLS(MMS_OtherLivestock_Soil_N2ODirect.VEERG_4_7_1_3__2_AnnualNitrogenExcretedToPasture_Arguments(),1,2)</f>
        <v>N_j</v>
      </c>
      <c r="E13" s="120" t="str">
        <v>number of livestock of each livestock type j</v>
      </c>
      <c r="F13" s="121"/>
      <c r="G13" s="117" t="str" cm="1">
        <f t="array" ref="G13:H15">_xlfn.CHOOSECOLS(MMS_OtherLivestock_Soil_N2ODirect.VEERG_4_7_1_3__2_AnnualNitrogenExcretedToPasture_Arguments(),3,4)</f>
        <v>head</v>
      </c>
      <c r="H13" s="115" t="str">
        <v>Input</v>
      </c>
      <c r="I13" s="118" t="str" cm="1">
        <f t="array" aca="1" ref="I13" ca="1">HYPERLINK(Common_InputFunctions.Utility_SourceHyperlink($D$17),$D$17)</f>
        <v>Table_N_j</v>
      </c>
    </row>
    <row r="14" spans="1:21" ht="20.100000000000001" customHeight="1" x14ac:dyDescent="0.25">
      <c r="A14" s="17" t="str">
        <f>HYPERLINK("#'4.7.1.5-6 Soil Atmos Deposition'!A1", "4.7.1.5-6 Soil Atmos deposition")</f>
        <v>4.7.1.5-6 Soil Atmos deposition</v>
      </c>
      <c r="D14" s="117" t="str">
        <v>NE_j</v>
      </c>
      <c r="E14" s="120" t="str">
        <v>nitrogen excreted by each livestock type j</v>
      </c>
      <c r="F14" s="121"/>
      <c r="G14" s="117" t="str">
        <v>kg N/head/day</v>
      </c>
      <c r="H14" s="116" t="str">
        <v>Constant</v>
      </c>
      <c r="I14" s="118" t="str" cm="1">
        <f t="array" aca="1" ref="I14" ca="1">HYPERLINK(Common_InputFunctions.Utility_SourceHyperlink($D$29),$D$29)</f>
        <v>Table_NE_j</v>
      </c>
    </row>
    <row r="15" spans="1:21" ht="20.100000000000001" customHeight="1" x14ac:dyDescent="0.25">
      <c r="A15" s="17" t="str">
        <f>HYPERLINK("#'4.7.1.7-8 Soil Leaching Runoff'!A1", "4.7.1.8-9 Soil Leaching &amp; Runoff")</f>
        <v>4.7.1.8-9 Soil Leaching &amp; Runoff</v>
      </c>
      <c r="D15" s="117" t="str">
        <v>j</v>
      </c>
      <c r="E15" s="120" t="str">
        <v>livestock type</v>
      </c>
      <c r="F15" s="121"/>
      <c r="G15" s="117" t="str">
        <v/>
      </c>
      <c r="H15" s="115" t="str">
        <v>Input</v>
      </c>
      <c r="I15" s="118" t="str" cm="1">
        <f t="array" aca="1" ref="I15" ca="1">HYPERLINK(Common_InputFunctions.Utility_SourceHyperlink($D$17),$D$17)</f>
        <v>Table_N_j</v>
      </c>
    </row>
    <row r="16" spans="1:21" ht="20.100000000000001" customHeight="1" x14ac:dyDescent="0.25"/>
    <row r="17" spans="1:6" ht="20.100000000000001" customHeight="1" x14ac:dyDescent="0.25">
      <c r="A17" s="18" t="s">
        <v>2</v>
      </c>
      <c r="D17" s="98" t="s">
        <v>87</v>
      </c>
    </row>
    <row r="18" spans="1:6" ht="20.100000000000001" customHeight="1" x14ac:dyDescent="0.25">
      <c r="A18" s="17" t="str">
        <f>HYPERLINK("#'Constants - Other Livestock'!A1", "Constants - Other Livestock")</f>
        <v>Constants - Other Livestock</v>
      </c>
      <c r="D18" s="97" t="s">
        <v>198</v>
      </c>
    </row>
    <row r="19" spans="1:6" ht="20.100000000000001" customHeight="1" x14ac:dyDescent="0.25">
      <c r="A19" s="17" t="str">
        <f>HYPERLINK("#'Constants - Livestock'!A1", "Constants - Livestock")</f>
        <v>Constants - Livestock</v>
      </c>
      <c r="D19" s="41" t="s">
        <v>183</v>
      </c>
      <c r="E19" s="41" t="s">
        <v>230</v>
      </c>
    </row>
    <row r="20" spans="1:6" ht="20.100000000000001" customHeight="1" x14ac:dyDescent="0.25">
      <c r="A20" s="17" t="str">
        <f>HYPERLINK("#'Constants - Common'!A1", "Constants - Common")</f>
        <v>Constants - Common</v>
      </c>
      <c r="D20" s="53" t="s">
        <v>152</v>
      </c>
      <c r="E20" s="100">
        <f>SUM(X_Table_OtherLivestock_Buffalo_Head)</f>
        <v>4600</v>
      </c>
      <c r="F20" s="2" t="str">
        <f>G13</f>
        <v>head</v>
      </c>
    </row>
    <row r="21" spans="1:6" ht="20.100000000000001" customHeight="1" x14ac:dyDescent="0.25">
      <c r="A21" s="17" t="str">
        <f>HYPERLINK("#'Acknowledgements'!A1", "Acknowledgements")</f>
        <v>Acknowledgements</v>
      </c>
      <c r="D21" s="53" t="s">
        <v>157</v>
      </c>
      <c r="E21" s="100">
        <f>SUM(X_Table_OtherLivestock_Goats_Head)</f>
        <v>4800</v>
      </c>
    </row>
    <row r="22" spans="1:6" ht="20.100000000000001" customHeight="1" x14ac:dyDescent="0.25">
      <c r="D22" s="53" t="s">
        <v>164</v>
      </c>
      <c r="E22" s="100">
        <f>SUM(X_Table_OtherLivestock_Deer_Head)</f>
        <v>4600</v>
      </c>
    </row>
    <row r="23" spans="1:6" ht="20.100000000000001" customHeight="1" x14ac:dyDescent="0.25">
      <c r="D23" s="53" t="s">
        <v>170</v>
      </c>
      <c r="E23" s="100">
        <f>X_Cell_OtherLivestock_Others_Camels_Head</f>
        <v>4300</v>
      </c>
    </row>
    <row r="24" spans="1:6" ht="20.100000000000001" customHeight="1" x14ac:dyDescent="0.25">
      <c r="A24" s="17"/>
      <c r="D24" s="53" t="s">
        <v>171</v>
      </c>
      <c r="E24" s="100">
        <f>X_Cell_OtherLivestock_Others_Alpacas_Head</f>
        <v>100</v>
      </c>
    </row>
    <row r="25" spans="1:6" ht="20.100000000000001" customHeight="1" x14ac:dyDescent="0.25">
      <c r="D25" s="53" t="s">
        <v>172</v>
      </c>
      <c r="E25" s="100">
        <f>X_Cell_OtherLivestock_Others_Horses_Head</f>
        <v>100</v>
      </c>
    </row>
    <row r="26" spans="1:6" ht="20.100000000000001" customHeight="1" x14ac:dyDescent="0.25">
      <c r="D26" s="53" t="s">
        <v>188</v>
      </c>
      <c r="E26" s="100">
        <f>X_Cell_OtherLivestock_Others_Mules_Head</f>
        <v>100</v>
      </c>
    </row>
    <row r="27" spans="1:6" ht="20.100000000000001" customHeight="1" x14ac:dyDescent="0.25">
      <c r="D27" s="53" t="s">
        <v>189</v>
      </c>
      <c r="E27" s="100">
        <f>X_Cell_OtherLivestock_Others_Emus_Head</f>
        <v>100</v>
      </c>
    </row>
    <row r="28" spans="1:6" ht="20.100000000000001" customHeight="1" x14ac:dyDescent="0.25"/>
    <row r="29" spans="1:6" ht="20.100000000000001" customHeight="1" x14ac:dyDescent="0.25">
      <c r="D29" s="98" t="s">
        <v>201</v>
      </c>
    </row>
    <row r="30" spans="1:6" ht="20.100000000000001" customHeight="1" x14ac:dyDescent="0.25">
      <c r="D30" s="97" t="s">
        <v>204</v>
      </c>
    </row>
    <row r="31" spans="1:6" ht="20.100000000000001" customHeight="1" x14ac:dyDescent="0.25">
      <c r="D31" s="52" t="s">
        <v>183</v>
      </c>
      <c r="E31" s="52" t="s">
        <v>229</v>
      </c>
    </row>
    <row r="32" spans="1:6" ht="20.100000000000001" customHeight="1" x14ac:dyDescent="0.25">
      <c r="D32" s="53" t="str">
        <f>'Constants - Other Livestock'!D103</f>
        <v>Buffalo</v>
      </c>
      <c r="E32" s="53" cm="1">
        <f t="array" ref="E32">Common_InputFunctions.Utility_LookupValueInTableNumber(D32,Table_SourceData_OtherLivestock_NitrogenExcreted[Other livestock type],Table_SourceData_OtherLivestock_NitrogenExcreted[NEj])</f>
        <v>39.5</v>
      </c>
      <c r="F32" s="2" t="str">
        <f>$G$14</f>
        <v>kg N/head/day</v>
      </c>
    </row>
    <row r="33" spans="4:6" ht="20.100000000000001" customHeight="1" x14ac:dyDescent="0.25">
      <c r="D33" s="53" t="str">
        <f>'Constants - Other Livestock'!D104</f>
        <v>Goats</v>
      </c>
      <c r="E33" s="53" cm="1">
        <f t="array" ref="E33">Common_InputFunctions.Utility_LookupValueInTableNumber(D33,Table_SourceData_OtherLivestock_NitrogenExcreted[Other livestock type],Table_SourceData_OtherLivestock_NitrogenExcreted[NEj])</f>
        <v>7</v>
      </c>
    </row>
    <row r="34" spans="4:6" ht="20.100000000000001" customHeight="1" x14ac:dyDescent="0.25">
      <c r="D34" s="53" t="str">
        <f>'Constants - Other Livestock'!D105</f>
        <v>Deer</v>
      </c>
      <c r="E34" s="53" cm="1">
        <f t="array" ref="E34">Common_InputFunctions.Utility_LookupValueInTableNumber(D34,Table_SourceData_OtherLivestock_NitrogenExcreted[Other livestock type],Table_SourceData_OtherLivestock_NitrogenExcreted[NEj])</f>
        <v>13.2</v>
      </c>
    </row>
    <row r="35" spans="4:6" ht="20.100000000000001" customHeight="1" x14ac:dyDescent="0.25">
      <c r="D35" s="53" t="str">
        <f>'Constants - Other Livestock'!D106</f>
        <v>Camels</v>
      </c>
      <c r="E35" s="53" cm="1">
        <f t="array" ref="E35">Common_InputFunctions.Utility_LookupValueInTableNumber(D35,Table_SourceData_OtherLivestock_NitrogenExcreted[Other livestock type],Table_SourceData_OtherLivestock_NitrogenExcreted[NEj])</f>
        <v>39.5</v>
      </c>
    </row>
    <row r="36" spans="4:6" ht="20.100000000000001" customHeight="1" x14ac:dyDescent="0.25">
      <c r="D36" s="53" t="str">
        <f>'Constants - Other Livestock'!D107</f>
        <v>Alpacas</v>
      </c>
      <c r="E36" s="53" cm="1">
        <f t="array" ref="E36">Common_InputFunctions.Utility_LookupValueInTableNumber(D36,Table_SourceData_OtherLivestock_NitrogenExcreted[Other livestock type],Table_SourceData_OtherLivestock_NitrogenExcreted[NEj])</f>
        <v>7</v>
      </c>
    </row>
    <row r="37" spans="4:6" ht="20.100000000000001" customHeight="1" x14ac:dyDescent="0.25">
      <c r="D37" s="53" t="str">
        <f>'Constants - Other Livestock'!D108</f>
        <v>Horses</v>
      </c>
      <c r="E37" s="53" cm="1">
        <f t="array" ref="E37">Common_InputFunctions.Utility_LookupValueInTableNumber(D37,Table_SourceData_OtherLivestock_NitrogenExcreted[Other livestock type],Table_SourceData_OtherLivestock_NitrogenExcreted[NEj])</f>
        <v>39.5</v>
      </c>
    </row>
    <row r="38" spans="4:6" ht="20.100000000000001" customHeight="1" x14ac:dyDescent="0.25">
      <c r="D38" s="53" t="str">
        <f>'Constants - Other Livestock'!D109</f>
        <v>Mules/asses</v>
      </c>
      <c r="E38" s="53" cm="1">
        <f t="array" ref="E38">Common_InputFunctions.Utility_LookupValueInTableNumber(D38,Table_SourceData_OtherLivestock_NitrogenExcreted[Other livestock type],Table_SourceData_OtherLivestock_NitrogenExcreted[NEj])</f>
        <v>13.2</v>
      </c>
    </row>
    <row r="39" spans="4:6" ht="20.100000000000001" customHeight="1" x14ac:dyDescent="0.25">
      <c r="D39" s="53" t="str">
        <f>'Constants - Other Livestock'!D110</f>
        <v>Emus/ostriches</v>
      </c>
      <c r="E39" s="53" cm="1">
        <f t="array" ref="E39">Common_InputFunctions.Utility_LookupValueInTableNumber(D39,Table_SourceData_OtherLivestock_NitrogenExcreted[Other livestock type],Table_SourceData_OtherLivestock_NitrogenExcreted[NEj])</f>
        <v>7</v>
      </c>
    </row>
    <row r="40" spans="4:6" ht="20.100000000000001" customHeight="1" x14ac:dyDescent="0.25"/>
    <row r="41" spans="4:6" ht="20.100000000000001" customHeight="1" x14ac:dyDescent="0.25">
      <c r="D41" s="98" t="s">
        <v>203</v>
      </c>
    </row>
    <row r="42" spans="4:6" ht="20.100000000000001" customHeight="1" x14ac:dyDescent="0.25">
      <c r="D42" s="97" t="s">
        <v>202</v>
      </c>
    </row>
    <row r="43" spans="4:6" ht="20.100000000000001" customHeight="1" x14ac:dyDescent="0.25">
      <c r="D43" s="52" t="s">
        <v>183</v>
      </c>
      <c r="E43" s="52" t="s">
        <v>226</v>
      </c>
    </row>
    <row r="44" spans="4:6" ht="20.100000000000001" customHeight="1" x14ac:dyDescent="0.25">
      <c r="D44" s="53" t="s">
        <v>152</v>
      </c>
      <c r="E44" s="53" cm="1">
        <f t="array" ref="E44">MMS_OtherLivestock_Soil_N2ODirect.VEERG_4_7_1_3__2_AnnualNitrogenExcretedToPasture(E20,E32)</f>
        <v>66320500</v>
      </c>
      <c r="F44" s="2" t="str">
        <f>$E$11</f>
        <v>kg N/year</v>
      </c>
    </row>
    <row r="45" spans="4:6" ht="20.100000000000001" customHeight="1" x14ac:dyDescent="0.25">
      <c r="D45" s="53" t="s">
        <v>157</v>
      </c>
      <c r="E45" s="53" cm="1">
        <f t="array" ref="E45">MMS_OtherLivestock_Soil_N2ODirect.VEERG_4_7_1_3__2_AnnualNitrogenExcretedToPasture(E21,E33)</f>
        <v>12264000</v>
      </c>
    </row>
    <row r="46" spans="4:6" ht="20.100000000000001" customHeight="1" x14ac:dyDescent="0.25">
      <c r="D46" s="53" t="s">
        <v>164</v>
      </c>
      <c r="E46" s="53" cm="1">
        <f t="array" ref="E46">MMS_OtherLivestock_Soil_N2ODirect.VEERG_4_7_1_3__2_AnnualNitrogenExcretedToPasture(E22,E34)</f>
        <v>22162800</v>
      </c>
    </row>
    <row r="47" spans="4:6" ht="20.100000000000001" customHeight="1" x14ac:dyDescent="0.25">
      <c r="D47" s="53" t="s">
        <v>170</v>
      </c>
      <c r="E47" s="53" cm="1">
        <f t="array" ref="E47">MMS_OtherLivestock_Soil_N2ODirect.VEERG_4_7_1_3__2_AnnualNitrogenExcretedToPasture(E23,E35)</f>
        <v>61995250</v>
      </c>
    </row>
    <row r="48" spans="4:6" ht="20.100000000000001" customHeight="1" x14ac:dyDescent="0.25">
      <c r="D48" s="53" t="s">
        <v>171</v>
      </c>
      <c r="E48" s="53" cm="1">
        <f t="array" ref="E48">MMS_OtherLivestock_Soil_N2ODirect.VEERG_4_7_1_3__2_AnnualNitrogenExcretedToPasture(E24,E36)</f>
        <v>255500</v>
      </c>
    </row>
    <row r="49" spans="3:11" ht="20.100000000000001" customHeight="1" x14ac:dyDescent="0.25">
      <c r="D49" s="53" t="s">
        <v>172</v>
      </c>
      <c r="E49" s="53" cm="1">
        <f t="array" ref="E49">MMS_OtherLivestock_Soil_N2ODirect.VEERG_4_7_1_3__2_AnnualNitrogenExcretedToPasture(E25,E37)</f>
        <v>1441750</v>
      </c>
    </row>
    <row r="50" spans="3:11" ht="20.100000000000001" customHeight="1" x14ac:dyDescent="0.25">
      <c r="D50" s="53" t="s">
        <v>188</v>
      </c>
      <c r="E50" s="53" cm="1">
        <f t="array" ref="E50">MMS_OtherLivestock_Soil_N2ODirect.VEERG_4_7_1_3__2_AnnualNitrogenExcretedToPasture(E26,E38)</f>
        <v>481800</v>
      </c>
    </row>
    <row r="51" spans="3:11" ht="20.100000000000001" customHeight="1" x14ac:dyDescent="0.25">
      <c r="D51" s="53" t="s">
        <v>189</v>
      </c>
      <c r="E51" s="53" cm="1">
        <f t="array" ref="E51">MMS_OtherLivestock_Soil_N2ODirect.VEERG_4_7_1_3__2_AnnualNitrogenExcretedToPasture(E27,E39)</f>
        <v>255500</v>
      </c>
    </row>
    <row r="52" spans="3:11" ht="20.100000000000001" customHeight="1" x14ac:dyDescent="0.25"/>
    <row r="53" spans="3:11" ht="20.100000000000001" customHeight="1" x14ac:dyDescent="0.25">
      <c r="D53" s="110" t="s">
        <v>205</v>
      </c>
      <c r="E53" s="48">
        <f>SUM(E44:E51)</f>
        <v>165177100</v>
      </c>
      <c r="F53" s="109" t="str">
        <f>$E$11</f>
        <v>kg N/year</v>
      </c>
    </row>
    <row r="54" spans="3:11" ht="20.100000000000001" customHeight="1" x14ac:dyDescent="0.25"/>
    <row r="55" spans="3:11" ht="20.100000000000001" customHeight="1" x14ac:dyDescent="0.25"/>
    <row r="56" spans="3:11" ht="20.100000000000001" customHeight="1" x14ac:dyDescent="0.25">
      <c r="C56" s="48"/>
      <c r="D56" s="48"/>
      <c r="E56" s="48"/>
      <c r="F56" s="48"/>
      <c r="G56" s="48"/>
      <c r="H56" s="48"/>
      <c r="I56" s="48"/>
      <c r="J56" s="48"/>
      <c r="K56" s="48"/>
    </row>
    <row r="57" spans="3:11" ht="20.100000000000001" customHeight="1" x14ac:dyDescent="0.25">
      <c r="D57" s="6" t="str" cm="1">
        <f t="array" ref="D57">MMS_OtherLivestock_Soil_N2ODirect.VEERG_4_7_1_3__1_DirectNitrousOxideEmissionsFromSoil_Title()</f>
        <v>Direct nitrous oxide emissions from agricultural soils from deposition of urine and dung to pasture</v>
      </c>
    </row>
    <row r="58" spans="3:11" ht="20.100000000000001" customHeight="1" x14ac:dyDescent="0.25">
      <c r="D58" s="5" t="str" cm="1">
        <f t="array" ref="D58">MMS_OtherLivestock_Soil_N2ODirect.VEERG_4_7_1_3__1_DirectNitrousOxideEmissionsFromSoil_Source()</f>
        <v>VEERG 2026: 4.7.1.3, Equation (1)</v>
      </c>
    </row>
    <row r="59" spans="3:11" ht="20.100000000000001" customHeight="1" x14ac:dyDescent="0.25">
      <c r="D59" s="13" t="s">
        <v>23</v>
      </c>
      <c r="E59" s="13" t="str" cm="1">
        <f t="array" aca="1" ref="E59" ca="1">Common_InputFunctions.Utility_DisplayFunctionName(E70)</f>
        <v>=MMS_OtherLivestock_Soil_N2ODirect.VEERG_4_7_1_3__1_DirectNitrousOxideEmissionsFromSoil</v>
      </c>
    </row>
    <row r="60" spans="3:11" ht="20.100000000000001" customHeight="1" x14ac:dyDescent="0.25"/>
    <row r="61" spans="3:11" ht="20.100000000000001" customHeight="1" x14ac:dyDescent="0.25"/>
    <row r="62" spans="3:11" ht="20.100000000000001" customHeight="1" x14ac:dyDescent="0.25">
      <c r="D62" s="54" t="s">
        <v>26</v>
      </c>
      <c r="E62" s="1" t="str" cm="1">
        <f t="array" ref="E62">MMS_OtherLivestock_Soil_N2ODirect.VEERG_4_7_1_3__1_DirectNitrousOxideEmissionsFromSoil_Variable()</f>
        <v>E_N2Odir</v>
      </c>
    </row>
    <row r="63" spans="3:11" ht="20.100000000000001" customHeight="1" x14ac:dyDescent="0.25">
      <c r="D63" s="54" t="s">
        <v>16</v>
      </c>
      <c r="E63" s="55" t="str" cm="1">
        <f t="array" ref="E63">MMS_OtherLivestock_Soil_N2ODirect.VEERG_4_7_1_3__1_DirectNitrousOxideEmissionsFromSoil_Unit()</f>
        <v>t N2O</v>
      </c>
    </row>
    <row r="64" spans="3:11" ht="20.100000000000001" customHeight="1" x14ac:dyDescent="0.25"/>
    <row r="65" spans="4:9" ht="20.100000000000001" customHeight="1" x14ac:dyDescent="0.25">
      <c r="D65" s="117" t="str" cm="1">
        <f t="array" ref="D65:E68">_xlfn.CHOOSECOLS(MMS_OtherLivestock_Soil_N2ODirect.VEERG_4_7_1_3__1_DirectNitrousOxideEmissionsFromSoil_Arguments(),1,2)</f>
        <v>AE</v>
      </c>
      <c r="E65" s="120" t="str">
        <v>annual nitrogen excreted by each livestock type</v>
      </c>
      <c r="F65" s="119"/>
      <c r="G65" s="117" t="str" cm="1">
        <f t="array" ref="G65:H68">_xlfn.CHOOSECOLS(MMS_OtherLivestock_Soil_N2ODirect.VEERG_4_7_1_3__1_DirectNitrousOxideEmissionsFromSoil_Arguments(),3,4)</f>
        <v>kg N/year</v>
      </c>
      <c r="H65" s="116" t="str">
        <v>Calculated from 4.7.1.3, (2)</v>
      </c>
      <c r="I65" s="117">
        <f>$E$53</f>
        <v>165177100</v>
      </c>
    </row>
    <row r="66" spans="4:9" ht="20.100000000000001" customHeight="1" x14ac:dyDescent="0.25">
      <c r="D66" s="117" t="str">
        <v>EF_PRP</v>
      </c>
      <c r="E66" s="120" t="str">
        <v>emission factor for nitrous oxide from urine and dung deposited to soil</v>
      </c>
      <c r="F66" s="119"/>
      <c r="G66" s="117" t="str">
        <v>kg N2O-N/kg N deposited</v>
      </c>
      <c r="H66" s="116" t="str">
        <v>Constant</v>
      </c>
      <c r="I66" s="117">
        <f>_xlfn.XLOOKUP(I68,Table_SourceData_EFPastureRangeAndPaddock[Climate zone],Table_SourceData_EFPastureRangeAndPaddock[EFPRP])</f>
        <v>2E-3</v>
      </c>
    </row>
    <row r="67" spans="4:9" ht="20.100000000000001" customHeight="1" x14ac:dyDescent="0.25">
      <c r="D67" s="117" t="str">
        <v>C_N2O</v>
      </c>
      <c r="E67" s="120" t="str">
        <v>factor to convert elemental mass of nitrous oxide to molecular mass</v>
      </c>
      <c r="F67" s="119"/>
      <c r="G67" s="117" t="str">
        <v/>
      </c>
      <c r="H67" s="116" t="str">
        <v>Constant</v>
      </c>
      <c r="I67" s="117">
        <f>Common_InputFunctions.Utility_LookupValueInTableNumber("N2O",Table_GasToMolecularConversionFactor[Gas],Table_GasToMolecularConversionFactor[Conversion factor combined])</f>
        <v>1.5714285714285714</v>
      </c>
    </row>
    <row r="68" spans="4:9" ht="20.100000000000001" customHeight="1" x14ac:dyDescent="0.25">
      <c r="D68" s="117" t="str">
        <v>z</v>
      </c>
      <c r="E68" s="120" t="str">
        <v>wet or dry climate zone</v>
      </c>
      <c r="F68" s="119"/>
      <c r="G68" s="117" t="str">
        <v/>
      </c>
      <c r="H68" s="115" t="str">
        <v>Input</v>
      </c>
      <c r="I68" s="117" t="str">
        <f>X_Cell_Site_WetOrDryClimateZone</f>
        <v>Dry climate zone</v>
      </c>
    </row>
    <row r="69" spans="4:9" ht="20.100000000000001" customHeight="1" x14ac:dyDescent="0.25"/>
    <row r="70" spans="4:9" ht="20.100000000000001" customHeight="1" x14ac:dyDescent="0.25">
      <c r="D70" s="101" t="s">
        <v>91</v>
      </c>
      <c r="E70" s="102" cm="1">
        <f t="array" ref="E70">MMS_OtherLivestock_Soil_N2ODirect.VEERG_4_7_1_3__1_DirectNitrousOxideEmissionsFromSoil(I65,I66,I67)</f>
        <v>519.12802857142856</v>
      </c>
      <c r="F70" s="103" t="str">
        <f>$E$63</f>
        <v>t N2O</v>
      </c>
    </row>
    <row r="71" spans="4:9" ht="20.100000000000001" customHeight="1" x14ac:dyDescent="0.25"/>
    <row r="72" spans="4:9" ht="20.100000000000001" customHeight="1" x14ac:dyDescent="0.25">
      <c r="D72" s="58" t="str" cm="1">
        <f t="array" ref="D72:E73">Common_Equations.Common_ConvertN2OToCO2e_Arguments()</f>
        <v>EN2O</v>
      </c>
      <c r="E72" s="59" t="str">
        <v>Nitrous oxide emissions (t N2O)</v>
      </c>
      <c r="F72" s="104"/>
      <c r="G72" s="53">
        <f>E70</f>
        <v>519.12802857142856</v>
      </c>
    </row>
    <row r="73" spans="4:9" ht="20.100000000000001" customHeight="1" x14ac:dyDescent="0.25">
      <c r="D73" s="58" t="str">
        <v>GWPN2O</v>
      </c>
      <c r="E73" s="59" t="str">
        <v>Global warming potential for nitrous oxide (t CO2-e / t N2O)</v>
      </c>
      <c r="F73" s="104"/>
      <c r="G73" s="53">
        <f>Common_InputFunctions.Utility_LookupValueInTableNumber("N2O",Table_GWPData[Gas],Table_GWPData[CO2-e factor])</f>
        <v>265</v>
      </c>
    </row>
    <row r="74" spans="4:9" ht="20.100000000000001" customHeight="1" x14ac:dyDescent="0.25"/>
    <row r="75" spans="4:9" ht="20.100000000000001" customHeight="1" x14ac:dyDescent="0.25">
      <c r="D75" s="48" t="s">
        <v>88</v>
      </c>
      <c r="E75" s="48" cm="1">
        <f t="array" ref="E75">Common_Equations.Common_ConvertN2OToCO2e(G72,G73)</f>
        <v>137568.92757142856</v>
      </c>
      <c r="F75" s="105" t="str" cm="1">
        <f t="array" ref="F75">Common_Equations.Common_ConvertN2OToCO2e_Unit()</f>
        <v>t CO2e</v>
      </c>
    </row>
    <row r="76" spans="4:9" ht="20.100000000000001" customHeight="1" x14ac:dyDescent="0.25"/>
    <row r="77" spans="4:9" ht="20.100000000000001" customHeight="1" x14ac:dyDescent="0.25"/>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ABC13CDC-0614-490F-AB58-FBCB1F93E906}"/>
  </dataValidation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EF629D-E7CC-4363-A4F2-A9E89B3EA331}">
  <dimension ref="A1:U183"/>
  <sheetViews>
    <sheetView showGridLines="0" topLeftCell="A58" zoomScale="85" zoomScaleNormal="85" workbookViewId="0">
      <selection activeCell="G84" sqref="G84"/>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238</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MMS_OtherLivestock_Soil_AtmosphericDeposition.VEERG_4_7_1_5__2_MassOfNitrogenVolatilisedFromPasture_Title()</f>
        <v>Mass of nitrogen volatilised from urine and faeces deposited on pasture</v>
      </c>
    </row>
    <row r="6" spans="1:21" ht="20.100000000000001" customHeight="1" x14ac:dyDescent="0.25">
      <c r="A6" s="16"/>
      <c r="D6" s="5" t="str" cm="1">
        <f t="array" ref="D6">MMS_OtherLivestock_Soil_AtmosphericDeposition.VEERG_4_7_1_5__2_MassOfNitrogenVolatilisedFromPasture_Source()</f>
        <v>VEERG 2026: 4.7.1.5, Equation (2)</v>
      </c>
    </row>
    <row r="7" spans="1:21" ht="20.100000000000001" customHeight="1" x14ac:dyDescent="0.25">
      <c r="A7" s="20" t="s">
        <v>1</v>
      </c>
      <c r="D7" s="13" t="s">
        <v>23</v>
      </c>
      <c r="E7" s="13" t="str" cm="1">
        <f t="array" aca="1" ref="E7" ca="1">Common_InputFunctions.Utility_DisplayFunctionName(E31)</f>
        <v>=MMS_OtherLivestock_Soil_AtmosphericDeposition.VEERG_4_7_1_5__2_MassOfNitrogenVolatilisedFromPasture</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MMS_OtherLivestock_Soil_AtmosphericDeposition.VEERG_4_7_1_5__2_MassOfNitrogenVolatilisedFromPasture_Variable()</f>
        <v>M_vol</v>
      </c>
    </row>
    <row r="11" spans="1:21" ht="20.100000000000001" customHeight="1" x14ac:dyDescent="0.25">
      <c r="A11" s="19" t="s">
        <v>71</v>
      </c>
      <c r="D11" s="54" t="s">
        <v>16</v>
      </c>
      <c r="E11" s="55" t="str" cm="1">
        <f t="array" ref="E11">MMS_OtherLivestock_Soil_AtmosphericDeposition.VEERG_4_7_1_5__2_MassOfNitrogenVolatilisedFromPasture_Unit()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4">_xlfn.CHOOSECOLS(MMS_OtherLivestock_Soil_AtmosphericDeposition.VEERG_4_7_1_5__2_MassOfNitrogenVolatilisedFromPasture_Arguments(),1,2)</f>
        <v>AE</v>
      </c>
      <c r="E13" s="117" t="str">
        <v>annual nitrogen excreted by each livestock type</v>
      </c>
      <c r="F13" s="117"/>
      <c r="G13" s="117" t="str" cm="1">
        <f t="array" ref="G13:H14">_xlfn.CHOOSECOLS(MMS_OtherLivestock_Soil_AtmosphericDeposition.VEERG_4_7_1_5__2_MassOfNitrogenVolatilisedFromPasture_Arguments(),3,4)</f>
        <v>kg N/year</v>
      </c>
      <c r="H13" s="116" t="str">
        <v>Calculated by 4.7.1.3, (2)</v>
      </c>
      <c r="I13" s="117" t="str" cm="1">
        <f t="array" aca="1" ref="I13" ca="1">HYPERLINK(Common_InputFunctions.Utility_SourceHyperlink($D$16),$D$16)</f>
        <v>Table_AEj</v>
      </c>
    </row>
    <row r="14" spans="1:21" ht="20.100000000000001" customHeight="1" x14ac:dyDescent="0.25">
      <c r="A14" s="22" t="str">
        <f>HYPERLINK("#'4.7.1.5-6 Soil Atmos Deposition'!A1", "4.7.1.5-6 Soil Atmos deposition")</f>
        <v>4.7.1.5-6 Soil Atmos deposition</v>
      </c>
      <c r="D14" s="117" t="str">
        <v>FracGASMsoil</v>
      </c>
      <c r="E14" s="117" t="str">
        <v>fraction of nitrogen volatilised from urine and faeces deposited on pasture</v>
      </c>
      <c r="F14" s="117"/>
      <c r="G14" s="117" t="str">
        <v>(kg NH3-N + NOx-N)/kg N</v>
      </c>
      <c r="H14" s="116" t="str">
        <v>Constant</v>
      </c>
      <c r="I14" s="117">
        <f>'Constants - Other Livestock'!E115</f>
        <v>0.21</v>
      </c>
    </row>
    <row r="15" spans="1:21" ht="20.100000000000001" customHeight="1" x14ac:dyDescent="0.25">
      <c r="A15" s="17" t="str">
        <f>HYPERLINK("#'4.7.1.7-8 Soil Leaching Runoff'!A1", "4.7.1.8-9 Soil Leaching &amp; Runoff")</f>
        <v>4.7.1.8-9 Soil Leaching &amp; Runoff</v>
      </c>
    </row>
    <row r="16" spans="1:21" ht="20.100000000000001" customHeight="1" x14ac:dyDescent="0.25">
      <c r="D16" s="98" t="s">
        <v>203</v>
      </c>
    </row>
    <row r="17" spans="1:6" ht="20.100000000000001" customHeight="1" x14ac:dyDescent="0.25">
      <c r="A17" s="18" t="s">
        <v>2</v>
      </c>
      <c r="D17" s="97" t="s">
        <v>202</v>
      </c>
    </row>
    <row r="18" spans="1:6" ht="20.100000000000001" customHeight="1" x14ac:dyDescent="0.25">
      <c r="A18" s="17" t="str">
        <f>HYPERLINK("#'Constants - Other Livestock'!A1", "Constants - Other Livestock")</f>
        <v>Constants - Other Livestock</v>
      </c>
      <c r="D18" s="52" t="s">
        <v>183</v>
      </c>
      <c r="E18" s="52" t="s">
        <v>226</v>
      </c>
    </row>
    <row r="19" spans="1:6" ht="20.100000000000001" customHeight="1" x14ac:dyDescent="0.25">
      <c r="A19" s="17" t="str">
        <f>HYPERLINK("#'Constants - Livestock'!A1", "Constants - Livestock")</f>
        <v>Constants - Livestock</v>
      </c>
      <c r="D19" s="53" t="s">
        <v>152</v>
      </c>
      <c r="E19" s="53">
        <f>INDEX(Table_AEj,2,2)</f>
        <v>66320500</v>
      </c>
      <c r="F19" s="2" t="str">
        <f>'4.7.1.3-4 Soil Direct N2O'!$F$44</f>
        <v>kg N/year</v>
      </c>
    </row>
    <row r="20" spans="1:6" ht="20.100000000000001" customHeight="1" x14ac:dyDescent="0.25">
      <c r="A20" s="17" t="str">
        <f>HYPERLINK("#'Constants - Common'!A1", "Constants - Common")</f>
        <v>Constants - Common</v>
      </c>
      <c r="D20" s="53" t="s">
        <v>157</v>
      </c>
      <c r="E20" s="53">
        <f>INDEX(Table_AEj,3,2)</f>
        <v>12264000</v>
      </c>
    </row>
    <row r="21" spans="1:6" ht="20.100000000000001" customHeight="1" x14ac:dyDescent="0.25">
      <c r="A21" s="17" t="str">
        <f>HYPERLINK("#'Acknowledgements'!A1", "Acknowledgements")</f>
        <v>Acknowledgements</v>
      </c>
      <c r="D21" s="53" t="s">
        <v>164</v>
      </c>
      <c r="E21" s="53">
        <f>INDEX(Table_AEj,4,2)</f>
        <v>22162800</v>
      </c>
    </row>
    <row r="22" spans="1:6" ht="20.100000000000001" customHeight="1" x14ac:dyDescent="0.25">
      <c r="D22" s="53" t="s">
        <v>170</v>
      </c>
      <c r="E22" s="53">
        <f>INDEX(Table_AEj,5,2)</f>
        <v>61995250</v>
      </c>
    </row>
    <row r="23" spans="1:6" ht="20.100000000000001" customHeight="1" x14ac:dyDescent="0.25">
      <c r="D23" s="53" t="s">
        <v>171</v>
      </c>
      <c r="E23" s="53">
        <f>INDEX(Table_AEj,6,2)</f>
        <v>255500</v>
      </c>
    </row>
    <row r="24" spans="1:6" ht="20.100000000000001" customHeight="1" x14ac:dyDescent="0.25">
      <c r="A24" s="17"/>
      <c r="D24" s="53" t="s">
        <v>172</v>
      </c>
      <c r="E24" s="53">
        <f>INDEX(Table_AEj,7,2)</f>
        <v>1441750</v>
      </c>
    </row>
    <row r="25" spans="1:6" ht="20.100000000000001" customHeight="1" x14ac:dyDescent="0.25">
      <c r="D25" s="53" t="s">
        <v>188</v>
      </c>
      <c r="E25" s="53">
        <f>INDEX(Table_AEj,8,2)</f>
        <v>481800</v>
      </c>
    </row>
    <row r="26" spans="1:6" ht="20.100000000000001" customHeight="1" x14ac:dyDescent="0.25">
      <c r="D26" s="53" t="s">
        <v>189</v>
      </c>
      <c r="E26" s="53">
        <f>INDEX(Table_AEj,9,2)</f>
        <v>255500</v>
      </c>
    </row>
    <row r="27" spans="1:6" ht="20.100000000000001" customHeight="1" x14ac:dyDescent="0.25"/>
    <row r="28" spans="1:6" ht="20.100000000000001" customHeight="1" x14ac:dyDescent="0.25">
      <c r="D28" s="98" t="s">
        <v>215</v>
      </c>
    </row>
    <row r="29" spans="1:6" ht="20.100000000000001" customHeight="1" x14ac:dyDescent="0.25">
      <c r="D29" s="97" t="s">
        <v>202</v>
      </c>
    </row>
    <row r="30" spans="1:6" ht="20.100000000000001" customHeight="1" x14ac:dyDescent="0.25">
      <c r="D30" s="52" t="s">
        <v>183</v>
      </c>
      <c r="E30" s="52" t="s">
        <v>228</v>
      </c>
    </row>
    <row r="31" spans="1:6" ht="20.100000000000001" customHeight="1" x14ac:dyDescent="0.25">
      <c r="D31" s="53" t="s">
        <v>152</v>
      </c>
      <c r="E31" s="53" cm="1">
        <f t="array" ref="E31">MMS_OtherLivestock_Soil_AtmosphericDeposition.VEERG_4_7_1_5__2_MassOfNitrogenVolatilisedFromPasture(E19,$I$14)</f>
        <v>13927305</v>
      </c>
      <c r="F31" s="2" t="str">
        <f>'4.7.1.3-4 Soil Direct N2O'!$F$44</f>
        <v>kg N/year</v>
      </c>
    </row>
    <row r="32" spans="1:6" ht="20.100000000000001" customHeight="1" x14ac:dyDescent="0.25">
      <c r="D32" s="53" t="s">
        <v>157</v>
      </c>
      <c r="E32" s="53" cm="1">
        <f t="array" ref="E32">MMS_OtherLivestock_Soil_AtmosphericDeposition.VEERG_4_7_1_5__2_MassOfNitrogenVolatilisedFromPasture(E20,$I$14)</f>
        <v>2575440</v>
      </c>
    </row>
    <row r="33" spans="3:11" ht="20.100000000000001" customHeight="1" x14ac:dyDescent="0.25">
      <c r="D33" s="53" t="s">
        <v>164</v>
      </c>
      <c r="E33" s="53" cm="1">
        <f t="array" ref="E33">MMS_OtherLivestock_Soil_AtmosphericDeposition.VEERG_4_7_1_5__2_MassOfNitrogenVolatilisedFromPasture(E21,$I$14)</f>
        <v>4654188</v>
      </c>
    </row>
    <row r="34" spans="3:11" ht="20.100000000000001" customHeight="1" x14ac:dyDescent="0.25">
      <c r="D34" s="53" t="s">
        <v>170</v>
      </c>
      <c r="E34" s="53" cm="1">
        <f t="array" ref="E34">MMS_OtherLivestock_Soil_AtmosphericDeposition.VEERG_4_7_1_5__2_MassOfNitrogenVolatilisedFromPasture(E22,$I$14)</f>
        <v>13019002.5</v>
      </c>
    </row>
    <row r="35" spans="3:11" ht="20.100000000000001" customHeight="1" x14ac:dyDescent="0.25">
      <c r="D35" s="53" t="s">
        <v>171</v>
      </c>
      <c r="E35" s="53" cm="1">
        <f t="array" ref="E35">MMS_OtherLivestock_Soil_AtmosphericDeposition.VEERG_4_7_1_5__2_MassOfNitrogenVolatilisedFromPasture(E23,$I$14)</f>
        <v>53655</v>
      </c>
    </row>
    <row r="36" spans="3:11" ht="20.100000000000001" customHeight="1" x14ac:dyDescent="0.25">
      <c r="D36" s="53" t="s">
        <v>172</v>
      </c>
      <c r="E36" s="53" cm="1">
        <f t="array" ref="E36">MMS_OtherLivestock_Soil_AtmosphericDeposition.VEERG_4_7_1_5__2_MassOfNitrogenVolatilisedFromPasture(E24,$I$14)</f>
        <v>302767.5</v>
      </c>
    </row>
    <row r="37" spans="3:11" ht="20.100000000000001" customHeight="1" x14ac:dyDescent="0.25">
      <c r="D37" s="53" t="s">
        <v>188</v>
      </c>
      <c r="E37" s="53" cm="1">
        <f t="array" ref="E37">MMS_OtherLivestock_Soil_AtmosphericDeposition.VEERG_4_7_1_5__2_MassOfNitrogenVolatilisedFromPasture(E25,$I$14)</f>
        <v>101178</v>
      </c>
    </row>
    <row r="38" spans="3:11" ht="20.100000000000001" customHeight="1" x14ac:dyDescent="0.25">
      <c r="D38" s="53" t="s">
        <v>189</v>
      </c>
      <c r="E38" s="53" cm="1">
        <f t="array" ref="E38">MMS_OtherLivestock_Soil_AtmosphericDeposition.VEERG_4_7_1_5__2_MassOfNitrogenVolatilisedFromPasture(E26,$I$14)</f>
        <v>53655</v>
      </c>
    </row>
    <row r="39" spans="3:11" ht="20.100000000000001" customHeight="1" x14ac:dyDescent="0.25"/>
    <row r="40" spans="3:11" ht="20.100000000000001" customHeight="1" x14ac:dyDescent="0.25"/>
    <row r="41" spans="3:11" ht="20.100000000000001" customHeight="1" x14ac:dyDescent="0.25">
      <c r="C41" s="48"/>
      <c r="D41" s="48"/>
      <c r="E41" s="48"/>
      <c r="F41" s="48"/>
      <c r="G41" s="48"/>
      <c r="H41" s="48"/>
      <c r="I41" s="48"/>
      <c r="J41" s="48"/>
      <c r="K41" s="48"/>
    </row>
    <row r="42" spans="3:11" ht="20.100000000000001" customHeight="1" x14ac:dyDescent="0.25">
      <c r="D42" s="6" t="str" cm="1">
        <f t="array" ref="D42">MMS_OtherLivestock_Soil_AtmosphericDeposition.VEERG_4_7_1_5__1_AtmosphericDepositionEmissionsFromPasture_Title()</f>
        <v>Atmospheric deposition emissions from urine and dung deposited on pasture</v>
      </c>
    </row>
    <row r="43" spans="3:11" ht="20.100000000000001" customHeight="1" x14ac:dyDescent="0.25">
      <c r="D43" s="5" t="str" cm="1">
        <f t="array" ref="D43">MMS_OtherLivestock_Soil_AtmosphericDeposition.VEERG_4_7_1_5__1_AtmosphericDepositionEmissionsFromPasture_Source()</f>
        <v>VEERG 2026: 4.7.1.5, Equation (1)</v>
      </c>
    </row>
    <row r="44" spans="3:11" ht="20.100000000000001" customHeight="1" x14ac:dyDescent="0.25">
      <c r="D44" s="13" t="s">
        <v>23</v>
      </c>
      <c r="E44" s="13" t="str" cm="1">
        <f t="array" aca="1" ref="E44" ca="1">Common_InputFunctions.Utility_DisplayFunctionName(E72)</f>
        <v>=MMS_OtherLivestock_Soil_AtmosphericDeposition.VEERG_4_7_1_5__1_AtmosphericDepositionEmissionsFromPasture</v>
      </c>
    </row>
    <row r="45" spans="3:11" ht="20.100000000000001" customHeight="1" x14ac:dyDescent="0.25"/>
    <row r="46" spans="3:11" ht="20.100000000000001" customHeight="1" x14ac:dyDescent="0.25"/>
    <row r="47" spans="3:11" ht="20.100000000000001" customHeight="1" x14ac:dyDescent="0.25">
      <c r="D47" s="54" t="s">
        <v>26</v>
      </c>
      <c r="E47" s="1" t="str" cm="1">
        <f t="array" ref="E47">MMS_OtherLivestock_Soil_AtmosphericDeposition.VEERG_4_7_1_5__1_AtmosphericDepositionEmissionsFromPasture_Variable()</f>
        <v>E_N2Oad</v>
      </c>
    </row>
    <row r="48" spans="3:11" ht="20.100000000000001" customHeight="1" x14ac:dyDescent="0.25">
      <c r="D48" s="54" t="s">
        <v>16</v>
      </c>
      <c r="E48" s="55" t="str" cm="1">
        <f t="array" ref="E48">MMS_OtherLivestock_Soil_AtmosphericDeposition.VEERG_4_7_1_5__1_AtmosphericDepositionEmissionsFromPasture_Unit()</f>
        <v>t N2O</v>
      </c>
    </row>
    <row r="49" spans="4:9" ht="20.100000000000001" customHeight="1" x14ac:dyDescent="0.25"/>
    <row r="50" spans="4:9" ht="20.100000000000001" customHeight="1" x14ac:dyDescent="0.25">
      <c r="D50" s="117" t="str" cm="1">
        <f t="array" ref="D50:E55">_xlfn.CHOOSECOLS(MMS_OtherLivestock_Soil_AtmosphericDeposition.VEERG_4_7_1_5__1_AtmosphericDepositionEmissionsFromPasture_Arguments(),1,2)</f>
        <v>M_vol</v>
      </c>
      <c r="E50" s="120" t="str">
        <v>mass of nitrogen volatilised from urine and faeces deposited on pasture</v>
      </c>
      <c r="F50" s="119"/>
      <c r="G50" s="117" t="str" cm="1">
        <f t="array" ref="G50:H55">_xlfn.CHOOSECOLS(MMS_OtherLivestock_Soil_AtmosphericDeposition.VEERG_4_7_1_5__1_AtmosphericDepositionEmissionsFromPasture_Arguments(),3,4)</f>
        <v>kg N</v>
      </c>
      <c r="H50" s="116" t="str">
        <v>Calculated from 4.7.1.5, (2)</v>
      </c>
      <c r="I50" s="118" t="str" cm="1">
        <f t="array" aca="1" ref="I50" ca="1">HYPERLINK(Common_InputFunctions.Utility_SourceHyperlink($D$28),$D$28)</f>
        <v>Table_M_vol</v>
      </c>
    </row>
    <row r="51" spans="4:9" ht="20.100000000000001" customHeight="1" x14ac:dyDescent="0.25">
      <c r="D51" s="117" t="str">
        <v>EF_N2O</v>
      </c>
      <c r="E51" s="120" t="str">
        <v>emission factor for atmospheric deposition</v>
      </c>
      <c r="F51" s="119"/>
      <c r="G51" s="117" t="str">
        <v>kg N2O-N/kg N</v>
      </c>
      <c r="H51" s="116" t="str">
        <v>Constant</v>
      </c>
      <c r="I51" s="118" t="str" cm="1">
        <f t="array" aca="1" ref="I51" ca="1">HYPERLINK(Common_InputFunctions.Utility_SourceHyperlink($D$57),$D$57)</f>
        <v>Table_EF_N2O</v>
      </c>
    </row>
    <row r="52" spans="4:9" ht="20.100000000000001" customHeight="1" x14ac:dyDescent="0.25">
      <c r="D52" s="117" t="str">
        <v>C_N2O</v>
      </c>
      <c r="E52" s="120" t="str">
        <v>factor to convert elemental mass of nitrous oxide to molecular mass</v>
      </c>
      <c r="F52" s="119"/>
      <c r="G52" s="117" t="str">
        <v/>
      </c>
      <c r="H52" s="116" t="str">
        <v>Constant</v>
      </c>
      <c r="I52" s="117">
        <f>Common_InputFunctions.Utility_LookupValueInTableNumber("N2O",Table_GasToMolecularConversionFactor[Gas],Table_GasToMolecularConversionFactor[Conversion factor combined])</f>
        <v>1.5714285714285714</v>
      </c>
    </row>
    <row r="53" spans="4:9" ht="20.100000000000001" customHeight="1" x14ac:dyDescent="0.25">
      <c r="D53" s="117" t="str">
        <v>j</v>
      </c>
      <c r="E53" s="120" t="str">
        <v>production system</v>
      </c>
      <c r="F53" s="119"/>
      <c r="G53" s="117" t="str">
        <v/>
      </c>
      <c r="H53" s="115" t="str">
        <v>Input</v>
      </c>
      <c r="I53" s="118" t="str" cm="1">
        <f t="array" aca="1" ref="I53" ca="1">HYPERLINK(Common_InputFunctions.Utility_SourceHyperlink($D$57),$D$57)</f>
        <v>Table_EF_N2O</v>
      </c>
    </row>
    <row r="54" spans="4:9" ht="20.100000000000001" customHeight="1" x14ac:dyDescent="0.25">
      <c r="D54" s="117" t="str">
        <v>i</v>
      </c>
      <c r="E54" s="120" t="str">
        <v>irrigation method</v>
      </c>
      <c r="F54" s="119"/>
      <c r="G54" s="117" t="str">
        <v/>
      </c>
      <c r="H54" s="115" t="str">
        <v>Input</v>
      </c>
      <c r="I54" s="118" t="str" cm="1">
        <f t="array" aca="1" ref="I54" ca="1">HYPERLINK(Common_InputFunctions.Utility_SourceHyperlink($D$57),$D$57)</f>
        <v>Table_EF_N2O</v>
      </c>
    </row>
    <row r="55" spans="4:9" ht="20.100000000000001" customHeight="1" x14ac:dyDescent="0.25">
      <c r="D55" s="117" t="str">
        <v>r</v>
      </c>
      <c r="E55" s="120" t="str">
        <v>rainfall zone</v>
      </c>
      <c r="F55" s="119"/>
      <c r="G55" s="117" t="str">
        <v/>
      </c>
      <c r="H55" s="115" t="str">
        <v>Input</v>
      </c>
      <c r="I55" s="118" t="str" cm="1">
        <f t="array" aca="1" ref="I55" ca="1">HYPERLINK(Common_InputFunctions.Utility_SourceHyperlink($D$57),$D$57)</f>
        <v>Table_EF_N2O</v>
      </c>
    </row>
    <row r="56" spans="4:9" ht="20.100000000000001" customHeight="1" x14ac:dyDescent="0.25"/>
    <row r="57" spans="4:9" ht="20.100000000000001" customHeight="1" x14ac:dyDescent="0.25">
      <c r="D57" s="98" t="s">
        <v>212</v>
      </c>
    </row>
    <row r="58" spans="4:9" ht="20.100000000000001" customHeight="1" x14ac:dyDescent="0.25">
      <c r="D58" s="97" t="s">
        <v>213</v>
      </c>
    </row>
    <row r="59" spans="4:9" ht="20.100000000000001" customHeight="1" x14ac:dyDescent="0.25">
      <c r="D59" s="52" t="s">
        <v>183</v>
      </c>
      <c r="E59" s="41" t="s">
        <v>102</v>
      </c>
      <c r="F59" s="41" t="s">
        <v>100</v>
      </c>
      <c r="G59" s="41" t="s">
        <v>32</v>
      </c>
      <c r="H59" s="52" t="s">
        <v>227</v>
      </c>
    </row>
    <row r="60" spans="4:9" ht="20.100000000000001" customHeight="1" x14ac:dyDescent="0.25">
      <c r="D60" s="53" t="s">
        <v>152</v>
      </c>
      <c r="E60" s="53" t="str">
        <f>X_Cell_OtherLivestock_Buffalo_GrazingProductionSystem</f>
        <v>Pasture</v>
      </c>
      <c r="F60" s="53" t="str">
        <f>X_Cell_OtherLivestock_Buffalo_GrazingIrrigationMethod</f>
        <v>Not irrigated</v>
      </c>
      <c r="G60" s="53" t="str">
        <f t="shared" ref="G60:G67" si="0">X_Cell_Site_RainfallZone</f>
        <v>High rainfall</v>
      </c>
      <c r="H60" s="53">
        <f>Common_InputFunctions.Utility_LookupN2OEFFromProdIrrigationRainfall(E60,F60,G60,Table_SourceData_Common_EFN2O[Production system only],Table_SourceData_Common_EFN2O[Irrigation method],Table_SourceData_Common_EFN2O[Rainfall zone],Table_SourceData_Common_EFN2O[EFN2O])</f>
        <v>1.8E-3</v>
      </c>
      <c r="I60" s="2" t="str">
        <f>E48</f>
        <v>t N2O</v>
      </c>
    </row>
    <row r="61" spans="4:9" ht="20.100000000000001" customHeight="1" x14ac:dyDescent="0.25">
      <c r="D61" s="53" t="s">
        <v>157</v>
      </c>
      <c r="E61" s="53" t="str">
        <f>X_Cell_OtherLivestock_Goats_GrazingProductionSystem</f>
        <v>Pasture</v>
      </c>
      <c r="F61" s="53" t="str">
        <f>X_Cell_OtherLivestock_Goats_GrazingIrrigationMethod</f>
        <v>Not irrigated</v>
      </c>
      <c r="G61" s="53" t="str">
        <f t="shared" si="0"/>
        <v>High rainfall</v>
      </c>
      <c r="H61" s="53">
        <f>Common_InputFunctions.Utility_LookupN2OEFFromProdIrrigationRainfall(E61,F61,G61,Table_SourceData_Common_EFN2O[Production system only],Table_SourceData_Common_EFN2O[Irrigation method],Table_SourceData_Common_EFN2O[Rainfall zone],Table_SourceData_Common_EFN2O[EFN2O])</f>
        <v>1.8E-3</v>
      </c>
    </row>
    <row r="62" spans="4:9" ht="20.100000000000001" customHeight="1" x14ac:dyDescent="0.25">
      <c r="D62" s="53" t="s">
        <v>164</v>
      </c>
      <c r="E62" s="53" t="str">
        <f>X_Cell_OtherLivestock_Deer_GrazingProductionSystem</f>
        <v>Pasture</v>
      </c>
      <c r="F62" s="53" t="str">
        <f>X_Cell_OtherLivestock_Deer_GrazingIrrigationMethod</f>
        <v>Not irrigated</v>
      </c>
      <c r="G62" s="53" t="str">
        <f t="shared" si="0"/>
        <v>High rainfall</v>
      </c>
      <c r="H62" s="53">
        <f>Common_InputFunctions.Utility_LookupN2OEFFromProdIrrigationRainfall(E62,F62,G62,Table_SourceData_Common_EFN2O[Production system only],Table_SourceData_Common_EFN2O[Irrigation method],Table_SourceData_Common_EFN2O[Rainfall zone],Table_SourceData_Common_EFN2O[EFN2O])</f>
        <v>1.8E-3</v>
      </c>
    </row>
    <row r="63" spans="4:9" ht="20.100000000000001" customHeight="1" x14ac:dyDescent="0.25">
      <c r="D63" s="53" t="s">
        <v>170</v>
      </c>
      <c r="E63" s="53" t="str">
        <f>X_Cell_OtherLivestock_Others_Camels_GrazingProductionSystem</f>
        <v>Pasture</v>
      </c>
      <c r="F63" s="53" t="str">
        <f>X_Cell_OtherLivestock_Others_Camels_GrazingIrrigationMethod</f>
        <v>Drip irrigation</v>
      </c>
      <c r="G63" s="53" t="str">
        <f t="shared" si="0"/>
        <v>High rainfall</v>
      </c>
      <c r="H63" s="53">
        <f>Common_InputFunctions.Utility_LookupN2OEFFromProdIrrigationRainfall(E63,F63,G63,Table_SourceData_Common_EFN2O[Production system only],Table_SourceData_Common_EFN2O[Irrigation method],Table_SourceData_Common_EFN2O[Rainfall zone],Table_SourceData_Common_EFN2O[EFN2O])</f>
        <v>5.8999999999999999E-3</v>
      </c>
    </row>
    <row r="64" spans="4:9" ht="20.100000000000001" customHeight="1" x14ac:dyDescent="0.25">
      <c r="D64" s="53" t="s">
        <v>171</v>
      </c>
      <c r="E64" s="53" t="str">
        <f>X_Cell_OtherLivestock_Others_Alpacas_GrazingProductionSystem</f>
        <v>Pasture</v>
      </c>
      <c r="F64" s="53" t="str">
        <f>X_Cell_OtherLivestock_Others_Alpacas_GrazingIrrigationMethod</f>
        <v>Sprinkler irrigation</v>
      </c>
      <c r="G64" s="53" t="str">
        <f t="shared" si="0"/>
        <v>High rainfall</v>
      </c>
      <c r="H64" s="53">
        <f>Common_InputFunctions.Utility_LookupN2OEFFromProdIrrigationRainfall(E64,F64,G64,Table_SourceData_Common_EFN2O[Production system only],Table_SourceData_Common_EFN2O[Irrigation method],Table_SourceData_Common_EFN2O[Rainfall zone],Table_SourceData_Common_EFN2O[EFN2O])</f>
        <v>5.8999999999999999E-3</v>
      </c>
    </row>
    <row r="65" spans="4:8" ht="20.100000000000001" customHeight="1" x14ac:dyDescent="0.25">
      <c r="D65" s="53" t="s">
        <v>172</v>
      </c>
      <c r="E65" s="53" t="str">
        <f>X_Cell_OtherLivestock_Others_Horses_GrazingProductionSystem</f>
        <v>Crop</v>
      </c>
      <c r="F65" s="53" t="str">
        <f>X_Cell_OtherLivestock_Others_Horses_GrazingIrrigationMethod</f>
        <v>Not irrigated</v>
      </c>
      <c r="G65" s="53" t="str">
        <f t="shared" si="0"/>
        <v>High rainfall</v>
      </c>
      <c r="H65" s="53">
        <f>Common_InputFunctions.Utility_LookupN2OEFFromProdIrrigationRainfall(E65,F65,G65,Table_SourceData_Common_EFN2O[Production system only],Table_SourceData_Common_EFN2O[Irrigation method],Table_SourceData_Common_EFN2O[Rainfall zone],Table_SourceData_Common_EFN2O[EFN2O])</f>
        <v>8.0000000000000002E-3</v>
      </c>
    </row>
    <row r="66" spans="4:8" ht="20.100000000000001" customHeight="1" x14ac:dyDescent="0.25">
      <c r="D66" s="53" t="s">
        <v>188</v>
      </c>
      <c r="E66" s="53" t="str">
        <f>X_Cell_OtherLivestock_Others_Mules_GrazingProductionSystem</f>
        <v>Crop</v>
      </c>
      <c r="F66" s="53" t="str">
        <f>X_Cell_OtherLivestock_Others_Mules_GrazingIrrigationMethod</f>
        <v>Surface irrigation</v>
      </c>
      <c r="G66" s="53" t="str">
        <f t="shared" si="0"/>
        <v>High rainfall</v>
      </c>
      <c r="H66" s="53">
        <f>Common_InputFunctions.Utility_LookupN2OEFFromProdIrrigationRainfall(E66,F66,G66,Table_SourceData_Common_EFN2O[Production system only],Table_SourceData_Common_EFN2O[Irrigation method],Table_SourceData_Common_EFN2O[Rainfall zone],Table_SourceData_Common_EFN2O[EFN2O])</f>
        <v>7.0000000000000001E-3</v>
      </c>
    </row>
    <row r="67" spans="4:8" ht="20.100000000000001" customHeight="1" x14ac:dyDescent="0.25">
      <c r="D67" s="53" t="s">
        <v>189</v>
      </c>
      <c r="E67" s="53" t="str">
        <f>X_Cell_OtherLivestock_Others_Emus_GrazingProductionSystem</f>
        <v>Pasture</v>
      </c>
      <c r="F67" s="53" t="str">
        <f>X_Cell_OtherLivestock_Others_Emus_GrazingIrrigationMethod</f>
        <v>Not irrigated</v>
      </c>
      <c r="G67" s="53" t="str">
        <f t="shared" si="0"/>
        <v>High rainfall</v>
      </c>
      <c r="H67" s="53">
        <f>Common_InputFunctions.Utility_LookupN2OEFFromProdIrrigationRainfall(E67,F67,G67,Table_SourceData_Common_EFN2O[Production system only],Table_SourceData_Common_EFN2O[Irrigation method],Table_SourceData_Common_EFN2O[Rainfall zone],Table_SourceData_Common_EFN2O[EFN2O])</f>
        <v>1.8E-3</v>
      </c>
    </row>
    <row r="68" spans="4:8" ht="20.100000000000001" customHeight="1" x14ac:dyDescent="0.25"/>
    <row r="69" spans="4:8" ht="20.100000000000001" customHeight="1" x14ac:dyDescent="0.25">
      <c r="D69" s="98" t="s">
        <v>216</v>
      </c>
    </row>
    <row r="70" spans="4:8" ht="20.100000000000001" customHeight="1" x14ac:dyDescent="0.25">
      <c r="D70" s="97" t="s">
        <v>217</v>
      </c>
    </row>
    <row r="71" spans="4:8" ht="20.100000000000001" customHeight="1" x14ac:dyDescent="0.25">
      <c r="D71" s="52" t="s">
        <v>183</v>
      </c>
      <c r="E71" s="52" t="s">
        <v>102</v>
      </c>
    </row>
    <row r="72" spans="4:8" ht="20.100000000000001" customHeight="1" x14ac:dyDescent="0.25">
      <c r="D72" s="53" t="s">
        <v>152</v>
      </c>
      <c r="E72" s="53" cm="1">
        <f t="array" ref="E72">MMS_OtherLivestock_Soil_AtmosphericDeposition.VEERG_4_7_1_5__1_AtmosphericDepositionEmissionsFromPasture(E31,H60,$I$52)</f>
        <v>39.394376999999992</v>
      </c>
      <c r="F72" s="2" t="str">
        <f>$E$48</f>
        <v>t N2O</v>
      </c>
    </row>
    <row r="73" spans="4:8" ht="20.100000000000001" customHeight="1" x14ac:dyDescent="0.25">
      <c r="D73" s="53" t="s">
        <v>157</v>
      </c>
      <c r="E73" s="53" cm="1">
        <f t="array" ref="E73">MMS_OtherLivestock_Soil_AtmosphericDeposition.VEERG_4_7_1_5__1_AtmosphericDepositionEmissionsFromPasture(E32,H61,$I$52)</f>
        <v>7.2848159999999993</v>
      </c>
    </row>
    <row r="74" spans="4:8" ht="20.100000000000001" customHeight="1" x14ac:dyDescent="0.25">
      <c r="D74" s="53" t="s">
        <v>164</v>
      </c>
      <c r="E74" s="53" cm="1">
        <f t="array" ref="E74">MMS_OtherLivestock_Soil_AtmosphericDeposition.VEERG_4_7_1_5__1_AtmosphericDepositionEmissionsFromPasture(E33,H62,$I$52)</f>
        <v>13.164703199999998</v>
      </c>
    </row>
    <row r="75" spans="4:8" ht="20.100000000000001" customHeight="1" x14ac:dyDescent="0.25">
      <c r="D75" s="53" t="s">
        <v>170</v>
      </c>
      <c r="E75" s="53" cm="1">
        <f t="array" ref="E75">MMS_OtherLivestock_Soil_AtmosphericDeposition.VEERG_4_7_1_5__1_AtmosphericDepositionEmissionsFromPasture(E34,H63,$I$52)</f>
        <v>120.70475174999999</v>
      </c>
    </row>
    <row r="76" spans="4:8" ht="20.100000000000001" customHeight="1" x14ac:dyDescent="0.25">
      <c r="D76" s="53" t="s">
        <v>171</v>
      </c>
      <c r="E76" s="53" cm="1">
        <f t="array" ref="E76">MMS_OtherLivestock_Soil_AtmosphericDeposition.VEERG_4_7_1_5__1_AtmosphericDepositionEmissionsFromPasture(E35,H64,$I$52)</f>
        <v>0.49745850000000003</v>
      </c>
    </row>
    <row r="77" spans="4:8" ht="20.100000000000001" customHeight="1" x14ac:dyDescent="0.25">
      <c r="D77" s="53" t="s">
        <v>172</v>
      </c>
      <c r="E77" s="53" cm="1">
        <f t="array" ref="E77">MMS_OtherLivestock_Soil_AtmosphericDeposition.VEERG_4_7_1_5__1_AtmosphericDepositionEmissionsFromPasture(E36,H65,$I$52)</f>
        <v>3.8062199999999997</v>
      </c>
    </row>
    <row r="78" spans="4:8" ht="20.100000000000001" customHeight="1" x14ac:dyDescent="0.25">
      <c r="D78" s="53" t="s">
        <v>188</v>
      </c>
      <c r="E78" s="53" cm="1">
        <f t="array" ref="E78">MMS_OtherLivestock_Soil_AtmosphericDeposition.VEERG_4_7_1_5__1_AtmosphericDepositionEmissionsFromPasture(E37,H66,$I$52)</f>
        <v>1.1129579999999999</v>
      </c>
    </row>
    <row r="79" spans="4:8" ht="20.100000000000001" customHeight="1" x14ac:dyDescent="0.25">
      <c r="D79" s="53" t="s">
        <v>189</v>
      </c>
      <c r="E79" s="53" cm="1">
        <f t="array" ref="E79">MMS_OtherLivestock_Soil_AtmosphericDeposition.VEERG_4_7_1_5__1_AtmosphericDepositionEmissionsFromPasture(E38,H67,$I$52)</f>
        <v>0.15176699999999999</v>
      </c>
    </row>
    <row r="80" spans="4:8" ht="20.100000000000001" customHeight="1" x14ac:dyDescent="0.25"/>
    <row r="81" spans="4:7" ht="20.100000000000001" customHeight="1" x14ac:dyDescent="0.25">
      <c r="D81" s="101" t="s">
        <v>109</v>
      </c>
      <c r="E81" s="102">
        <f>SUM(E72:E79)</f>
        <v>186.11705144999996</v>
      </c>
      <c r="F81" s="103" t="str">
        <f>$E$48</f>
        <v>t N2O</v>
      </c>
    </row>
    <row r="82" spans="4:7" ht="20.100000000000001" customHeight="1" x14ac:dyDescent="0.25"/>
    <row r="83" spans="4:7" ht="20.100000000000001" customHeight="1" x14ac:dyDescent="0.25">
      <c r="D83" s="58" t="str" cm="1">
        <f t="array" ref="D83:E84">Common_Equations.Common_ConvertN2OToCO2e_Arguments()</f>
        <v>EN2O</v>
      </c>
      <c r="E83" s="59" t="str">
        <v>Nitrous oxide emissions (t N2O)</v>
      </c>
      <c r="F83" s="104"/>
      <c r="G83" s="53">
        <f>E81</f>
        <v>186.11705144999996</v>
      </c>
    </row>
    <row r="84" spans="4:7" ht="20.100000000000001" customHeight="1" x14ac:dyDescent="0.25">
      <c r="D84" s="58" t="str">
        <v>GWPN2O</v>
      </c>
      <c r="E84" s="59" t="str">
        <v>Global warming potential for nitrous oxide (t CO2-e / t N2O)</v>
      </c>
      <c r="F84" s="104"/>
      <c r="G84" s="53">
        <f>Common_InputFunctions.Utility_LookupValueInTableNumber("N2O", Table_GWPData[Gas],Table_GWPData[CO2-e factor])</f>
        <v>265</v>
      </c>
    </row>
    <row r="85" spans="4:7" ht="20.100000000000001" customHeight="1" x14ac:dyDescent="0.25"/>
    <row r="86" spans="4:7" ht="20.100000000000001" customHeight="1" x14ac:dyDescent="0.25">
      <c r="D86" s="48" t="s">
        <v>88</v>
      </c>
      <c r="E86" s="48" cm="1">
        <f t="array" ref="E86">Common_Equations.Common_ConvertN2OToCO2e(G83,G84)</f>
        <v>49321.018634249987</v>
      </c>
      <c r="F86" s="105" t="str" cm="1">
        <f t="array" ref="F86">Common_Equations.Common_ConvertN2OToCO2e_Unit()</f>
        <v>t CO2e</v>
      </c>
    </row>
    <row r="87" spans="4:7" ht="20.100000000000001" customHeight="1" x14ac:dyDescent="0.25"/>
    <row r="88" spans="4:7" ht="20.100000000000001" customHeight="1" x14ac:dyDescent="0.25"/>
    <row r="89" spans="4:7" ht="20.100000000000001" customHeight="1" x14ac:dyDescent="0.25"/>
    <row r="90" spans="4:7" ht="20.100000000000001" customHeight="1" x14ac:dyDescent="0.25"/>
    <row r="91" spans="4:7" ht="20.100000000000001" customHeight="1" x14ac:dyDescent="0.25"/>
    <row r="92" spans="4:7" ht="20.100000000000001" customHeight="1" x14ac:dyDescent="0.25"/>
    <row r="93" spans="4:7" ht="20.100000000000001" customHeight="1" x14ac:dyDescent="0.25"/>
    <row r="94" spans="4:7" ht="20.100000000000001" customHeight="1" x14ac:dyDescent="0.25"/>
    <row r="95" spans="4:7" ht="20.100000000000001" customHeight="1" x14ac:dyDescent="0.25"/>
    <row r="96" spans="4:7"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92F1D30F-69B7-43CA-8149-EE1344F53F5F}"/>
  </dataValidations>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068A1-6101-411D-B813-7C0D9B5A9884}">
  <dimension ref="A1:U183"/>
  <sheetViews>
    <sheetView showGridLines="0" tabSelected="1" topLeftCell="A46" zoomScaleNormal="100" workbookViewId="0">
      <selection activeCell="G75" sqref="G75"/>
    </sheetView>
  </sheetViews>
  <sheetFormatPr defaultRowHeight="15.75" x14ac:dyDescent="0.25"/>
  <cols>
    <col min="1" max="1" width="30.7109375" customWidth="1"/>
    <col min="2" max="2" width="4.7109375" customWidth="1"/>
    <col min="3" max="3" width="4.7109375" style="1" customWidth="1"/>
    <col min="4" max="10" width="30.7109375" style="1" customWidth="1"/>
    <col min="11" max="11" width="4.7109375" style="1" customWidth="1"/>
    <col min="12" max="12" width="4.7109375" customWidth="1"/>
    <col min="13" max="13" width="4.7109375" style="1" customWidth="1"/>
    <col min="14" max="20" width="30.7109375" style="1" customWidth="1"/>
    <col min="21" max="21" width="4.7109375" style="1" customWidth="1"/>
  </cols>
  <sheetData>
    <row r="1" spans="1:21" s="8" customFormat="1" ht="30" customHeight="1" x14ac:dyDescent="0.35">
      <c r="A1" s="67" t="e" vm="1">
        <v>#VALUE!</v>
      </c>
      <c r="C1" s="8" t="s">
        <v>239</v>
      </c>
      <c r="L1"/>
    </row>
    <row r="2" spans="1:21" s="9" customFormat="1" ht="20.100000000000001" customHeight="1" x14ac:dyDescent="0.25">
      <c r="L2"/>
    </row>
    <row r="3" spans="1:21" ht="20.100000000000001" customHeight="1" x14ac:dyDescent="0.25">
      <c r="A3" s="17" t="str">
        <f>HYPERLINK("#'Home'!A1", "Home")</f>
        <v>Home</v>
      </c>
      <c r="C3" s="4"/>
      <c r="D3" s="4" t="s">
        <v>89</v>
      </c>
      <c r="E3" s="4"/>
      <c r="F3" s="4"/>
      <c r="G3" s="4"/>
      <c r="H3" s="4"/>
      <c r="I3" s="4"/>
      <c r="J3" s="4"/>
      <c r="K3" s="4"/>
      <c r="M3" s="4"/>
      <c r="N3" s="4" t="s">
        <v>90</v>
      </c>
      <c r="O3" s="4"/>
      <c r="P3" s="4"/>
      <c r="Q3" s="4"/>
      <c r="R3" s="4"/>
      <c r="S3" s="4"/>
      <c r="T3" s="4"/>
      <c r="U3" s="4"/>
    </row>
    <row r="4" spans="1:21" ht="20.100000000000001" customHeight="1" x14ac:dyDescent="0.25">
      <c r="A4" s="17" t="str">
        <f>HYPERLINK("#'Overview'!A1", "Overview")</f>
        <v>Overview</v>
      </c>
    </row>
    <row r="5" spans="1:21" ht="20.100000000000001" customHeight="1" x14ac:dyDescent="0.25">
      <c r="A5" s="17" t="str">
        <f>HYPERLINK("#'Results'!A1", "Results")</f>
        <v>Results</v>
      </c>
      <c r="D5" s="6" t="str" cm="1">
        <f t="array" ref="D5">MMS_OtherLivestock_Soil_LeachingAndRunoff.VEERG_4_7_1_7__2_MassOfNitrogenLostToLeachingAndRunoff_Title()</f>
        <v>Mass of nitrogen lost to leaching and runoff</v>
      </c>
    </row>
    <row r="6" spans="1:21" ht="20.100000000000001" customHeight="1" x14ac:dyDescent="0.25">
      <c r="A6" s="16"/>
      <c r="D6" s="5" t="str" cm="1">
        <f t="array" ref="D6">MMS_OtherLivestock_Soil_LeachingAndRunoff.VEERG_4_7_1_7__2_MassOfNitrogenLostToLeachingAndRunoff_Source()</f>
        <v>VEERG 2026: 4.7.1.7, Equation (2)</v>
      </c>
    </row>
    <row r="7" spans="1:21" ht="20.100000000000001" customHeight="1" x14ac:dyDescent="0.25">
      <c r="A7" s="20" t="s">
        <v>1</v>
      </c>
      <c r="D7" s="13" t="s">
        <v>23</v>
      </c>
      <c r="E7" s="13" t="str" cm="1">
        <f t="array" aca="1" ref="E7" ca="1">Common_InputFunctions.Utility_DisplayFunctionName(E47)</f>
        <v>=MMS_OtherLivestock_Soil_LeachingAndRunoff.VEERG_4_7_1_7__2_MassOfNitrogenLostToLeachingAndRunoff</v>
      </c>
    </row>
    <row r="8" spans="1:21" ht="20.100000000000001" customHeight="1" x14ac:dyDescent="0.25">
      <c r="A8" s="17" t="str">
        <f>HYPERLINK("#'Input - Site'!A1", "Site")</f>
        <v>Site</v>
      </c>
    </row>
    <row r="9" spans="1:21" ht="20.100000000000001" customHeight="1" x14ac:dyDescent="0.25">
      <c r="A9" s="17" t="str">
        <f>HYPERLINK("#'Input - Other Livestock'!A1", "Other Livestock")</f>
        <v>Other Livestock</v>
      </c>
    </row>
    <row r="10" spans="1:21" ht="20.100000000000001" customHeight="1" x14ac:dyDescent="0.25">
      <c r="A10" s="17"/>
      <c r="D10" s="54" t="s">
        <v>26</v>
      </c>
      <c r="E10" s="1" t="str" cm="1">
        <f t="array" ref="E10">MMS_OtherLivestock_Soil_LeachingAndRunoff.VEERG_4_7_1_7__2_MassOfNitrogenLostToLeachingAndRunoff_Variable()</f>
        <v>M_leach</v>
      </c>
    </row>
    <row r="11" spans="1:21" ht="20.100000000000001" customHeight="1" x14ac:dyDescent="0.25">
      <c r="A11" s="19" t="s">
        <v>71</v>
      </c>
      <c r="D11" s="54" t="s">
        <v>16</v>
      </c>
      <c r="E11" s="55" t="str" cm="1">
        <f t="array" ref="E11">MMS_OtherLivestock_Soil_LeachingAndRunoff.VEERG_4_7_1_7__2_MassOfNitrogenLostToLeachingAndRunoff_Unit()</f>
        <v>kg N</v>
      </c>
    </row>
    <row r="12" spans="1:21" ht="20.100000000000001" customHeight="1" x14ac:dyDescent="0.25">
      <c r="A12" s="17" t="str">
        <f>HYPERLINK("#'4.7.1.1-2 Manure Methane'!A1", "4.7.1.1-2 Methane")</f>
        <v>4.7.1.1-2 Methane</v>
      </c>
    </row>
    <row r="13" spans="1:21" ht="20.100000000000001" customHeight="1" x14ac:dyDescent="0.25">
      <c r="A13" s="17" t="str">
        <f>HYPERLINK("#'4.7.1.3-4 Soil Direct N2O'!A1", "4.7.1.3-4 Soil Direct N2O")</f>
        <v>4.7.1.3-4 Soil Direct N2O</v>
      </c>
      <c r="D13" s="117" t="str" cm="1">
        <f t="array" ref="D13:E18">_xlfn.CHOOSECOLS(MMS_OtherLivestock_Soil_LeachingAndRunoff.VEERG_4_7_1_7__2_MassOfNitrogenLostToLeachingAndRunoff_Arguments(),1,2)</f>
        <v>AE</v>
      </c>
      <c r="E13" s="120" t="str">
        <v>annual nitrogen excreted by each livestock type</v>
      </c>
      <c r="F13" s="119"/>
      <c r="G13" s="117" t="str" cm="1">
        <f t="array" ref="G13:H18">_xlfn.CHOOSECOLS(MMS_OtherLivestock_Soil_LeachingAndRunoff.VEERG_4_7_1_7__2_MassOfNitrogenLostToLeachingAndRunoff_Arguments(),3,4)</f>
        <v>kg N/year</v>
      </c>
      <c r="H13" s="116" t="str">
        <v>Calculated by 4.7.1.3, (2)</v>
      </c>
      <c r="I13" s="118" t="str" cm="1">
        <f t="array" aca="1" ref="I13" ca="1">HYPERLINK(Common_InputFunctions.Utility_SourceHyperlink($D$20),$D$20)</f>
        <v>Table_AEj</v>
      </c>
    </row>
    <row r="14" spans="1:21" ht="20.100000000000001" customHeight="1" x14ac:dyDescent="0.25">
      <c r="A14" s="17" t="str">
        <f>HYPERLINK("#'4.7.1.5-6 Soil Atmos Deposition'!A1", "4.7.1.5-6 Soil Atmos deposition")</f>
        <v>4.7.1.5-6 Soil Atmos deposition</v>
      </c>
      <c r="D14" s="117" t="str">
        <v>FracWet</v>
      </c>
      <c r="E14" s="120" t="str">
        <v>fraction of nitrogen available for leaching and runoff</v>
      </c>
      <c r="F14" s="119"/>
      <c r="G14" s="117" t="str">
        <v/>
      </c>
      <c r="H14" s="116" t="str">
        <v>Constant</v>
      </c>
      <c r="I14" s="118" t="str" cm="1">
        <f t="array" aca="1" ref="I14" ca="1">HYPERLINK(Common_InputFunctions.Utility_SourceHyperlink($D$32),$D$32)</f>
        <v>Table_Frac_Wet</v>
      </c>
    </row>
    <row r="15" spans="1:21" ht="20.100000000000001" customHeight="1" x14ac:dyDescent="0.25">
      <c r="A15" s="22" t="str">
        <f>HYPERLINK("#'4.7.1.7-8 Soil Leaching Runoff'!A1", "4.7.1.8-9 Soil Leaching &amp; Runoff")</f>
        <v>4.7.1.8-9 Soil Leaching &amp; Runoff</v>
      </c>
      <c r="D15" s="117" t="str">
        <v>FracLEACH</v>
      </c>
      <c r="E15" s="120" t="str">
        <v>fraction of all nitrogen that is lost through leaching and runoff</v>
      </c>
      <c r="F15" s="119"/>
      <c r="G15" s="117" t="str">
        <v/>
      </c>
      <c r="H15" s="116" t="str">
        <v>Constant</v>
      </c>
      <c r="I15" s="117">
        <f>'Constants - Common'!$E$164</f>
        <v>0.24</v>
      </c>
    </row>
    <row r="16" spans="1:21" ht="20.100000000000001" customHeight="1" x14ac:dyDescent="0.25">
      <c r="D16" s="117" t="str">
        <v>z</v>
      </c>
      <c r="E16" s="120" t="str">
        <v>location in leaching zone</v>
      </c>
      <c r="F16" s="119"/>
      <c r="G16" s="117" t="str">
        <v/>
      </c>
      <c r="H16" s="115" t="str">
        <v>Input</v>
      </c>
      <c r="I16" s="117" t="str">
        <f>X_Cell_Site_LeachingZone</f>
        <v>NO - Not in leaching zone</v>
      </c>
    </row>
    <row r="17" spans="1:9" ht="20.100000000000001" customHeight="1" x14ac:dyDescent="0.25">
      <c r="A17" s="18" t="s">
        <v>2</v>
      </c>
      <c r="D17" s="117" t="str">
        <v>j</v>
      </c>
      <c r="E17" s="120" t="str">
        <v>production system</v>
      </c>
      <c r="F17" s="119"/>
      <c r="G17" s="117" t="str">
        <v/>
      </c>
      <c r="H17" s="115" t="str">
        <v>Input</v>
      </c>
      <c r="I17" s="118" t="str" cm="1">
        <f t="array" aca="1" ref="I17" ca="1">HYPERLINK(Common_InputFunctions.Utility_SourceHyperlink($D$32),$D$32)</f>
        <v>Table_Frac_Wet</v>
      </c>
    </row>
    <row r="18" spans="1:9" ht="20.100000000000001" customHeight="1" x14ac:dyDescent="0.25">
      <c r="A18" s="17" t="str">
        <f>HYPERLINK("#'Constants - Other Livestock'!A1", "Constants - Other Livestock")</f>
        <v>Constants - Other Livestock</v>
      </c>
      <c r="D18" s="117" t="str">
        <v>ir</v>
      </c>
      <c r="E18" s="120" t="str">
        <v>irrigation method</v>
      </c>
      <c r="F18" s="119"/>
      <c r="G18" s="117" t="str">
        <v/>
      </c>
      <c r="H18" s="115" t="str">
        <v>Input</v>
      </c>
      <c r="I18" s="118" t="str" cm="1">
        <f t="array" aca="1" ref="I18" ca="1">HYPERLINK(Common_InputFunctions.Utility_SourceHyperlink($D$32),$D$32)</f>
        <v>Table_Frac_Wet</v>
      </c>
    </row>
    <row r="19" spans="1:9" ht="20.100000000000001" customHeight="1" x14ac:dyDescent="0.25">
      <c r="A19" s="17" t="str">
        <f>HYPERLINK("#'Constants - Livestock'!A1", "Constants - Livestock")</f>
        <v>Constants - Livestock</v>
      </c>
    </row>
    <row r="20" spans="1:9" ht="20.100000000000001" customHeight="1" x14ac:dyDescent="0.25">
      <c r="A20" s="17" t="str">
        <f>HYPERLINK("#'Constants - Common'!A1", "Constants - Common")</f>
        <v>Constants - Common</v>
      </c>
      <c r="D20" s="98" t="s">
        <v>203</v>
      </c>
    </row>
    <row r="21" spans="1:9" ht="20.100000000000001" customHeight="1" x14ac:dyDescent="0.25">
      <c r="A21" s="17" t="str">
        <f>HYPERLINK("#'Acknowledgements'!A1", "Acknowledgements")</f>
        <v>Acknowledgements</v>
      </c>
      <c r="D21" s="97" t="s">
        <v>202</v>
      </c>
    </row>
    <row r="22" spans="1:9" ht="20.100000000000001" customHeight="1" x14ac:dyDescent="0.25">
      <c r="D22" s="52" t="s">
        <v>183</v>
      </c>
      <c r="E22" s="52" t="s">
        <v>226</v>
      </c>
    </row>
    <row r="23" spans="1:9" ht="20.100000000000001" customHeight="1" x14ac:dyDescent="0.25">
      <c r="D23" s="53" t="s">
        <v>152</v>
      </c>
      <c r="E23" s="53">
        <f>INDEX(Table_AEj,2,2)</f>
        <v>66320500</v>
      </c>
      <c r="F23" s="2" t="str">
        <f>'4.7.1.3-4 Soil Direct N2O'!$F$44</f>
        <v>kg N/year</v>
      </c>
    </row>
    <row r="24" spans="1:9" ht="20.100000000000001" customHeight="1" x14ac:dyDescent="0.25">
      <c r="A24" s="17"/>
      <c r="D24" s="53" t="s">
        <v>157</v>
      </c>
      <c r="E24" s="53">
        <f>INDEX(Table_AEj,3,2)</f>
        <v>12264000</v>
      </c>
    </row>
    <row r="25" spans="1:9" ht="20.100000000000001" customHeight="1" x14ac:dyDescent="0.25">
      <c r="D25" s="53" t="s">
        <v>164</v>
      </c>
      <c r="E25" s="53">
        <f>INDEX(Table_AEj,4,2)</f>
        <v>22162800</v>
      </c>
    </row>
    <row r="26" spans="1:9" ht="20.100000000000001" customHeight="1" x14ac:dyDescent="0.25">
      <c r="D26" s="53" t="s">
        <v>170</v>
      </c>
      <c r="E26" s="53">
        <f>INDEX(Table_AEj,5,2)</f>
        <v>61995250</v>
      </c>
    </row>
    <row r="27" spans="1:9" ht="20.100000000000001" customHeight="1" x14ac:dyDescent="0.25">
      <c r="D27" s="53" t="s">
        <v>171</v>
      </c>
      <c r="E27" s="53">
        <f>INDEX(Table_AEj,6,2)</f>
        <v>255500</v>
      </c>
    </row>
    <row r="28" spans="1:9" ht="20.100000000000001" customHeight="1" x14ac:dyDescent="0.25">
      <c r="D28" s="53" t="s">
        <v>172</v>
      </c>
      <c r="E28" s="53">
        <f>INDEX(Table_AEj,7,2)</f>
        <v>1441750</v>
      </c>
    </row>
    <row r="29" spans="1:9" ht="20.100000000000001" customHeight="1" x14ac:dyDescent="0.25">
      <c r="D29" s="53" t="s">
        <v>188</v>
      </c>
      <c r="E29" s="53">
        <f>INDEX(Table_AEj,8,2)</f>
        <v>481800</v>
      </c>
    </row>
    <row r="30" spans="1:9" ht="20.100000000000001" customHeight="1" x14ac:dyDescent="0.25">
      <c r="D30" s="53" t="s">
        <v>189</v>
      </c>
      <c r="E30" s="53">
        <f>INDEX(Table_AEj,9,2)</f>
        <v>255500</v>
      </c>
    </row>
    <row r="31" spans="1:9" ht="20.100000000000001" customHeight="1" x14ac:dyDescent="0.25"/>
    <row r="32" spans="1:9" ht="20.100000000000001" customHeight="1" x14ac:dyDescent="0.25">
      <c r="D32" s="98" t="s">
        <v>218</v>
      </c>
    </row>
    <row r="33" spans="4:7" ht="20.100000000000001" customHeight="1" x14ac:dyDescent="0.25">
      <c r="D33" s="97" t="s">
        <v>219</v>
      </c>
    </row>
    <row r="34" spans="4:7" ht="20.100000000000001" customHeight="1" x14ac:dyDescent="0.25">
      <c r="D34" s="52" t="s">
        <v>183</v>
      </c>
      <c r="E34" s="41" t="s">
        <v>102</v>
      </c>
      <c r="F34" s="41" t="s">
        <v>100</v>
      </c>
      <c r="G34" s="52" t="s">
        <v>220</v>
      </c>
    </row>
    <row r="35" spans="4:7" ht="20.100000000000001" customHeight="1" x14ac:dyDescent="0.25">
      <c r="D35" s="53" t="s">
        <v>152</v>
      </c>
      <c r="E35" s="53" t="str">
        <f>X_Cell_OtherLivestock_Buffalo_GrazingProductionSystem</f>
        <v>Pasture</v>
      </c>
      <c r="F35" s="53" t="str">
        <f>X_Cell_OtherLivestock_Buffalo_GrazingIrrigationMethod</f>
        <v>Not irrigated</v>
      </c>
      <c r="G35" s="53">
        <f>Common_InputFunctions.CommonCropping_GetFracWET($I$16,F35,#REF!,#REF!,Table_SourceData_FracWETIrrigation[Irrigation type i],Table_SourceData_FracWETIrrigation[FracWET])</f>
        <v>0</v>
      </c>
    </row>
    <row r="36" spans="4:7" ht="20.100000000000001" customHeight="1" x14ac:dyDescent="0.25">
      <c r="D36" s="53" t="s">
        <v>157</v>
      </c>
      <c r="E36" s="53" t="str">
        <f>X_Cell_OtherLivestock_Goats_GrazingProductionSystem</f>
        <v>Pasture</v>
      </c>
      <c r="F36" s="53" t="str">
        <f>X_Cell_OtherLivestock_Goats_GrazingIrrigationMethod</f>
        <v>Not irrigated</v>
      </c>
      <c r="G36" s="53">
        <f>Common_InputFunctions.CommonCropping_GetFracWET($I$16,F36,#REF!,#REF!,Table_SourceData_FracWETIrrigation[Irrigation type i],Table_SourceData_FracWETIrrigation[FracWET])</f>
        <v>0</v>
      </c>
    </row>
    <row r="37" spans="4:7" ht="20.100000000000001" customHeight="1" x14ac:dyDescent="0.25">
      <c r="D37" s="53" t="s">
        <v>164</v>
      </c>
      <c r="E37" s="53" t="str">
        <f>X_Cell_OtherLivestock_Deer_GrazingProductionSystem</f>
        <v>Pasture</v>
      </c>
      <c r="F37" s="53" t="str">
        <f>X_Cell_OtherLivestock_Deer_GrazingIrrigationMethod</f>
        <v>Not irrigated</v>
      </c>
      <c r="G37" s="53">
        <f>Common_InputFunctions.CommonCropping_GetFracWET($I$16,F37,#REF!,#REF!,Table_SourceData_FracWETIrrigation[Irrigation type i],Table_SourceData_FracWETIrrigation[FracWET])</f>
        <v>0</v>
      </c>
    </row>
    <row r="38" spans="4:7" ht="20.100000000000001" customHeight="1" x14ac:dyDescent="0.25">
      <c r="D38" s="53" t="s">
        <v>170</v>
      </c>
      <c r="E38" s="53" t="str">
        <f>X_Cell_OtherLivestock_Others_Camels_GrazingProductionSystem</f>
        <v>Pasture</v>
      </c>
      <c r="F38" s="53" t="str">
        <f>X_Cell_OtherLivestock_Others_Camels_GrazingIrrigationMethod</f>
        <v>Drip irrigation</v>
      </c>
      <c r="G38" s="53">
        <f>Common_InputFunctions.CommonCropping_GetFracWET($I$16,F38,#REF!,#REF!,Table_SourceData_FracWETIrrigation[Irrigation type i],Table_SourceData_FracWETIrrigation[FracWET])</f>
        <v>0</v>
      </c>
    </row>
    <row r="39" spans="4:7" ht="20.100000000000001" customHeight="1" x14ac:dyDescent="0.25">
      <c r="D39" s="53" t="s">
        <v>171</v>
      </c>
      <c r="E39" s="53" t="str">
        <f>X_Cell_OtherLivestock_Others_Alpacas_GrazingProductionSystem</f>
        <v>Pasture</v>
      </c>
      <c r="F39" s="53" t="str">
        <f>X_Cell_OtherLivestock_Others_Alpacas_GrazingIrrigationMethod</f>
        <v>Sprinkler irrigation</v>
      </c>
      <c r="G39" s="53">
        <f>Common_InputFunctions.CommonCropping_GetFracWET($I$16,F39,#REF!,#REF!,Table_SourceData_FracWETIrrigation[Irrigation type i],Table_SourceData_FracWETIrrigation[FracWET])</f>
        <v>1</v>
      </c>
    </row>
    <row r="40" spans="4:7" ht="20.100000000000001" customHeight="1" x14ac:dyDescent="0.25">
      <c r="D40" s="53" t="s">
        <v>172</v>
      </c>
      <c r="E40" s="53" t="str">
        <f>X_Cell_OtherLivestock_Others_Horses_GrazingProductionSystem</f>
        <v>Crop</v>
      </c>
      <c r="F40" s="53" t="str">
        <f>X_Cell_OtherLivestock_Others_Horses_GrazingIrrigationMethod</f>
        <v>Not irrigated</v>
      </c>
      <c r="G40" s="53">
        <f>Common_InputFunctions.CommonCropping_GetFracWET($I$16,F40,#REF!,#REF!,Table_SourceData_FracWETIrrigation[Irrigation type i],Table_SourceData_FracWETIrrigation[FracWET])</f>
        <v>0</v>
      </c>
    </row>
    <row r="41" spans="4:7" ht="20.100000000000001" customHeight="1" x14ac:dyDescent="0.25">
      <c r="D41" s="53" t="s">
        <v>188</v>
      </c>
      <c r="E41" s="53" t="str">
        <f>X_Cell_OtherLivestock_Others_Mules_GrazingProductionSystem</f>
        <v>Crop</v>
      </c>
      <c r="F41" s="53" t="str">
        <f>X_Cell_OtherLivestock_Others_Mules_GrazingIrrigationMethod</f>
        <v>Surface irrigation</v>
      </c>
      <c r="G41" s="53">
        <f>Common_InputFunctions.CommonCropping_GetFracWET($I$16,F41,#REF!,#REF!,Table_SourceData_FracWETIrrigation[Irrigation type i],Table_SourceData_FracWETIrrigation[FracWET])</f>
        <v>1</v>
      </c>
    </row>
    <row r="42" spans="4:7" ht="20.100000000000001" customHeight="1" x14ac:dyDescent="0.25">
      <c r="D42" s="53" t="s">
        <v>189</v>
      </c>
      <c r="E42" s="53" t="str">
        <f>X_Cell_OtherLivestock_Others_Emus_GrazingProductionSystem</f>
        <v>Pasture</v>
      </c>
      <c r="F42" s="53" t="str">
        <f>X_Cell_OtherLivestock_Others_Emus_GrazingIrrigationMethod</f>
        <v>Not irrigated</v>
      </c>
      <c r="G42" s="53">
        <f>Common_InputFunctions.CommonCropping_GetFracWET($I$16,F42,#REF!,#REF!,Table_SourceData_FracWETIrrigation[Irrigation type i],Table_SourceData_FracWETIrrigation[FracWET])</f>
        <v>0</v>
      </c>
    </row>
    <row r="43" spans="4:7" ht="20.100000000000001" customHeight="1" x14ac:dyDescent="0.25"/>
    <row r="44" spans="4:7" ht="20.100000000000001" customHeight="1" x14ac:dyDescent="0.25">
      <c r="D44" s="98" t="s">
        <v>221</v>
      </c>
    </row>
    <row r="45" spans="4:7" ht="20.100000000000001" customHeight="1" x14ac:dyDescent="0.25">
      <c r="D45" s="97" t="s">
        <v>222</v>
      </c>
    </row>
    <row r="46" spans="4:7" ht="20.100000000000001" customHeight="1" x14ac:dyDescent="0.25">
      <c r="D46" s="52" t="s">
        <v>183</v>
      </c>
      <c r="E46" s="52" t="s">
        <v>225</v>
      </c>
    </row>
    <row r="47" spans="4:7" ht="20.100000000000001" customHeight="1" x14ac:dyDescent="0.25">
      <c r="D47" s="53" t="s">
        <v>152</v>
      </c>
      <c r="E47" s="53" cm="1">
        <f t="array" ref="E47">MMS_OtherLivestock_Soil_LeachingAndRunoff.VEERG_4_7_1_7__2_MassOfNitrogenLostToLeachingAndRunoff(E23,G35,$I$15)</f>
        <v>0</v>
      </c>
      <c r="F47" s="2" t="str">
        <f>$E$11</f>
        <v>kg N</v>
      </c>
    </row>
    <row r="48" spans="4:7" ht="20.100000000000001" customHeight="1" x14ac:dyDescent="0.25">
      <c r="D48" s="53" t="s">
        <v>157</v>
      </c>
      <c r="E48" s="53" cm="1">
        <f t="array" ref="E48">MMS_OtherLivestock_Soil_LeachingAndRunoff.VEERG_4_7_1_7__2_MassOfNitrogenLostToLeachingAndRunoff(E24,G36,$I$15)</f>
        <v>0</v>
      </c>
    </row>
    <row r="49" spans="3:11" ht="20.100000000000001" customHeight="1" x14ac:dyDescent="0.25">
      <c r="D49" s="53" t="s">
        <v>164</v>
      </c>
      <c r="E49" s="53" cm="1">
        <f t="array" ref="E49">MMS_OtherLivestock_Soil_LeachingAndRunoff.VEERG_4_7_1_7__2_MassOfNitrogenLostToLeachingAndRunoff(E25,G37,$I$15)</f>
        <v>0</v>
      </c>
    </row>
    <row r="50" spans="3:11" ht="20.100000000000001" customHeight="1" x14ac:dyDescent="0.25">
      <c r="D50" s="53" t="s">
        <v>170</v>
      </c>
      <c r="E50" s="53" cm="1">
        <f t="array" ref="E50">MMS_OtherLivestock_Soil_LeachingAndRunoff.VEERG_4_7_1_7__2_MassOfNitrogenLostToLeachingAndRunoff(E26,G38,$I$15)</f>
        <v>0</v>
      </c>
    </row>
    <row r="51" spans="3:11" ht="20.100000000000001" customHeight="1" x14ac:dyDescent="0.25">
      <c r="D51" s="53" t="s">
        <v>171</v>
      </c>
      <c r="E51" s="53" cm="1">
        <f t="array" ref="E51">MMS_OtherLivestock_Soil_LeachingAndRunoff.VEERG_4_7_1_7__2_MassOfNitrogenLostToLeachingAndRunoff(E27,G39,$I$15)</f>
        <v>61320</v>
      </c>
    </row>
    <row r="52" spans="3:11" ht="20.100000000000001" customHeight="1" x14ac:dyDescent="0.25">
      <c r="D52" s="53" t="s">
        <v>172</v>
      </c>
      <c r="E52" s="53" cm="1">
        <f t="array" ref="E52">MMS_OtherLivestock_Soil_LeachingAndRunoff.VEERG_4_7_1_7__2_MassOfNitrogenLostToLeachingAndRunoff(E28,G40,$I$15)</f>
        <v>0</v>
      </c>
    </row>
    <row r="53" spans="3:11" ht="20.100000000000001" customHeight="1" x14ac:dyDescent="0.25">
      <c r="D53" s="53" t="s">
        <v>188</v>
      </c>
      <c r="E53" s="53" cm="1">
        <f t="array" ref="E53">MMS_OtherLivestock_Soil_LeachingAndRunoff.VEERG_4_7_1_7__2_MassOfNitrogenLostToLeachingAndRunoff(E29,G41,$I$15)</f>
        <v>115632</v>
      </c>
    </row>
    <row r="54" spans="3:11" ht="20.100000000000001" customHeight="1" x14ac:dyDescent="0.25">
      <c r="D54" s="53" t="s">
        <v>189</v>
      </c>
      <c r="E54" s="53" cm="1">
        <f t="array" ref="E54">MMS_OtherLivestock_Soil_LeachingAndRunoff.VEERG_4_7_1_7__2_MassOfNitrogenLostToLeachingAndRunoff(E30,G42,$I$15)</f>
        <v>0</v>
      </c>
    </row>
    <row r="55" spans="3:11" ht="20.100000000000001" customHeight="1" x14ac:dyDescent="0.25"/>
    <row r="56" spans="3:11" ht="20.100000000000001" customHeight="1" x14ac:dyDescent="0.25">
      <c r="D56" s="110" t="s">
        <v>224</v>
      </c>
      <c r="E56" s="48">
        <f>SUM(E47:E54)</f>
        <v>176952</v>
      </c>
      <c r="F56" s="105" t="str">
        <f>$E$11</f>
        <v>kg N</v>
      </c>
    </row>
    <row r="57" spans="3:11" ht="20.100000000000001" customHeight="1" x14ac:dyDescent="0.25"/>
    <row r="58" spans="3:11" ht="20.100000000000001" customHeight="1" x14ac:dyDescent="0.25"/>
    <row r="59" spans="3:11" ht="20.100000000000001" customHeight="1" x14ac:dyDescent="0.25">
      <c r="C59" s="48"/>
      <c r="D59" s="48"/>
      <c r="E59" s="48"/>
      <c r="F59" s="48"/>
      <c r="G59" s="48"/>
      <c r="H59" s="48"/>
      <c r="I59" s="48"/>
      <c r="J59" s="48"/>
      <c r="K59" s="48"/>
    </row>
    <row r="60" spans="3:11" ht="20.100000000000001" customHeight="1" x14ac:dyDescent="0.25">
      <c r="D60" s="6" t="str" cm="1">
        <f t="array" ref="D60">MMS_OtherLivestock_Soil_LeachingAndRunoff.VEERG_4_7_1_7__1_LeachingAndRunoffEmissionsFromPasture_Title()</f>
        <v>Leaching and runoff emissions from urine and dung deposited on pasture</v>
      </c>
    </row>
    <row r="61" spans="3:11" ht="20.100000000000001" customHeight="1" x14ac:dyDescent="0.25">
      <c r="D61" s="5" t="str" cm="1">
        <f t="array" ref="D61">MMS_OtherLivestock_Soil_LeachingAndRunoff.VEERG_4_7_1_7__1_LeachingAndRunoffEmissionsFromPasture_Source()</f>
        <v>VEERG 2026: 4.7.1.7, Equation (1)</v>
      </c>
    </row>
    <row r="62" spans="3:11" ht="20.100000000000001" customHeight="1" x14ac:dyDescent="0.25">
      <c r="D62" s="13" t="s">
        <v>23</v>
      </c>
      <c r="E62" s="13" t="str" cm="1">
        <f t="array" aca="1" ref="E62" ca="1">Common_InputFunctions.Utility_DisplayFunctionName(E72)</f>
        <v>=MMS_OtherLivestock_Soil_LeachingAndRunoff.VEERG_4_7_1_7__1_LeachingAndRunoffEmissionsFromPasture</v>
      </c>
    </row>
    <row r="63" spans="3:11" ht="20.100000000000001" customHeight="1" x14ac:dyDescent="0.25"/>
    <row r="64" spans="3:11" ht="20.100000000000001" customHeight="1" x14ac:dyDescent="0.25"/>
    <row r="65" spans="4:9" ht="20.100000000000001" customHeight="1" x14ac:dyDescent="0.25">
      <c r="D65" s="54" t="s">
        <v>26</v>
      </c>
      <c r="E65" s="1" t="str" cm="1">
        <f t="array" ref="E65">MMS_OtherLivestock_Soil_LeachingAndRunoff.VEERG_4_7_1_7__1_LeachingAndRunoffEmissionsFromPasture_Variable()</f>
        <v>E_N2Oleach</v>
      </c>
    </row>
    <row r="66" spans="4:9" ht="20.100000000000001" customHeight="1" x14ac:dyDescent="0.25">
      <c r="D66" s="54" t="s">
        <v>16</v>
      </c>
      <c r="E66" s="1" t="str" cm="1">
        <f t="array" ref="E66">MMS_OtherLivestock_Soil_LeachingAndRunoff.VEERG_4_7_1_7__1_LeachingAndRunoffEmissionsFromPasture_Unit()</f>
        <v>t N2O</v>
      </c>
    </row>
    <row r="67" spans="4:9" ht="20.100000000000001" customHeight="1" x14ac:dyDescent="0.25"/>
    <row r="68" spans="4:9" ht="20.100000000000001" customHeight="1" x14ac:dyDescent="0.25">
      <c r="D68" s="117" t="str" cm="1">
        <f t="array" ref="D68:E70">_xlfn.CHOOSECOLS(MMS_OtherLivestock_Soil_LeachingAndRunoff.VEERG_4_7_1_7__1_LeachingAndRunoffEmissionsFromPasture_Arguments(),1,2)</f>
        <v>M_leach</v>
      </c>
      <c r="E68" s="120" t="str">
        <v>mass of nitrogen lost to leaching and runoff</v>
      </c>
      <c r="F68" s="119"/>
      <c r="G68" s="117" t="str" cm="1">
        <f t="array" ref="G68:H70">_xlfn.CHOOSECOLS(MMS_OtherLivestock_Soil_LeachingAndRunoff.VEERG_4_7_1_7__1_LeachingAndRunoffEmissionsFromPasture_Arguments(),3,4)</f>
        <v>kg N</v>
      </c>
      <c r="H68" s="116" t="str">
        <v>Calculated from 4.7.1.7, (2)</v>
      </c>
      <c r="I68" s="117">
        <f>E56</f>
        <v>176952</v>
      </c>
    </row>
    <row r="69" spans="4:9" ht="20.100000000000001" customHeight="1" x14ac:dyDescent="0.25">
      <c r="D69" s="117" t="str">
        <v>EF_leach</v>
      </c>
      <c r="E69" s="120" t="str">
        <v>emission factor for leaching and runoff</v>
      </c>
      <c r="F69" s="119"/>
      <c r="G69" s="117" t="str">
        <v>kg N2O-N/kg N</v>
      </c>
      <c r="H69" s="116" t="str">
        <v>Constant</v>
      </c>
      <c r="I69" s="117">
        <f>'Constants - Common'!$E$170</f>
        <v>1.0999999999999999E-2</v>
      </c>
    </row>
    <row r="70" spans="4:9" ht="20.100000000000001" customHeight="1" x14ac:dyDescent="0.25">
      <c r="D70" s="117" t="str">
        <v>C_N2O</v>
      </c>
      <c r="E70" s="120" t="str">
        <v>factor to convert elemental mass of nitrous oxide to molecular mass</v>
      </c>
      <c r="F70" s="119"/>
      <c r="G70" s="117" t="str">
        <v/>
      </c>
      <c r="H70" s="116" t="str">
        <v>Constant</v>
      </c>
      <c r="I70" s="117">
        <f>Common_InputFunctions.Utility_LookupValueInTableNumber("N2O",Table_GasToMolecularConversionFactor[Gas],Table_GasToMolecularConversionFactor[Conversion factor combined])</f>
        <v>1.5714285714285714</v>
      </c>
    </row>
    <row r="71" spans="4:9" ht="20.100000000000001" customHeight="1" x14ac:dyDescent="0.25"/>
    <row r="72" spans="4:9" ht="20.100000000000001" customHeight="1" x14ac:dyDescent="0.25">
      <c r="D72" s="101" t="s">
        <v>223</v>
      </c>
      <c r="E72" s="102" cm="1">
        <f t="array" ref="E72">MMS_OtherLivestock_Soil_LeachingAndRunoff.VEERG_4_7_1_7__1_LeachingAndRunoffEmissionsFromPasture(I68,I69,I70)</f>
        <v>3.0587417142857145</v>
      </c>
      <c r="F72" s="103" t="str">
        <f>E66</f>
        <v>t N2O</v>
      </c>
    </row>
    <row r="73" spans="4:9" ht="20.100000000000001" customHeight="1" x14ac:dyDescent="0.25"/>
    <row r="74" spans="4:9" ht="20.100000000000001" customHeight="1" x14ac:dyDescent="0.25">
      <c r="D74" s="58" t="str" cm="1">
        <f t="array" ref="D74:E75">Common_Equations.Common_ConvertN2OToCO2e_Arguments()</f>
        <v>EN2O</v>
      </c>
      <c r="E74" s="59" t="str">
        <v>Nitrous oxide emissions (t N2O)</v>
      </c>
      <c r="F74" s="104"/>
      <c r="G74" s="53">
        <f>E72</f>
        <v>3.0587417142857145</v>
      </c>
    </row>
    <row r="75" spans="4:9" ht="20.100000000000001" customHeight="1" x14ac:dyDescent="0.25">
      <c r="D75" s="58" t="str">
        <v>GWPN2O</v>
      </c>
      <c r="E75" s="59" t="str">
        <v>Global warming potential for nitrous oxide (t CO2-e / t N2O)</v>
      </c>
      <c r="F75" s="104"/>
      <c r="G75" s="53">
        <f>Common_InputFunctions.Utility_LookupValueInTableNumber("N2O",Table_GWPData[Gas],Table_GWPData[CO2-e factor])</f>
        <v>265</v>
      </c>
    </row>
    <row r="76" spans="4:9" ht="20.100000000000001" customHeight="1" x14ac:dyDescent="0.25"/>
    <row r="77" spans="4:9" ht="20.100000000000001" customHeight="1" x14ac:dyDescent="0.25">
      <c r="D77" s="48" t="s">
        <v>88</v>
      </c>
      <c r="E77" s="48" cm="1">
        <f t="array" ref="E77">Common_Equations.Common_ConvertN2OToCO2e(G74,G75)</f>
        <v>810.56655428571435</v>
      </c>
      <c r="F77" s="105" t="str" cm="1">
        <f t="array" ref="F77">Common_Equations.Common_ConvertN2OToCO2e_Unit()</f>
        <v>t CO2e</v>
      </c>
    </row>
    <row r="78" spans="4:9" ht="20.100000000000001" customHeight="1" x14ac:dyDescent="0.25"/>
    <row r="79" spans="4:9" ht="20.100000000000001" customHeight="1" x14ac:dyDescent="0.25"/>
    <row r="80" spans="4:9" ht="20.100000000000001" customHeight="1" x14ac:dyDescent="0.25"/>
    <row r="81" ht="20.100000000000001" customHeight="1" x14ac:dyDescent="0.25"/>
    <row r="82" ht="20.100000000000001" customHeight="1" x14ac:dyDescent="0.25"/>
    <row r="83" ht="20.100000000000001" customHeight="1" x14ac:dyDescent="0.25"/>
    <row r="84" ht="20.100000000000001" customHeight="1" x14ac:dyDescent="0.25"/>
    <row r="85" ht="20.100000000000001" customHeight="1" x14ac:dyDescent="0.25"/>
    <row r="86" ht="20.100000000000001" customHeight="1" x14ac:dyDescent="0.25"/>
    <row r="87" ht="20.100000000000001" customHeight="1" x14ac:dyDescent="0.25"/>
    <row r="88" ht="20.100000000000001" customHeight="1" x14ac:dyDescent="0.25"/>
    <row r="89" ht="20.100000000000001" customHeight="1" x14ac:dyDescent="0.25"/>
    <row r="90" ht="20.100000000000001" customHeight="1" x14ac:dyDescent="0.25"/>
    <row r="91" ht="20.100000000000001" customHeight="1" x14ac:dyDescent="0.25"/>
    <row r="92" ht="20.100000000000001" customHeight="1" x14ac:dyDescent="0.25"/>
    <row r="93" ht="20.100000000000001" customHeight="1" x14ac:dyDescent="0.25"/>
    <row r="94" ht="20.100000000000001" customHeight="1" x14ac:dyDescent="0.25"/>
    <row r="95" ht="20.100000000000001" customHeight="1" x14ac:dyDescent="0.25"/>
    <row r="96" ht="20.100000000000001" customHeight="1" x14ac:dyDescent="0.25"/>
    <row r="97" ht="20.100000000000001" customHeight="1" x14ac:dyDescent="0.25"/>
    <row r="98" ht="20.100000000000001" customHeight="1" x14ac:dyDescent="0.25"/>
    <row r="99" ht="20.100000000000001" customHeight="1" x14ac:dyDescent="0.25"/>
    <row r="100" ht="20.100000000000001" customHeight="1" x14ac:dyDescent="0.25"/>
    <row r="101" ht="20.100000000000001" customHeight="1" x14ac:dyDescent="0.25"/>
    <row r="102" ht="20.100000000000001" customHeight="1" x14ac:dyDescent="0.25"/>
    <row r="103" ht="20.100000000000001" customHeight="1" x14ac:dyDescent="0.25"/>
    <row r="104" ht="20.100000000000001" customHeight="1" x14ac:dyDescent="0.25"/>
    <row r="105" ht="20.100000000000001" customHeight="1" x14ac:dyDescent="0.25"/>
    <row r="106" ht="20.100000000000001" customHeight="1" x14ac:dyDescent="0.25"/>
    <row r="107" ht="20.100000000000001" customHeight="1" x14ac:dyDescent="0.25"/>
    <row r="108" ht="20.100000000000001" customHeight="1" x14ac:dyDescent="0.25"/>
    <row r="109" ht="20.100000000000001" customHeight="1" x14ac:dyDescent="0.25"/>
    <row r="110" ht="20.100000000000001" customHeight="1" x14ac:dyDescent="0.25"/>
    <row r="111" ht="20.100000000000001" customHeight="1" x14ac:dyDescent="0.25"/>
    <row r="112" ht="20.100000000000001" customHeight="1" x14ac:dyDescent="0.25"/>
    <row r="113" ht="20.100000000000001" customHeight="1" x14ac:dyDescent="0.25"/>
    <row r="114" ht="20.100000000000001" customHeight="1" x14ac:dyDescent="0.25"/>
    <row r="115" ht="20.100000000000001" customHeight="1" x14ac:dyDescent="0.25"/>
    <row r="116" ht="20.100000000000001" customHeight="1" x14ac:dyDescent="0.25"/>
    <row r="117" ht="20.100000000000001" customHeight="1" x14ac:dyDescent="0.25"/>
    <row r="118" ht="20.100000000000001" customHeight="1" x14ac:dyDescent="0.25"/>
    <row r="119" ht="20.100000000000001" customHeight="1" x14ac:dyDescent="0.25"/>
    <row r="120" ht="20.100000000000001" customHeight="1" x14ac:dyDescent="0.25"/>
    <row r="121" ht="20.100000000000001" customHeight="1" x14ac:dyDescent="0.25"/>
    <row r="122" ht="20.100000000000001" customHeight="1" x14ac:dyDescent="0.25"/>
    <row r="123" ht="20.100000000000001" customHeight="1" x14ac:dyDescent="0.25"/>
    <row r="124" ht="20.100000000000001" customHeight="1" x14ac:dyDescent="0.25"/>
    <row r="125" ht="20.100000000000001" customHeight="1" x14ac:dyDescent="0.25"/>
    <row r="126" ht="20.100000000000001" customHeight="1" x14ac:dyDescent="0.25"/>
    <row r="127" ht="20.100000000000001" customHeight="1" x14ac:dyDescent="0.25"/>
    <row r="128" ht="20.100000000000001" customHeight="1" x14ac:dyDescent="0.25"/>
    <row r="129" ht="20.100000000000001" customHeight="1" x14ac:dyDescent="0.25"/>
    <row r="130" ht="20.100000000000001" customHeight="1" x14ac:dyDescent="0.25"/>
    <row r="131" ht="20.100000000000001" customHeight="1" x14ac:dyDescent="0.25"/>
    <row r="132" ht="20.100000000000001" customHeight="1" x14ac:dyDescent="0.25"/>
    <row r="133" ht="20.100000000000001" customHeight="1" x14ac:dyDescent="0.25"/>
    <row r="134" ht="20.100000000000001" customHeight="1" x14ac:dyDescent="0.25"/>
    <row r="135" ht="20.100000000000001" customHeight="1" x14ac:dyDescent="0.25"/>
    <row r="136" ht="20.100000000000001" customHeight="1" x14ac:dyDescent="0.25"/>
    <row r="137" ht="20.100000000000001" customHeight="1" x14ac:dyDescent="0.25"/>
    <row r="138" ht="20.100000000000001" customHeight="1" x14ac:dyDescent="0.25"/>
    <row r="139" ht="20.100000000000001" customHeight="1" x14ac:dyDescent="0.25"/>
    <row r="140" ht="20.100000000000001" customHeight="1" x14ac:dyDescent="0.25"/>
    <row r="141" ht="20.100000000000001" customHeight="1" x14ac:dyDescent="0.25"/>
    <row r="142" ht="20.100000000000001" customHeight="1" x14ac:dyDescent="0.25"/>
    <row r="143" ht="20.100000000000001" customHeight="1" x14ac:dyDescent="0.25"/>
    <row r="144" ht="20.100000000000001" customHeight="1" x14ac:dyDescent="0.25"/>
    <row r="145" ht="20.100000000000001" customHeight="1" x14ac:dyDescent="0.25"/>
    <row r="146" ht="20.100000000000001" customHeight="1" x14ac:dyDescent="0.25"/>
    <row r="147" ht="20.100000000000001" customHeight="1" x14ac:dyDescent="0.25"/>
    <row r="148" ht="20.100000000000001" customHeight="1" x14ac:dyDescent="0.25"/>
    <row r="149" ht="20.100000000000001" customHeight="1" x14ac:dyDescent="0.25"/>
    <row r="150" ht="20.100000000000001" customHeight="1" x14ac:dyDescent="0.25"/>
    <row r="151" ht="20.100000000000001" customHeight="1" x14ac:dyDescent="0.25"/>
    <row r="152" ht="20.100000000000001" customHeight="1" x14ac:dyDescent="0.25"/>
    <row r="153" ht="20.100000000000001" customHeight="1" x14ac:dyDescent="0.25"/>
    <row r="154" ht="20.100000000000001" customHeight="1" x14ac:dyDescent="0.25"/>
    <row r="155" ht="20.100000000000001" customHeight="1" x14ac:dyDescent="0.25"/>
    <row r="156" ht="20.100000000000001" customHeight="1" x14ac:dyDescent="0.25"/>
    <row r="157" ht="20.100000000000001" customHeight="1" x14ac:dyDescent="0.25"/>
    <row r="158" ht="20.100000000000001" customHeight="1" x14ac:dyDescent="0.25"/>
    <row r="159" ht="20.100000000000001" customHeight="1" x14ac:dyDescent="0.25"/>
    <row r="160" ht="20.100000000000001" customHeight="1" x14ac:dyDescent="0.25"/>
    <row r="161" ht="20.100000000000001" customHeight="1" x14ac:dyDescent="0.25"/>
    <row r="162" ht="20.100000000000001" customHeight="1" x14ac:dyDescent="0.25"/>
    <row r="163" ht="20.100000000000001" customHeight="1" x14ac:dyDescent="0.25"/>
    <row r="164" ht="20.100000000000001" customHeight="1" x14ac:dyDescent="0.25"/>
    <row r="165" ht="20.100000000000001" customHeight="1" x14ac:dyDescent="0.25"/>
    <row r="166" ht="20.100000000000001" customHeight="1" x14ac:dyDescent="0.25"/>
    <row r="167" ht="20.100000000000001" customHeight="1" x14ac:dyDescent="0.25"/>
    <row r="168" ht="20.100000000000001" customHeight="1" x14ac:dyDescent="0.25"/>
    <row r="169" ht="20.100000000000001" customHeight="1" x14ac:dyDescent="0.25"/>
    <row r="170" ht="20.100000000000001" customHeight="1" x14ac:dyDescent="0.25"/>
    <row r="171" ht="20.100000000000001" customHeight="1" x14ac:dyDescent="0.25"/>
    <row r="172" ht="20.100000000000001" customHeight="1" x14ac:dyDescent="0.25"/>
    <row r="173" ht="20.100000000000001" customHeight="1" x14ac:dyDescent="0.25"/>
    <row r="174" ht="20.100000000000001" customHeight="1" x14ac:dyDescent="0.25"/>
    <row r="175" ht="20.100000000000001" customHeight="1" x14ac:dyDescent="0.25"/>
    <row r="176" ht="20.100000000000001" customHeight="1" x14ac:dyDescent="0.25"/>
    <row r="177" ht="20.100000000000001" customHeight="1" x14ac:dyDescent="0.25"/>
    <row r="178" ht="20.100000000000001" customHeight="1" x14ac:dyDescent="0.25"/>
    <row r="179" ht="20.100000000000001" customHeight="1" x14ac:dyDescent="0.25"/>
    <row r="180" ht="20.100000000000001" customHeight="1" x14ac:dyDescent="0.25"/>
    <row r="181" ht="20.100000000000001" customHeight="1" x14ac:dyDescent="0.25"/>
    <row r="182" ht="20.100000000000001" customHeight="1" x14ac:dyDescent="0.25"/>
    <row r="183" ht="20.100000000000001" customHeight="1" x14ac:dyDescent="0.25"/>
  </sheetData>
  <dataValidations disablePrompts="1" count="1">
    <dataValidation operator="equal" allowBlank="1" showInputMessage="1" showErrorMessage="1" sqref="E120:G120 E125:G125 D145:F145 D159:F159 O125:Q125 Q57" xr:uid="{2CC044EF-4F59-4FC5-A5F1-66297A068BCA}"/>
  </dataValidations>
  <pageMargins left="0.7" right="0.7" top="0.75" bottom="0.75" header="0.3" footer="0.3"/>
  <pageSetup paperSize="9"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CD35FD-AE8E-4433-ACD5-994E77C39A89}">
  <dimension ref="A1:U288"/>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12" width="30.7109375" style="1" customWidth="1"/>
    <col min="13" max="13" width="30.7109375" customWidth="1"/>
    <col min="14" max="20" width="30.7109375" style="1" customWidth="1"/>
    <col min="21" max="21" width="4.7109375" style="1" customWidth="1"/>
  </cols>
  <sheetData>
    <row r="1" spans="1:21" s="8" customFormat="1" ht="30" customHeight="1" x14ac:dyDescent="0.35">
      <c r="A1" s="8" t="e" vm="1">
        <v>#VALUE!</v>
      </c>
      <c r="C1" s="8" t="s">
        <v>233</v>
      </c>
    </row>
    <row r="2" spans="1:21" s="9" customFormat="1" ht="20.100000000000001" customHeight="1" x14ac:dyDescent="0.25"/>
    <row r="3" spans="1:21" ht="20.100000000000001" customHeight="1" x14ac:dyDescent="0.25">
      <c r="A3" s="17" t="str">
        <f>HYPERLINK("#'Home'!A1", "Home")</f>
        <v>Home</v>
      </c>
      <c r="C3" s="4"/>
      <c r="D3" s="4"/>
      <c r="E3" s="4"/>
      <c r="F3" s="4"/>
      <c r="G3" s="4"/>
      <c r="H3" s="4"/>
      <c r="I3" s="4"/>
      <c r="J3" s="4"/>
      <c r="K3" s="4"/>
      <c r="L3" s="4"/>
      <c r="M3" s="4"/>
      <c r="N3" s="4"/>
      <c r="O3" s="4"/>
      <c r="P3" s="4"/>
      <c r="Q3" s="4"/>
      <c r="R3" s="4"/>
      <c r="S3" s="4"/>
      <c r="T3" s="4"/>
      <c r="U3" s="4"/>
    </row>
    <row r="4" spans="1:21" ht="20.100000000000001" customHeight="1" x14ac:dyDescent="0.25">
      <c r="A4" s="17" t="str">
        <f>HYPERLINK("#'Overview'!A1", "Overview")</f>
        <v>Overview</v>
      </c>
      <c r="M4" s="1"/>
    </row>
    <row r="5" spans="1:21" ht="20.100000000000001" customHeight="1" x14ac:dyDescent="0.25">
      <c r="A5" s="17" t="str">
        <f>HYPERLINK("#'Results'!A1", "Results")</f>
        <v>Results</v>
      </c>
      <c r="D5" s="6" t="str" cm="1">
        <f t="array" ref="D5">SourceData_OtherLivestock.SourceData_OtherLivestock_EntericFermentationEmissionFactor_Title()</f>
        <v>Other Livestock - Enteric fermentation emission factor for each other livestock type</v>
      </c>
      <c r="M5" s="1"/>
    </row>
    <row r="6" spans="1:21" ht="20.100000000000001" customHeight="1" x14ac:dyDescent="0.25">
      <c r="A6" s="16"/>
      <c r="D6" s="5" t="str" cm="1">
        <f t="array" ref="D6">SourceData_OtherLivestock.SourceData_OtherLivestock_EntericFermentationEmissionFactor_Source()</f>
        <v>VEERG 2026: Table A.1.5.1</v>
      </c>
      <c r="M6" s="1"/>
    </row>
    <row r="7" spans="1:21" ht="20.100000000000001" customHeight="1" x14ac:dyDescent="0.25">
      <c r="A7" s="20" t="s">
        <v>1</v>
      </c>
      <c r="D7" s="1" t="str" cm="1">
        <f t="array" ref="D7">SourceData_OtherLivestock.SourceData_OtherLivestock_EntericFermentationEmissionFactor_Variable()</f>
        <v>Mj</v>
      </c>
      <c r="M7" s="1"/>
    </row>
    <row r="8" spans="1:21" ht="20.100000000000001" customHeight="1" x14ac:dyDescent="0.25">
      <c r="A8" s="17" t="str">
        <f>HYPERLINK("#'Input - Site'!A1", "Site")</f>
        <v>Site</v>
      </c>
      <c r="D8" s="55" t="str" cm="1">
        <f t="array" ref="D8">SourceData_OtherLivestock.SourceData_OtherLivestock_EntericFermentationEmissionFactor_Unit()</f>
        <v>kg CH4 / head / year</v>
      </c>
      <c r="M8" s="1"/>
    </row>
    <row r="9" spans="1:21" ht="20.100000000000001" customHeight="1" x14ac:dyDescent="0.25">
      <c r="A9" s="17" t="str">
        <f>HYPERLINK("#'Input - Other Livestock'!A1", "Other Livestock")</f>
        <v>Other Livestock</v>
      </c>
      <c r="D9" s="39" t="s">
        <v>141</v>
      </c>
      <c r="E9" s="39" t="s">
        <v>142</v>
      </c>
      <c r="M9" s="1"/>
    </row>
    <row r="10" spans="1:21" ht="20.100000000000001" customHeight="1" x14ac:dyDescent="0.25">
      <c r="A10" s="17"/>
      <c r="D10" s="39" t="str" cm="1">
        <f t="array" ref="D10">Common_InputFunctions.Utility_DisplayArrayInTable(SourceData_OtherLivestock.SourceData_OtherLivestock_EntericFermentationEmissionFactor_Data(),Table_SourceData_OtherLivestock_EntericEF[[#Headers],[Other livestock type]],0)</f>
        <v>Buffalo</v>
      </c>
      <c r="E10" s="39" cm="1">
        <f t="array" ref="E10">Common_InputFunctions.Utility_DisplayArrayInTable(SourceData_OtherLivestock.SourceData_OtherLivestock_EntericFermentationEmissionFactor_Data(),Table_SourceData_OtherLivestock_EntericEF[[#Headers],[Other livestock type]],0)</f>
        <v>68</v>
      </c>
      <c r="M10" s="1"/>
    </row>
    <row r="11" spans="1:21" ht="20.100000000000001" customHeight="1" x14ac:dyDescent="0.25">
      <c r="A11" s="19" t="s">
        <v>71</v>
      </c>
      <c r="D11" s="1" t="str" cm="1">
        <f t="array" ref="D11">Common_InputFunctions.Utility_DisplayArrayInTable(SourceData_OtherLivestock.SourceData_OtherLivestock_EntericFermentationEmissionFactor_Data(),Table_SourceData_OtherLivestock_EntericEF[[#Headers],[Other livestock type]],0)</f>
        <v>Goats</v>
      </c>
      <c r="E11" s="39" cm="1">
        <f t="array" ref="E11">Common_InputFunctions.Utility_DisplayArrayInTable(SourceData_OtherLivestock.SourceData_OtherLivestock_EntericFermentationEmissionFactor_Data(),Table_SourceData_OtherLivestock_EntericEF[[#Headers],[Other livestock type]],0)</f>
        <v>5</v>
      </c>
      <c r="M11" s="1"/>
    </row>
    <row r="12" spans="1:21" ht="20.100000000000001" customHeight="1" x14ac:dyDescent="0.25">
      <c r="A12" s="17" t="str">
        <f>HYPERLINK("#'4.7.1.1-2 Manure Methane'!A1", "4.7.1.1-2 Methane")</f>
        <v>4.7.1.1-2 Methane</v>
      </c>
      <c r="D12" s="1" t="str" cm="1">
        <f t="array" ref="D12">Common_InputFunctions.Utility_DisplayArrayInTable(SourceData_OtherLivestock.SourceData_OtherLivestock_EntericFermentationEmissionFactor_Data(),Table_SourceData_OtherLivestock_EntericEF[[#Headers],[Other livestock type]],0)</f>
        <v>Deer</v>
      </c>
      <c r="E12" s="39" cm="1">
        <f t="array" ref="E12">Common_InputFunctions.Utility_DisplayArrayInTable(SourceData_OtherLivestock.SourceData_OtherLivestock_EntericFermentationEmissionFactor_Data(),Table_SourceData_OtherLivestock_EntericEF[[#Headers],[Other livestock type]],0)</f>
        <v>20</v>
      </c>
      <c r="M12" s="1"/>
    </row>
    <row r="13" spans="1:21" ht="20.100000000000001" customHeight="1" x14ac:dyDescent="0.25">
      <c r="A13" s="17" t="str">
        <f>HYPERLINK("#'4.7.1.3-4 Soil Direct N2O'!A1", "4.7.1.3-4 Soil Direct N2O")</f>
        <v>4.7.1.3-4 Soil Direct N2O</v>
      </c>
      <c r="D13" s="1" t="str" cm="1">
        <f t="array" ref="D13">Common_InputFunctions.Utility_DisplayArrayInTable(SourceData_OtherLivestock.SourceData_OtherLivestock_EntericFermentationEmissionFactor_Data(),Table_SourceData_OtherLivestock_EntericEF[[#Headers],[Other livestock type]],0)</f>
        <v>Camels</v>
      </c>
      <c r="E13" s="39" cm="1">
        <f t="array" ref="E13">Common_InputFunctions.Utility_DisplayArrayInTable(SourceData_OtherLivestock.SourceData_OtherLivestock_EntericFermentationEmissionFactor_Data(),Table_SourceData_OtherLivestock_EntericEF[[#Headers],[Other livestock type]],0)</f>
        <v>46</v>
      </c>
      <c r="M13" s="1"/>
    </row>
    <row r="14" spans="1:21" ht="20.100000000000001" customHeight="1" x14ac:dyDescent="0.25">
      <c r="A14" s="17" t="str">
        <f>HYPERLINK("#'4.7.1.5-6 Soil Atmos Deposition'!A1", "4.7.1.5-6 Soil Atmos deposition")</f>
        <v>4.7.1.5-6 Soil Atmos deposition</v>
      </c>
      <c r="D14" s="1" t="str" cm="1">
        <f t="array" ref="D14">Common_InputFunctions.Utility_DisplayArrayInTable(SourceData_OtherLivestock.SourceData_OtherLivestock_EntericFermentationEmissionFactor_Data(),Table_SourceData_OtherLivestock_EntericEF[[#Headers],[Other livestock type]],0)</f>
        <v>Alpacas</v>
      </c>
      <c r="E14" s="39" cm="1">
        <f t="array" ref="E14">Common_InputFunctions.Utility_DisplayArrayInTable(SourceData_OtherLivestock.SourceData_OtherLivestock_EntericFermentationEmissionFactor_Data(),Table_SourceData_OtherLivestock_EntericEF[[#Headers],[Other livestock type]],0)</f>
        <v>8</v>
      </c>
      <c r="M14" s="1"/>
    </row>
    <row r="15" spans="1:21" ht="20.100000000000001" customHeight="1" x14ac:dyDescent="0.25">
      <c r="A15" s="17" t="str">
        <f>HYPERLINK("#'4.7.1.7-8 Soil Leaching Runoff'!A1", "4.7.1.8-9 Soil Leaching &amp; Runoff")</f>
        <v>4.7.1.8-9 Soil Leaching &amp; Runoff</v>
      </c>
      <c r="D15" s="1" t="str" cm="1">
        <f t="array" ref="D15">Common_InputFunctions.Utility_DisplayArrayInTable(SourceData_OtherLivestock.SourceData_OtherLivestock_EntericFermentationEmissionFactor_Data(),Table_SourceData_OtherLivestock_EntericEF[[#Headers],[Other livestock type]],0)</f>
        <v>Horses</v>
      </c>
      <c r="E15" s="39" cm="1">
        <f t="array" ref="E15">Common_InputFunctions.Utility_DisplayArrayInTable(SourceData_OtherLivestock.SourceData_OtherLivestock_EntericFermentationEmissionFactor_Data(),Table_SourceData_OtherLivestock_EntericEF[[#Headers],[Other livestock type]],0)</f>
        <v>18</v>
      </c>
      <c r="M15" s="1"/>
    </row>
    <row r="16" spans="1:21" ht="20.100000000000001" customHeight="1" x14ac:dyDescent="0.25">
      <c r="D16" s="1" t="str" cm="1">
        <f t="array" ref="D16">Common_InputFunctions.Utility_DisplayArrayInTable(SourceData_OtherLivestock.SourceData_OtherLivestock_EntericFermentationEmissionFactor_Data(),Table_SourceData_OtherLivestock_EntericEF[[#Headers],[Other livestock type]],0)</f>
        <v>Mules/asses</v>
      </c>
      <c r="E16" s="39" cm="1">
        <f t="array" ref="E16">Common_InputFunctions.Utility_DisplayArrayInTable(SourceData_OtherLivestock.SourceData_OtherLivestock_EntericFermentationEmissionFactor_Data(),Table_SourceData_OtherLivestock_EntericEF[[#Headers],[Other livestock type]],0)</f>
        <v>10</v>
      </c>
      <c r="M16" s="1"/>
    </row>
    <row r="17" spans="1:13" ht="20.100000000000001" customHeight="1" x14ac:dyDescent="0.25">
      <c r="A17" s="18" t="s">
        <v>2</v>
      </c>
      <c r="D17" s="1" t="str" cm="1">
        <f t="array" ref="D17">Common_InputFunctions.Utility_DisplayArrayInTable(SourceData_OtherLivestock.SourceData_OtherLivestock_EntericFermentationEmissionFactor_Data(),Table_SourceData_OtherLivestock_EntericEF[[#Headers],[Other livestock type]],0)</f>
        <v>Emus/ostriches</v>
      </c>
      <c r="E17" s="39" cm="1">
        <f t="array" ref="E17">Common_InputFunctions.Utility_DisplayArrayInTable(SourceData_OtherLivestock.SourceData_OtherLivestock_EntericFermentationEmissionFactor_Data(),Table_SourceData_OtherLivestock_EntericEF[[#Headers],[Other livestock type]],0)</f>
        <v>5</v>
      </c>
      <c r="M17" s="1"/>
    </row>
    <row r="18" spans="1:13" ht="20.100000000000001" customHeight="1" x14ac:dyDescent="0.25">
      <c r="A18" s="68" t="str">
        <f>HYPERLINK("#'Constants - Other Livestock'!A1", "Constants - Other Livestock")</f>
        <v>Constants - Other Livestock</v>
      </c>
      <c r="M18" s="1"/>
    </row>
    <row r="19" spans="1:13" ht="20.100000000000001" customHeight="1" x14ac:dyDescent="0.25">
      <c r="A19" s="17" t="str">
        <f>HYPERLINK("#'Constants - Livestock'!A1", "Constants - Livestock")</f>
        <v>Constants - Livestock</v>
      </c>
      <c r="M19" s="1"/>
    </row>
    <row r="20" spans="1:13" ht="20.100000000000001" customHeight="1" x14ac:dyDescent="0.25">
      <c r="A20" s="17" t="str">
        <f>HYPERLINK("#'Constants - Common'!A1", "Constants - Common")</f>
        <v>Constants - Common</v>
      </c>
      <c r="D20" s="6" t="str" cm="1">
        <f t="array" ref="D20">SourceData_OtherLivestock.SourceData_OtherLivestock_VolatileSolidsProduced_Title()</f>
        <v>Other Livestock - Volatile solids produced by each other livestock type</v>
      </c>
      <c r="M20" s="1"/>
    </row>
    <row r="21" spans="1:13" ht="20.100000000000001" customHeight="1" x14ac:dyDescent="0.25">
      <c r="A21" s="17" t="str">
        <f>HYPERLINK("#'Acknowledgements'!A1", "Acknowledgements")</f>
        <v>Acknowledgements</v>
      </c>
      <c r="D21" s="5" t="str" cm="1">
        <f t="array" ref="D21">SourceData_OtherLivestock.SourceData_OtherLivestock_VolatileSolidsProduced_Source()</f>
        <v>VEERG 2026: Table A.1.5.2</v>
      </c>
      <c r="M21" s="1"/>
    </row>
    <row r="22" spans="1:13" ht="20.100000000000001" customHeight="1" x14ac:dyDescent="0.25">
      <c r="D22" s="1" t="str" cm="1">
        <f t="array" ref="D22">SourceData_OtherLivestock.SourceData_OtherLivestock_VolatileSolidsProduced_Variable()</f>
        <v>VSj</v>
      </c>
      <c r="M22" s="1"/>
    </row>
    <row r="23" spans="1:13" ht="20.100000000000001" customHeight="1" x14ac:dyDescent="0.25">
      <c r="D23" s="55" t="str" cm="1">
        <f t="array" ref="D23">SourceData_OtherLivestock.SourceData_OtherLivestock_VolatileSolidsProduced_Unit()</f>
        <v>kg VS / head / day</v>
      </c>
      <c r="M23" s="1"/>
    </row>
    <row r="24" spans="1:13" ht="20.100000000000001" customHeight="1" x14ac:dyDescent="0.25">
      <c r="A24" s="17"/>
      <c r="D24" s="39" t="s">
        <v>141</v>
      </c>
      <c r="E24" s="39" t="s">
        <v>143</v>
      </c>
      <c r="M24" s="1"/>
    </row>
    <row r="25" spans="1:13" ht="20.100000000000001" customHeight="1" x14ac:dyDescent="0.25">
      <c r="D25" s="39" t="str" cm="1">
        <f t="array" ref="D25">Common_InputFunctions.Utility_DisplayArrayInTable(SourceData_OtherLivestock.SourceData_OtherLivestock_VolatileSolidsProduced_Data(),Table_SourceData_OtherLivestock_VolatileSolids[[#Headers],[Other livestock type]],0)</f>
        <v>Buffalo</v>
      </c>
      <c r="E25" s="39" cm="1">
        <f t="array" ref="E25">Common_InputFunctions.Utility_DisplayArrayInTable(SourceData_OtherLivestock.SourceData_OtherLivestock_VolatileSolidsProduced_Data(),Table_SourceData_OtherLivestock_VolatileSolids[[#Headers],[Other livestock type]],0)</f>
        <v>2.73</v>
      </c>
      <c r="M25" s="1"/>
    </row>
    <row r="26" spans="1:13" ht="20.100000000000001" customHeight="1" x14ac:dyDescent="0.25">
      <c r="D26" s="39" t="str" cm="1">
        <f t="array" ref="D26">Common_InputFunctions.Utility_DisplayArrayInTable(SourceData_OtherLivestock.SourceData_OtherLivestock_VolatileSolidsProduced_Data(),Table_SourceData_OtherLivestock_VolatileSolids[[#Headers],[Other livestock type]],0)</f>
        <v>Goats</v>
      </c>
      <c r="E26" s="39" cm="1">
        <f t="array" ref="E26">Common_InputFunctions.Utility_DisplayArrayInTable(SourceData_OtherLivestock.SourceData_OtherLivestock_VolatileSolidsProduced_Data(),Table_SourceData_OtherLivestock_VolatileSolids[[#Headers],[Other livestock type]],0)</f>
        <v>0.34</v>
      </c>
      <c r="M26" s="1"/>
    </row>
    <row r="27" spans="1:13" ht="20.100000000000001" customHeight="1" x14ac:dyDescent="0.25">
      <c r="D27" s="39" t="str" cm="1">
        <f t="array" ref="D27">Common_InputFunctions.Utility_DisplayArrayInTable(SourceData_OtherLivestock.SourceData_OtherLivestock_VolatileSolidsProduced_Data(),Table_SourceData_OtherLivestock_VolatileSolids[[#Headers],[Other livestock type]],0)</f>
        <v>Deer</v>
      </c>
      <c r="E27" s="39" cm="1">
        <f t="array" ref="E27">Common_InputFunctions.Utility_DisplayArrayInTable(SourceData_OtherLivestock.SourceData_OtherLivestock_VolatileSolidsProduced_Data(),Table_SourceData_OtherLivestock_VolatileSolids[[#Headers],[Other livestock type]],0)</f>
        <v>0.91</v>
      </c>
      <c r="M27" s="1"/>
    </row>
    <row r="28" spans="1:13" ht="20.100000000000001" customHeight="1" x14ac:dyDescent="0.25">
      <c r="D28" s="39" t="str" cm="1">
        <f t="array" ref="D28">Common_InputFunctions.Utility_DisplayArrayInTable(SourceData_OtherLivestock.SourceData_OtherLivestock_VolatileSolidsProduced_Data(),Table_SourceData_OtherLivestock_VolatileSolids[[#Headers],[Other livestock type]],0)</f>
        <v>Camels</v>
      </c>
      <c r="E28" s="39" cm="1">
        <f t="array" ref="E28">Common_InputFunctions.Utility_DisplayArrayInTable(SourceData_OtherLivestock.SourceData_OtherLivestock_VolatileSolidsProduced_Data(),Table_SourceData_OtherLivestock_VolatileSolids[[#Headers],[Other livestock type]],0)</f>
        <v>2.73</v>
      </c>
      <c r="M28" s="1"/>
    </row>
    <row r="29" spans="1:13" ht="20.100000000000001" customHeight="1" x14ac:dyDescent="0.25">
      <c r="D29" s="39" t="str" cm="1">
        <f t="array" ref="D29">Common_InputFunctions.Utility_DisplayArrayInTable(SourceData_OtherLivestock.SourceData_OtherLivestock_VolatileSolidsProduced_Data(),Table_SourceData_OtherLivestock_VolatileSolids[[#Headers],[Other livestock type]],0)</f>
        <v>Alpacas</v>
      </c>
      <c r="E29" s="39" cm="1">
        <f t="array" ref="E29">Common_InputFunctions.Utility_DisplayArrayInTable(SourceData_OtherLivestock.SourceData_OtherLivestock_VolatileSolidsProduced_Data(),Table_SourceData_OtherLivestock_VolatileSolids[[#Headers],[Other livestock type]],0)</f>
        <v>0.34</v>
      </c>
      <c r="M29" s="1"/>
    </row>
    <row r="30" spans="1:13" ht="20.100000000000001" customHeight="1" x14ac:dyDescent="0.25">
      <c r="D30" s="39" t="str" cm="1">
        <f t="array" ref="D30">Common_InputFunctions.Utility_DisplayArrayInTable(SourceData_OtherLivestock.SourceData_OtherLivestock_VolatileSolidsProduced_Data(),Table_SourceData_OtherLivestock_VolatileSolids[[#Headers],[Other livestock type]],0)</f>
        <v>Horses</v>
      </c>
      <c r="E30" s="39" cm="1">
        <f t="array" ref="E30">Common_InputFunctions.Utility_DisplayArrayInTable(SourceData_OtherLivestock.SourceData_OtherLivestock_VolatileSolidsProduced_Data(),Table_SourceData_OtherLivestock_VolatileSolids[[#Headers],[Other livestock type]],0)</f>
        <v>2.73</v>
      </c>
      <c r="M30" s="1"/>
    </row>
    <row r="31" spans="1:13" ht="20.100000000000001" customHeight="1" x14ac:dyDescent="0.25">
      <c r="D31" s="39" t="str" cm="1">
        <f t="array" ref="D31">Common_InputFunctions.Utility_DisplayArrayInTable(SourceData_OtherLivestock.SourceData_OtherLivestock_VolatileSolidsProduced_Data(),Table_SourceData_OtherLivestock_VolatileSolids[[#Headers],[Other livestock type]],0)</f>
        <v>Mules/asses</v>
      </c>
      <c r="E31" s="39" cm="1">
        <f t="array" ref="E31">Common_InputFunctions.Utility_DisplayArrayInTable(SourceData_OtherLivestock.SourceData_OtherLivestock_VolatileSolidsProduced_Data(),Table_SourceData_OtherLivestock_VolatileSolids[[#Headers],[Other livestock type]],0)</f>
        <v>0.91</v>
      </c>
      <c r="M31" s="1"/>
    </row>
    <row r="32" spans="1:13" ht="20.100000000000001" customHeight="1" x14ac:dyDescent="0.25">
      <c r="D32" s="39" t="str" cm="1">
        <f t="array" ref="D32">Common_InputFunctions.Utility_DisplayArrayInTable(SourceData_OtherLivestock.SourceData_OtherLivestock_VolatileSolidsProduced_Data(),Table_SourceData_OtherLivestock_VolatileSolids[[#Headers],[Other livestock type]],0)</f>
        <v>Emus/ostriches</v>
      </c>
      <c r="E32" s="39" cm="1">
        <f t="array" ref="E32">Common_InputFunctions.Utility_DisplayArrayInTable(SourceData_OtherLivestock.SourceData_OtherLivestock_VolatileSolidsProduced_Data(),Table_SourceData_OtherLivestock_VolatileSolids[[#Headers],[Other livestock type]],0)</f>
        <v>0.34</v>
      </c>
      <c r="M32" s="1"/>
    </row>
    <row r="33" spans="4:13" ht="20.100000000000001" customHeight="1" x14ac:dyDescent="0.25">
      <c r="M33" s="1"/>
    </row>
    <row r="34" spans="4:13" ht="20.100000000000001" customHeight="1" x14ac:dyDescent="0.25">
      <c r="M34" s="1"/>
    </row>
    <row r="35" spans="4:13" ht="20.100000000000001" customHeight="1" x14ac:dyDescent="0.25">
      <c r="D35" s="6" t="str" cm="1">
        <f t="array" ref="D35">SourceData_OtherLivestock.SourceData_OtherLivestock_NitrogenExcreted_Title()</f>
        <v>Other Livestock - Nitrogen excreted per livestock type</v>
      </c>
      <c r="M35" s="1"/>
    </row>
    <row r="36" spans="4:13" ht="20.100000000000001" customHeight="1" x14ac:dyDescent="0.25">
      <c r="D36" s="5" t="str" cm="1">
        <f t="array" ref="D36">SourceData_OtherLivestock.SourceData_OtherLivestock_NitrogenExcreted_Source()</f>
        <v>VEERG 2026: Table A.1.5.3</v>
      </c>
      <c r="M36" s="1"/>
    </row>
    <row r="37" spans="4:13" ht="20.100000000000001" customHeight="1" x14ac:dyDescent="0.25">
      <c r="D37" s="1" t="str" cm="1">
        <f t="array" ref="D37">SourceData_OtherLivestock.SourceData_OtherLivestock_NitrogenExcreted_Variable()</f>
        <v>NEj</v>
      </c>
      <c r="M37" s="1"/>
    </row>
    <row r="38" spans="4:13" ht="20.100000000000001" customHeight="1" x14ac:dyDescent="0.25">
      <c r="D38" s="55" t="str" cm="1">
        <f t="array" ref="D38">SourceData_OtherLivestock.SourceData_OtherLivestock_NitrogenExcreted_Unit()</f>
        <v>kg N2O / head / year</v>
      </c>
      <c r="M38" s="1"/>
    </row>
    <row r="39" spans="4:13" ht="20.100000000000001" customHeight="1" x14ac:dyDescent="0.25">
      <c r="D39" s="39" t="s">
        <v>141</v>
      </c>
      <c r="E39" s="39" t="s">
        <v>144</v>
      </c>
      <c r="M39" s="1"/>
    </row>
    <row r="40" spans="4:13" ht="20.100000000000001" customHeight="1" x14ac:dyDescent="0.25">
      <c r="D40" s="39" t="str" cm="1">
        <f t="array" ref="D40">Common_InputFunctions.Utility_DisplayArrayInTable(SourceData_OtherLivestock.SourceData_OtherLivestock_NitrogenExcreted_Data(),Table_SourceData_OtherLivestock_NitrogenExcreted[[#Headers],[Other livestock type]],0)</f>
        <v>Buffalo</v>
      </c>
      <c r="E40" s="39" cm="1">
        <f t="array" ref="E40">Common_InputFunctions.Utility_DisplayArrayInTable(SourceData_OtherLivestock.SourceData_OtherLivestock_NitrogenExcreted_Data(),Table_SourceData_OtherLivestock_NitrogenExcreted[[#Headers],[Other livestock type]],0)</f>
        <v>39.5</v>
      </c>
      <c r="M40" s="1"/>
    </row>
    <row r="41" spans="4:13" ht="20.100000000000001" customHeight="1" x14ac:dyDescent="0.25">
      <c r="D41" s="39" t="str" cm="1">
        <f t="array" ref="D41">Common_InputFunctions.Utility_DisplayArrayInTable(SourceData_OtherLivestock.SourceData_OtherLivestock_NitrogenExcreted_Data(),Table_SourceData_OtherLivestock_NitrogenExcreted[[#Headers],[Other livestock type]],0)</f>
        <v>Goats</v>
      </c>
      <c r="E41" s="39" cm="1">
        <f t="array" ref="E41">Common_InputFunctions.Utility_DisplayArrayInTable(SourceData_OtherLivestock.SourceData_OtherLivestock_NitrogenExcreted_Data(),Table_SourceData_OtherLivestock_NitrogenExcreted[[#Headers],[Other livestock type]],0)</f>
        <v>7</v>
      </c>
      <c r="M41" s="1"/>
    </row>
    <row r="42" spans="4:13" ht="20.100000000000001" customHeight="1" x14ac:dyDescent="0.25">
      <c r="D42" s="39" t="str" cm="1">
        <f t="array" ref="D42">Common_InputFunctions.Utility_DisplayArrayInTable(SourceData_OtherLivestock.SourceData_OtherLivestock_NitrogenExcreted_Data(),Table_SourceData_OtherLivestock_NitrogenExcreted[[#Headers],[Other livestock type]],0)</f>
        <v>Deer</v>
      </c>
      <c r="E42" s="39" cm="1">
        <f t="array" ref="E42">Common_InputFunctions.Utility_DisplayArrayInTable(SourceData_OtherLivestock.SourceData_OtherLivestock_NitrogenExcreted_Data(),Table_SourceData_OtherLivestock_NitrogenExcreted[[#Headers],[Other livestock type]],0)</f>
        <v>13.2</v>
      </c>
      <c r="M42" s="1"/>
    </row>
    <row r="43" spans="4:13" ht="20.100000000000001" customHeight="1" x14ac:dyDescent="0.25">
      <c r="D43" s="39" t="str" cm="1">
        <f t="array" ref="D43">Common_InputFunctions.Utility_DisplayArrayInTable(SourceData_OtherLivestock.SourceData_OtherLivestock_NitrogenExcreted_Data(),Table_SourceData_OtherLivestock_NitrogenExcreted[[#Headers],[Other livestock type]],0)</f>
        <v>Camels</v>
      </c>
      <c r="E43" s="39" cm="1">
        <f t="array" ref="E43">Common_InputFunctions.Utility_DisplayArrayInTable(SourceData_OtherLivestock.SourceData_OtherLivestock_NitrogenExcreted_Data(),Table_SourceData_OtherLivestock_NitrogenExcreted[[#Headers],[Other livestock type]],0)</f>
        <v>39.5</v>
      </c>
      <c r="M43" s="1"/>
    </row>
    <row r="44" spans="4:13" ht="20.100000000000001" customHeight="1" x14ac:dyDescent="0.25">
      <c r="D44" s="39" t="str" cm="1">
        <f t="array" ref="D44">Common_InputFunctions.Utility_DisplayArrayInTable(SourceData_OtherLivestock.SourceData_OtherLivestock_NitrogenExcreted_Data(),Table_SourceData_OtherLivestock_NitrogenExcreted[[#Headers],[Other livestock type]],0)</f>
        <v>Alpacas</v>
      </c>
      <c r="E44" s="39" cm="1">
        <f t="array" ref="E44">Common_InputFunctions.Utility_DisplayArrayInTable(SourceData_OtherLivestock.SourceData_OtherLivestock_NitrogenExcreted_Data(),Table_SourceData_OtherLivestock_NitrogenExcreted[[#Headers],[Other livestock type]],0)</f>
        <v>7</v>
      </c>
      <c r="M44" s="1"/>
    </row>
    <row r="45" spans="4:13" ht="20.100000000000001" customHeight="1" x14ac:dyDescent="0.25">
      <c r="D45" s="39" t="str" cm="1">
        <f t="array" ref="D45">Common_InputFunctions.Utility_DisplayArrayInTable(SourceData_OtherLivestock.SourceData_OtherLivestock_NitrogenExcreted_Data(),Table_SourceData_OtherLivestock_NitrogenExcreted[[#Headers],[Other livestock type]],0)</f>
        <v>Horses</v>
      </c>
      <c r="E45" s="39" cm="1">
        <f t="array" ref="E45">Common_InputFunctions.Utility_DisplayArrayInTable(SourceData_OtherLivestock.SourceData_OtherLivestock_NitrogenExcreted_Data(),Table_SourceData_OtherLivestock_NitrogenExcreted[[#Headers],[Other livestock type]],0)</f>
        <v>39.5</v>
      </c>
      <c r="M45" s="1"/>
    </row>
    <row r="46" spans="4:13" ht="20.100000000000001" customHeight="1" x14ac:dyDescent="0.25">
      <c r="D46" s="39" t="str" cm="1">
        <f t="array" ref="D46">Common_InputFunctions.Utility_DisplayArrayInTable(SourceData_OtherLivestock.SourceData_OtherLivestock_NitrogenExcreted_Data(),Table_SourceData_OtherLivestock_NitrogenExcreted[[#Headers],[Other livestock type]],0)</f>
        <v>Mules/asses</v>
      </c>
      <c r="E46" s="39" cm="1">
        <f t="array" ref="E46">Common_InputFunctions.Utility_DisplayArrayInTable(SourceData_OtherLivestock.SourceData_OtherLivestock_NitrogenExcreted_Data(),Table_SourceData_OtherLivestock_NitrogenExcreted[[#Headers],[Other livestock type]],0)</f>
        <v>13.2</v>
      </c>
      <c r="M46" s="1"/>
    </row>
    <row r="47" spans="4:13" ht="20.100000000000001" customHeight="1" x14ac:dyDescent="0.25">
      <c r="D47" s="39" t="str" cm="1">
        <f t="array" ref="D47">Common_InputFunctions.Utility_DisplayArrayInTable(SourceData_OtherLivestock.SourceData_OtherLivestock_NitrogenExcreted_Data(),Table_SourceData_OtherLivestock_NitrogenExcreted[[#Headers],[Other livestock type]],0)</f>
        <v>Emus/ostriches</v>
      </c>
      <c r="E47" s="39" cm="1">
        <f t="array" ref="E47">Common_InputFunctions.Utility_DisplayArrayInTable(SourceData_OtherLivestock.SourceData_OtherLivestock_NitrogenExcreted_Data(),Table_SourceData_OtherLivestock_NitrogenExcreted[[#Headers],[Other livestock type]],0)</f>
        <v>7</v>
      </c>
      <c r="M47" s="1"/>
    </row>
    <row r="48" spans="4:13" ht="20.100000000000001" customHeight="1" x14ac:dyDescent="0.25">
      <c r="M48" s="1"/>
    </row>
    <row r="49" spans="4:13" ht="20.100000000000001" customHeight="1" x14ac:dyDescent="0.25">
      <c r="M49" s="1"/>
    </row>
    <row r="50" spans="4:13" ht="20.100000000000001" customHeight="1" x14ac:dyDescent="0.25">
      <c r="D50" s="6" t="str" cm="1">
        <f t="array" ref="D50">SourceData_OtherLivestock.SourceData_OtherLivestock_AverageLiveweight_Title()</f>
        <v>Other Livestock - Average Liveweights</v>
      </c>
      <c r="M50" s="1"/>
    </row>
    <row r="51" spans="4:13" ht="20.100000000000001" customHeight="1" x14ac:dyDescent="0.25">
      <c r="D51" s="5" t="str" cm="1">
        <f t="array" ref="D51">SourceData_OtherLivestock.SourceData_OtherLivestock_AverageLiveweight_Source()</f>
        <v>VEERG 2026: Table A.1.5.4</v>
      </c>
      <c r="M51" s="1"/>
    </row>
    <row r="52" spans="4:13" ht="20.100000000000001" customHeight="1" x14ac:dyDescent="0.25">
      <c r="D52" s="1" t="str" cm="1">
        <f t="array" ref="D52">SourceData_OtherLivestock.SourceData_OtherLivestock_AverageLiveweight_Variable()</f>
        <v>Wco</v>
      </c>
      <c r="M52" s="1"/>
    </row>
    <row r="53" spans="4:13" ht="20.100000000000001" customHeight="1" x14ac:dyDescent="0.25">
      <c r="D53" s="55" t="str" cm="1">
        <f t="array" ref="D53">SourceData_OtherLivestock.SourceData_OtherLivestock_AverageLiveweight_Unit()</f>
        <v>kg</v>
      </c>
      <c r="M53" s="1"/>
    </row>
    <row r="54" spans="4:13" ht="20.100000000000001" customHeight="1" x14ac:dyDescent="0.25">
      <c r="D54" s="39" t="s">
        <v>141</v>
      </c>
      <c r="E54" s="39" t="s">
        <v>145</v>
      </c>
      <c r="F54" s="39" t="s">
        <v>146</v>
      </c>
      <c r="M54" s="1"/>
    </row>
    <row r="55" spans="4:13" ht="20.100000000000001" customHeight="1" x14ac:dyDescent="0.25">
      <c r="D55" s="39" t="str" cm="1">
        <f t="array" ref="D55">Common_InputFunctions.Utility_DisplayArrayInTable(SourceData_OtherLivestock.SourceData_OtherLivestock_AverageLiveweight_Data(),Table_SourceData_OtherLivestock_AverageLiveweight[[#Headers],[Other livestock type]],0)</f>
        <v>Buffalo</v>
      </c>
      <c r="E55" s="39" cm="1">
        <f t="array" ref="E55">Common_InputFunctions.Utility_DisplayArrayInTable(SourceData_OtherLivestock.SourceData_OtherLivestock_AverageLiveweight_Data(),Table_SourceData_OtherLivestock_AverageLiveweight[[#Headers],[Other livestock type]],0)</f>
        <v>336</v>
      </c>
      <c r="F55" s="39" t="str" cm="1">
        <f t="array" ref="F55">Common_InputFunctions.Utility_DisplayArrayInTable(SourceData_OtherLivestock.SourceData_OtherLivestock_AverageLiveweight_Data(),Table_SourceData_OtherLivestock_AverageLiveweight[[#Headers],[Other livestock type]],0)</f>
        <v>-</v>
      </c>
      <c r="M55" s="1"/>
    </row>
    <row r="56" spans="4:13" ht="20.100000000000001" customHeight="1" x14ac:dyDescent="0.25">
      <c r="D56" s="39" t="str" cm="1">
        <f t="array" ref="D56">Common_InputFunctions.Utility_DisplayArrayInTable(SourceData_OtherLivestock.SourceData_OtherLivestock_AverageLiveweight_Data(),Table_SourceData_OtherLivestock_AverageLiveweight[[#Headers],[Other livestock type]],0)</f>
        <v>Goats</v>
      </c>
      <c r="E56" s="39" cm="1">
        <f t="array" ref="E56">Common_InputFunctions.Utility_DisplayArrayInTable(SourceData_OtherLivestock.SourceData_OtherLivestock_AverageLiveweight_Data(),Table_SourceData_OtherLivestock_AverageLiveweight[[#Headers],[Other livestock type]],0)</f>
        <v>33</v>
      </c>
      <c r="F56" s="39" t="str" cm="1">
        <f t="array" ref="F56">Common_InputFunctions.Utility_DisplayArrayInTable(SourceData_OtherLivestock.SourceData_OtherLivestock_AverageLiveweight_Data(),Table_SourceData_OtherLivestock_AverageLiveweight[[#Headers],[Other livestock type]],0)</f>
        <v>28kg - low productivity systems</v>
      </c>
      <c r="M56" s="1"/>
    </row>
    <row r="57" spans="4:13" ht="20.100000000000001" customHeight="1" x14ac:dyDescent="0.25">
      <c r="D57" s="39" t="str" cm="1">
        <f t="array" ref="D57">Common_InputFunctions.Utility_DisplayArrayInTable(SourceData_OtherLivestock.SourceData_OtherLivestock_AverageLiveweight_Data(),Table_SourceData_OtherLivestock_AverageLiveweight[[#Headers],[Other livestock type]],0)</f>
        <v>Goats</v>
      </c>
      <c r="E57" s="39" cm="1">
        <f t="array" ref="E57">Common_InputFunctions.Utility_DisplayArrayInTable(SourceData_OtherLivestock.SourceData_OtherLivestock_AverageLiveweight_Data(),Table_SourceData_OtherLivestock_AverageLiveweight[[#Headers],[Other livestock type]],0)</f>
        <v>33</v>
      </c>
      <c r="F57" s="39" t="str" cm="1">
        <f t="array" ref="F57">Common_InputFunctions.Utility_DisplayArrayInTable(SourceData_OtherLivestock.SourceData_OtherLivestock_AverageLiveweight_Data(),Table_SourceData_OtherLivestock_AverageLiveweight[[#Headers],[Other livestock type]],0)</f>
        <v>50kg - high productivity systems</v>
      </c>
      <c r="M57" s="1"/>
    </row>
    <row r="58" spans="4:13" ht="20.100000000000001" customHeight="1" x14ac:dyDescent="0.25">
      <c r="D58" s="39" t="str" cm="1">
        <f t="array" ref="D58">Common_InputFunctions.Utility_DisplayArrayInTable(SourceData_OtherLivestock.SourceData_OtherLivestock_AverageLiveweight_Data(),Table_SourceData_OtherLivestock_AverageLiveweight[[#Headers],[Other livestock type]],0)</f>
        <v>Deer</v>
      </c>
      <c r="E58" s="39" cm="1">
        <f t="array" ref="E58">Common_InputFunctions.Utility_DisplayArrayInTable(SourceData_OtherLivestock.SourceData_OtherLivestock_AverageLiveweight_Data(),Table_SourceData_OtherLivestock_AverageLiveweight[[#Headers],[Other livestock type]],0)</f>
        <v>120</v>
      </c>
      <c r="F58" s="39" cm="1">
        <f t="array" ref="F58">Common_InputFunctions.Utility_DisplayArrayInTable(SourceData_OtherLivestock.SourceData_OtherLivestock_AverageLiveweight_Data(),Table_SourceData_OtherLivestock_AverageLiveweight[[#Headers],[Other livestock type]],0)</f>
        <v>120</v>
      </c>
      <c r="M58" s="1"/>
    </row>
    <row r="59" spans="4:13" ht="20.100000000000001" customHeight="1" x14ac:dyDescent="0.25">
      <c r="D59" s="39" t="str" cm="1">
        <f t="array" ref="D59">Common_InputFunctions.Utility_DisplayArrayInTable(SourceData_OtherLivestock.SourceData_OtherLivestock_AverageLiveweight_Data(),Table_SourceData_OtherLivestock_AverageLiveweight[[#Headers],[Other livestock type]],0)</f>
        <v>Camels</v>
      </c>
      <c r="E59" s="39" cm="1">
        <f t="array" ref="E59">Common_InputFunctions.Utility_DisplayArrayInTable(SourceData_OtherLivestock.SourceData_OtherLivestock_AverageLiveweight_Data(),Table_SourceData_OtherLivestock_AverageLiveweight[[#Headers],[Other livestock type]],0)</f>
        <v>217</v>
      </c>
      <c r="F59" s="39" cm="1">
        <f t="array" ref="F59">Common_InputFunctions.Utility_DisplayArrayInTable(SourceData_OtherLivestock.SourceData_OtherLivestock_AverageLiveweight_Data(),Table_SourceData_OtherLivestock_AverageLiveweight[[#Headers],[Other livestock type]],0)</f>
        <v>570</v>
      </c>
      <c r="M59" s="1"/>
    </row>
    <row r="60" spans="4:13" ht="20.100000000000001" customHeight="1" x14ac:dyDescent="0.25">
      <c r="D60" s="39" t="str" cm="1">
        <f t="array" ref="D60">Common_InputFunctions.Utility_DisplayArrayInTable(SourceData_OtherLivestock.SourceData_OtherLivestock_AverageLiveweight_Data(),Table_SourceData_OtherLivestock_AverageLiveweight[[#Headers],[Other livestock type]],0)</f>
        <v>Alpacas</v>
      </c>
      <c r="E60" s="39" t="str" cm="1">
        <f t="array" ref="E60">Common_InputFunctions.Utility_DisplayArrayInTable(SourceData_OtherLivestock.SourceData_OtherLivestock_AverageLiveweight_Data(),Table_SourceData_OtherLivestock_AverageLiveweight[[#Headers],[Other livestock type]],0)</f>
        <v>-</v>
      </c>
      <c r="F60" s="39" cm="1">
        <f t="array" ref="F60">Common_InputFunctions.Utility_DisplayArrayInTable(SourceData_OtherLivestock.SourceData_OtherLivestock_AverageLiveweight_Data(),Table_SourceData_OtherLivestock_AverageLiveweight[[#Headers],[Other livestock type]],0)</f>
        <v>65</v>
      </c>
      <c r="M60" s="1"/>
    </row>
    <row r="61" spans="4:13" ht="20.100000000000001" customHeight="1" x14ac:dyDescent="0.25">
      <c r="D61" s="39" t="str" cm="1">
        <f t="array" ref="D61">Common_InputFunctions.Utility_DisplayArrayInTable(SourceData_OtherLivestock.SourceData_OtherLivestock_AverageLiveweight_Data(),Table_SourceData_OtherLivestock_AverageLiveweight[[#Headers],[Other livestock type]],0)</f>
        <v>Horses</v>
      </c>
      <c r="E61" s="39" cm="1">
        <f t="array" ref="E61">Common_InputFunctions.Utility_DisplayArrayInTable(SourceData_OtherLivestock.SourceData_OtherLivestock_AverageLiveweight_Data(),Table_SourceData_OtherLivestock_AverageLiveweight[[#Headers],[Other livestock type]],0)</f>
        <v>377</v>
      </c>
      <c r="F61" s="39" cm="1">
        <f t="array" ref="F61">Common_InputFunctions.Utility_DisplayArrayInTable(SourceData_OtherLivestock.SourceData_OtherLivestock_AverageLiveweight_Data(),Table_SourceData_OtherLivestock_AverageLiveweight[[#Headers],[Other livestock type]],0)</f>
        <v>550</v>
      </c>
      <c r="M61" s="1"/>
    </row>
    <row r="62" spans="4:13" ht="20.100000000000001" customHeight="1" x14ac:dyDescent="0.25">
      <c r="D62" s="39" t="str" cm="1">
        <f t="array" ref="D62">Common_InputFunctions.Utility_DisplayArrayInTable(SourceData_OtherLivestock.SourceData_OtherLivestock_AverageLiveweight_Data(),Table_SourceData_OtherLivestock_AverageLiveweight[[#Headers],[Other livestock type]],0)</f>
        <v>Mules/asses</v>
      </c>
      <c r="E62" s="39" cm="1">
        <f t="array" ref="E62">Common_InputFunctions.Utility_DisplayArrayInTable(SourceData_OtherLivestock.SourceData_OtherLivestock_AverageLiveweight_Data(),Table_SourceData_OtherLivestock_AverageLiveweight[[#Headers],[Other livestock type]],0)</f>
        <v>130</v>
      </c>
      <c r="F62" s="39" cm="1">
        <f t="array" ref="F62">Common_InputFunctions.Utility_DisplayArrayInTable(SourceData_OtherLivestock.SourceData_OtherLivestock_AverageLiveweight_Data(),Table_SourceData_OtherLivestock_AverageLiveweight[[#Headers],[Other livestock type]],0)</f>
        <v>245</v>
      </c>
      <c r="M62" s="1"/>
    </row>
    <row r="63" spans="4:13" ht="20.100000000000001" customHeight="1" x14ac:dyDescent="0.25">
      <c r="D63" s="39" t="str" cm="1">
        <f t="array" ref="D63">Common_InputFunctions.Utility_DisplayArrayInTable(SourceData_OtherLivestock.SourceData_OtherLivestock_AverageLiveweight_Data(),Table_SourceData_OtherLivestock_AverageLiveweight[[#Headers],[Other livestock type]],0)</f>
        <v>Emus/ostriches</v>
      </c>
      <c r="E63" s="39" cm="1">
        <f t="array" ref="E63">Common_InputFunctions.Utility_DisplayArrayInTable(SourceData_OtherLivestock.SourceData_OtherLivestock_AverageLiveweight_Data(),Table_SourceData_OtherLivestock_AverageLiveweight[[#Headers],[Other livestock type]],0)</f>
        <v>120</v>
      </c>
      <c r="F63" s="39" cm="1">
        <f t="array" ref="F63">Common_InputFunctions.Utility_DisplayArrayInTable(SourceData_OtherLivestock.SourceData_OtherLivestock_AverageLiveweight_Data(),Table_SourceData_OtherLivestock_AverageLiveweight[[#Headers],[Other livestock type]],0)</f>
        <v>120</v>
      </c>
      <c r="M63" s="1"/>
    </row>
    <row r="64" spans="4:13" ht="20.100000000000001" customHeight="1" x14ac:dyDescent="0.25">
      <c r="D64" s="39" t="str" cm="1">
        <f t="array" ref="D64">Common_InputFunctions.Utility_DisplayArrayInTable(SourceData_OtherLivestock.SourceData_OtherLivestock_AverageLiveweight_Data(),Table_SourceData_OtherLivestock_AverageLiveweight[[#Headers],[Other livestock type]],0)</f>
        <v>Reference</v>
      </c>
      <c r="E64" s="39" t="str" cm="1">
        <f t="array" ref="E64">Common_InputFunctions.Utility_DisplayArrayInTable(SourceData_OtherLivestock.SourceData_OtherLivestock_AverageLiveweight_Data(),Table_SourceData_OtherLivestock_AverageLiveweight[[#Headers],[Other livestock type]],0)</f>
        <v>IPCC 2019 Table 10A.5 [2]</v>
      </c>
      <c r="F64" s="39" t="str" cm="1">
        <f t="array" ref="F64">Common_InputFunctions.Utility_DisplayArrayInTable(SourceData_OtherLivestock.SourceData_OtherLivestock_AverageLiveweight_Data(),Table_SourceData_OtherLivestock_AverageLiveweight[[#Headers],[Other livestock type]],0)</f>
        <v>IPCC 2019 Table 10.10 [2]</v>
      </c>
      <c r="M64" s="1"/>
    </row>
    <row r="65" spans="4:13" ht="20.100000000000001" customHeight="1" x14ac:dyDescent="0.25">
      <c r="M65" s="1"/>
    </row>
    <row r="66" spans="4:13" ht="20.100000000000001" customHeight="1" x14ac:dyDescent="0.25">
      <c r="M66" s="1"/>
    </row>
    <row r="67" spans="4:13" ht="20.100000000000001" customHeight="1" x14ac:dyDescent="0.25">
      <c r="D67" s="6" t="str" cm="1">
        <f t="array" ref="D67">SourceData_OtherLivestock.SourceData_OtherLivestock_FractionWasteInMMS_Title()</f>
        <v>Other Livestock - Fraction of waste in each manure management system</v>
      </c>
      <c r="M67" s="1"/>
    </row>
    <row r="68" spans="4:13" ht="20.100000000000001" customHeight="1" x14ac:dyDescent="0.25">
      <c r="D68" s="5" t="str" cm="1">
        <f t="array" ref="D68">SourceData_OtherLivestock.SourceData_OtherLivestock_FractionWasteInMMS_Source()</f>
        <v>VEERG 2026: Table A.1.5.5</v>
      </c>
      <c r="M68" s="1"/>
    </row>
    <row r="69" spans="4:13" ht="20.100000000000001" customHeight="1" x14ac:dyDescent="0.25">
      <c r="D69" s="1" t="str" cm="1">
        <f t="array" ref="D69">SourceData_OtherLivestock.SourceData_OtherLivestock_FractionWasteInMMS_Variable()</f>
        <v>MMSm</v>
      </c>
      <c r="M69" s="1"/>
    </row>
    <row r="70" spans="4:13" ht="20.100000000000001" customHeight="1" x14ac:dyDescent="0.25">
      <c r="D70" s="55" t="str" cm="1">
        <f t="array" ref="D70">SourceData_OtherLivestock.SourceData_OtherLivestock_FractionWasteInMMS_Unit()</f>
        <v>fraction</v>
      </c>
      <c r="M70" s="1"/>
    </row>
    <row r="71" spans="4:13" ht="20.100000000000001" customHeight="1" x14ac:dyDescent="0.25">
      <c r="D71" s="39" t="s">
        <v>141</v>
      </c>
      <c r="E71" s="39" t="s">
        <v>137</v>
      </c>
      <c r="F71" s="52" t="s">
        <v>147</v>
      </c>
      <c r="M71" s="1"/>
    </row>
    <row r="72" spans="4:13" ht="20.100000000000001" customHeight="1" x14ac:dyDescent="0.25">
      <c r="D72" s="39" t="str" cm="1">
        <f t="array" ref="D72">Common_InputFunctions.Utility_DisplayArrayInTable(SourceData_OtherLivestock.SourceData_OtherLivestock_FractionWasteInMMS_Data(),Table_SourceData_OtherLivestock_FractionWasteInMMS[[#Headers],[Other livestock type]],0)</f>
        <v>ACT</v>
      </c>
      <c r="E72" s="39" cm="1">
        <f t="array" ref="E72">Common_InputFunctions.Utility_DisplayArrayInTable(SourceData_OtherLivestock.SourceData_OtherLivestock_FractionWasteInMMS_Data(),Table_SourceData_OtherLivestock_FractionWasteInMMS[[#Headers],[Other livestock type]],0)</f>
        <v>99.66</v>
      </c>
      <c r="F72" s="39" cm="1">
        <f t="array" ref="F72">Common_InputFunctions.Utility_DisplayArrayInTable(SourceData_OtherLivestock.SourceData_OtherLivestock_FractionWasteInMMS_Data(),Table_SourceData_OtherLivestock_FractionWasteInMMS[[#Headers],[Other livestock type]],0)</f>
        <v>0.34</v>
      </c>
      <c r="M72" s="1"/>
    </row>
    <row r="73" spans="4:13" ht="20.100000000000001" customHeight="1" x14ac:dyDescent="0.25">
      <c r="D73" s="39" t="str" cm="1">
        <f t="array" ref="D73">Common_InputFunctions.Utility_DisplayArrayInTable(SourceData_OtherLivestock.SourceData_OtherLivestock_FractionWasteInMMS_Data(),Table_SourceData_OtherLivestock_FractionWasteInMMS[[#Headers],[Other livestock type]],0)</f>
        <v>NSW</v>
      </c>
      <c r="E73" s="39" cm="1">
        <f t="array" ref="E73">Common_InputFunctions.Utility_DisplayArrayInTable(SourceData_OtherLivestock.SourceData_OtherLivestock_FractionWasteInMMS_Data(),Table_SourceData_OtherLivestock_FractionWasteInMMS[[#Headers],[Other livestock type]],0)</f>
        <v>99.66</v>
      </c>
      <c r="F73" s="39" cm="1">
        <f t="array" ref="F73">Common_InputFunctions.Utility_DisplayArrayInTable(SourceData_OtherLivestock.SourceData_OtherLivestock_FractionWasteInMMS_Data(),Table_SourceData_OtherLivestock_FractionWasteInMMS[[#Headers],[Other livestock type]],0)</f>
        <v>0.34</v>
      </c>
      <c r="M73" s="1"/>
    </row>
    <row r="74" spans="4:13" ht="20.100000000000001" customHeight="1" x14ac:dyDescent="0.25">
      <c r="D74" s="39" t="str" cm="1">
        <f t="array" ref="D74">Common_InputFunctions.Utility_DisplayArrayInTable(SourceData_OtherLivestock.SourceData_OtherLivestock_FractionWasteInMMS_Data(),Table_SourceData_OtherLivestock_FractionWasteInMMS[[#Headers],[Other livestock type]],0)</f>
        <v>NT</v>
      </c>
      <c r="E74" s="39" cm="1">
        <f t="array" ref="E74">Common_InputFunctions.Utility_DisplayArrayInTable(SourceData_OtherLivestock.SourceData_OtherLivestock_FractionWasteInMMS_Data(),Table_SourceData_OtherLivestock_FractionWasteInMMS[[#Headers],[Other livestock type]],0)</f>
        <v>99.66</v>
      </c>
      <c r="F74" s="39" cm="1">
        <f t="array" ref="F74">Common_InputFunctions.Utility_DisplayArrayInTable(SourceData_OtherLivestock.SourceData_OtherLivestock_FractionWasteInMMS_Data(),Table_SourceData_OtherLivestock_FractionWasteInMMS[[#Headers],[Other livestock type]],0)</f>
        <v>0.34</v>
      </c>
      <c r="M74" s="1"/>
    </row>
    <row r="75" spans="4:13" ht="20.100000000000001" customHeight="1" x14ac:dyDescent="0.25">
      <c r="D75" s="39" t="str" cm="1">
        <f t="array" ref="D75">Common_InputFunctions.Utility_DisplayArrayInTable(SourceData_OtherLivestock.SourceData_OtherLivestock_FractionWasteInMMS_Data(),Table_SourceData_OtherLivestock_FractionWasteInMMS[[#Headers],[Other livestock type]],0)</f>
        <v>QLD</v>
      </c>
      <c r="E75" s="39" cm="1">
        <f t="array" ref="E75">Common_InputFunctions.Utility_DisplayArrayInTable(SourceData_OtherLivestock.SourceData_OtherLivestock_FractionWasteInMMS_Data(),Table_SourceData_OtherLivestock_FractionWasteInMMS[[#Headers],[Other livestock type]],0)</f>
        <v>99.66</v>
      </c>
      <c r="F75" s="39" cm="1">
        <f t="array" ref="F75">Common_InputFunctions.Utility_DisplayArrayInTable(SourceData_OtherLivestock.SourceData_OtherLivestock_FractionWasteInMMS_Data(),Table_SourceData_OtherLivestock_FractionWasteInMMS[[#Headers],[Other livestock type]],0)</f>
        <v>0.34</v>
      </c>
      <c r="M75" s="1"/>
    </row>
    <row r="76" spans="4:13" ht="20.100000000000001" customHeight="1" x14ac:dyDescent="0.25">
      <c r="D76" s="39" t="str" cm="1">
        <f t="array" ref="D76">Common_InputFunctions.Utility_DisplayArrayInTable(SourceData_OtherLivestock.SourceData_OtherLivestock_FractionWasteInMMS_Data(),Table_SourceData_OtherLivestock_FractionWasteInMMS[[#Headers],[Other livestock type]],0)</f>
        <v>SA</v>
      </c>
      <c r="E76" s="39" cm="1">
        <f t="array" ref="E76">Common_InputFunctions.Utility_DisplayArrayInTable(SourceData_OtherLivestock.SourceData_OtherLivestock_FractionWasteInMMS_Data(),Table_SourceData_OtherLivestock_FractionWasteInMMS[[#Headers],[Other livestock type]],0)</f>
        <v>99.66</v>
      </c>
      <c r="F76" s="39" cm="1">
        <f t="array" ref="F76">Common_InputFunctions.Utility_DisplayArrayInTable(SourceData_OtherLivestock.SourceData_OtherLivestock_FractionWasteInMMS_Data(),Table_SourceData_OtherLivestock_FractionWasteInMMS[[#Headers],[Other livestock type]],0)</f>
        <v>0.34</v>
      </c>
      <c r="M76" s="1"/>
    </row>
    <row r="77" spans="4:13" ht="20.100000000000001" customHeight="1" x14ac:dyDescent="0.25">
      <c r="D77" s="39" t="str" cm="1">
        <f t="array" ref="D77">Common_InputFunctions.Utility_DisplayArrayInTable(SourceData_OtherLivestock.SourceData_OtherLivestock_FractionWasteInMMS_Data(),Table_SourceData_OtherLivestock_FractionWasteInMMS[[#Headers],[Other livestock type]],0)</f>
        <v>TAS</v>
      </c>
      <c r="E77" s="39" cm="1">
        <f t="array" ref="E77">Common_InputFunctions.Utility_DisplayArrayInTable(SourceData_OtherLivestock.SourceData_OtherLivestock_FractionWasteInMMS_Data(),Table_SourceData_OtherLivestock_FractionWasteInMMS[[#Headers],[Other livestock type]],0)</f>
        <v>99.66</v>
      </c>
      <c r="F77" s="39" cm="1">
        <f t="array" ref="F77">Common_InputFunctions.Utility_DisplayArrayInTable(SourceData_OtherLivestock.SourceData_OtherLivestock_FractionWasteInMMS_Data(),Table_SourceData_OtherLivestock_FractionWasteInMMS[[#Headers],[Other livestock type]],0)</f>
        <v>0.34</v>
      </c>
      <c r="M77" s="1"/>
    </row>
    <row r="78" spans="4:13" ht="20.100000000000001" customHeight="1" x14ac:dyDescent="0.25">
      <c r="D78" s="39" t="str" cm="1">
        <f t="array" ref="D78">Common_InputFunctions.Utility_DisplayArrayInTable(SourceData_OtherLivestock.SourceData_OtherLivestock_FractionWasteInMMS_Data(),Table_SourceData_OtherLivestock_FractionWasteInMMS[[#Headers],[Other livestock type]],0)</f>
        <v>VIC</v>
      </c>
      <c r="E78" s="39" cm="1">
        <f t="array" ref="E78">Common_InputFunctions.Utility_DisplayArrayInTable(SourceData_OtherLivestock.SourceData_OtherLivestock_FractionWasteInMMS_Data(),Table_SourceData_OtherLivestock_FractionWasteInMMS[[#Headers],[Other livestock type]],0)</f>
        <v>99.66</v>
      </c>
      <c r="F78" s="39" cm="1">
        <f t="array" ref="F78">Common_InputFunctions.Utility_DisplayArrayInTable(SourceData_OtherLivestock.SourceData_OtherLivestock_FractionWasteInMMS_Data(),Table_SourceData_OtherLivestock_FractionWasteInMMS[[#Headers],[Other livestock type]],0)</f>
        <v>0.34</v>
      </c>
      <c r="M78" s="1"/>
    </row>
    <row r="79" spans="4:13" ht="20.100000000000001" customHeight="1" x14ac:dyDescent="0.25">
      <c r="D79" s="39" t="str" cm="1">
        <f t="array" ref="D79">Common_InputFunctions.Utility_DisplayArrayInTable(SourceData_OtherLivestock.SourceData_OtherLivestock_FractionWasteInMMS_Data(),Table_SourceData_OtherLivestock_FractionWasteInMMS[[#Headers],[Other livestock type]],0)</f>
        <v>WA</v>
      </c>
      <c r="E79" s="39" cm="1">
        <f t="array" ref="E79">Common_InputFunctions.Utility_DisplayArrayInTable(SourceData_OtherLivestock.SourceData_OtherLivestock_FractionWasteInMMS_Data(),Table_SourceData_OtherLivestock_FractionWasteInMMS[[#Headers],[Other livestock type]],0)</f>
        <v>99.66</v>
      </c>
      <c r="F79" s="39" cm="1">
        <f t="array" ref="F79">Common_InputFunctions.Utility_DisplayArrayInTable(SourceData_OtherLivestock.SourceData_OtherLivestock_FractionWasteInMMS_Data(),Table_SourceData_OtherLivestock_FractionWasteInMMS[[#Headers],[Other livestock type]],0)</f>
        <v>0.34</v>
      </c>
      <c r="M79" s="1"/>
    </row>
    <row r="80" spans="4:13" ht="20.100000000000001" customHeight="1" x14ac:dyDescent="0.25">
      <c r="M80" s="1"/>
    </row>
    <row r="81" spans="4:13" ht="20.100000000000001" customHeight="1" x14ac:dyDescent="0.25">
      <c r="M81" s="1"/>
    </row>
    <row r="82" spans="4:13" ht="20.100000000000001" customHeight="1" x14ac:dyDescent="0.25">
      <c r="D82" s="6" t="str" cm="1">
        <f t="array" ref="D82">SourceData_OtherLivestock.SourceData_OtherLivestock_MethaneConversionFactor_Title()</f>
        <v>Other Livestock - Methane conversion factor per region</v>
      </c>
      <c r="M82" s="1"/>
    </row>
    <row r="83" spans="4:13" ht="20.100000000000001" customHeight="1" x14ac:dyDescent="0.25">
      <c r="D83" s="5" t="str" cm="1">
        <f t="array" ref="D83">SourceData_OtherLivestock.SourceData_OtherLivestock_MethaneConversionFactor_Source()</f>
        <v>VEERG 2026: Table A.1.5.6</v>
      </c>
      <c r="M83" s="1"/>
    </row>
    <row r="84" spans="4:13" ht="20.100000000000001" customHeight="1" x14ac:dyDescent="0.25">
      <c r="D84" s="1" t="str" cm="1">
        <f t="array" ref="D84">SourceData_OtherLivestock.SourceData_OtherLivestock_MethaneConversionFactor_Variable()</f>
        <v>MCFim</v>
      </c>
      <c r="M84" s="1"/>
    </row>
    <row r="85" spans="4:13" ht="20.100000000000001" customHeight="1" x14ac:dyDescent="0.25">
      <c r="D85" s="55" t="str" cm="1">
        <f t="array" ref="D85">SourceData_OtherLivestock.SourceData_OtherLivestock_MethaneConversionFactor_Unit()</f>
        <v>fraction</v>
      </c>
      <c r="M85" s="1"/>
    </row>
    <row r="86" spans="4:13" ht="20.100000000000001" customHeight="1" x14ac:dyDescent="0.25">
      <c r="D86" s="39" t="s">
        <v>141</v>
      </c>
      <c r="E86" s="39" t="s">
        <v>137</v>
      </c>
      <c r="F86" s="52" t="s">
        <v>147</v>
      </c>
      <c r="M86" s="1"/>
    </row>
    <row r="87" spans="4:13" ht="20.100000000000001" customHeight="1" x14ac:dyDescent="0.25">
      <c r="D87" s="39" t="str" cm="1">
        <f t="array" ref="D87">Common_InputFunctions.Utility_DisplayArrayInTable(SourceData_OtherLivestock.SourceData_OtherLivestock_MethaneConversionFactor_Data(),Table_SourceData_OtherLivestock_MCF[[#Headers],[Other livestock type]],0)</f>
        <v>ACT</v>
      </c>
      <c r="E87" s="39" cm="1">
        <f t="array" ref="E87">Common_InputFunctions.Utility_DisplayArrayInTable(SourceData_OtherLivestock.SourceData_OtherLivestock_MethaneConversionFactor_Data(),Table_SourceData_OtherLivestock_MCF[[#Headers],[Other livestock type]],0)</f>
        <v>4.7000000000000002E-3</v>
      </c>
      <c r="F87" s="39" cm="1">
        <f t="array" ref="F87">Common_InputFunctions.Utility_DisplayArrayInTable(SourceData_OtherLivestock.SourceData_OtherLivestock_MethaneConversionFactor_Data(),Table_SourceData_OtherLivestock_MCF[[#Headers],[Other livestock type]],0)</f>
        <v>0.71</v>
      </c>
      <c r="M87" s="1"/>
    </row>
    <row r="88" spans="4:13" ht="20.100000000000001" customHeight="1" x14ac:dyDescent="0.25">
      <c r="D88" s="39" t="str" cm="1">
        <f t="array" ref="D88">Common_InputFunctions.Utility_DisplayArrayInTable(SourceData_OtherLivestock.SourceData_OtherLivestock_MethaneConversionFactor_Data(),Table_SourceData_OtherLivestock_MCF[[#Headers],[Other livestock type]],0)</f>
        <v>NSW</v>
      </c>
      <c r="E88" s="39" cm="1">
        <f t="array" ref="E88">Common_InputFunctions.Utility_DisplayArrayInTable(SourceData_OtherLivestock.SourceData_OtherLivestock_MethaneConversionFactor_Data(),Table_SourceData_OtherLivestock_MCF[[#Headers],[Other livestock type]],0)</f>
        <v>4.7000000000000002E-3</v>
      </c>
      <c r="F88" s="39" cm="1">
        <f t="array" ref="F88">Common_InputFunctions.Utility_DisplayArrayInTable(SourceData_OtherLivestock.SourceData_OtherLivestock_MethaneConversionFactor_Data(),Table_SourceData_OtherLivestock_MCF[[#Headers],[Other livestock type]],0)</f>
        <v>0.75</v>
      </c>
      <c r="M88" s="1"/>
    </row>
    <row r="89" spans="4:13" ht="20.100000000000001" customHeight="1" x14ac:dyDescent="0.25">
      <c r="D89" s="39" t="str" cm="1">
        <f t="array" ref="D89">Common_InputFunctions.Utility_DisplayArrayInTable(SourceData_OtherLivestock.SourceData_OtherLivestock_MethaneConversionFactor_Data(),Table_SourceData_OtherLivestock_MCF[[#Headers],[Other livestock type]],0)</f>
        <v>NT</v>
      </c>
      <c r="E89" s="39" cm="1">
        <f t="array" ref="E89">Common_InputFunctions.Utility_DisplayArrayInTable(SourceData_OtherLivestock.SourceData_OtherLivestock_MethaneConversionFactor_Data(),Table_SourceData_OtherLivestock_MCF[[#Headers],[Other livestock type]],0)</f>
        <v>4.7000000000000002E-3</v>
      </c>
      <c r="F89" s="39" cm="1">
        <f t="array" ref="F89">Common_InputFunctions.Utility_DisplayArrayInTable(SourceData_OtherLivestock.SourceData_OtherLivestock_MethaneConversionFactor_Data(),Table_SourceData_OtherLivestock_MCF[[#Headers],[Other livestock type]],0)</f>
        <v>0.8</v>
      </c>
      <c r="M89" s="1"/>
    </row>
    <row r="90" spans="4:13" ht="20.100000000000001" customHeight="1" x14ac:dyDescent="0.25">
      <c r="D90" s="39" t="str" cm="1">
        <f t="array" ref="D90">Common_InputFunctions.Utility_DisplayArrayInTable(SourceData_OtherLivestock.SourceData_OtherLivestock_MethaneConversionFactor_Data(),Table_SourceData_OtherLivestock_MCF[[#Headers],[Other livestock type]],0)</f>
        <v>QLD</v>
      </c>
      <c r="E90" s="39" cm="1">
        <f t="array" ref="E90">Common_InputFunctions.Utility_DisplayArrayInTable(SourceData_OtherLivestock.SourceData_OtherLivestock_MethaneConversionFactor_Data(),Table_SourceData_OtherLivestock_MCF[[#Headers],[Other livestock type]],0)</f>
        <v>4.7000000000000002E-3</v>
      </c>
      <c r="F90" s="39" cm="1">
        <f t="array" ref="F90">Common_InputFunctions.Utility_DisplayArrayInTable(SourceData_OtherLivestock.SourceData_OtherLivestock_MethaneConversionFactor_Data(),Table_SourceData_OtherLivestock_MCF[[#Headers],[Other livestock type]],0)</f>
        <v>0.78</v>
      </c>
      <c r="M90" s="1"/>
    </row>
    <row r="91" spans="4:13" ht="20.100000000000001" customHeight="1" x14ac:dyDescent="0.25">
      <c r="D91" s="39" t="str" cm="1">
        <f t="array" ref="D91">Common_InputFunctions.Utility_DisplayArrayInTable(SourceData_OtherLivestock.SourceData_OtherLivestock_MethaneConversionFactor_Data(),Table_SourceData_OtherLivestock_MCF[[#Headers],[Other livestock type]],0)</f>
        <v>SA</v>
      </c>
      <c r="E91" s="39" cm="1">
        <f t="array" ref="E91">Common_InputFunctions.Utility_DisplayArrayInTable(SourceData_OtherLivestock.SourceData_OtherLivestock_MethaneConversionFactor_Data(),Table_SourceData_OtherLivestock_MCF[[#Headers],[Other livestock type]],0)</f>
        <v>4.7000000000000002E-3</v>
      </c>
      <c r="F91" s="39" cm="1">
        <f t="array" ref="F91">Common_InputFunctions.Utility_DisplayArrayInTable(SourceData_OtherLivestock.SourceData_OtherLivestock_MethaneConversionFactor_Data(),Table_SourceData_OtherLivestock_MCF[[#Headers],[Other livestock type]],0)</f>
        <v>0.74</v>
      </c>
      <c r="M91" s="1"/>
    </row>
    <row r="92" spans="4:13" ht="20.100000000000001" customHeight="1" x14ac:dyDescent="0.25">
      <c r="D92" s="39" t="str" cm="1">
        <f t="array" ref="D92">Common_InputFunctions.Utility_DisplayArrayInTable(SourceData_OtherLivestock.SourceData_OtherLivestock_MethaneConversionFactor_Data(),Table_SourceData_OtherLivestock_MCF[[#Headers],[Other livestock type]],0)</f>
        <v>TAS</v>
      </c>
      <c r="E92" s="39" cm="1">
        <f t="array" ref="E92">Common_InputFunctions.Utility_DisplayArrayInTable(SourceData_OtherLivestock.SourceData_OtherLivestock_MethaneConversionFactor_Data(),Table_SourceData_OtherLivestock_MCF[[#Headers],[Other livestock type]],0)</f>
        <v>4.7000000000000002E-3</v>
      </c>
      <c r="F92" s="39" cm="1">
        <f t="array" ref="F92">Common_InputFunctions.Utility_DisplayArrayInTable(SourceData_OtherLivestock.SourceData_OtherLivestock_MethaneConversionFactor_Data(),Table_SourceData_OtherLivestock_MCF[[#Headers],[Other livestock type]],0)</f>
        <v>0.7</v>
      </c>
      <c r="M92" s="1"/>
    </row>
    <row r="93" spans="4:13" ht="20.100000000000001" customHeight="1" x14ac:dyDescent="0.25">
      <c r="D93" s="39" t="str" cm="1">
        <f t="array" ref="D93">Common_InputFunctions.Utility_DisplayArrayInTable(SourceData_OtherLivestock.SourceData_OtherLivestock_MethaneConversionFactor_Data(),Table_SourceData_OtherLivestock_MCF[[#Headers],[Other livestock type]],0)</f>
        <v>VIC</v>
      </c>
      <c r="E93" s="39" cm="1">
        <f t="array" ref="E93">Common_InputFunctions.Utility_DisplayArrayInTable(SourceData_OtherLivestock.SourceData_OtherLivestock_MethaneConversionFactor_Data(),Table_SourceData_OtherLivestock_MCF[[#Headers],[Other livestock type]],0)</f>
        <v>4.7000000000000002E-3</v>
      </c>
      <c r="F93" s="39" cm="1">
        <f t="array" ref="F93">Common_InputFunctions.Utility_DisplayArrayInTable(SourceData_OtherLivestock.SourceData_OtherLivestock_MethaneConversionFactor_Data(),Table_SourceData_OtherLivestock_MCF[[#Headers],[Other livestock type]],0)</f>
        <v>0.74</v>
      </c>
      <c r="M93" s="1"/>
    </row>
    <row r="94" spans="4:13" ht="20.100000000000001" customHeight="1" x14ac:dyDescent="0.25">
      <c r="D94" s="39" t="str" cm="1">
        <f t="array" ref="D94">Common_InputFunctions.Utility_DisplayArrayInTable(SourceData_OtherLivestock.SourceData_OtherLivestock_MethaneConversionFactor_Data(),Table_SourceData_OtherLivestock_MCF[[#Headers],[Other livestock type]],0)</f>
        <v>WA</v>
      </c>
      <c r="E94" s="39" cm="1">
        <f t="array" ref="E94">Common_InputFunctions.Utility_DisplayArrayInTable(SourceData_OtherLivestock.SourceData_OtherLivestock_MethaneConversionFactor_Data(),Table_SourceData_OtherLivestock_MCF[[#Headers],[Other livestock type]],0)</f>
        <v>4.7000000000000002E-3</v>
      </c>
      <c r="F94" s="39" cm="1">
        <f t="array" ref="F94">Common_InputFunctions.Utility_DisplayArrayInTable(SourceData_OtherLivestock.SourceData_OtherLivestock_MethaneConversionFactor_Data(),Table_SourceData_OtherLivestock_MCF[[#Headers],[Other livestock type]],0)</f>
        <v>0.76</v>
      </c>
      <c r="M94" s="1"/>
    </row>
    <row r="95" spans="4:13" ht="20.100000000000001" customHeight="1" x14ac:dyDescent="0.25">
      <c r="M95" s="1"/>
    </row>
    <row r="96" spans="4:13" ht="20.100000000000001" customHeight="1" x14ac:dyDescent="0.25">
      <c r="M96" s="1"/>
    </row>
    <row r="97" spans="4:13" ht="20.100000000000001" customHeight="1" x14ac:dyDescent="0.25">
      <c r="D97" s="6" t="str" cm="1">
        <f t="array" ref="D97">SourceData_OtherLivestock.SourceData_OtherLivestock_MethaneEmissionsPotential_Title()</f>
        <v>Other Livestock - Methane emissions potential</v>
      </c>
      <c r="M97" s="1"/>
    </row>
    <row r="98" spans="4:13" ht="20.100000000000001" customHeight="1" x14ac:dyDescent="0.25">
      <c r="D98" s="5" t="str" cm="1">
        <f t="array" ref="D98">SourceData_OtherLivestock.SourceData_OtherLivestock_MethaneEmissionsPotential_Source()</f>
        <v>VEERG 2026: Table A.1.5.X</v>
      </c>
      <c r="M98" s="1"/>
    </row>
    <row r="99" spans="4:13" ht="20.100000000000001" customHeight="1" x14ac:dyDescent="0.25">
      <c r="D99" s="56" t="str" cm="1">
        <f t="array" ref="D99">SourceData_OtherLivestock.SourceData_OtherLivestock_MethaneEmissionsPotential_Variation()</f>
        <v>VARIATION ON SOURCE: There were no values in VEERG so this data has been generated by using documented BO values from other livestock</v>
      </c>
      <c r="M99" s="1"/>
    </row>
    <row r="100" spans="4:13" ht="20.100000000000001" customHeight="1" x14ac:dyDescent="0.25">
      <c r="D100" s="1" t="str" cm="1">
        <f t="array" ref="D100">SourceData_OtherLivestock.SourceData_OtherLivestock_MethaneEmissionsPotential_Variable()</f>
        <v>BO</v>
      </c>
      <c r="M100" s="1"/>
    </row>
    <row r="101" spans="4:13" ht="20.100000000000001" customHeight="1" x14ac:dyDescent="0.25">
      <c r="D101" s="55" t="str" cm="1">
        <f t="array" ref="D101">SourceData_OtherLivestock.SourceData_OtherLivestock_MethaneEmissionsPotential_Unit()</f>
        <v>m3 CH4 / kg VS</v>
      </c>
      <c r="M101" s="1"/>
    </row>
    <row r="102" spans="4:13" ht="20.100000000000001" customHeight="1" x14ac:dyDescent="0.25">
      <c r="D102" s="39" t="s">
        <v>141</v>
      </c>
      <c r="E102" s="39" t="s">
        <v>180</v>
      </c>
      <c r="F102" s="52" t="s">
        <v>179</v>
      </c>
      <c r="M102" s="1"/>
    </row>
    <row r="103" spans="4:13" ht="20.100000000000001" customHeight="1" x14ac:dyDescent="0.25">
      <c r="D103" s="39" t="str" cm="1">
        <f t="array" ref="D103">Common_InputFunctions.Utility_DisplayArrayInTable(SourceData_OtherLivestock.SourceData_OtherLivestock_MethaneEmissionsPotential_Data(),Table_SourceData_OtherLivestock_MethaneEmissionsPotential[[#Headers],[Other livestock type]],0)</f>
        <v>Buffalo</v>
      </c>
      <c r="E103" s="39" cm="1">
        <f t="array" ref="E103">Common_InputFunctions.Utility_DisplayArrayInTable(SourceData_OtherLivestock.SourceData_OtherLivestock_MethaneEmissionsPotential_Data(),Table_SourceData_OtherLivestock_MethaneEmissionsPotential[[#Headers],[Other livestock type]],0)</f>
        <v>0.19</v>
      </c>
      <c r="F103" s="39" t="str" cm="1">
        <f t="array" ref="F103">Common_InputFunctions.Utility_DisplayArrayInTable(SourceData_OtherLivestock.SourceData_OtherLivestock_MethaneEmissionsPotential_Data(),Table_SourceData_OtherLivestock_MethaneEmissionsPotential[[#Headers],[Other livestock type]],0)</f>
        <v>Feedlot, Pasture beef</v>
      </c>
      <c r="M103" s="1"/>
    </row>
    <row r="104" spans="4:13" ht="20.100000000000001" customHeight="1" x14ac:dyDescent="0.25">
      <c r="D104" s="39" t="str" cm="1">
        <f t="array" ref="D104">Common_InputFunctions.Utility_DisplayArrayInTable(SourceData_OtherLivestock.SourceData_OtherLivestock_MethaneEmissionsPotential_Data(),Table_SourceData_OtherLivestock_MethaneEmissionsPotential[[#Headers],[Other livestock type]],0)</f>
        <v>Goats</v>
      </c>
      <c r="E104" s="39" cm="1">
        <f t="array" ref="E104">Common_InputFunctions.Utility_DisplayArrayInTable(SourceData_OtherLivestock.SourceData_OtherLivestock_MethaneEmissionsPotential_Data(),Table_SourceData_OtherLivestock_MethaneEmissionsPotential[[#Headers],[Other livestock type]],0)</f>
        <v>0.24</v>
      </c>
      <c r="F104" s="39" t="str" cm="1">
        <f t="array" ref="F104">Common_InputFunctions.Utility_DisplayArrayInTable(SourceData_OtherLivestock.SourceData_OtherLivestock_MethaneEmissionsPotential_Data(),Table_SourceData_OtherLivestock_MethaneEmissionsPotential[[#Headers],[Other livestock type]],0)</f>
        <v>Sheep</v>
      </c>
      <c r="M104" s="1"/>
    </row>
    <row r="105" spans="4:13" ht="20.100000000000001" customHeight="1" x14ac:dyDescent="0.25">
      <c r="D105" s="39" t="str" cm="1">
        <f t="array" ref="D105">Common_InputFunctions.Utility_DisplayArrayInTable(SourceData_OtherLivestock.SourceData_OtherLivestock_MethaneEmissionsPotential_Data(),Table_SourceData_OtherLivestock_MethaneEmissionsPotential[[#Headers],[Other livestock type]],0)</f>
        <v>Deer</v>
      </c>
      <c r="E105" s="39" cm="1">
        <f t="array" ref="E105">Common_InputFunctions.Utility_DisplayArrayInTable(SourceData_OtherLivestock.SourceData_OtherLivestock_MethaneEmissionsPotential_Data(),Table_SourceData_OtherLivestock_MethaneEmissionsPotential[[#Headers],[Other livestock type]],0)</f>
        <v>0.24</v>
      </c>
      <c r="F105" s="39" t="str" cm="1">
        <f t="array" ref="F105">Common_InputFunctions.Utility_DisplayArrayInTable(SourceData_OtherLivestock.SourceData_OtherLivestock_MethaneEmissionsPotential_Data(),Table_SourceData_OtherLivestock_MethaneEmissionsPotential[[#Headers],[Other livestock type]],0)</f>
        <v>Sheep</v>
      </c>
      <c r="M105" s="1"/>
    </row>
    <row r="106" spans="4:13" ht="20.100000000000001" customHeight="1" x14ac:dyDescent="0.25">
      <c r="D106" s="39" t="str" cm="1">
        <f t="array" ref="D106">Common_InputFunctions.Utility_DisplayArrayInTable(SourceData_OtherLivestock.SourceData_OtherLivestock_MethaneEmissionsPotential_Data(),Table_SourceData_OtherLivestock_MethaneEmissionsPotential[[#Headers],[Other livestock type]],0)</f>
        <v>Camels</v>
      </c>
      <c r="E106" s="39" cm="1">
        <f t="array" ref="E106">Common_InputFunctions.Utility_DisplayArrayInTable(SourceData_OtherLivestock.SourceData_OtherLivestock_MethaneEmissionsPotential_Data(),Table_SourceData_OtherLivestock_MethaneEmissionsPotential[[#Headers],[Other livestock type]],0)</f>
        <v>0.24</v>
      </c>
      <c r="F106" s="39" t="str" cm="1">
        <f t="array" ref="F106">Common_InputFunctions.Utility_DisplayArrayInTable(SourceData_OtherLivestock.SourceData_OtherLivestock_MethaneEmissionsPotential_Data(),Table_SourceData_OtherLivestock_MethaneEmissionsPotential[[#Headers],[Other livestock type]],0)</f>
        <v>Sheep</v>
      </c>
      <c r="M106" s="1"/>
    </row>
    <row r="107" spans="4:13" ht="20.100000000000001" customHeight="1" x14ac:dyDescent="0.25">
      <c r="D107" s="39" t="str" cm="1">
        <f t="array" ref="D107">Common_InputFunctions.Utility_DisplayArrayInTable(SourceData_OtherLivestock.SourceData_OtherLivestock_MethaneEmissionsPotential_Data(),Table_SourceData_OtherLivestock_MethaneEmissionsPotential[[#Headers],[Other livestock type]],0)</f>
        <v>Alpacas</v>
      </c>
      <c r="E107" s="39" cm="1">
        <f t="array" ref="E107">Common_InputFunctions.Utility_DisplayArrayInTable(SourceData_OtherLivestock.SourceData_OtherLivestock_MethaneEmissionsPotential_Data(),Table_SourceData_OtherLivestock_MethaneEmissionsPotential[[#Headers],[Other livestock type]],0)</f>
        <v>0.24</v>
      </c>
      <c r="F107" s="39" t="str" cm="1">
        <f t="array" ref="F107">Common_InputFunctions.Utility_DisplayArrayInTable(SourceData_OtherLivestock.SourceData_OtherLivestock_MethaneEmissionsPotential_Data(),Table_SourceData_OtherLivestock_MethaneEmissionsPotential[[#Headers],[Other livestock type]],0)</f>
        <v>Sheep</v>
      </c>
      <c r="M107" s="1"/>
    </row>
    <row r="108" spans="4:13" ht="20.100000000000001" customHeight="1" x14ac:dyDescent="0.25">
      <c r="D108" s="39" t="str" cm="1">
        <f t="array" ref="D108">Common_InputFunctions.Utility_DisplayArrayInTable(SourceData_OtherLivestock.SourceData_OtherLivestock_MethaneEmissionsPotential_Data(),Table_SourceData_OtherLivestock_MethaneEmissionsPotential[[#Headers],[Other livestock type]],0)</f>
        <v>Horses</v>
      </c>
      <c r="E108" s="39" cm="1">
        <f t="array" ref="E108">Common_InputFunctions.Utility_DisplayArrayInTable(SourceData_OtherLivestock.SourceData_OtherLivestock_MethaneEmissionsPotential_Data(),Table_SourceData_OtherLivestock_MethaneEmissionsPotential[[#Headers],[Other livestock type]],0)</f>
        <v>0.19</v>
      </c>
      <c r="F108" s="39" t="str" cm="1">
        <f t="array" ref="F108">Common_InputFunctions.Utility_DisplayArrayInTable(SourceData_OtherLivestock.SourceData_OtherLivestock_MethaneEmissionsPotential_Data(),Table_SourceData_OtherLivestock_MethaneEmissionsPotential[[#Headers],[Other livestock type]],0)</f>
        <v>Feedlot, Pasture beef</v>
      </c>
      <c r="M108" s="1"/>
    </row>
    <row r="109" spans="4:13" ht="20.100000000000001" customHeight="1" x14ac:dyDescent="0.25">
      <c r="D109" s="39" t="str" cm="1">
        <f t="array" ref="D109">Common_InputFunctions.Utility_DisplayArrayInTable(SourceData_OtherLivestock.SourceData_OtherLivestock_MethaneEmissionsPotential_Data(),Table_SourceData_OtherLivestock_MethaneEmissionsPotential[[#Headers],[Other livestock type]],0)</f>
        <v>Mules/asses</v>
      </c>
      <c r="E109" s="39" cm="1">
        <f t="array" ref="E109">Common_InputFunctions.Utility_DisplayArrayInTable(SourceData_OtherLivestock.SourceData_OtherLivestock_MethaneEmissionsPotential_Data(),Table_SourceData_OtherLivestock_MethaneEmissionsPotential[[#Headers],[Other livestock type]],0)</f>
        <v>0.24</v>
      </c>
      <c r="F109" s="39" t="str" cm="1">
        <f t="array" ref="F109">Common_InputFunctions.Utility_DisplayArrayInTable(SourceData_OtherLivestock.SourceData_OtherLivestock_MethaneEmissionsPotential_Data(),Table_SourceData_OtherLivestock_MethaneEmissionsPotential[[#Headers],[Other livestock type]],0)</f>
        <v>Sheep</v>
      </c>
      <c r="M109" s="1"/>
    </row>
    <row r="110" spans="4:13" ht="20.100000000000001" customHeight="1" x14ac:dyDescent="0.25">
      <c r="D110" s="39" t="str" cm="1">
        <f t="array" ref="D110">Common_InputFunctions.Utility_DisplayArrayInTable(SourceData_OtherLivestock.SourceData_OtherLivestock_MethaneEmissionsPotential_Data(),Table_SourceData_OtherLivestock_MethaneEmissionsPotential[[#Headers],[Other livestock type]],0)</f>
        <v>Emus/ostriches</v>
      </c>
      <c r="E110" s="39" cm="1">
        <f t="array" ref="E110">Common_InputFunctions.Utility_DisplayArrayInTable(SourceData_OtherLivestock.SourceData_OtherLivestock_MethaneEmissionsPotential_Data(),Table_SourceData_OtherLivestock_MethaneEmissionsPotential[[#Headers],[Other livestock type]],0)</f>
        <v>0.36</v>
      </c>
      <c r="F110" s="39" t="str" cm="1">
        <f t="array" ref="F110">Common_InputFunctions.Utility_DisplayArrayInTable(SourceData_OtherLivestock.SourceData_OtherLivestock_MethaneEmissionsPotential_Data(),Table_SourceData_OtherLivestock_MethaneEmissionsPotential[[#Headers],[Other livestock type]],0)</f>
        <v>Poultry - meat chickens</v>
      </c>
      <c r="M110" s="1"/>
    </row>
    <row r="111" spans="4:13" ht="20.100000000000001" customHeight="1" x14ac:dyDescent="0.25">
      <c r="M111" s="1"/>
    </row>
    <row r="112" spans="4:13" ht="20.100000000000001" customHeight="1" x14ac:dyDescent="0.25">
      <c r="M112" s="1"/>
    </row>
    <row r="113" spans="4:13" ht="20.100000000000001" customHeight="1" x14ac:dyDescent="0.25">
      <c r="D113" s="6" t="str" cm="1">
        <f t="array" ref="D113">SourceData_OtherLivestock.SourceData_OtherLivestock_FracGASMSoil_Title()</f>
        <v>Fraction of nitrogen volatilised from urine and faeces deposited on pasture</v>
      </c>
      <c r="M113" s="1"/>
    </row>
    <row r="114" spans="4:13" ht="20.100000000000001" customHeight="1" x14ac:dyDescent="0.25">
      <c r="D114" s="5" t="str" cm="1">
        <f t="array" ref="D114">SourceData_OtherLivestock.SourceData_OtherLivestock_FracGASMSoil_Source()</f>
        <v>VEERG 2026: 4.7.2.3 CONSTANTS</v>
      </c>
      <c r="M114" s="1"/>
    </row>
    <row r="115" spans="4:13" ht="20.100000000000001" customHeight="1" x14ac:dyDescent="0.25">
      <c r="D115" s="54" t="str" cm="1">
        <f t="array" ref="D115">SourceData_OtherLivestock.SourceData_OtherLivestock_FracGASMSoil_Variable()</f>
        <v>FracGASMsoil</v>
      </c>
      <c r="E115" s="1" cm="1">
        <f t="array" ref="E115">SourceData_OtherLivestock.SourceData_OtherLivestock_FracGASMSoil_Data()</f>
        <v>0.21</v>
      </c>
      <c r="F115" s="55" t="str" cm="1">
        <f t="array" ref="F115">SourceData_OtherLivestock.SourceData_OtherLivestock_FracGASMSoil_Unit()</f>
        <v>(kg NH3-N + NOx-N)/kg N</v>
      </c>
      <c r="M115" s="1"/>
    </row>
    <row r="116" spans="4:13" ht="20.100000000000001" customHeight="1" x14ac:dyDescent="0.25">
      <c r="M116" s="1"/>
    </row>
    <row r="117" spans="4:13" ht="20.100000000000001" customHeight="1" x14ac:dyDescent="0.25">
      <c r="M117" s="1"/>
    </row>
    <row r="118" spans="4:13" ht="20.100000000000001" customHeight="1" x14ac:dyDescent="0.25">
      <c r="D118" s="6" t="s">
        <v>208</v>
      </c>
      <c r="G118" s="6" t="s">
        <v>103</v>
      </c>
      <c r="M118" s="1"/>
    </row>
    <row r="119" spans="4:13" ht="20.100000000000001" customHeight="1" x14ac:dyDescent="0.25">
      <c r="M119" s="1"/>
    </row>
    <row r="120" spans="4:13" ht="20.100000000000001" customHeight="1" x14ac:dyDescent="0.25">
      <c r="D120" s="39" t="s">
        <v>102</v>
      </c>
      <c r="G120" s="39" t="s">
        <v>100</v>
      </c>
      <c r="M120" s="1"/>
    </row>
    <row r="121" spans="4:13" ht="20.100000000000001" customHeight="1" x14ac:dyDescent="0.25">
      <c r="D121" s="39" t="str">
        <f>'Constants - Common'!$F$187</f>
        <v>Pasture</v>
      </c>
      <c r="G121" s="39" t="s">
        <v>104</v>
      </c>
      <c r="M121" s="1"/>
    </row>
    <row r="122" spans="4:13" ht="20.100000000000001" customHeight="1" x14ac:dyDescent="0.25">
      <c r="D122" s="1" t="str">
        <f>'Constants - Common'!$F$188</f>
        <v>Crop</v>
      </c>
      <c r="G122" s="39" t="s">
        <v>105</v>
      </c>
      <c r="M122" s="1"/>
    </row>
    <row r="123" spans="4:13" ht="20.100000000000001" customHeight="1" x14ac:dyDescent="0.25">
      <c r="G123" s="1" t="s">
        <v>106</v>
      </c>
      <c r="M123" s="1"/>
    </row>
    <row r="124" spans="4:13" ht="20.100000000000001" customHeight="1" x14ac:dyDescent="0.25">
      <c r="G124" s="1" t="s">
        <v>107</v>
      </c>
      <c r="M124" s="1"/>
    </row>
    <row r="125" spans="4:13" ht="20.100000000000001" customHeight="1" x14ac:dyDescent="0.25">
      <c r="G125" s="1" t="s">
        <v>108</v>
      </c>
      <c r="M125" s="1"/>
    </row>
    <row r="126" spans="4:13" ht="20.100000000000001" customHeight="1" x14ac:dyDescent="0.25">
      <c r="M126" s="1"/>
    </row>
    <row r="127" spans="4:13" ht="20.100000000000001" customHeight="1" x14ac:dyDescent="0.25">
      <c r="M127" s="1"/>
    </row>
    <row r="128" spans="4:13" ht="20.100000000000001" customHeight="1" x14ac:dyDescent="0.25">
      <c r="M128" s="1"/>
    </row>
    <row r="129" spans="13:13" ht="20.100000000000001" customHeight="1" x14ac:dyDescent="0.25">
      <c r="M129" s="1"/>
    </row>
    <row r="130" spans="13:13" ht="20.100000000000001" customHeight="1" x14ac:dyDescent="0.25">
      <c r="M130" s="1"/>
    </row>
    <row r="131" spans="13:13" ht="20.100000000000001" customHeight="1" x14ac:dyDescent="0.25">
      <c r="M131" s="1"/>
    </row>
    <row r="132" spans="13:13" ht="20.100000000000001" customHeight="1" x14ac:dyDescent="0.25">
      <c r="M132" s="1"/>
    </row>
    <row r="133" spans="13:13" ht="20.100000000000001" customHeight="1" x14ac:dyDescent="0.25">
      <c r="M133" s="1"/>
    </row>
    <row r="134" spans="13:13" ht="20.100000000000001" customHeight="1" x14ac:dyDescent="0.25">
      <c r="M134" s="1"/>
    </row>
    <row r="135" spans="13:13" ht="20.100000000000001" customHeight="1" x14ac:dyDescent="0.25">
      <c r="M135" s="1"/>
    </row>
    <row r="136" spans="13:13" ht="20.100000000000001" customHeight="1" x14ac:dyDescent="0.25">
      <c r="M136" s="1"/>
    </row>
    <row r="137" spans="13:13" ht="20.100000000000001" customHeight="1" x14ac:dyDescent="0.25">
      <c r="M137" s="1"/>
    </row>
    <row r="138" spans="13:13" ht="20.100000000000001" customHeight="1" x14ac:dyDescent="0.25">
      <c r="M138" s="24"/>
    </row>
    <row r="139" spans="13:13" ht="20.100000000000001" customHeight="1" x14ac:dyDescent="0.25">
      <c r="M139" s="24"/>
    </row>
    <row r="140" spans="13:13" ht="20.100000000000001" customHeight="1" x14ac:dyDescent="0.25">
      <c r="M140" s="24"/>
    </row>
    <row r="141" spans="13:13" ht="20.100000000000001" customHeight="1" x14ac:dyDescent="0.25">
      <c r="M141" s="24"/>
    </row>
    <row r="142" spans="13:13" ht="20.100000000000001" customHeight="1" x14ac:dyDescent="0.25">
      <c r="M142" s="24"/>
    </row>
    <row r="143" spans="13:13" ht="20.100000000000001" customHeight="1" x14ac:dyDescent="0.25">
      <c r="M143" s="24"/>
    </row>
    <row r="144" spans="13:13" ht="20.100000000000001" customHeight="1" x14ac:dyDescent="0.25">
      <c r="M144" s="24"/>
    </row>
    <row r="145" spans="13:13" ht="20.100000000000001" customHeight="1" x14ac:dyDescent="0.25">
      <c r="M145" s="24"/>
    </row>
    <row r="146" spans="13:13" ht="20.100000000000001" customHeight="1" x14ac:dyDescent="0.25">
      <c r="M146" s="24"/>
    </row>
    <row r="147" spans="13:13" ht="20.100000000000001" customHeight="1" x14ac:dyDescent="0.25">
      <c r="M147" s="24"/>
    </row>
    <row r="148" spans="13:13" ht="20.100000000000001" customHeight="1" x14ac:dyDescent="0.25">
      <c r="M148" s="24"/>
    </row>
    <row r="149" spans="13:13" ht="20.100000000000001" customHeight="1" x14ac:dyDescent="0.25">
      <c r="M149" s="24"/>
    </row>
    <row r="150" spans="13:13" ht="20.100000000000001" customHeight="1" x14ac:dyDescent="0.25">
      <c r="M150" s="24"/>
    </row>
    <row r="151" spans="13:13" ht="20.100000000000001" customHeight="1" x14ac:dyDescent="0.25">
      <c r="M151" s="24"/>
    </row>
    <row r="152" spans="13:13" ht="20.100000000000001" customHeight="1" x14ac:dyDescent="0.25">
      <c r="M152" s="24"/>
    </row>
    <row r="153" spans="13:13" ht="20.100000000000001" customHeight="1" x14ac:dyDescent="0.25">
      <c r="M153" s="24"/>
    </row>
    <row r="154" spans="13:13" ht="20.100000000000001" customHeight="1" x14ac:dyDescent="0.25">
      <c r="M154" s="24"/>
    </row>
    <row r="155" spans="13:13" ht="20.100000000000001" customHeight="1" x14ac:dyDescent="0.25">
      <c r="M155" s="24"/>
    </row>
    <row r="156" spans="13:13" ht="20.100000000000001" customHeight="1" x14ac:dyDescent="0.25">
      <c r="M156" s="24"/>
    </row>
    <row r="157" spans="13:13" ht="20.100000000000001" customHeight="1" x14ac:dyDescent="0.25">
      <c r="M157" s="24"/>
    </row>
    <row r="158" spans="13:13" ht="20.100000000000001" customHeight="1" x14ac:dyDescent="0.25">
      <c r="M158" s="24"/>
    </row>
    <row r="159" spans="13:13" ht="20.100000000000001" customHeight="1" x14ac:dyDescent="0.25">
      <c r="M159" s="24"/>
    </row>
    <row r="160" spans="13:13" ht="20.100000000000001" customHeight="1" x14ac:dyDescent="0.25">
      <c r="M160" s="24"/>
    </row>
    <row r="161" spans="13:13" ht="20.100000000000001" customHeight="1" x14ac:dyDescent="0.25">
      <c r="M161" s="24"/>
    </row>
    <row r="162" spans="13:13" ht="20.100000000000001" customHeight="1" x14ac:dyDescent="0.25">
      <c r="M162" s="24"/>
    </row>
    <row r="163" spans="13:13" ht="20.100000000000001" customHeight="1" x14ac:dyDescent="0.25">
      <c r="M163" s="24"/>
    </row>
    <row r="164" spans="13:13" ht="20.100000000000001" customHeight="1" x14ac:dyDescent="0.25">
      <c r="M164" s="24"/>
    </row>
    <row r="165" spans="13:13" ht="20.100000000000001" customHeight="1" x14ac:dyDescent="0.25">
      <c r="M165" s="24"/>
    </row>
    <row r="166" spans="13:13" x14ac:dyDescent="0.25">
      <c r="M166" s="24"/>
    </row>
    <row r="167" spans="13:13" x14ac:dyDescent="0.25">
      <c r="M167" s="24"/>
    </row>
    <row r="168" spans="13:13" x14ac:dyDescent="0.25">
      <c r="M168" s="24"/>
    </row>
    <row r="169" spans="13:13" x14ac:dyDescent="0.25">
      <c r="M169" s="24"/>
    </row>
    <row r="170" spans="13:13" x14ac:dyDescent="0.25">
      <c r="M170" s="24"/>
    </row>
    <row r="171" spans="13:13" x14ac:dyDescent="0.25">
      <c r="M171" s="24"/>
    </row>
    <row r="172" spans="13:13" x14ac:dyDescent="0.25">
      <c r="M172" s="24"/>
    </row>
    <row r="173" spans="13:13" x14ac:dyDescent="0.25">
      <c r="M173" s="24"/>
    </row>
    <row r="174" spans="13:13" x14ac:dyDescent="0.25">
      <c r="M174" s="24"/>
    </row>
    <row r="175" spans="13:13" x14ac:dyDescent="0.25">
      <c r="M175" s="24"/>
    </row>
    <row r="176" spans="13:13" x14ac:dyDescent="0.25">
      <c r="M176" s="24"/>
    </row>
    <row r="177" spans="13:13" x14ac:dyDescent="0.25">
      <c r="M177" s="24"/>
    </row>
    <row r="178" spans="13:13" x14ac:dyDescent="0.25">
      <c r="M178" s="24"/>
    </row>
    <row r="179" spans="13:13" x14ac:dyDescent="0.25">
      <c r="M179" s="24"/>
    </row>
    <row r="180" spans="13:13" x14ac:dyDescent="0.25">
      <c r="M180" s="24"/>
    </row>
    <row r="181" spans="13:13" x14ac:dyDescent="0.25">
      <c r="M181" s="24"/>
    </row>
    <row r="182" spans="13:13" x14ac:dyDescent="0.25">
      <c r="M182" s="24"/>
    </row>
    <row r="183" spans="13:13" x14ac:dyDescent="0.25">
      <c r="M183" s="24"/>
    </row>
    <row r="184" spans="13:13" x14ac:dyDescent="0.25">
      <c r="M184" s="24"/>
    </row>
    <row r="185" spans="13:13" x14ac:dyDescent="0.25">
      <c r="M185" s="24"/>
    </row>
    <row r="186" spans="13:13" x14ac:dyDescent="0.25">
      <c r="M186" s="24"/>
    </row>
    <row r="187" spans="13:13" x14ac:dyDescent="0.25">
      <c r="M187" s="24"/>
    </row>
    <row r="188" spans="13:13" x14ac:dyDescent="0.25">
      <c r="M188" s="24"/>
    </row>
    <row r="189" spans="13:13" x14ac:dyDescent="0.25">
      <c r="M189" s="24"/>
    </row>
    <row r="190" spans="13:13" x14ac:dyDescent="0.25">
      <c r="M190" s="24"/>
    </row>
    <row r="191" spans="13:13" x14ac:dyDescent="0.25">
      <c r="M191" s="24"/>
    </row>
    <row r="192" spans="13:13" x14ac:dyDescent="0.25">
      <c r="M192" s="24"/>
    </row>
    <row r="193" spans="13:13" x14ac:dyDescent="0.25">
      <c r="M193" s="24"/>
    </row>
    <row r="194" spans="13:13" x14ac:dyDescent="0.25">
      <c r="M194" s="24"/>
    </row>
    <row r="195" spans="13:13" x14ac:dyDescent="0.25">
      <c r="M195" s="24"/>
    </row>
    <row r="196" spans="13:13" x14ac:dyDescent="0.25">
      <c r="M196" s="24"/>
    </row>
    <row r="197" spans="13:13" x14ac:dyDescent="0.25">
      <c r="M197" s="24"/>
    </row>
    <row r="198" spans="13:13" x14ac:dyDescent="0.25">
      <c r="M198" s="24"/>
    </row>
    <row r="199" spans="13:13" x14ac:dyDescent="0.25">
      <c r="M199" s="24"/>
    </row>
    <row r="200" spans="13:13" x14ac:dyDescent="0.25">
      <c r="M200" s="24"/>
    </row>
    <row r="201" spans="13:13" x14ac:dyDescent="0.25">
      <c r="M201" s="24"/>
    </row>
    <row r="202" spans="13:13" x14ac:dyDescent="0.25">
      <c r="M202" s="24"/>
    </row>
    <row r="203" spans="13:13" x14ac:dyDescent="0.25">
      <c r="M203" s="24"/>
    </row>
    <row r="204" spans="13:13" x14ac:dyDescent="0.25">
      <c r="M204" s="24"/>
    </row>
    <row r="205" spans="13:13" x14ac:dyDescent="0.25">
      <c r="M205" s="24"/>
    </row>
    <row r="206" spans="13:13" x14ac:dyDescent="0.25">
      <c r="M206" s="24"/>
    </row>
    <row r="207" spans="13:13" x14ac:dyDescent="0.25">
      <c r="M207" s="24"/>
    </row>
    <row r="208" spans="13:13" x14ac:dyDescent="0.25">
      <c r="M208" s="24"/>
    </row>
    <row r="209" spans="13:13" x14ac:dyDescent="0.25">
      <c r="M209" s="24"/>
    </row>
    <row r="210" spans="13:13" x14ac:dyDescent="0.25">
      <c r="M210" s="24"/>
    </row>
    <row r="211" spans="13:13" x14ac:dyDescent="0.25">
      <c r="M211" s="24"/>
    </row>
    <row r="212" spans="13:13" x14ac:dyDescent="0.25">
      <c r="M212" s="24"/>
    </row>
    <row r="213" spans="13:13" x14ac:dyDescent="0.25">
      <c r="M213" s="24"/>
    </row>
    <row r="214" spans="13:13" x14ac:dyDescent="0.25">
      <c r="M214" s="24"/>
    </row>
    <row r="215" spans="13:13" x14ac:dyDescent="0.25">
      <c r="M215" s="24"/>
    </row>
    <row r="216" spans="13:13" x14ac:dyDescent="0.25">
      <c r="M216" s="24"/>
    </row>
    <row r="217" spans="13:13" x14ac:dyDescent="0.25">
      <c r="M217" s="24"/>
    </row>
    <row r="218" spans="13:13" x14ac:dyDescent="0.25">
      <c r="M218" s="24"/>
    </row>
    <row r="219" spans="13:13" x14ac:dyDescent="0.25">
      <c r="M219" s="24"/>
    </row>
    <row r="220" spans="13:13" x14ac:dyDescent="0.25">
      <c r="M220" s="24"/>
    </row>
    <row r="221" spans="13:13" x14ac:dyDescent="0.25">
      <c r="M221" s="24"/>
    </row>
    <row r="222" spans="13:13" x14ac:dyDescent="0.25">
      <c r="M222" s="24"/>
    </row>
    <row r="223" spans="13:13" x14ac:dyDescent="0.25">
      <c r="M223" s="24"/>
    </row>
    <row r="224" spans="13:13" x14ac:dyDescent="0.25">
      <c r="M224" s="24"/>
    </row>
    <row r="225" spans="13:13" x14ac:dyDescent="0.25">
      <c r="M225" s="24"/>
    </row>
    <row r="226" spans="13:13" x14ac:dyDescent="0.25">
      <c r="M226" s="24"/>
    </row>
    <row r="227" spans="13:13" x14ac:dyDescent="0.25">
      <c r="M227" s="24"/>
    </row>
    <row r="228" spans="13:13" x14ac:dyDescent="0.25">
      <c r="M228" s="24"/>
    </row>
    <row r="229" spans="13:13" x14ac:dyDescent="0.25">
      <c r="M229" s="24"/>
    </row>
    <row r="230" spans="13:13" x14ac:dyDescent="0.25">
      <c r="M230" s="24"/>
    </row>
    <row r="231" spans="13:13" x14ac:dyDescent="0.25">
      <c r="M231" s="24"/>
    </row>
    <row r="232" spans="13:13" x14ac:dyDescent="0.25">
      <c r="M232" s="24"/>
    </row>
    <row r="233" spans="13:13" x14ac:dyDescent="0.25">
      <c r="M233" s="24"/>
    </row>
    <row r="234" spans="13:13" x14ac:dyDescent="0.25">
      <c r="M234" s="24"/>
    </row>
    <row r="235" spans="13:13" x14ac:dyDescent="0.25">
      <c r="M235" s="24"/>
    </row>
    <row r="236" spans="13:13" x14ac:dyDescent="0.25">
      <c r="M236" s="24"/>
    </row>
    <row r="237" spans="13:13" x14ac:dyDescent="0.25">
      <c r="M237" s="24"/>
    </row>
    <row r="238" spans="13:13" x14ac:dyDescent="0.25">
      <c r="M238" s="24"/>
    </row>
    <row r="239" spans="13:13" x14ac:dyDescent="0.25">
      <c r="M239" s="24"/>
    </row>
    <row r="240" spans="13:13" x14ac:dyDescent="0.25">
      <c r="M240" s="24"/>
    </row>
    <row r="241" spans="13:13" x14ac:dyDescent="0.25">
      <c r="M241" s="24"/>
    </row>
    <row r="242" spans="13:13" x14ac:dyDescent="0.25">
      <c r="M242" s="24"/>
    </row>
    <row r="243" spans="13:13" x14ac:dyDescent="0.25">
      <c r="M243" s="24"/>
    </row>
    <row r="244" spans="13:13" x14ac:dyDescent="0.25">
      <c r="M244" s="24"/>
    </row>
    <row r="245" spans="13:13" x14ac:dyDescent="0.25">
      <c r="M245" s="24"/>
    </row>
    <row r="246" spans="13:13" x14ac:dyDescent="0.25">
      <c r="M246" s="24"/>
    </row>
    <row r="247" spans="13:13" x14ac:dyDescent="0.25">
      <c r="M247" s="24"/>
    </row>
    <row r="248" spans="13:13" x14ac:dyDescent="0.25">
      <c r="M248" s="24"/>
    </row>
    <row r="249" spans="13:13" x14ac:dyDescent="0.25">
      <c r="M249" s="24"/>
    </row>
    <row r="250" spans="13:13" x14ac:dyDescent="0.25">
      <c r="M250" s="24"/>
    </row>
    <row r="251" spans="13:13" x14ac:dyDescent="0.25">
      <c r="M251" s="24"/>
    </row>
    <row r="252" spans="13:13" x14ac:dyDescent="0.25">
      <c r="M252" s="24"/>
    </row>
    <row r="253" spans="13:13" x14ac:dyDescent="0.25">
      <c r="M253" s="24"/>
    </row>
    <row r="254" spans="13:13" x14ac:dyDescent="0.25">
      <c r="M254" s="24"/>
    </row>
    <row r="255" spans="13:13" x14ac:dyDescent="0.25">
      <c r="M255" s="24"/>
    </row>
    <row r="256" spans="13:13" x14ac:dyDescent="0.25">
      <c r="M256" s="24"/>
    </row>
    <row r="257" spans="13:13" x14ac:dyDescent="0.25">
      <c r="M257" s="24"/>
    </row>
    <row r="258" spans="13:13" x14ac:dyDescent="0.25">
      <c r="M258" s="24"/>
    </row>
    <row r="259" spans="13:13" x14ac:dyDescent="0.25">
      <c r="M259" s="24"/>
    </row>
    <row r="260" spans="13:13" x14ac:dyDescent="0.25">
      <c r="M260" s="24"/>
    </row>
    <row r="261" spans="13:13" x14ac:dyDescent="0.25">
      <c r="M261" s="24"/>
    </row>
    <row r="262" spans="13:13" x14ac:dyDescent="0.25">
      <c r="M262" s="24"/>
    </row>
    <row r="263" spans="13:13" x14ac:dyDescent="0.25">
      <c r="M263" s="24"/>
    </row>
    <row r="264" spans="13:13" x14ac:dyDescent="0.25">
      <c r="M264" s="24"/>
    </row>
    <row r="265" spans="13:13" x14ac:dyDescent="0.25">
      <c r="M265" s="24"/>
    </row>
    <row r="266" spans="13:13" x14ac:dyDescent="0.25">
      <c r="M266" s="24"/>
    </row>
    <row r="267" spans="13:13" x14ac:dyDescent="0.25">
      <c r="M267" s="24"/>
    </row>
    <row r="268" spans="13:13" x14ac:dyDescent="0.25">
      <c r="M268" s="24"/>
    </row>
    <row r="269" spans="13:13" x14ac:dyDescent="0.25">
      <c r="M269" s="24"/>
    </row>
    <row r="270" spans="13:13" x14ac:dyDescent="0.25">
      <c r="M270" s="24"/>
    </row>
    <row r="271" spans="13:13" x14ac:dyDescent="0.25">
      <c r="M271" s="24"/>
    </row>
    <row r="272" spans="13:13" x14ac:dyDescent="0.25">
      <c r="M272" s="24"/>
    </row>
    <row r="273" spans="13:13" x14ac:dyDescent="0.25">
      <c r="M273" s="24"/>
    </row>
    <row r="274" spans="13:13" x14ac:dyDescent="0.25">
      <c r="M274" s="24"/>
    </row>
    <row r="275" spans="13:13" x14ac:dyDescent="0.25">
      <c r="M275" s="24"/>
    </row>
    <row r="276" spans="13:13" x14ac:dyDescent="0.25">
      <c r="M276" s="24"/>
    </row>
    <row r="277" spans="13:13" x14ac:dyDescent="0.25">
      <c r="M277" s="24"/>
    </row>
    <row r="278" spans="13:13" x14ac:dyDescent="0.25">
      <c r="M278" s="24"/>
    </row>
    <row r="279" spans="13:13" x14ac:dyDescent="0.25">
      <c r="M279" s="24"/>
    </row>
    <row r="280" spans="13:13" x14ac:dyDescent="0.25">
      <c r="M280" s="24"/>
    </row>
    <row r="281" spans="13:13" x14ac:dyDescent="0.25">
      <c r="M281" s="24"/>
    </row>
    <row r="282" spans="13:13" x14ac:dyDescent="0.25">
      <c r="M282" s="24"/>
    </row>
    <row r="283" spans="13:13" x14ac:dyDescent="0.25">
      <c r="M283" s="24"/>
    </row>
    <row r="284" spans="13:13" x14ac:dyDescent="0.25">
      <c r="M284" s="24"/>
    </row>
    <row r="285" spans="13:13" x14ac:dyDescent="0.25">
      <c r="M285" s="24"/>
    </row>
    <row r="286" spans="13:13" x14ac:dyDescent="0.25">
      <c r="M286" s="24"/>
    </row>
    <row r="287" spans="13:13" x14ac:dyDescent="0.25">
      <c r="M287" s="24"/>
    </row>
    <row r="288" spans="13:13" x14ac:dyDescent="0.25">
      <c r="M288" s="24"/>
    </row>
  </sheetData>
  <pageMargins left="0.7" right="0.7" top="0.75" bottom="0.75" header="0.3" footer="0.3"/>
  <tableParts count="9">
    <tablePart r:id="rId1"/>
    <tablePart r:id="rId2"/>
    <tablePart r:id="rId3"/>
    <tablePart r:id="rId4"/>
    <tablePart r:id="rId5"/>
    <tablePart r:id="rId6"/>
    <tablePart r:id="rId7"/>
    <tablePart r:id="rId8"/>
    <tablePart r:id="rId9"/>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0D3D89-F657-45A6-A770-73699ABB25CC}">
  <dimension ref="A1:M63"/>
  <sheetViews>
    <sheetView showGridLines="0" workbookViewId="0">
      <selection activeCell="A14" sqref="A14"/>
    </sheetView>
  </sheetViews>
  <sheetFormatPr defaultRowHeight="15.75" x14ac:dyDescent="0.25"/>
  <cols>
    <col min="1" max="1" width="30.7109375" customWidth="1"/>
    <col min="2" max="2" width="4.7109375" customWidth="1"/>
    <col min="3" max="3" width="4.7109375" style="1" customWidth="1"/>
    <col min="4" max="8" width="30.7109375" style="1" customWidth="1"/>
    <col min="9" max="9" width="30.85546875" style="1" customWidth="1"/>
    <col min="10" max="13" width="30.7109375" style="1" customWidth="1"/>
    <col min="14" max="16" width="30.7109375" customWidth="1"/>
  </cols>
  <sheetData>
    <row r="1" spans="1:13" ht="30" customHeight="1" x14ac:dyDescent="0.35">
      <c r="A1" s="65" t="e" vm="1">
        <v>#VALUE!</v>
      </c>
      <c r="C1" s="8" t="s">
        <v>73</v>
      </c>
      <c r="D1" s="8"/>
      <c r="E1" s="8"/>
      <c r="F1" s="8"/>
      <c r="G1" s="8"/>
      <c r="H1" s="8"/>
      <c r="I1" s="8"/>
      <c r="J1" s="8"/>
      <c r="K1" s="8"/>
      <c r="L1" s="8"/>
      <c r="M1" s="8"/>
    </row>
    <row r="2" spans="1:13" ht="20.100000000000001" customHeight="1" x14ac:dyDescent="0.25">
      <c r="A2" s="9"/>
      <c r="C2" s="9"/>
      <c r="D2" s="9"/>
      <c r="E2" s="9"/>
      <c r="F2" s="9"/>
      <c r="G2" s="9"/>
      <c r="H2" s="9"/>
      <c r="I2" s="9"/>
      <c r="J2" s="9"/>
      <c r="K2" s="9"/>
      <c r="L2" s="9"/>
      <c r="M2" s="9"/>
    </row>
    <row r="3" spans="1:13" ht="20.100000000000001" customHeight="1" x14ac:dyDescent="0.25">
      <c r="A3" s="17" t="str">
        <f>HYPERLINK("#'Home'!A1", "Home")</f>
        <v>Home</v>
      </c>
      <c r="C3" s="4"/>
      <c r="D3" s="4"/>
      <c r="E3" s="4"/>
      <c r="F3" s="4"/>
      <c r="G3" s="4"/>
      <c r="H3" s="4"/>
      <c r="I3" s="4"/>
      <c r="J3" s="4"/>
      <c r="K3" s="4"/>
      <c r="L3" s="4"/>
      <c r="M3" s="4"/>
    </row>
    <row r="4" spans="1:13" ht="20.100000000000001" customHeight="1" x14ac:dyDescent="0.25">
      <c r="A4" s="17" t="str">
        <f>HYPERLINK("#'Overview'!A1", "Overview")</f>
        <v>Overview</v>
      </c>
    </row>
    <row r="5" spans="1:13" ht="20.100000000000001" customHeight="1" x14ac:dyDescent="0.25">
      <c r="A5" s="17" t="str">
        <f>HYPERLINK("#'Results'!A1", "Results")</f>
        <v>Results</v>
      </c>
    </row>
    <row r="6" spans="1:13" ht="20.100000000000001" customHeight="1" x14ac:dyDescent="0.25">
      <c r="A6" s="16"/>
      <c r="D6" s="6" t="str" cm="1">
        <f t="array" ref="D6">CommonLivestock_SourceData.SourceData_Livestock_Common_SymbolsMMS_Title()</f>
        <v>Table 5.12 Additional symbols used in algorithms for manure related emissions</v>
      </c>
      <c r="E6" s="3"/>
      <c r="F6" s="3"/>
      <c r="G6" s="3"/>
      <c r="H6" s="3"/>
    </row>
    <row r="7" spans="1:13" ht="20.100000000000001" customHeight="1" x14ac:dyDescent="0.25">
      <c r="A7" s="20" t="s">
        <v>1</v>
      </c>
      <c r="D7" s="3" t="str" cm="1">
        <f t="array" ref="D7">CommonLivestock_SourceData.SourceData_Livestock_Common_SymbolsMMS_Vairable()</f>
        <v>MMS</v>
      </c>
      <c r="E7" s="3"/>
      <c r="F7" s="3"/>
      <c r="G7" s="3"/>
      <c r="H7" s="3"/>
    </row>
    <row r="8" spans="1:13" ht="20.100000000000001" customHeight="1" x14ac:dyDescent="0.25">
      <c r="A8" s="17" t="str">
        <f>HYPERLINK("#'Input - Site'!A1", "Site")</f>
        <v>Site</v>
      </c>
      <c r="D8" s="5" t="str" cm="1">
        <f t="array" ref="D8">CommonLivestock_SourceData.SourceData_Livestock_Common_SymbolsMMS_Source()</f>
        <v>National Inventory Report 2023 Volume 1: Table 5.12</v>
      </c>
      <c r="E8" s="3"/>
      <c r="F8" s="3"/>
      <c r="G8" s="3"/>
      <c r="H8" s="3"/>
    </row>
    <row r="9" spans="1:13" ht="20.100000000000001" customHeight="1" x14ac:dyDescent="0.25">
      <c r="A9" s="17" t="str">
        <f>HYPERLINK("#'Input - Other Livestock'!A1", "Other Livestock")</f>
        <v>Other Livestock</v>
      </c>
      <c r="D9" s="38" t="s">
        <v>74</v>
      </c>
      <c r="E9" s="39" t="s">
        <v>17</v>
      </c>
      <c r="F9" s="39" t="s">
        <v>75</v>
      </c>
      <c r="G9" s="3"/>
    </row>
    <row r="10" spans="1:13" ht="20.100000000000001" customHeight="1" x14ac:dyDescent="0.25">
      <c r="A10" s="17"/>
      <c r="D10" s="38" t="str" cm="1">
        <f t="array" ref="D10">Common_InputFunctions.Utility_DisplayArrayInTable(CommonLivestock_SourceData.SourceData_Livestock_Common_SymbolsMMS_Data(), Table_Data_MMSSymbols[[#Headers],[Symbol]], 0)</f>
        <v>1</v>
      </c>
      <c r="E10" s="38" t="str" cm="1">
        <f t="array" ref="E10">Common_InputFunctions.Utility_DisplayArrayInTable(CommonLivestock_SourceData.SourceData_Livestock_Common_SymbolsMMS_Data(), Table_Data_MMSSymbols[[#Headers],[Symbol]], 0)</f>
        <v>Anaerobic lagoon</v>
      </c>
      <c r="F10" s="38" t="str" cm="1">
        <f t="array" ref="F10">Common_InputFunctions.Utility_DisplayArrayInTable(CommonLivestock_SourceData.SourceData_Livestock_Common_SymbolsMMS_Data(), Table_Data_MMSSymbols[[#Headers],[Symbol]], 0)</f>
        <v>Anaerobic lagoon (m=1)</v>
      </c>
      <c r="G10" s="3"/>
    </row>
    <row r="11" spans="1:13" ht="20.100000000000001" customHeight="1" x14ac:dyDescent="0.25">
      <c r="A11" s="19" t="s">
        <v>71</v>
      </c>
      <c r="D11" s="38" t="str" cm="1">
        <f t="array" ref="D11">Common_InputFunctions.Utility_DisplayArrayInTable(CommonLivestock_SourceData.SourceData_Livestock_Common_SymbolsMMS_Data(), Table_Data_MMSSymbols[[#Headers],[Symbol]], 0)</f>
        <v>2</v>
      </c>
      <c r="E11" s="38" t="str" cm="1">
        <f t="array" ref="E11">Common_InputFunctions.Utility_DisplayArrayInTable(CommonLivestock_SourceData.SourceData_Livestock_Common_SymbolsMMS_Data(), Table_Data_MMSSymbols[[#Headers],[Symbol]], 0)</f>
        <v>Liquid systems</v>
      </c>
      <c r="F11" s="38" t="str" cm="1">
        <f t="array" ref="F11">Common_InputFunctions.Utility_DisplayArrayInTable(CommonLivestock_SourceData.SourceData_Livestock_Common_SymbolsMMS_Data(), Table_Data_MMSSymbols[[#Headers],[Symbol]], 0)</f>
        <v>Liquid systems (m=2)</v>
      </c>
      <c r="G11" s="3"/>
    </row>
    <row r="12" spans="1:13" ht="20.100000000000001" customHeight="1" x14ac:dyDescent="0.25">
      <c r="A12" s="17" t="str">
        <f>HYPERLINK("#'4.7.1.1-2 Manure Methane'!A1", "4.7.1.1-2 Methane")</f>
        <v>4.7.1.1-2 Methane</v>
      </c>
      <c r="D12" s="39" t="str" cm="1">
        <f t="array" ref="D12">Common_InputFunctions.Utility_DisplayArrayInTable(CommonLivestock_SourceData.SourceData_Livestock_Common_SymbolsMMS_Data(), Table_Data_MMSSymbols[[#Headers],[Symbol]], 0)</f>
        <v>3</v>
      </c>
      <c r="E12" s="39" t="str" cm="1">
        <f t="array" ref="E12">Common_InputFunctions.Utility_DisplayArrayInTable(CommonLivestock_SourceData.SourceData_Livestock_Common_SymbolsMMS_Data(), Table_Data_MMSSymbols[[#Headers],[Symbol]], 0)</f>
        <v>Daily spread</v>
      </c>
      <c r="F12" s="39" t="str" cm="1">
        <f t="array" ref="F12">Common_InputFunctions.Utility_DisplayArrayInTable(CommonLivestock_SourceData.SourceData_Livestock_Common_SymbolsMMS_Data(), Table_Data_MMSSymbols[[#Headers],[Symbol]], 0)</f>
        <v>Daily spread (m=3)</v>
      </c>
      <c r="G12" s="3"/>
    </row>
    <row r="13" spans="1:13" ht="20.100000000000001" customHeight="1" x14ac:dyDescent="0.25">
      <c r="A13" s="17" t="str">
        <f>HYPERLINK("#'4.7.1.3-4 Soil Direct N2O'!A1", "4.7.1.3-4 Soil Direct N2O")</f>
        <v>4.7.1.3-4 Soil Direct N2O</v>
      </c>
      <c r="D13" s="39" t="str" cm="1">
        <f t="array" ref="D13">Common_InputFunctions.Utility_DisplayArrayInTable(CommonLivestock_SourceData.SourceData_Livestock_Common_SymbolsMMS_Data(), Table_Data_MMSSymbols[[#Headers],[Symbol]], 0)</f>
        <v>3a</v>
      </c>
      <c r="E13" s="39" t="str" cm="1">
        <f t="array" ref="E13">Common_InputFunctions.Utility_DisplayArrayInTable(CommonLivestock_SourceData.SourceData_Livestock_Common_SymbolsMMS_Data(), Table_Data_MMSSymbols[[#Headers],[Symbol]], 0)</f>
        <v>Sump and dispersal system</v>
      </c>
      <c r="F13" s="39" t="str" cm="1">
        <f t="array" ref="F13">Common_InputFunctions.Utility_DisplayArrayInTable(CommonLivestock_SourceData.SourceData_Livestock_Common_SymbolsMMS_Data(), Table_Data_MMSSymbols[[#Headers],[Symbol]], 0)</f>
        <v>Sump and dispersal system (m=3a)</v>
      </c>
      <c r="G13" s="3"/>
    </row>
    <row r="14" spans="1:13" ht="20.100000000000001" customHeight="1" x14ac:dyDescent="0.25">
      <c r="A14" s="17" t="str">
        <f>HYPERLINK("#'4.7.1.5-6 Soil Atmos Deposition'!A1", "4.7.1.5-6 Soil Atmos deposition")</f>
        <v>4.7.1.5-6 Soil Atmos deposition</v>
      </c>
      <c r="D14" s="39" t="str" cm="1">
        <f t="array" ref="D14">Common_InputFunctions.Utility_DisplayArrayInTable(CommonLivestock_SourceData.SourceData_Livestock_Common_SymbolsMMS_Data(), Table_Data_MMSSymbols[[#Headers],[Symbol]], 0)</f>
        <v>3b</v>
      </c>
      <c r="E14" s="39" t="str" cm="1">
        <f t="array" ref="E14">Common_InputFunctions.Utility_DisplayArrayInTable(CommonLivestock_SourceData.SourceData_Livestock_Common_SymbolsMMS_Data(), Table_Data_MMSSymbols[[#Headers],[Symbol]], 0)</f>
        <v>Drains to paddock</v>
      </c>
      <c r="F14" s="39" t="str" cm="1">
        <f t="array" ref="F14">Common_InputFunctions.Utility_DisplayArrayInTable(CommonLivestock_SourceData.SourceData_Livestock_Common_SymbolsMMS_Data(), Table_Data_MMSSymbols[[#Headers],[Symbol]], 0)</f>
        <v>Drains to paddock (m=3b)</v>
      </c>
      <c r="G14" s="3"/>
    </row>
    <row r="15" spans="1:13" ht="20.100000000000001" customHeight="1" x14ac:dyDescent="0.25">
      <c r="A15" s="17" t="str">
        <f>HYPERLINK("#'4.7.1.7-8 Soil Leaching Runoff'!A1", "4.7.1.8-9 Soil Leaching &amp; Runoff")</f>
        <v>4.7.1.8-9 Soil Leaching &amp; Runoff</v>
      </c>
      <c r="D15" s="39" t="str" cm="1">
        <f t="array" ref="D15">Common_InputFunctions.Utility_DisplayArrayInTable(CommonLivestock_SourceData.SourceData_Livestock_Common_SymbolsMMS_Data(), Table_Data_MMSSymbols[[#Headers],[Symbol]], 0)</f>
        <v>4</v>
      </c>
      <c r="E15" s="39" t="str" cm="1">
        <f t="array" ref="E15">Common_InputFunctions.Utility_DisplayArrayInTable(CommonLivestock_SourceData.SourceData_Livestock_Common_SymbolsMMS_Data(), Table_Data_MMSSymbols[[#Headers],[Symbol]], 0)</f>
        <v>Solid storage</v>
      </c>
      <c r="F15" s="39" t="str" cm="1">
        <f t="array" ref="F15">Common_InputFunctions.Utility_DisplayArrayInTable(CommonLivestock_SourceData.SourceData_Livestock_Common_SymbolsMMS_Data(), Table_Data_MMSSymbols[[#Headers],[Symbol]], 0)</f>
        <v>Solid storage (m=4)</v>
      </c>
      <c r="G15" s="3"/>
    </row>
    <row r="16" spans="1:13" ht="20.100000000000001" customHeight="1" x14ac:dyDescent="0.25">
      <c r="D16" s="39" t="str" cm="1">
        <f t="array" ref="D16">Common_InputFunctions.Utility_DisplayArrayInTable(CommonLivestock_SourceData.SourceData_Livestock_Common_SymbolsMMS_Data(), Table_Data_MMSSymbols[[#Headers],[Symbol]], 0)</f>
        <v>5</v>
      </c>
      <c r="E16" s="39" t="str" cm="1">
        <f t="array" ref="E16">Common_InputFunctions.Utility_DisplayArrayInTable(CommonLivestock_SourceData.SourceData_Livestock_Common_SymbolsMMS_Data(), Table_Data_MMSSymbols[[#Headers],[Symbol]], 0)</f>
        <v>Drylot (feed pad)</v>
      </c>
      <c r="F16" s="39" t="str" cm="1">
        <f t="array" ref="F16">Common_InputFunctions.Utility_DisplayArrayInTable(CommonLivestock_SourceData.SourceData_Livestock_Common_SymbolsMMS_Data(), Table_Data_MMSSymbols[[#Headers],[Symbol]], 0)</f>
        <v>Drylot (feed pad) (m=5)</v>
      </c>
      <c r="G16" s="3"/>
    </row>
    <row r="17" spans="1:8" ht="20.100000000000001" customHeight="1" x14ac:dyDescent="0.25">
      <c r="A17" s="18" t="s">
        <v>2</v>
      </c>
      <c r="D17" s="39" t="str" cm="1">
        <f t="array" ref="D17">Common_InputFunctions.Utility_DisplayArrayInTable(CommonLivestock_SourceData.SourceData_Livestock_Common_SymbolsMMS_Data(), Table_Data_MMSSymbols[[#Headers],[Symbol]], 0)</f>
        <v>6</v>
      </c>
      <c r="E17" s="39" t="str" cm="1">
        <f t="array" ref="E17">Common_InputFunctions.Utility_DisplayArrayInTable(CommonLivestock_SourceData.SourceData_Livestock_Common_SymbolsMMS_Data(), Table_Data_MMSSymbols[[#Headers],[Symbol]], 0)</f>
        <v>Composting (passive windrow)</v>
      </c>
      <c r="F17" s="39" t="str" cm="1">
        <f t="array" ref="F17">Common_InputFunctions.Utility_DisplayArrayInTable(CommonLivestock_SourceData.SourceData_Livestock_Common_SymbolsMMS_Data(), Table_Data_MMSSymbols[[#Headers],[Symbol]], 0)</f>
        <v>Composting (passive windrow) (m=6)</v>
      </c>
      <c r="G17" s="3"/>
    </row>
    <row r="18" spans="1:8" ht="20.100000000000001" customHeight="1" x14ac:dyDescent="0.25">
      <c r="A18" s="17" t="str">
        <f>HYPERLINK("#'Constants - Other Livestock'!A1", "Constants - Other Livestock")</f>
        <v>Constants - Other Livestock</v>
      </c>
      <c r="D18" s="39" t="str" cm="1">
        <f t="array" ref="D18">Common_InputFunctions.Utility_DisplayArrayInTable(CommonLivestock_SourceData.SourceData_Livestock_Common_SymbolsMMS_Data(), Table_Data_MMSSymbols[[#Headers],[Symbol]], 0)</f>
        <v>7</v>
      </c>
      <c r="E18" s="39" t="str" cm="1">
        <f t="array" ref="E18">Common_InputFunctions.Utility_DisplayArrayInTable(CommonLivestock_SourceData.SourceData_Livestock_Common_SymbolsMMS_Data(), Table_Data_MMSSymbols[[#Headers],[Symbol]], 0)</f>
        <v>Digester / covered lagoons</v>
      </c>
      <c r="F18" s="39" t="str" cm="1">
        <f t="array" ref="F18">Common_InputFunctions.Utility_DisplayArrayInTable(CommonLivestock_SourceData.SourceData_Livestock_Common_SymbolsMMS_Data(), Table_Data_MMSSymbols[[#Headers],[Symbol]], 0)</f>
        <v>Digester / covered lagoons (m=7)</v>
      </c>
      <c r="G18" s="3"/>
    </row>
    <row r="19" spans="1:8" ht="20.100000000000001" customHeight="1" x14ac:dyDescent="0.25">
      <c r="A19" s="68" t="str">
        <f>HYPERLINK("#'Constants - Livestock'!A1", "Constants - Livestock")</f>
        <v>Constants - Livestock</v>
      </c>
      <c r="D19" s="39" t="str" cm="1">
        <f t="array" ref="D19">Common_InputFunctions.Utility_DisplayArrayInTable(CommonLivestock_SourceData.SourceData_Livestock_Common_SymbolsMMS_Data(), Table_Data_MMSSymbols[[#Headers],[Symbol]], 0)</f>
        <v>8</v>
      </c>
      <c r="E19" s="39" t="str" cm="1">
        <f t="array" ref="E19">Common_InputFunctions.Utility_DisplayArrayInTable(CommonLivestock_SourceData.SourceData_Livestock_Common_SymbolsMMS_Data(), Table_Data_MMSSymbols[[#Headers],[Symbol]], 0)</f>
        <v>Deep litter</v>
      </c>
      <c r="F19" s="39" t="str" cm="1">
        <f t="array" ref="F19">Common_InputFunctions.Utility_DisplayArrayInTable(CommonLivestock_SourceData.SourceData_Livestock_Common_SymbolsMMS_Data(), Table_Data_MMSSymbols[[#Headers],[Symbol]], 0)</f>
        <v>Deep litter (m=8)</v>
      </c>
      <c r="G19" s="3"/>
    </row>
    <row r="20" spans="1:8" ht="20.100000000000001" customHeight="1" x14ac:dyDescent="0.25">
      <c r="A20" s="17" t="str">
        <f>HYPERLINK("#'Constants - Common'!A1", "Constants - Common")</f>
        <v>Constants - Common</v>
      </c>
      <c r="D20" s="39" t="str" cm="1">
        <f t="array" ref="D20">Common_InputFunctions.Utility_DisplayArrayInTable(CommonLivestock_SourceData.SourceData_Livestock_Common_SymbolsMMS_Data(), Table_Data_MMSSymbols[[#Headers],[Symbol]], 0)</f>
        <v>9</v>
      </c>
      <c r="E20" s="39" t="str" cm="1">
        <f t="array" ref="E20">Common_InputFunctions.Utility_DisplayArrayInTable(CommonLivestock_SourceData.SourceData_Livestock_Common_SymbolsMMS_Data(), Table_Data_MMSSymbols[[#Headers],[Symbol]], 0)</f>
        <v>Pit storage</v>
      </c>
      <c r="F20" s="39" t="str" cm="1">
        <f t="array" ref="F20">Common_InputFunctions.Utility_DisplayArrayInTable(CommonLivestock_SourceData.SourceData_Livestock_Common_SymbolsMMS_Data(), Table_Data_MMSSymbols[[#Headers],[Symbol]], 0)</f>
        <v>Pit storage (m=9)</v>
      </c>
      <c r="G20" s="3"/>
    </row>
    <row r="21" spans="1:8" ht="20.100000000000001" customHeight="1" x14ac:dyDescent="0.25">
      <c r="A21" s="17" t="str">
        <f>HYPERLINK("#'Acknowledgements'!A1", "Acknowledgements")</f>
        <v>Acknowledgements</v>
      </c>
      <c r="D21" s="39" t="str" cm="1">
        <f t="array" ref="D21">Common_InputFunctions.Utility_DisplayArrayInTable(CommonLivestock_SourceData.SourceData_Livestock_Common_SymbolsMMS_Data(), Table_Data_MMSSymbols[[#Headers],[Symbol]], 0)</f>
        <v>10</v>
      </c>
      <c r="E21" s="39" t="str" cm="1">
        <f t="array" ref="E21">Common_InputFunctions.Utility_DisplayArrayInTable(CommonLivestock_SourceData.SourceData_Livestock_Common_SymbolsMMS_Data(), Table_Data_MMSSymbols[[#Headers],[Symbol]], 0)</f>
        <v>Poultry manure with bedding</v>
      </c>
      <c r="F21" s="39" t="str" cm="1">
        <f t="array" ref="F21">Common_InputFunctions.Utility_DisplayArrayInTable(CommonLivestock_SourceData.SourceData_Livestock_Common_SymbolsMMS_Data(), Table_Data_MMSSymbols[[#Headers],[Symbol]], 0)</f>
        <v>Poultry manure with bedding (m=10)</v>
      </c>
      <c r="G21" s="3"/>
    </row>
    <row r="22" spans="1:8" ht="20.100000000000001" customHeight="1" x14ac:dyDescent="0.25">
      <c r="D22" s="39" t="str" cm="1">
        <f t="array" ref="D22">Common_InputFunctions.Utility_DisplayArrayInTable(CommonLivestock_SourceData.SourceData_Livestock_Common_SymbolsMMS_Data(), Table_Data_MMSSymbols[[#Headers],[Symbol]], 0)</f>
        <v>11</v>
      </c>
      <c r="E22" s="39" t="str" cm="1">
        <f t="array" ref="E22">Common_InputFunctions.Utility_DisplayArrayInTable(CommonLivestock_SourceData.SourceData_Livestock_Common_SymbolsMMS_Data(), Table_Data_MMSSymbols[[#Headers],[Symbol]], 0)</f>
        <v>Poultry manure without bedding</v>
      </c>
      <c r="F22" s="39" t="str" cm="1">
        <f t="array" ref="F22">Common_InputFunctions.Utility_DisplayArrayInTable(CommonLivestock_SourceData.SourceData_Livestock_Common_SymbolsMMS_Data(), Table_Data_MMSSymbols[[#Headers],[Symbol]], 0)</f>
        <v>Poultry manure without bedding (m=11)</v>
      </c>
      <c r="G22" s="3"/>
    </row>
    <row r="23" spans="1:8" ht="20.100000000000001" customHeight="1" x14ac:dyDescent="0.25">
      <c r="D23" s="39" t="str" cm="1">
        <f t="array" ref="D23">Common_InputFunctions.Utility_DisplayArrayInTable(CommonLivestock_SourceData.SourceData_Livestock_Common_SymbolsMMS_Data(), Table_Data_MMSSymbols[[#Headers],[Symbol]], 0)</f>
        <v>11a</v>
      </c>
      <c r="E23" s="39" t="str" cm="1">
        <f t="array" ref="E23">Common_InputFunctions.Utility_DisplayArrayInTable(CommonLivestock_SourceData.SourceData_Livestock_Common_SymbolsMMS_Data(), Table_Data_MMSSymbols[[#Headers],[Symbol]], 0)</f>
        <v>Belt manure removal</v>
      </c>
      <c r="F23" s="39" t="str" cm="1">
        <f t="array" ref="F23">Common_InputFunctions.Utility_DisplayArrayInTable(CommonLivestock_SourceData.SourceData_Livestock_Common_SymbolsMMS_Data(), Table_Data_MMSSymbols[[#Headers],[Symbol]], 0)</f>
        <v>Belt manure removal (m=11a)</v>
      </c>
      <c r="G23" s="3"/>
    </row>
    <row r="24" spans="1:8" ht="20.100000000000001" customHeight="1" x14ac:dyDescent="0.25">
      <c r="A24" s="17"/>
      <c r="D24" s="39" t="str" cm="1">
        <f t="array" ref="D24">Common_InputFunctions.Utility_DisplayArrayInTable(CommonLivestock_SourceData.SourceData_Livestock_Common_SymbolsMMS_Data(), Table_Data_MMSSymbols[[#Headers],[Symbol]], 0)</f>
        <v>11b</v>
      </c>
      <c r="E24" s="39" t="str" cm="1">
        <f t="array" ref="E24">Common_InputFunctions.Utility_DisplayArrayInTable(CommonLivestock_SourceData.SourceData_Livestock_Common_SymbolsMMS_Data(), Table_Data_MMSSymbols[[#Headers],[Symbol]], 0)</f>
        <v>Manure stored in house</v>
      </c>
      <c r="F24" s="39" t="str" cm="1">
        <f t="array" ref="F24">Common_InputFunctions.Utility_DisplayArrayInTable(CommonLivestock_SourceData.SourceData_Livestock_Common_SymbolsMMS_Data(), Table_Data_MMSSymbols[[#Headers],[Symbol]], 0)</f>
        <v>Manure stored in house (m=11b)</v>
      </c>
      <c r="G24" s="3"/>
    </row>
    <row r="25" spans="1:8" ht="20.100000000000001" customHeight="1" x14ac:dyDescent="0.25">
      <c r="D25" s="39" t="str" cm="1">
        <f t="array" ref="D25">Common_InputFunctions.Utility_DisplayArrayInTable(CommonLivestock_SourceData.SourceData_Livestock_Common_SymbolsMMS_Data(), Table_Data_MMSSymbols[[#Headers],[Symbol]], 0)</f>
        <v>12</v>
      </c>
      <c r="E25" s="39" t="str" cm="1">
        <f t="array" ref="E25">Common_InputFunctions.Utility_DisplayArrayInTable(CommonLivestock_SourceData.SourceData_Livestock_Common_SymbolsMMS_Data(), Table_Data_MMSSymbols[[#Headers],[Symbol]], 0)</f>
        <v>Direct processing</v>
      </c>
      <c r="F25" s="39" t="str" cm="1">
        <f t="array" ref="F25">Common_InputFunctions.Utility_DisplayArrayInTable(CommonLivestock_SourceData.SourceData_Livestock_Common_SymbolsMMS_Data(), Table_Data_MMSSymbols[[#Headers],[Symbol]], 0)</f>
        <v>Direct processing (m=12)</v>
      </c>
      <c r="G25" s="3"/>
    </row>
    <row r="26" spans="1:8" ht="20.100000000000001" customHeight="1" x14ac:dyDescent="0.25">
      <c r="D26" s="39" t="str" cm="1">
        <f t="array" ref="D26">Common_InputFunctions.Utility_DisplayArrayInTable(CommonLivestock_SourceData.SourceData_Livestock_Common_SymbolsMMS_Data(), Table_Data_MMSSymbols[[#Headers],[Symbol]], 0)</f>
        <v>13</v>
      </c>
      <c r="E26" s="39" t="str" cm="1">
        <f t="array" ref="E26">Common_InputFunctions.Utility_DisplayArrayInTable(CommonLivestock_SourceData.SourceData_Livestock_Common_SymbolsMMS_Data(), Table_Data_MMSSymbols[[#Headers],[Symbol]], 0)</f>
        <v>Direct application</v>
      </c>
      <c r="F26" s="39" t="str" cm="1">
        <f t="array" ref="F26">Common_InputFunctions.Utility_DisplayArrayInTable(CommonLivestock_SourceData.SourceData_Livestock_Common_SymbolsMMS_Data(), Table_Data_MMSSymbols[[#Headers],[Symbol]], 0)</f>
        <v>Direct application (m=13)</v>
      </c>
      <c r="G26" s="3"/>
    </row>
    <row r="27" spans="1:8" ht="20.100000000000001" customHeight="1" x14ac:dyDescent="0.25">
      <c r="D27" s="39" t="str" cm="1">
        <f t="array" ref="D27">Common_InputFunctions.Utility_DisplayArrayInTable(CommonLivestock_SourceData.SourceData_Livestock_Common_SymbolsMMS_Data(), Table_Data_MMSSymbols[[#Headers],[Symbol]], 0)</f>
        <v>14</v>
      </c>
      <c r="E27" s="39" t="str" cm="1">
        <f t="array" ref="E27">Common_InputFunctions.Utility_DisplayArrayInTable(CommonLivestock_SourceData.SourceData_Livestock_Common_SymbolsMMS_Data(), Table_Data_MMSSymbols[[#Headers],[Symbol]], 0)</f>
        <v>Pasture range and paddock</v>
      </c>
      <c r="F27" s="39" t="str" cm="1">
        <f t="array" ref="F27">Common_InputFunctions.Utility_DisplayArrayInTable(CommonLivestock_SourceData.SourceData_Livestock_Common_SymbolsMMS_Data(), Table_Data_MMSSymbols[[#Headers],[Symbol]], 0)</f>
        <v>Pasture range and paddock (m=14)</v>
      </c>
      <c r="G27" s="3"/>
    </row>
    <row r="28" spans="1:8" ht="20.100000000000001" customHeight="1" x14ac:dyDescent="0.25">
      <c r="G28" s="3"/>
      <c r="H28" s="3"/>
    </row>
    <row r="29" spans="1:8" ht="20.100000000000001" customHeight="1" x14ac:dyDescent="0.25"/>
    <row r="30" spans="1:8" ht="20.100000000000001" customHeight="1" x14ac:dyDescent="0.25"/>
    <row r="31" spans="1:8" ht="20.100000000000001" customHeight="1" x14ac:dyDescent="0.25"/>
    <row r="32" spans="1:8" ht="20.100000000000001" customHeight="1" x14ac:dyDescent="0.25"/>
    <row r="33" ht="20.100000000000001" customHeight="1" x14ac:dyDescent="0.25"/>
    <row r="34" ht="20.100000000000001" customHeight="1" x14ac:dyDescent="0.25"/>
    <row r="35" ht="20.100000000000001" customHeight="1" x14ac:dyDescent="0.25"/>
    <row r="36" ht="20.100000000000001" customHeight="1" x14ac:dyDescent="0.25"/>
    <row r="37" ht="20.100000000000001" customHeight="1" x14ac:dyDescent="0.25"/>
    <row r="38" ht="20.100000000000001" customHeight="1" x14ac:dyDescent="0.25"/>
    <row r="39" ht="20.100000000000001" customHeight="1" x14ac:dyDescent="0.25"/>
    <row r="40" ht="20.100000000000001" customHeight="1" x14ac:dyDescent="0.25"/>
    <row r="41" ht="20.100000000000001" customHeight="1" x14ac:dyDescent="0.25"/>
    <row r="42" ht="20.100000000000001" customHeight="1" x14ac:dyDescent="0.25"/>
    <row r="43" ht="20.100000000000001" customHeight="1" x14ac:dyDescent="0.25"/>
    <row r="44" ht="20.100000000000001" customHeight="1" x14ac:dyDescent="0.25"/>
    <row r="45" ht="20.100000000000001" customHeight="1" x14ac:dyDescent="0.25"/>
    <row r="46" ht="20.100000000000001" customHeight="1" x14ac:dyDescent="0.25"/>
    <row r="47" ht="20.100000000000001" customHeight="1" x14ac:dyDescent="0.25"/>
    <row r="48" ht="20.100000000000001" customHeight="1" x14ac:dyDescent="0.25"/>
    <row r="49" ht="20.100000000000001" customHeight="1" x14ac:dyDescent="0.25"/>
    <row r="50" ht="20.100000000000001" customHeight="1" x14ac:dyDescent="0.25"/>
    <row r="51" ht="20.100000000000001" customHeight="1" x14ac:dyDescent="0.25"/>
    <row r="52" ht="20.100000000000001" customHeight="1" x14ac:dyDescent="0.25"/>
    <row r="53" ht="20.100000000000001" customHeight="1" x14ac:dyDescent="0.25"/>
    <row r="54" ht="20.100000000000001" customHeight="1" x14ac:dyDescent="0.25"/>
    <row r="55" ht="20.100000000000001" customHeight="1" x14ac:dyDescent="0.25"/>
    <row r="56" ht="20.100000000000001" customHeight="1" x14ac:dyDescent="0.25"/>
    <row r="57" ht="20.100000000000001" customHeight="1" x14ac:dyDescent="0.25"/>
    <row r="58" ht="20.100000000000001" customHeight="1" x14ac:dyDescent="0.25"/>
    <row r="59" ht="20.100000000000001" customHeight="1" x14ac:dyDescent="0.25"/>
    <row r="60" ht="20.100000000000001" customHeight="1" x14ac:dyDescent="0.25"/>
    <row r="61" ht="20.100000000000001" customHeight="1" x14ac:dyDescent="0.25"/>
    <row r="62" ht="20.100000000000001" customHeight="1" x14ac:dyDescent="0.25"/>
    <row r="63" ht="20.100000000000001" customHeight="1" x14ac:dyDescent="0.25"/>
  </sheetData>
  <pageMargins left="0.7" right="0.7" top="0.75" bottom="0.75" header="0.3" footer="0.3"/>
  <pageSetup paperSize="9" orientation="portrait" r:id="rId1"/>
  <tableParts count="1">
    <tablePart r:id="rId2"/>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8CA0CCA-2EBC-4649-BB27-D0768E2C4161}">
  <dimension ref="A1:BY259"/>
  <sheetViews>
    <sheetView showGridLines="0" topLeftCell="A27" zoomScale="85" zoomScaleNormal="85" workbookViewId="0">
      <selection activeCell="G37" sqref="G37"/>
    </sheetView>
  </sheetViews>
  <sheetFormatPr defaultColWidth="9.140625" defaultRowHeight="15.75" x14ac:dyDescent="0.25"/>
  <cols>
    <col min="1" max="1" width="30.7109375" style="7" customWidth="1"/>
    <col min="2" max="2" width="2.7109375" style="7" customWidth="1"/>
    <col min="3" max="3" width="4.7109375" style="1" customWidth="1"/>
    <col min="4" max="4" width="48" style="1" customWidth="1"/>
    <col min="5" max="6" width="20.7109375" style="1" customWidth="1"/>
    <col min="7" max="7" width="30.28515625" style="1" customWidth="1"/>
    <col min="8" max="9" width="20.7109375" style="1" customWidth="1"/>
    <col min="10" max="10" width="34.28515625" style="1" customWidth="1"/>
    <col min="11" max="13" width="20.7109375" style="1" customWidth="1"/>
    <col min="14" max="14" width="33.140625" style="1" customWidth="1"/>
    <col min="15" max="15" width="36.42578125" style="1" customWidth="1"/>
    <col min="16" max="16" width="21" style="1" customWidth="1"/>
    <col min="17" max="17" width="21.28515625" style="1" customWidth="1"/>
    <col min="18" max="18" width="31.140625" style="1" customWidth="1"/>
    <col min="19" max="20" width="20.7109375" style="1" customWidth="1"/>
    <col min="21" max="21" width="4.7109375" style="1" customWidth="1"/>
    <col min="22" max="33" width="20.7109375" style="7" customWidth="1"/>
    <col min="34" max="39" width="21.85546875" style="7" customWidth="1"/>
    <col min="40" max="44" width="20.7109375" style="7" customWidth="1"/>
    <col min="45" max="65" width="9.140625" style="7"/>
    <col min="66" max="16384" width="9.140625" style="3"/>
  </cols>
  <sheetData>
    <row r="1" spans="1:65" s="8" customFormat="1" ht="30" customHeight="1" x14ac:dyDescent="0.35">
      <c r="A1" s="8" t="e" vm="1">
        <v>#VALUE!</v>
      </c>
      <c r="C1" s="8" t="s">
        <v>72</v>
      </c>
    </row>
    <row r="2" spans="1:65" s="9" customFormat="1" ht="20.100000000000001" customHeight="1" x14ac:dyDescent="0.25"/>
    <row r="3" spans="1:65" ht="20.100000000000001" customHeight="1" x14ac:dyDescent="0.25">
      <c r="A3"/>
      <c r="C3" s="4"/>
      <c r="D3" s="4"/>
      <c r="E3" s="4"/>
      <c r="F3" s="4"/>
      <c r="G3" s="4"/>
      <c r="H3" s="4"/>
      <c r="I3" s="4"/>
      <c r="J3" s="4"/>
      <c r="K3" s="4"/>
      <c r="L3" s="4"/>
      <c r="M3" s="4"/>
      <c r="N3" s="4"/>
      <c r="O3" s="4"/>
      <c r="P3" s="4"/>
      <c r="Q3" s="4"/>
      <c r="R3" s="4"/>
      <c r="S3" s="4"/>
      <c r="T3" s="4"/>
      <c r="U3" s="4"/>
      <c r="V3" s="11"/>
      <c r="W3" s="11"/>
    </row>
    <row r="4" spans="1:65" ht="20.100000000000001" customHeight="1" x14ac:dyDescent="0.25">
      <c r="A4"/>
      <c r="BM4" s="3"/>
    </row>
    <row r="5" spans="1:65" ht="20.100000000000001" customHeight="1" x14ac:dyDescent="0.25">
      <c r="A5"/>
      <c r="D5" s="6" t="str" cm="1">
        <f t="array" ref="D5">Common_SourceData.Common_SourceData_AustralianStatesTerritories_Title()</f>
        <v>Australian states and territories</v>
      </c>
      <c r="BM5" s="3"/>
    </row>
    <row r="6" spans="1:65" ht="20.100000000000001" customHeight="1" x14ac:dyDescent="0.25">
      <c r="A6"/>
      <c r="D6" s="39" t="s">
        <v>18</v>
      </c>
      <c r="E6" s="39" t="s">
        <v>19</v>
      </c>
      <c r="F6" s="39" t="s">
        <v>20</v>
      </c>
    </row>
    <row r="7" spans="1:65" ht="20.100000000000001" customHeight="1" x14ac:dyDescent="0.25">
      <c r="A7"/>
      <c r="D7" s="39" t="str" cm="1">
        <f t="array" ref="D7">Common_InputFunctions.Utility_DisplayArrayInTable(Common_SourceData.Common_SourceData_AustralianStatesTerritories_Data(),Table_AustralianStates[[#Headers],[State/Territory]],0)</f>
        <v>New South Wales</v>
      </c>
      <c r="E7" s="39" t="str" cm="1">
        <f t="array" ref="E7">Common_InputFunctions.Utility_DisplayArrayInTable(Common_SourceData.Common_SourceData_AustralianStatesTerritories_Data(),Table_AustralianStates[[#Headers],[State/Territory]],0)</f>
        <v>New South Wales</v>
      </c>
      <c r="F7" s="39" t="str" cm="1">
        <f t="array" ref="F7">Common_InputFunctions.Utility_DisplayArrayInTable(Common_SourceData.Common_SourceData_AustralianStatesTerritories_Data(),Table_AustralianStates[[#Headers],[State/Territory]],0)</f>
        <v>NSW</v>
      </c>
    </row>
    <row r="8" spans="1:65" ht="20.100000000000001" customHeight="1" x14ac:dyDescent="0.25">
      <c r="A8"/>
      <c r="D8" s="39" t="str" cm="1">
        <f t="array" ref="D8">Common_InputFunctions.Utility_DisplayArrayInTable(Common_SourceData.Common_SourceData_AustralianStatesTerritories_Data(),Table_AustralianStates[[#Headers],[State/Territory]],0)</f>
        <v>Australian Capital Territory</v>
      </c>
      <c r="E8" s="39" t="str" cm="1">
        <f t="array" ref="E8">Common_InputFunctions.Utility_DisplayArrayInTable(Common_SourceData.Common_SourceData_AustralianStatesTerritories_Data(),Table_AustralianStates[[#Headers],[State/Territory]],0)</f>
        <v>ACT</v>
      </c>
      <c r="F8" s="39" t="str" cm="1">
        <f t="array" ref="F8">Common_InputFunctions.Utility_DisplayArrayInTable(Common_SourceData.Common_SourceData_AustralianStatesTerritories_Data(),Table_AustralianStates[[#Headers],[State/Territory]],0)</f>
        <v>ACT</v>
      </c>
    </row>
    <row r="9" spans="1:65" ht="20.100000000000001" customHeight="1" x14ac:dyDescent="0.25">
      <c r="A9"/>
      <c r="D9" s="39" t="str" cm="1">
        <f t="array" ref="D9">Common_InputFunctions.Utility_DisplayArrayInTable(Common_SourceData.Common_SourceData_AustralianStatesTerritories_Data(),Table_AustralianStates[[#Headers],[State/Territory]],0)</f>
        <v>Victoria</v>
      </c>
      <c r="E9" s="39" t="str" cm="1">
        <f t="array" ref="E9">Common_InputFunctions.Utility_DisplayArrayInTable(Common_SourceData.Common_SourceData_AustralianStatesTerritories_Data(),Table_AustralianStates[[#Headers],[State/Territory]],0)</f>
        <v>Victoria</v>
      </c>
      <c r="F9" s="39" t="str" cm="1">
        <f t="array" ref="F9">Common_InputFunctions.Utility_DisplayArrayInTable(Common_SourceData.Common_SourceData_AustralianStatesTerritories_Data(),Table_AustralianStates[[#Headers],[State/Territory]],0)</f>
        <v>VIC</v>
      </c>
    </row>
    <row r="10" spans="1:65" ht="20.100000000000001" customHeight="1" x14ac:dyDescent="0.25">
      <c r="A10"/>
      <c r="D10" s="39" t="str" cm="1">
        <f t="array" ref="D10">Common_InputFunctions.Utility_DisplayArrayInTable(Common_SourceData.Common_SourceData_AustralianStatesTerritories_Data(),Table_AustralianStates[[#Headers],[State/Territory]],0)</f>
        <v>Queensland</v>
      </c>
      <c r="E10" s="39" t="str" cm="1">
        <f t="array" ref="E10">Common_InputFunctions.Utility_DisplayArrayInTable(Common_SourceData.Common_SourceData_AustralianStatesTerritories_Data(),Table_AustralianStates[[#Headers],[State/Territory]],0)</f>
        <v>Queensland</v>
      </c>
      <c r="F10" s="39" t="str" cm="1">
        <f t="array" ref="F10">Common_InputFunctions.Utility_DisplayArrayInTable(Common_SourceData.Common_SourceData_AustralianStatesTerritories_Data(),Table_AustralianStates[[#Headers],[State/Territory]],0)</f>
        <v>QLD</v>
      </c>
    </row>
    <row r="11" spans="1:65" ht="20.100000000000001" customHeight="1" x14ac:dyDescent="0.25">
      <c r="A11"/>
      <c r="D11" s="39" t="str" cm="1">
        <f t="array" ref="D11">Common_InputFunctions.Utility_DisplayArrayInTable(Common_SourceData.Common_SourceData_AustralianStatesTerritories_Data(),Table_AustralianStates[[#Headers],[State/Territory]],0)</f>
        <v>South Australia</v>
      </c>
      <c r="E11" s="39" t="str" cm="1">
        <f t="array" ref="E11">Common_InputFunctions.Utility_DisplayArrayInTable(Common_SourceData.Common_SourceData_AustralianStatesTerritories_Data(),Table_AustralianStates[[#Headers],[State/Territory]],0)</f>
        <v>South Australia</v>
      </c>
      <c r="F11" s="39" t="str" cm="1">
        <f t="array" ref="F11">Common_InputFunctions.Utility_DisplayArrayInTable(Common_SourceData.Common_SourceData_AustralianStatesTerritories_Data(),Table_AustralianStates[[#Headers],[State/Territory]],0)</f>
        <v>SA</v>
      </c>
      <c r="BM11" s="3"/>
    </row>
    <row r="12" spans="1:65" ht="20.100000000000001" customHeight="1" x14ac:dyDescent="0.25">
      <c r="A12"/>
      <c r="D12" s="39" t="str" cm="1">
        <f t="array" ref="D12">Common_InputFunctions.Utility_DisplayArrayInTable(Common_SourceData.Common_SourceData_AustralianStatesTerritories_Data(),Table_AustralianStates[[#Headers],[State/Territory]],0)</f>
        <v>Western Australia</v>
      </c>
      <c r="E12" s="39" t="str" cm="1">
        <f t="array" ref="E12">Common_InputFunctions.Utility_DisplayArrayInTable(Common_SourceData.Common_SourceData_AustralianStatesTerritories_Data(),Table_AustralianStates[[#Headers],[State/Territory]],0)</f>
        <v>Western Australia</v>
      </c>
      <c r="F12" s="39" t="str" cm="1">
        <f t="array" ref="F12">Common_InputFunctions.Utility_DisplayArrayInTable(Common_SourceData.Common_SourceData_AustralianStatesTerritories_Data(),Table_AustralianStates[[#Headers],[State/Territory]],0)</f>
        <v>WA</v>
      </c>
      <c r="BM12" s="3"/>
    </row>
    <row r="13" spans="1:65" ht="20.100000000000001" customHeight="1" x14ac:dyDescent="0.25">
      <c r="A13"/>
      <c r="D13" s="39" t="str" cm="1">
        <f t="array" ref="D13">Common_InputFunctions.Utility_DisplayArrayInTable(Common_SourceData.Common_SourceData_AustralianStatesTerritories_Data(),Table_AustralianStates[[#Headers],[State/Territory]],0)</f>
        <v>Tasmania</v>
      </c>
      <c r="E13" s="39" t="str" cm="1">
        <f t="array" ref="E13">Common_InputFunctions.Utility_DisplayArrayInTable(Common_SourceData.Common_SourceData_AustralianStatesTerritories_Data(),Table_AustralianStates[[#Headers],[State/Territory]],0)</f>
        <v>Tasmania</v>
      </c>
      <c r="F13" s="39" t="str" cm="1">
        <f t="array" ref="F13">Common_InputFunctions.Utility_DisplayArrayInTable(Common_SourceData.Common_SourceData_AustralianStatesTerritories_Data(),Table_AustralianStates[[#Headers],[State/Territory]],0)</f>
        <v>TAS</v>
      </c>
    </row>
    <row r="14" spans="1:65" ht="20.100000000000001" customHeight="1" x14ac:dyDescent="0.25">
      <c r="A14"/>
      <c r="D14" s="39" t="str" cm="1">
        <f t="array" ref="D14">Common_InputFunctions.Utility_DisplayArrayInTable(Common_SourceData.Common_SourceData_AustralianStatesTerritories_Data(),Table_AustralianStates[[#Headers],[State/Territory]],0)</f>
        <v>Northern Territory</v>
      </c>
      <c r="E14" s="39" t="str" cm="1">
        <f t="array" ref="E14">Common_InputFunctions.Utility_DisplayArrayInTable(Common_SourceData.Common_SourceData_AustralianStatesTerritories_Data(),Table_AustralianStates[[#Headers],[State/Territory]],0)</f>
        <v>Northern Territory</v>
      </c>
      <c r="F14" s="39" t="str" cm="1">
        <f t="array" ref="F14">Common_InputFunctions.Utility_DisplayArrayInTable(Common_SourceData.Common_SourceData_AustralianStatesTerritories_Data(),Table_AustralianStates[[#Headers],[State/Territory]],0)</f>
        <v>NT</v>
      </c>
    </row>
    <row r="15" spans="1:65" ht="20.100000000000001" customHeight="1" x14ac:dyDescent="0.25">
      <c r="A15"/>
    </row>
    <row r="16" spans="1:65" ht="20.100000000000001" customHeight="1" x14ac:dyDescent="0.25">
      <c r="A16"/>
    </row>
    <row r="17" spans="1:4" ht="20.100000000000001" customHeight="1" x14ac:dyDescent="0.25">
      <c r="A17"/>
    </row>
    <row r="18" spans="1:4" ht="20.100000000000001" customHeight="1" x14ac:dyDescent="0.25">
      <c r="A18"/>
      <c r="D18" s="6" t="str" cm="1">
        <f t="array" ref="D18">Common_SourceData.Common_SourceData_WASA4Areas_Title()</f>
        <v>ABS Statistcal Areas Level 4 - Western Australia</v>
      </c>
    </row>
    <row r="19" spans="1:4" ht="20.100000000000001" customHeight="1" x14ac:dyDescent="0.25">
      <c r="A19"/>
      <c r="D19" s="5" t="str" cm="1">
        <f t="array" ref="D19">Common_SourceData.Common_SourceData_WASA4Areas_Source()</f>
        <v>Australian Bureau of Statistics (ABS) - Statistical Areas Level 2 - 2021 - Shapefile</v>
      </c>
    </row>
    <row r="20" spans="1:4" ht="20.100000000000001" customHeight="1" x14ac:dyDescent="0.25">
      <c r="A20"/>
      <c r="D20" s="39" t="s">
        <v>21</v>
      </c>
    </row>
    <row r="21" spans="1:4" ht="20.100000000000001" customHeight="1" x14ac:dyDescent="0.25">
      <c r="A21"/>
      <c r="D21" s="39" t="str" cm="1">
        <f t="array" ref="D21">Common_InputFunctions.Utility_DisplayArrayInTable(Common_SourceData.Common_SourceData_WASA4Areas_Data(), Table_WASA4Areas[[#Headers],[SA 4 Name]], 0)</f>
        <v>Bunbury</v>
      </c>
    </row>
    <row r="22" spans="1:4" ht="20.100000000000001" customHeight="1" x14ac:dyDescent="0.25">
      <c r="A22"/>
      <c r="D22" s="39" t="str" cm="1">
        <f t="array" ref="D22">Common_InputFunctions.Utility_DisplayArrayInTable(Common_SourceData.Common_SourceData_WASA4Areas_Data(), Table_WASA4Areas[[#Headers],[SA 4 Name]], 0)</f>
        <v>Mandurah</v>
      </c>
    </row>
    <row r="23" spans="1:4" ht="20.100000000000001" customHeight="1" x14ac:dyDescent="0.25">
      <c r="A23"/>
      <c r="D23" s="39" t="str" cm="1">
        <f t="array" ref="D23">Common_InputFunctions.Utility_DisplayArrayInTable(Common_SourceData.Common_SourceData_WASA4Areas_Data(), Table_WASA4Areas[[#Headers],[SA 4 Name]], 0)</f>
        <v>Perth - Inner</v>
      </c>
    </row>
    <row r="24" spans="1:4" ht="20.100000000000001" customHeight="1" x14ac:dyDescent="0.25">
      <c r="A24"/>
      <c r="D24" s="39" t="str" cm="1">
        <f t="array" ref="D24">Common_InputFunctions.Utility_DisplayArrayInTable(Common_SourceData.Common_SourceData_WASA4Areas_Data(), Table_WASA4Areas[[#Headers],[SA 4 Name]], 0)</f>
        <v>Perth - North East</v>
      </c>
    </row>
    <row r="25" spans="1:4" ht="20.100000000000001" customHeight="1" x14ac:dyDescent="0.25">
      <c r="A25"/>
      <c r="D25" s="39" t="str" cm="1">
        <f t="array" ref="D25">Common_InputFunctions.Utility_DisplayArrayInTable(Common_SourceData.Common_SourceData_WASA4Areas_Data(), Table_WASA4Areas[[#Headers],[SA 4 Name]], 0)</f>
        <v>Perth - North West</v>
      </c>
    </row>
    <row r="26" spans="1:4" ht="20.100000000000001" customHeight="1" x14ac:dyDescent="0.25">
      <c r="A26"/>
      <c r="D26" s="39" t="str" cm="1">
        <f t="array" ref="D26">Common_InputFunctions.Utility_DisplayArrayInTable(Common_SourceData.Common_SourceData_WASA4Areas_Data(), Table_WASA4Areas[[#Headers],[SA 4 Name]], 0)</f>
        <v>Perth - South East</v>
      </c>
    </row>
    <row r="27" spans="1:4" ht="20.100000000000001" customHeight="1" x14ac:dyDescent="0.25">
      <c r="A27"/>
      <c r="D27" s="39" t="str" cm="1">
        <f t="array" ref="D27">Common_InputFunctions.Utility_DisplayArrayInTable(Common_SourceData.Common_SourceData_WASA4Areas_Data(), Table_WASA4Areas[[#Headers],[SA 4 Name]], 0)</f>
        <v>Perth - South West</v>
      </c>
    </row>
    <row r="28" spans="1:4" ht="20.100000000000001" customHeight="1" x14ac:dyDescent="0.25">
      <c r="A28"/>
      <c r="D28" s="39" t="str" cm="1">
        <f t="array" ref="D28">Common_InputFunctions.Utility_DisplayArrayInTable(Common_SourceData.Common_SourceData_WASA4Areas_Data(), Table_WASA4Areas[[#Headers],[SA 4 Name]], 0)</f>
        <v>Western Australia - Wheat Belt</v>
      </c>
    </row>
    <row r="29" spans="1:4" ht="20.100000000000001" customHeight="1" x14ac:dyDescent="0.25">
      <c r="A29"/>
      <c r="D29" s="39" t="str" cm="1">
        <f t="array" ref="D29">Common_InputFunctions.Utility_DisplayArrayInTable(Common_SourceData.Common_SourceData_WASA4Areas_Data(), Table_WASA4Areas[[#Headers],[SA 4 Name]], 0)</f>
        <v>Western Australia - Outback (North)</v>
      </c>
    </row>
    <row r="30" spans="1:4" ht="20.100000000000001" customHeight="1" x14ac:dyDescent="0.25">
      <c r="A30"/>
      <c r="D30" s="39" t="str" cm="1">
        <f t="array" ref="D30">Common_InputFunctions.Utility_DisplayArrayInTable(Common_SourceData.Common_SourceData_WASA4Areas_Data(), Table_WASA4Areas[[#Headers],[SA 4 Name]], 0)</f>
        <v>Western Australia - Outback (South)</v>
      </c>
    </row>
    <row r="31" spans="1:4" ht="20.100000000000001" customHeight="1" x14ac:dyDescent="0.25">
      <c r="A31"/>
    </row>
    <row r="32" spans="1:4" ht="20.100000000000001" customHeight="1" x14ac:dyDescent="0.25">
      <c r="A32"/>
    </row>
    <row r="33" spans="1:8" ht="20.100000000000001" customHeight="1" x14ac:dyDescent="0.25">
      <c r="A33"/>
    </row>
    <row r="34" spans="1:8" ht="20.100000000000001" customHeight="1" x14ac:dyDescent="0.25">
      <c r="A34"/>
      <c r="D34" s="6" t="str" cm="1">
        <f t="array" ref="D34">Common_SourceData.Common_SourceData_GWP_Title()</f>
        <v>Global warming potential for greenhouse gases</v>
      </c>
    </row>
    <row r="35" spans="1:8" ht="20.100000000000001" customHeight="1" x14ac:dyDescent="0.25">
      <c r="A35"/>
      <c r="D35" s="5" t="str" cm="1">
        <f t="array" ref="D35">Common_SourceData.Common_SourceData_GWP_Source()</f>
        <v>XXXXXXX</v>
      </c>
    </row>
    <row r="36" spans="1:8" ht="20.100000000000001" customHeight="1" x14ac:dyDescent="0.25">
      <c r="A36"/>
      <c r="D36" s="39" t="s">
        <v>24</v>
      </c>
      <c r="E36" s="39" t="s">
        <v>25</v>
      </c>
    </row>
    <row r="37" spans="1:8" ht="20.100000000000001" customHeight="1" x14ac:dyDescent="0.25">
      <c r="A37"/>
      <c r="D37" s="39" t="str" cm="1">
        <f t="array" ref="D37">Common_InputFunctions.Utility_DisplayArrayInTable(Common_SourceData.Common_SourceData_GWP_Data(), Table_GWPData[[#Headers],[Gas]], 0)</f>
        <v>CO2</v>
      </c>
      <c r="E37" s="39" cm="1">
        <f t="array" ref="E37">Common_InputFunctions.Utility_DisplayArrayInTable(Common_SourceData.Common_SourceData_GWP_Data(), Table_GWPData[[#Headers],[Gas]], 0)</f>
        <v>1</v>
      </c>
      <c r="G37" s="1" t="s">
        <v>246</v>
      </c>
    </row>
    <row r="38" spans="1:8" ht="20.100000000000001" customHeight="1" x14ac:dyDescent="0.25">
      <c r="A38"/>
      <c r="D38" s="39" t="str" cm="1">
        <f t="array" ref="D38">Common_InputFunctions.Utility_DisplayArrayInTable(Common_SourceData.Common_SourceData_GWP_Data(), Table_GWPData[[#Headers],[Gas]], 0)</f>
        <v>CH4</v>
      </c>
      <c r="E38" s="39" cm="1">
        <f t="array" ref="E38">Common_InputFunctions.Utility_DisplayArrayInTable(Common_SourceData.Common_SourceData_GWP_Data(), Table_GWPData[[#Headers],[Gas]], 0)</f>
        <v>28</v>
      </c>
    </row>
    <row r="39" spans="1:8" ht="20.100000000000001" customHeight="1" x14ac:dyDescent="0.25">
      <c r="A39"/>
      <c r="D39" s="39" t="str" cm="1">
        <f t="array" ref="D39">Common_InputFunctions.Utility_DisplayArrayInTable(Common_SourceData.Common_SourceData_GWP_Data(), Table_GWPData[[#Headers],[Gas]], 0)</f>
        <v>N2O</v>
      </c>
      <c r="E39" s="39" cm="1">
        <f t="array" ref="E39">Common_InputFunctions.Utility_DisplayArrayInTable(Common_SourceData.Common_SourceData_GWP_Data(), Table_GWPData[[#Headers],[Gas]], 0)</f>
        <v>265</v>
      </c>
    </row>
    <row r="40" spans="1:8" ht="20.100000000000001" customHeight="1" x14ac:dyDescent="0.25">
      <c r="A40"/>
      <c r="D40" s="39" t="str" cm="1">
        <f t="array" ref="D40">Common_InputFunctions.Utility_DisplayArrayInTable(Common_SourceData.Common_SourceData_GWP_Data(), Table_GWPData[[#Headers],[Gas]], 0)</f>
        <v>CF4</v>
      </c>
      <c r="E40" s="39" cm="1">
        <f t="array" ref="E40">Common_InputFunctions.Utility_DisplayArrayInTable(Common_SourceData.Common_SourceData_GWP_Data(), Table_GWPData[[#Headers],[Gas]], 0)</f>
        <v>6630</v>
      </c>
    </row>
    <row r="41" spans="1:8" ht="20.100000000000001" customHeight="1" x14ac:dyDescent="0.25">
      <c r="A41"/>
      <c r="D41" s="39" t="str" cm="1">
        <f t="array" ref="D41">Common_InputFunctions.Utility_DisplayArrayInTable(Common_SourceData.Common_SourceData_GWP_Data(), Table_GWPData[[#Headers],[Gas]], 0)</f>
        <v>C2F6</v>
      </c>
      <c r="E41" s="39" cm="1">
        <f t="array" ref="E41">Common_InputFunctions.Utility_DisplayArrayInTable(Common_SourceData.Common_SourceData_GWP_Data(), Table_GWPData[[#Headers],[Gas]], 0)</f>
        <v>12200</v>
      </c>
    </row>
    <row r="42" spans="1:8" ht="20.100000000000001" customHeight="1" x14ac:dyDescent="0.25">
      <c r="D42" s="39" t="str" cm="1">
        <f t="array" ref="D42">Common_InputFunctions.Utility_DisplayArrayInTable(Common_SourceData.Common_SourceData_GWP_Data(), Table_GWPData[[#Headers],[Gas]], 0)</f>
        <v>SF6</v>
      </c>
      <c r="E42" s="39" cm="1">
        <f t="array" ref="E42">Common_InputFunctions.Utility_DisplayArrayInTable(Common_SourceData.Common_SourceData_GWP_Data(), Table_GWPData[[#Headers],[Gas]], 0)</f>
        <v>22800</v>
      </c>
    </row>
    <row r="43" spans="1:8" ht="20.100000000000001" customHeight="1" x14ac:dyDescent="0.25">
      <c r="D43" s="39" t="str" cm="1">
        <f t="array" ref="D43">Common_InputFunctions.Utility_DisplayArrayInTable(Common_SourceData.Common_SourceData_GWP_Data(), Table_GWPData[[#Headers],[Gas]], 0)</f>
        <v>NF3</v>
      </c>
      <c r="E43" s="39" cm="1">
        <f t="array" ref="E43">Common_InputFunctions.Utility_DisplayArrayInTable(Common_SourceData.Common_SourceData_GWP_Data(), Table_GWPData[[#Headers],[Gas]], 0)</f>
        <v>17200</v>
      </c>
    </row>
    <row r="44" spans="1:8" ht="20.100000000000001" customHeight="1" x14ac:dyDescent="0.25"/>
    <row r="45" spans="1:8" ht="20.100000000000001" customHeight="1" x14ac:dyDescent="0.25">
      <c r="D45" s="6" t="str" cm="1">
        <f t="array" ref="D45">Common_SourceData.Common_SourceData_ConvertGasElementalToMolecular_Title()</f>
        <v>Factor to convert elemental mass of gas to molecular mass</v>
      </c>
    </row>
    <row r="46" spans="1:8" ht="20.100000000000001" customHeight="1" x14ac:dyDescent="0.25">
      <c r="D46" s="5" t="str" cm="1">
        <f t="array" ref="D46">Common_SourceData.Common_SourceData_ConvertGasElementalToMolecular_Source()</f>
        <v>XXXXXXX</v>
      </c>
    </row>
    <row r="47" spans="1:8" ht="20.100000000000001" customHeight="1" x14ac:dyDescent="0.25">
      <c r="D47" s="39" t="s">
        <v>24</v>
      </c>
      <c r="E47" s="39" t="s">
        <v>27</v>
      </c>
      <c r="F47" s="39" t="s">
        <v>28</v>
      </c>
      <c r="G47" s="39" t="s">
        <v>29</v>
      </c>
      <c r="H47" s="39" t="s">
        <v>30</v>
      </c>
    </row>
    <row r="48" spans="1:8" ht="20.100000000000001" customHeight="1" x14ac:dyDescent="0.25">
      <c r="D48" s="39" t="str" cm="1">
        <f t="array" ref="D48">Common_InputFunctions.Utility_DisplayArrayInTable(Common_SourceData.Common_SourceData_ConvertGasElementalToMolecular_Data(),Table_GasToMolecularConversionFactor[[#Headers],[Gas]], 0)</f>
        <v>CO2</v>
      </c>
      <c r="E48" s="39" t="str" cm="1">
        <f t="array" ref="E48">Common_InputFunctions.Utility_DisplayArrayInTable(Common_SourceData.Common_SourceData_ConvertGasElementalToMolecular_Data(),Table_GasToMolecularConversionFactor[[#Headers],[Gas]], 0)</f>
        <v>44/12</v>
      </c>
      <c r="F48" s="39" cm="1">
        <f t="array" ref="F48">Common_InputFunctions.Utility_DisplayArrayInTable(Common_SourceData.Common_SourceData_ConvertGasElementalToMolecular_Data(),Table_GasToMolecularConversionFactor[[#Headers],[Gas]], 0)</f>
        <v>44</v>
      </c>
      <c r="G48" s="39" cm="1">
        <f t="array" ref="G48">Common_InputFunctions.Utility_DisplayArrayInTable(Common_SourceData.Common_SourceData_ConvertGasElementalToMolecular_Data(),Table_GasToMolecularConversionFactor[[#Headers],[Gas]], 0)</f>
        <v>12</v>
      </c>
      <c r="H48" s="39">
        <f>Table_GasToMolecularConversionFactor[[#This Row],[Conversion factor 1]]/Table_GasToMolecularConversionFactor[[#This Row],[Conversion factor 2]]</f>
        <v>3.6666666666666665</v>
      </c>
    </row>
    <row r="49" spans="4:8" ht="20.100000000000001" customHeight="1" x14ac:dyDescent="0.25">
      <c r="D49" s="39" t="str" cm="1">
        <f t="array" ref="D49">Common_InputFunctions.Utility_DisplayArrayInTable(Common_SourceData.Common_SourceData_ConvertGasElementalToMolecular_Data(),Table_GasToMolecularConversionFactor[[#Headers],[Gas]], 0)</f>
        <v>CH4</v>
      </c>
      <c r="E49" s="39" t="str" cm="1">
        <f t="array" ref="E49">Common_InputFunctions.Utility_DisplayArrayInTable(Common_SourceData.Common_SourceData_ConvertGasElementalToMolecular_Data(),Table_GasToMolecularConversionFactor[[#Headers],[Gas]], 0)</f>
        <v>16/12</v>
      </c>
      <c r="F49" s="39" cm="1">
        <f t="array" ref="F49">Common_InputFunctions.Utility_DisplayArrayInTable(Common_SourceData.Common_SourceData_ConvertGasElementalToMolecular_Data(),Table_GasToMolecularConversionFactor[[#Headers],[Gas]], 0)</f>
        <v>16</v>
      </c>
      <c r="G49" s="39" cm="1">
        <f t="array" ref="G49">Common_InputFunctions.Utility_DisplayArrayInTable(Common_SourceData.Common_SourceData_ConvertGasElementalToMolecular_Data(),Table_GasToMolecularConversionFactor[[#Headers],[Gas]], 0)</f>
        <v>12</v>
      </c>
      <c r="H49" s="39">
        <f>Table_GasToMolecularConversionFactor[[#This Row],[Conversion factor 1]]/Table_GasToMolecularConversionFactor[[#This Row],[Conversion factor 2]]</f>
        <v>1.3333333333333333</v>
      </c>
    </row>
    <row r="50" spans="4:8" ht="20.100000000000001" customHeight="1" x14ac:dyDescent="0.25">
      <c r="D50" s="39" t="str" cm="1">
        <f t="array" ref="D50">Common_InputFunctions.Utility_DisplayArrayInTable(Common_SourceData.Common_SourceData_ConvertGasElementalToMolecular_Data(),Table_GasToMolecularConversionFactor[[#Headers],[Gas]], 0)</f>
        <v>N2O</v>
      </c>
      <c r="E50" s="39" t="str" cm="1">
        <f t="array" ref="E50">Common_InputFunctions.Utility_DisplayArrayInTable(Common_SourceData.Common_SourceData_ConvertGasElementalToMolecular_Data(),Table_GasToMolecularConversionFactor[[#Headers],[Gas]], 0)</f>
        <v>44/28</v>
      </c>
      <c r="F50" s="39" cm="1">
        <f t="array" ref="F50">Common_InputFunctions.Utility_DisplayArrayInTable(Common_SourceData.Common_SourceData_ConvertGasElementalToMolecular_Data(),Table_GasToMolecularConversionFactor[[#Headers],[Gas]], 0)</f>
        <v>44</v>
      </c>
      <c r="G50" s="39" cm="1">
        <f t="array" ref="G50">Common_InputFunctions.Utility_DisplayArrayInTable(Common_SourceData.Common_SourceData_ConvertGasElementalToMolecular_Data(),Table_GasToMolecularConversionFactor[[#Headers],[Gas]], 0)</f>
        <v>28</v>
      </c>
      <c r="H50" s="39">
        <f>Table_GasToMolecularConversionFactor[[#This Row],[Conversion factor 1]]/Table_GasToMolecularConversionFactor[[#This Row],[Conversion factor 2]]</f>
        <v>1.5714285714285714</v>
      </c>
    </row>
    <row r="51" spans="4:8" ht="20.100000000000001" customHeight="1" x14ac:dyDescent="0.25">
      <c r="D51" s="39" t="str" cm="1">
        <f t="array" ref="D51">Common_InputFunctions.Utility_DisplayArrayInTable(Common_SourceData.Common_SourceData_ConvertGasElementalToMolecular_Data(),Table_GasToMolecularConversionFactor[[#Headers],[Gas]], 0)</f>
        <v>Nox</v>
      </c>
      <c r="E51" s="39" t="str" cm="1">
        <f t="array" ref="E51">Common_InputFunctions.Utility_DisplayArrayInTable(Common_SourceData.Common_SourceData_ConvertGasElementalToMolecular_Data(),Table_GasToMolecularConversionFactor[[#Headers],[Gas]], 0)</f>
        <v>46/14</v>
      </c>
      <c r="F51" s="39" cm="1">
        <f t="array" ref="F51">Common_InputFunctions.Utility_DisplayArrayInTable(Common_SourceData.Common_SourceData_ConvertGasElementalToMolecular_Data(),Table_GasToMolecularConversionFactor[[#Headers],[Gas]], 0)</f>
        <v>46</v>
      </c>
      <c r="G51" s="39" cm="1">
        <f t="array" ref="G51">Common_InputFunctions.Utility_DisplayArrayInTable(Common_SourceData.Common_SourceData_ConvertGasElementalToMolecular_Data(),Table_GasToMolecularConversionFactor[[#Headers],[Gas]], 0)</f>
        <v>14</v>
      </c>
      <c r="H51" s="39">
        <f>Table_GasToMolecularConversionFactor[[#This Row],[Conversion factor 1]]/Table_GasToMolecularConversionFactor[[#This Row],[Conversion factor 2]]</f>
        <v>3.2857142857142856</v>
      </c>
    </row>
    <row r="52" spans="4:8" ht="20.100000000000001" customHeight="1" x14ac:dyDescent="0.25">
      <c r="D52" s="39" t="str" cm="1">
        <f t="array" ref="D52">Common_InputFunctions.Utility_DisplayArrayInTable(Common_SourceData.Common_SourceData_ConvertGasElementalToMolecular_Data(),Table_GasToMolecularConversionFactor[[#Headers],[Gas]], 0)</f>
        <v>CO</v>
      </c>
      <c r="E52" s="39" t="str" cm="1">
        <f t="array" ref="E52">Common_InputFunctions.Utility_DisplayArrayInTable(Common_SourceData.Common_SourceData_ConvertGasElementalToMolecular_Data(),Table_GasToMolecularConversionFactor[[#Headers],[Gas]], 0)</f>
        <v>28/12</v>
      </c>
      <c r="F52" s="39" cm="1">
        <f t="array" ref="F52">Common_InputFunctions.Utility_DisplayArrayInTable(Common_SourceData.Common_SourceData_ConvertGasElementalToMolecular_Data(),Table_GasToMolecularConversionFactor[[#Headers],[Gas]], 0)</f>
        <v>28</v>
      </c>
      <c r="G52" s="39" cm="1">
        <f t="array" ref="G52">Common_InputFunctions.Utility_DisplayArrayInTable(Common_SourceData.Common_SourceData_ConvertGasElementalToMolecular_Data(),Table_GasToMolecularConversionFactor[[#Headers],[Gas]], 0)</f>
        <v>12</v>
      </c>
      <c r="H52" s="39">
        <f>Table_GasToMolecularConversionFactor[[#This Row],[Conversion factor 1]]/Table_GasToMolecularConversionFactor[[#This Row],[Conversion factor 2]]</f>
        <v>2.3333333333333335</v>
      </c>
    </row>
    <row r="53" spans="4:8" ht="20.100000000000001" customHeight="1" x14ac:dyDescent="0.25">
      <c r="D53" s="39" t="str" cm="1">
        <f t="array" ref="D53">Common_InputFunctions.Utility_DisplayArrayInTable(Common_SourceData.Common_SourceData_ConvertGasElementalToMolecular_Data(),Table_GasToMolecularConversionFactor[[#Headers],[Gas]], 0)</f>
        <v>CO2 Lime</v>
      </c>
      <c r="E53" s="39" t="str" cm="1">
        <f t="array" ref="E53">Common_InputFunctions.Utility_DisplayArrayInTable(Common_SourceData.Common_SourceData_ConvertGasElementalToMolecular_Data(),Table_GasToMolecularConversionFactor[[#Headers],[Gas]], 0)</f>
        <v>44/12</v>
      </c>
      <c r="F53" s="39" cm="1">
        <f t="array" ref="F53">Common_InputFunctions.Utility_DisplayArrayInTable(Common_SourceData.Common_SourceData_ConvertGasElementalToMolecular_Data(),Table_GasToMolecularConversionFactor[[#Headers],[Gas]], 0)</f>
        <v>44</v>
      </c>
      <c r="G53" s="39" cm="1">
        <f t="array" ref="G53">Common_InputFunctions.Utility_DisplayArrayInTable(Common_SourceData.Common_SourceData_ConvertGasElementalToMolecular_Data(),Table_GasToMolecularConversionFactor[[#Headers],[Gas]], 0)</f>
        <v>12</v>
      </c>
      <c r="H53" s="39">
        <f>Table_GasToMolecularConversionFactor[[#This Row],[Conversion factor 1]]/Table_GasToMolecularConversionFactor[[#This Row],[Conversion factor 2]]</f>
        <v>3.6666666666666665</v>
      </c>
    </row>
    <row r="54" spans="4:8" ht="20.100000000000001" customHeight="1" x14ac:dyDescent="0.25">
      <c r="D54" s="39" t="str" cm="1">
        <f t="array" ref="D54">Common_InputFunctions.Utility_DisplayArrayInTable(Common_SourceData.Common_SourceData_ConvertGasElementalToMolecular_Data(),Table_GasToMolecularConversionFactor[[#Headers],[Gas]], 0)</f>
        <v>NMVOC</v>
      </c>
      <c r="E54" s="39" t="str" cm="1">
        <f t="array" ref="E54">Common_InputFunctions.Utility_DisplayArrayInTable(Common_SourceData.Common_SourceData_ConvertGasElementalToMolecular_Data(),Table_GasToMolecularConversionFactor[[#Headers],[Gas]], 0)</f>
        <v>14/12</v>
      </c>
      <c r="F54" s="39" cm="1">
        <f t="array" ref="F54">Common_InputFunctions.Utility_DisplayArrayInTable(Common_SourceData.Common_SourceData_ConvertGasElementalToMolecular_Data(),Table_GasToMolecularConversionFactor[[#Headers],[Gas]], 0)</f>
        <v>14</v>
      </c>
      <c r="G54" s="39" cm="1">
        <f t="array" ref="G54">Common_InputFunctions.Utility_DisplayArrayInTable(Common_SourceData.Common_SourceData_ConvertGasElementalToMolecular_Data(),Table_GasToMolecularConversionFactor[[#Headers],[Gas]], 0)</f>
        <v>12</v>
      </c>
      <c r="H54" s="39">
        <f>Table_GasToMolecularConversionFactor[[#This Row],[Conversion factor 1]]/Table_GasToMolecularConversionFactor[[#This Row],[Conversion factor 2]]</f>
        <v>1.1666666666666667</v>
      </c>
    </row>
    <row r="55" spans="4:8" ht="20.100000000000001" customHeight="1" x14ac:dyDescent="0.25"/>
    <row r="56" spans="4:8" ht="20.100000000000001" customHeight="1" x14ac:dyDescent="0.25"/>
    <row r="57" spans="4:8" ht="20.100000000000001" customHeight="1" x14ac:dyDescent="0.25">
      <c r="D57" s="6" t="str" cm="1">
        <f t="array" ref="D57">Common_SourceData.Common_SourceData_WetAndDryZones_Title()</f>
        <v>VEERG Australian wet and dry zones</v>
      </c>
    </row>
    <row r="58" spans="4:8" ht="20.100000000000001" customHeight="1" x14ac:dyDescent="0.25">
      <c r="D58" s="5" t="str" cm="1">
        <f t="array" ref="D58">Common_SourceData.Common_SourceData_WetAndDryZones_Source()</f>
        <v>VEERG 2026: Table 1.2: Translating climate zones to wet and dry zones</v>
      </c>
    </row>
    <row r="59" spans="4:8" ht="20.100000000000001" customHeight="1" x14ac:dyDescent="0.25">
      <c r="D59" s="56" t="str" cm="1">
        <f t="array" ref="D59:D61">"⚠️" &amp; Common_SourceData.Common_SourceData_WetAndDryZones_Variation()</f>
        <v>⚠️VARIATION OF SOURCE DATA:</v>
      </c>
    </row>
    <row r="60" spans="4:8" ht="20.100000000000001" customHeight="1" x14ac:dyDescent="0.25">
      <c r="D60" s="56" t="str">
        <v>⚠️Added warm / cool temperate moist / dry - low frost and high temp classes to accommodate climate scenarios excluded by VEERG criteria.</v>
      </c>
    </row>
    <row r="61" spans="4:8" ht="20.100000000000001" customHeight="1" x14ac:dyDescent="0.25">
      <c r="D61" s="56" t="str">
        <v>⚠️Fixed typo - Changed 'Fry' to 'Dry'.</v>
      </c>
    </row>
    <row r="62" spans="4:8" ht="20.100000000000001" customHeight="1" x14ac:dyDescent="0.25"/>
    <row r="63" spans="4:8" ht="20.100000000000001" customHeight="1" x14ac:dyDescent="0.25">
      <c r="D63" s="39" t="s">
        <v>8</v>
      </c>
      <c r="E63" s="39" t="s">
        <v>45</v>
      </c>
    </row>
    <row r="64" spans="4:8" ht="20.100000000000001" customHeight="1" x14ac:dyDescent="0.25">
      <c r="D64" s="39" t="str" cm="1">
        <f t="array" ref="D64">Common_InputFunctions.Utility_DisplayArrayInTable(Common_SourceData.Common_SourceData_WetAndDryZones_Data(), Table_SourceData_WetDryZones[[#Headers],[Climate zone]], 0)</f>
        <v>Tropical montane</v>
      </c>
      <c r="E64" s="39" t="str" cm="1">
        <f t="array" ref="E64">Common_InputFunctions.Utility_DisplayArrayInTable(Common_SourceData.Common_SourceData_WetAndDryZones_Data(), Table_SourceData_WetDryZones[[#Headers],[Climate zone]], 0)</f>
        <v>Wet climate zone</v>
      </c>
    </row>
    <row r="65" spans="4:5" ht="20.100000000000001" customHeight="1" x14ac:dyDescent="0.25">
      <c r="D65" s="39" t="str" cm="1">
        <f t="array" ref="D65">Common_InputFunctions.Utility_DisplayArrayInTable(Common_SourceData.Common_SourceData_WetAndDryZones_Data(), Table_SourceData_WetDryZones[[#Headers],[Climate zone]], 0)</f>
        <v>Tropical wet</v>
      </c>
      <c r="E65" s="39" t="str" cm="1">
        <f t="array" ref="E65">Common_InputFunctions.Utility_DisplayArrayInTable(Common_SourceData.Common_SourceData_WetAndDryZones_Data(), Table_SourceData_WetDryZones[[#Headers],[Climate zone]], 0)</f>
        <v>Wet climate zone</v>
      </c>
    </row>
    <row r="66" spans="4:5" ht="20.100000000000001" customHeight="1" x14ac:dyDescent="0.25">
      <c r="D66" s="39" t="str" cm="1">
        <f t="array" ref="D66">Common_InputFunctions.Utility_DisplayArrayInTable(Common_SourceData.Common_SourceData_WetAndDryZones_Data(), Table_SourceData_WetDryZones[[#Headers],[Climate zone]], 0)</f>
        <v>Tropical moist</v>
      </c>
      <c r="E66" s="39" t="str" cm="1">
        <f t="array" ref="E66">Common_InputFunctions.Utility_DisplayArrayInTable(Common_SourceData.Common_SourceData_WetAndDryZones_Data(), Table_SourceData_WetDryZones[[#Headers],[Climate zone]], 0)</f>
        <v>Wet climate zone</v>
      </c>
    </row>
    <row r="67" spans="4:5" ht="20.100000000000001" customHeight="1" x14ac:dyDescent="0.25">
      <c r="D67" s="39" t="str" cm="1">
        <f t="array" ref="D67">Common_InputFunctions.Utility_DisplayArrayInTable(Common_SourceData.Common_SourceData_WetAndDryZones_Data(), Table_SourceData_WetDryZones[[#Headers],[Climate zone]], 0)</f>
        <v>Tropical dry</v>
      </c>
      <c r="E67" s="39" t="str" cm="1">
        <f t="array" ref="E67">Common_InputFunctions.Utility_DisplayArrayInTable(Common_SourceData.Common_SourceData_WetAndDryZones_Data(), Table_SourceData_WetDryZones[[#Headers],[Climate zone]], 0)</f>
        <v>Dry climate zone</v>
      </c>
    </row>
    <row r="68" spans="4:5" ht="20.100000000000001" customHeight="1" x14ac:dyDescent="0.25">
      <c r="D68" s="39" t="str" cm="1">
        <f t="array" ref="D68">Common_InputFunctions.Utility_DisplayArrayInTable(Common_SourceData.Common_SourceData_WetAndDryZones_Data(), Table_SourceData_WetDryZones[[#Headers],[Climate zone]], 0)</f>
        <v>Warm temperate moist</v>
      </c>
      <c r="E68" s="39" t="str" cm="1">
        <f t="array" ref="E68">Common_InputFunctions.Utility_DisplayArrayInTable(Common_SourceData.Common_SourceData_WetAndDryZones_Data(), Table_SourceData_WetDryZones[[#Headers],[Climate zone]], 0)</f>
        <v>Wet climate zone</v>
      </c>
    </row>
    <row r="69" spans="4:5" ht="20.100000000000001" customHeight="1" x14ac:dyDescent="0.25">
      <c r="D69" s="39" t="str" cm="1">
        <f t="array" ref="D69">Common_InputFunctions.Utility_DisplayArrayInTable(Common_SourceData.Common_SourceData_WetAndDryZones_Data(), Table_SourceData_WetDryZones[[#Headers],[Climate zone]], 0)</f>
        <v>Warm temperate dry</v>
      </c>
      <c r="E69" s="39" t="str" cm="1">
        <f t="array" ref="E69">Common_InputFunctions.Utility_DisplayArrayInTable(Common_SourceData.Common_SourceData_WetAndDryZones_Data(), Table_SourceData_WetDryZones[[#Headers],[Climate zone]], 0)</f>
        <v>Dry climate zone</v>
      </c>
    </row>
    <row r="70" spans="4:5" ht="20.100000000000001" customHeight="1" x14ac:dyDescent="0.25">
      <c r="D70" s="39" t="str" cm="1">
        <f t="array" ref="D70">Common_InputFunctions.Utility_DisplayArrayInTable(Common_SourceData.Common_SourceData_WetAndDryZones_Data(), Table_SourceData_WetDryZones[[#Headers],[Climate zone]], 0)</f>
        <v>Cool temperate moist</v>
      </c>
      <c r="E70" s="39" t="str" cm="1">
        <f t="array" ref="E70">Common_InputFunctions.Utility_DisplayArrayInTable(Common_SourceData.Common_SourceData_WetAndDryZones_Data(), Table_SourceData_WetDryZones[[#Headers],[Climate zone]], 0)</f>
        <v>Wet climate zone</v>
      </c>
    </row>
    <row r="71" spans="4:5" ht="20.100000000000001" customHeight="1" x14ac:dyDescent="0.25">
      <c r="D71" s="39" t="str" cm="1">
        <f t="array" ref="D71">Common_InputFunctions.Utility_DisplayArrayInTable(Common_SourceData.Common_SourceData_WetAndDryZones_Data(), Table_SourceData_WetDryZones[[#Headers],[Climate zone]], 0)</f>
        <v>Cool temperate dry</v>
      </c>
      <c r="E71" s="39" t="str" cm="1">
        <f t="array" ref="E71">Common_InputFunctions.Utility_DisplayArrayInTable(Common_SourceData.Common_SourceData_WetAndDryZones_Data(), Table_SourceData_WetDryZones[[#Headers],[Climate zone]], 0)</f>
        <v>Dry climate zone</v>
      </c>
    </row>
    <row r="72" spans="4:5" ht="20.100000000000001" customHeight="1" x14ac:dyDescent="0.25">
      <c r="D72" s="39" t="str" cm="1">
        <f t="array" ref="D72">Common_InputFunctions.Utility_DisplayArrayInTable(Common_SourceData.Common_SourceData_WetAndDryZones_Data(), Table_SourceData_WetDryZones[[#Headers],[Climate zone]], 0)</f>
        <v>Warm temperate moist - low frost</v>
      </c>
      <c r="E72" s="39" t="str" cm="1">
        <f t="array" ref="E72">Common_InputFunctions.Utility_DisplayArrayInTable(Common_SourceData.Common_SourceData_WetAndDryZones_Data(), Table_SourceData_WetDryZones[[#Headers],[Climate zone]], 0)</f>
        <v>Wet climate zone</v>
      </c>
    </row>
    <row r="73" spans="4:5" ht="20.100000000000001" customHeight="1" x14ac:dyDescent="0.25">
      <c r="D73" s="39" t="str" cm="1">
        <f t="array" ref="D73">Common_InputFunctions.Utility_DisplayArrayInTable(Common_SourceData.Common_SourceData_WetAndDryZones_Data(), Table_SourceData_WetDryZones[[#Headers],[Climate zone]], 0)</f>
        <v>Warm temperate dry - low frost</v>
      </c>
      <c r="E73" s="39" t="str" cm="1">
        <f t="array" ref="E73">Common_InputFunctions.Utility_DisplayArrayInTable(Common_SourceData.Common_SourceData_WetAndDryZones_Data(), Table_SourceData_WetDryZones[[#Headers],[Climate zone]], 0)</f>
        <v>Dry climate zone</v>
      </c>
    </row>
    <row r="74" spans="4:5" ht="20.100000000000001" customHeight="1" x14ac:dyDescent="0.25">
      <c r="D74" s="39" t="str" cm="1">
        <f t="array" ref="D74">Common_InputFunctions.Utility_DisplayArrayInTable(Common_SourceData.Common_SourceData_WetAndDryZones_Data(), Table_SourceData_WetDryZones[[#Headers],[Climate zone]], 0)</f>
        <v>Warm temperate moist - high temp</v>
      </c>
      <c r="E74" s="39" t="str" cm="1">
        <f t="array" ref="E74">Common_InputFunctions.Utility_DisplayArrayInTable(Common_SourceData.Common_SourceData_WetAndDryZones_Data(), Table_SourceData_WetDryZones[[#Headers],[Climate zone]], 0)</f>
        <v>Wet climate zone</v>
      </c>
    </row>
    <row r="75" spans="4:5" ht="20.100000000000001" customHeight="1" x14ac:dyDescent="0.25">
      <c r="D75" s="39" t="str" cm="1">
        <f t="array" ref="D75">Common_InputFunctions.Utility_DisplayArrayInTable(Common_SourceData.Common_SourceData_WetAndDryZones_Data(), Table_SourceData_WetDryZones[[#Headers],[Climate zone]], 0)</f>
        <v>Warm temperate dry - high temp</v>
      </c>
      <c r="E75" s="39" t="str" cm="1">
        <f t="array" ref="E75">Common_InputFunctions.Utility_DisplayArrayInTable(Common_SourceData.Common_SourceData_WetAndDryZones_Data(), Table_SourceData_WetDryZones[[#Headers],[Climate zone]], 0)</f>
        <v>Dry climate zone</v>
      </c>
    </row>
    <row r="76" spans="4:5" ht="20.100000000000001" customHeight="1" x14ac:dyDescent="0.25">
      <c r="D76" s="39" t="str" cm="1">
        <f t="array" ref="D76">Common_InputFunctions.Utility_DisplayArrayInTable(Common_SourceData.Common_SourceData_WetAndDryZones_Data(), Table_SourceData_WetDryZones[[#Headers],[Climate zone]], 0)</f>
        <v>Cool temperate moist - low frost</v>
      </c>
      <c r="E76" s="39" t="str" cm="1">
        <f t="array" ref="E76">Common_InputFunctions.Utility_DisplayArrayInTable(Common_SourceData.Common_SourceData_WetAndDryZones_Data(), Table_SourceData_WetDryZones[[#Headers],[Climate zone]], 0)</f>
        <v>Wet climate zone</v>
      </c>
    </row>
    <row r="77" spans="4:5" ht="20.100000000000001" customHeight="1" x14ac:dyDescent="0.25">
      <c r="D77" s="39" t="str" cm="1">
        <f t="array" ref="D77">Common_InputFunctions.Utility_DisplayArrayInTable(Common_SourceData.Common_SourceData_WetAndDryZones_Data(), Table_SourceData_WetDryZones[[#Headers],[Climate zone]], 0)</f>
        <v>Cool temperate dry - low frost</v>
      </c>
      <c r="E77" s="39" t="str" cm="1">
        <f t="array" ref="E77">Common_InputFunctions.Utility_DisplayArrayInTable(Common_SourceData.Common_SourceData_WetAndDryZones_Data(), Table_SourceData_WetDryZones[[#Headers],[Climate zone]], 0)</f>
        <v>Dry climate zone</v>
      </c>
    </row>
    <row r="78" spans="4:5" ht="20.100000000000001" customHeight="1" x14ac:dyDescent="0.25"/>
    <row r="79" spans="4:5" ht="20.100000000000001" customHeight="1" x14ac:dyDescent="0.25"/>
    <row r="80" spans="4:5" ht="20.100000000000001" customHeight="1" x14ac:dyDescent="0.25"/>
    <row r="81" spans="4:20" ht="20.100000000000001" customHeight="1" x14ac:dyDescent="0.25">
      <c r="D81" s="6" t="str" cm="1">
        <f t="array" ref="D81">Common_SourceData.Common_SourceData_ClimateZones_Title()</f>
        <v>VEERG Australian climate zones</v>
      </c>
    </row>
    <row r="82" spans="4:20" ht="20.100000000000001" customHeight="1" x14ac:dyDescent="0.25">
      <c r="D82" s="5" t="str" cm="1">
        <f t="array" ref="D82">Common_SourceData.Common_SourceData_ClimateZones_Source()</f>
        <v>VEERG 2026: Table 1.3: Climate and Rainfall zone classifications and definitions</v>
      </c>
    </row>
    <row r="83" spans="4:20" ht="20.100000000000001" customHeight="1" x14ac:dyDescent="0.25">
      <c r="D83" s="56" t="str" cm="1">
        <f t="array" ref="D83:D87">"⚠️" &amp; Common_SourceData.Common_SourceData_ClimateZones_Variation()</f>
        <v>⚠️VARIATION OF SOURCE DATA:</v>
      </c>
    </row>
    <row r="84" spans="4:20" ht="20.100000000000001" customHeight="1" x14ac:dyDescent="0.25">
      <c r="D84" s="56" t="str">
        <v>⚠️Added warm / cool temperate moist / dry - low frost and high temp classes to accommodate climate scenarios excluded by VEERG criteria.</v>
      </c>
    </row>
    <row r="85" spans="4:20" ht="20.100000000000001" customHeight="1" x14ac:dyDescent="0.25">
      <c r="D85" s="56" t="str">
        <v>⚠️Fixed typo in MAT value for warm temperate dry - changed 10 to 11.</v>
      </c>
    </row>
    <row r="86" spans="4:20" ht="20.100000000000001" customHeight="1" x14ac:dyDescent="0.25">
      <c r="D86" s="56" t="str">
        <v>⚠️Added min and max columns for MAT, MAP, frost days per year, elevation, MAP:PET to calculate zones from real climate data.</v>
      </c>
    </row>
    <row r="87" spans="4:20" ht="20.100000000000001" customHeight="1" x14ac:dyDescent="0.25">
      <c r="D87" s="56" t="str">
        <v>⚠️GAF accepts rainfall as a proxy for precipitation.</v>
      </c>
    </row>
    <row r="88" spans="4:20" ht="20.100000000000001" customHeight="1" x14ac:dyDescent="0.25"/>
    <row r="89" spans="4:20" ht="20.100000000000001" customHeight="1" x14ac:dyDescent="0.25">
      <c r="D89" s="39" t="s">
        <v>8</v>
      </c>
      <c r="E89" s="39" t="s">
        <v>33</v>
      </c>
      <c r="F89" s="39" t="s">
        <v>34</v>
      </c>
      <c r="G89" s="39" t="s">
        <v>35</v>
      </c>
      <c r="H89" s="39" t="s">
        <v>36</v>
      </c>
      <c r="I89" s="39" t="s">
        <v>37</v>
      </c>
      <c r="J89" s="39" t="s">
        <v>38</v>
      </c>
      <c r="K89" s="39" t="s">
        <v>39</v>
      </c>
      <c r="L89" s="39" t="s">
        <v>40</v>
      </c>
      <c r="M89" s="39" t="s">
        <v>41</v>
      </c>
      <c r="N89" s="39" t="s">
        <v>42</v>
      </c>
      <c r="O89" s="39" t="s">
        <v>46</v>
      </c>
      <c r="P89" s="39" t="s">
        <v>43</v>
      </c>
      <c r="Q89" s="39" t="s">
        <v>47</v>
      </c>
      <c r="R89" s="39" t="s">
        <v>44</v>
      </c>
      <c r="S89" s="39" t="s">
        <v>48</v>
      </c>
      <c r="T89" s="39"/>
    </row>
    <row r="90" spans="4:20" ht="20.100000000000001" customHeight="1" x14ac:dyDescent="0.25">
      <c r="D90" s="39" t="str" cm="1">
        <f t="array" ref="D90">Common_InputFunctions.Utility_DisplayArrayInTable(Common_SourceData.Common_SourceData_ClimateZones_Data(), Table_SourceData_ClimateZones[[#Headers],[Climate zone]], 0)</f>
        <v>Tropical montane</v>
      </c>
      <c r="E90" s="39" t="str" cm="1">
        <f t="array" ref="E90">Common_InputFunctions.Utility_DisplayArrayInTable(Common_SourceData.Common_SourceData_ClimateZones_Data(), Table_SourceData_ClimateZones[[#Headers],[Climate zone]], 0)</f>
        <v>&gt; 18 C</v>
      </c>
      <c r="F90" s="39" t="str" cm="1">
        <f t="array" ref="F90">Common_InputFunctions.Utility_DisplayArrayInTable(Common_SourceData.Common_SourceData_ClimateZones_Data(), Table_SourceData_ClimateZones[[#Headers],[Climate zone]], 0)</f>
        <v>Any</v>
      </c>
      <c r="G90" s="39" t="str" cm="1">
        <f t="array" ref="G90">Common_InputFunctions.Utility_DisplayArrayInTable(Common_SourceData.Common_SourceData_ClimateZones_Data(), Table_SourceData_ClimateZones[[#Headers],[Climate zone]], 0)</f>
        <v>≤ 7</v>
      </c>
      <c r="H90" s="39" t="str" cm="1">
        <f t="array" ref="H90">Common_InputFunctions.Utility_DisplayArrayInTable(Common_SourceData.Common_SourceData_ClimateZones_Data(), Table_SourceData_ClimateZones[[#Headers],[Climate zone]], 0)</f>
        <v>&gt; 1000 m</v>
      </c>
      <c r="I90" s="39" t="str" cm="1">
        <f t="array" ref="I90">Common_InputFunctions.Utility_DisplayArrayInTable(Common_SourceData.Common_SourceData_ClimateZones_Data(), Table_SourceData_ClimateZones[[#Headers],[Climate zone]], 0)</f>
        <v>Any</v>
      </c>
      <c r="J90" s="39" cm="1">
        <f t="array" ref="J90">Common_InputFunctions.Utility_DisplayArrayInTable(Common_SourceData.Common_SourceData_ClimateZones_Data(), Table_SourceData_ClimateZones[[#Headers],[Climate zone]], 0)</f>
        <v>18.001000000000001</v>
      </c>
      <c r="K90" s="39" cm="1">
        <f t="array" ref="K90">Common_InputFunctions.Utility_DisplayArrayInTable(Common_SourceData.Common_SourceData_ClimateZones_Data(), Table_SourceData_ClimateZones[[#Headers],[Climate zone]], 0)</f>
        <v>999999</v>
      </c>
      <c r="L90" s="39" cm="1">
        <f t="array" ref="L90">Common_InputFunctions.Utility_DisplayArrayInTable(Common_SourceData.Common_SourceData_ClimateZones_Data(), Table_SourceData_ClimateZones[[#Headers],[Climate zone]], 0)</f>
        <v>-999999</v>
      </c>
      <c r="M90" s="39" cm="1">
        <f t="array" ref="M90">Common_InputFunctions.Utility_DisplayArrayInTable(Common_SourceData.Common_SourceData_ClimateZones_Data(), Table_SourceData_ClimateZones[[#Headers],[Climate zone]], 0)</f>
        <v>999999</v>
      </c>
      <c r="N90" s="39" cm="1">
        <f t="array" ref="N90">Common_InputFunctions.Utility_DisplayArrayInTable(Common_SourceData.Common_SourceData_ClimateZones_Data(), Table_SourceData_ClimateZones[[#Headers],[Climate zone]], 0)</f>
        <v>-999999</v>
      </c>
      <c r="O90" s="39" cm="1">
        <f t="array" ref="O90">Common_InputFunctions.Utility_DisplayArrayInTable(Common_SourceData.Common_SourceData_ClimateZones_Data(), Table_SourceData_ClimateZones[[#Headers],[Climate zone]], 0)</f>
        <v>7</v>
      </c>
      <c r="P90" s="39" cm="1">
        <f t="array" ref="P90">Common_InputFunctions.Utility_DisplayArrayInTable(Common_SourceData.Common_SourceData_ClimateZones_Data(), Table_SourceData_ClimateZones[[#Headers],[Climate zone]], 0)</f>
        <v>1000</v>
      </c>
      <c r="Q90" s="39" cm="1">
        <f t="array" ref="Q90">Common_InputFunctions.Utility_DisplayArrayInTable(Common_SourceData.Common_SourceData_ClimateZones_Data(), Table_SourceData_ClimateZones[[#Headers],[Climate zone]], 0)</f>
        <v>999999</v>
      </c>
      <c r="R90" s="39" cm="1">
        <f t="array" ref="R90">Common_InputFunctions.Utility_DisplayArrayInTable(Common_SourceData.Common_SourceData_ClimateZones_Data(), Table_SourceData_ClimateZones[[#Headers],[Climate zone]], 0)</f>
        <v>-999999</v>
      </c>
      <c r="S90" s="39" cm="1">
        <f t="array" ref="S90">Common_InputFunctions.Utility_DisplayArrayInTable(Common_SourceData.Common_SourceData_ClimateZones_Data(), Table_SourceData_ClimateZones[[#Headers],[Climate zone]], 0)</f>
        <v>999999</v>
      </c>
      <c r="T90" s="39"/>
    </row>
    <row r="91" spans="4:20" ht="20.100000000000001" customHeight="1" x14ac:dyDescent="0.25">
      <c r="D91" s="39" t="str" cm="1">
        <f t="array" ref="D91">Common_InputFunctions.Utility_DisplayArrayInTable(Common_SourceData.Common_SourceData_ClimateZones_Data(), Table_SourceData_ClimateZones[[#Headers],[Climate zone]], 0)</f>
        <v>Tropical wet</v>
      </c>
      <c r="E91" s="39" t="str" cm="1">
        <f t="array" ref="E91">Common_InputFunctions.Utility_DisplayArrayInTable(Common_SourceData.Common_SourceData_ClimateZones_Data(), Table_SourceData_ClimateZones[[#Headers],[Climate zone]], 0)</f>
        <v>&gt; 18 C</v>
      </c>
      <c r="F91" s="39" t="str" cm="1">
        <f t="array" ref="F91">Common_InputFunctions.Utility_DisplayArrayInTable(Common_SourceData.Common_SourceData_ClimateZones_Data(), Table_SourceData_ClimateZones[[#Headers],[Climate zone]], 0)</f>
        <v>&gt; 2000 mm</v>
      </c>
      <c r="G91" s="39" t="str" cm="1">
        <f t="array" ref="G91">Common_InputFunctions.Utility_DisplayArrayInTable(Common_SourceData.Common_SourceData_ClimateZones_Data(), Table_SourceData_ClimateZones[[#Headers],[Climate zone]], 0)</f>
        <v>≤ 7</v>
      </c>
      <c r="H91" s="39" t="str" cm="1">
        <f t="array" ref="H91">Common_InputFunctions.Utility_DisplayArrayInTable(Common_SourceData.Common_SourceData_ClimateZones_Data(), Table_SourceData_ClimateZones[[#Headers],[Climate zone]], 0)</f>
        <v>≤ 1000 m</v>
      </c>
      <c r="I91" s="39" t="str" cm="1">
        <f t="array" ref="I91">Common_InputFunctions.Utility_DisplayArrayInTable(Common_SourceData.Common_SourceData_ClimateZones_Data(), Table_SourceData_ClimateZones[[#Headers],[Climate zone]], 0)</f>
        <v>Any</v>
      </c>
      <c r="J91" s="39" cm="1">
        <f t="array" ref="J91">Common_InputFunctions.Utility_DisplayArrayInTable(Common_SourceData.Common_SourceData_ClimateZones_Data(), Table_SourceData_ClimateZones[[#Headers],[Climate zone]], 0)</f>
        <v>18.001000000000001</v>
      </c>
      <c r="K91" s="39" cm="1">
        <f t="array" ref="K91">Common_InputFunctions.Utility_DisplayArrayInTable(Common_SourceData.Common_SourceData_ClimateZones_Data(), Table_SourceData_ClimateZones[[#Headers],[Climate zone]], 0)</f>
        <v>999999</v>
      </c>
      <c r="L91" s="39" cm="1">
        <f t="array" ref="L91">Common_InputFunctions.Utility_DisplayArrayInTable(Common_SourceData.Common_SourceData_ClimateZones_Data(), Table_SourceData_ClimateZones[[#Headers],[Climate zone]], 0)</f>
        <v>2000.001</v>
      </c>
      <c r="M91" s="39" cm="1">
        <f t="array" ref="M91">Common_InputFunctions.Utility_DisplayArrayInTable(Common_SourceData.Common_SourceData_ClimateZones_Data(), Table_SourceData_ClimateZones[[#Headers],[Climate zone]], 0)</f>
        <v>999999</v>
      </c>
      <c r="N91" s="39" cm="1">
        <f t="array" ref="N91">Common_InputFunctions.Utility_DisplayArrayInTable(Common_SourceData.Common_SourceData_ClimateZones_Data(), Table_SourceData_ClimateZones[[#Headers],[Climate zone]], 0)</f>
        <v>-999999</v>
      </c>
      <c r="O91" s="39" cm="1">
        <f t="array" ref="O91">Common_InputFunctions.Utility_DisplayArrayInTable(Common_SourceData.Common_SourceData_ClimateZones_Data(), Table_SourceData_ClimateZones[[#Headers],[Climate zone]], 0)</f>
        <v>7</v>
      </c>
      <c r="P91" s="39" cm="1">
        <f t="array" ref="P91">Common_InputFunctions.Utility_DisplayArrayInTable(Common_SourceData.Common_SourceData_ClimateZones_Data(), Table_SourceData_ClimateZones[[#Headers],[Climate zone]], 0)</f>
        <v>-999999</v>
      </c>
      <c r="Q91" s="39" cm="1">
        <f t="array" ref="Q91">Common_InputFunctions.Utility_DisplayArrayInTable(Common_SourceData.Common_SourceData_ClimateZones_Data(), Table_SourceData_ClimateZones[[#Headers],[Climate zone]], 0)</f>
        <v>999.99900000000002</v>
      </c>
      <c r="R91" s="39" cm="1">
        <f t="array" ref="R91">Common_InputFunctions.Utility_DisplayArrayInTable(Common_SourceData.Common_SourceData_ClimateZones_Data(), Table_SourceData_ClimateZones[[#Headers],[Climate zone]], 0)</f>
        <v>-999999</v>
      </c>
      <c r="S91" s="39" cm="1">
        <f t="array" ref="S91">Common_InputFunctions.Utility_DisplayArrayInTable(Common_SourceData.Common_SourceData_ClimateZones_Data(), Table_SourceData_ClimateZones[[#Headers],[Climate zone]], 0)</f>
        <v>999999</v>
      </c>
      <c r="T91" s="39"/>
    </row>
    <row r="92" spans="4:20" ht="20.100000000000001" customHeight="1" x14ac:dyDescent="0.25">
      <c r="D92" s="39" t="str" cm="1">
        <f t="array" ref="D92">Common_InputFunctions.Utility_DisplayArrayInTable(Common_SourceData.Common_SourceData_ClimateZones_Data(), Table_SourceData_ClimateZones[[#Headers],[Climate zone]], 0)</f>
        <v>Tropical moist</v>
      </c>
      <c r="E92" s="39" t="str" cm="1">
        <f t="array" ref="E92">Common_InputFunctions.Utility_DisplayArrayInTable(Common_SourceData.Common_SourceData_ClimateZones_Data(), Table_SourceData_ClimateZones[[#Headers],[Climate zone]], 0)</f>
        <v>&gt; 18 C</v>
      </c>
      <c r="F92" s="39" t="str" cm="1">
        <f t="array" ref="F92">Common_InputFunctions.Utility_DisplayArrayInTable(Common_SourceData.Common_SourceData_ClimateZones_Data(), Table_SourceData_ClimateZones[[#Headers],[Climate zone]], 0)</f>
        <v>&gt; 1000 mm - ≤ 2000 mm</v>
      </c>
      <c r="G92" s="39" t="str" cm="1">
        <f t="array" ref="G92">Common_InputFunctions.Utility_DisplayArrayInTable(Common_SourceData.Common_SourceData_ClimateZones_Data(), Table_SourceData_ClimateZones[[#Headers],[Climate zone]], 0)</f>
        <v>≤ 7</v>
      </c>
      <c r="H92" s="39" t="str" cm="1">
        <f t="array" ref="H92">Common_InputFunctions.Utility_DisplayArrayInTable(Common_SourceData.Common_SourceData_ClimateZones_Data(), Table_SourceData_ClimateZones[[#Headers],[Climate zone]], 0)</f>
        <v>≤ 1000 m</v>
      </c>
      <c r="I92" s="39" t="str" cm="1">
        <f t="array" ref="I92">Common_InputFunctions.Utility_DisplayArrayInTable(Common_SourceData.Common_SourceData_ClimateZones_Data(), Table_SourceData_ClimateZones[[#Headers],[Climate zone]], 0)</f>
        <v>Any</v>
      </c>
      <c r="J92" s="39" cm="1">
        <f t="array" ref="J92">Common_InputFunctions.Utility_DisplayArrayInTable(Common_SourceData.Common_SourceData_ClimateZones_Data(), Table_SourceData_ClimateZones[[#Headers],[Climate zone]], 0)</f>
        <v>18.001000000000001</v>
      </c>
      <c r="K92" s="39" cm="1">
        <f t="array" ref="K92">Common_InputFunctions.Utility_DisplayArrayInTable(Common_SourceData.Common_SourceData_ClimateZones_Data(), Table_SourceData_ClimateZones[[#Headers],[Climate zone]], 0)</f>
        <v>999999</v>
      </c>
      <c r="L92" s="39" cm="1">
        <f t="array" ref="L92">Common_InputFunctions.Utility_DisplayArrayInTable(Common_SourceData.Common_SourceData_ClimateZones_Data(), Table_SourceData_ClimateZones[[#Headers],[Climate zone]], 0)</f>
        <v>1000.001</v>
      </c>
      <c r="M92" s="39" cm="1">
        <f t="array" ref="M92">Common_InputFunctions.Utility_DisplayArrayInTable(Common_SourceData.Common_SourceData_ClimateZones_Data(), Table_SourceData_ClimateZones[[#Headers],[Climate zone]], 0)</f>
        <v>2000</v>
      </c>
      <c r="N92" s="39" cm="1">
        <f t="array" ref="N92">Common_InputFunctions.Utility_DisplayArrayInTable(Common_SourceData.Common_SourceData_ClimateZones_Data(), Table_SourceData_ClimateZones[[#Headers],[Climate zone]], 0)</f>
        <v>-999999</v>
      </c>
      <c r="O92" s="39" cm="1">
        <f t="array" ref="O92">Common_InputFunctions.Utility_DisplayArrayInTable(Common_SourceData.Common_SourceData_ClimateZones_Data(), Table_SourceData_ClimateZones[[#Headers],[Climate zone]], 0)</f>
        <v>7</v>
      </c>
      <c r="P92" s="39" cm="1">
        <f t="array" ref="P92">Common_InputFunctions.Utility_DisplayArrayInTable(Common_SourceData.Common_SourceData_ClimateZones_Data(), Table_SourceData_ClimateZones[[#Headers],[Climate zone]], 0)</f>
        <v>-999999</v>
      </c>
      <c r="Q92" s="39" cm="1">
        <f t="array" ref="Q92">Common_InputFunctions.Utility_DisplayArrayInTable(Common_SourceData.Common_SourceData_ClimateZones_Data(), Table_SourceData_ClimateZones[[#Headers],[Climate zone]], 0)</f>
        <v>999.99900000000002</v>
      </c>
      <c r="R92" s="39" cm="1">
        <f t="array" ref="R92">Common_InputFunctions.Utility_DisplayArrayInTable(Common_SourceData.Common_SourceData_ClimateZones_Data(), Table_SourceData_ClimateZones[[#Headers],[Climate zone]], 0)</f>
        <v>-999999</v>
      </c>
      <c r="S92" s="39" cm="1">
        <f t="array" ref="S92">Common_InputFunctions.Utility_DisplayArrayInTable(Common_SourceData.Common_SourceData_ClimateZones_Data(), Table_SourceData_ClimateZones[[#Headers],[Climate zone]], 0)</f>
        <v>999999</v>
      </c>
      <c r="T92" s="39"/>
    </row>
    <row r="93" spans="4:20" ht="20.100000000000001" customHeight="1" x14ac:dyDescent="0.25">
      <c r="D93" s="39" t="str" cm="1">
        <f t="array" ref="D93">Common_InputFunctions.Utility_DisplayArrayInTable(Common_SourceData.Common_SourceData_ClimateZones_Data(), Table_SourceData_ClimateZones[[#Headers],[Climate zone]], 0)</f>
        <v>Tropical dry</v>
      </c>
      <c r="E93" s="39" t="str" cm="1">
        <f t="array" ref="E93">Common_InputFunctions.Utility_DisplayArrayInTable(Common_SourceData.Common_SourceData_ClimateZones_Data(), Table_SourceData_ClimateZones[[#Headers],[Climate zone]], 0)</f>
        <v>&gt; 18 C</v>
      </c>
      <c r="F93" s="39" t="str" cm="1">
        <f t="array" ref="F93">Common_InputFunctions.Utility_DisplayArrayInTable(Common_SourceData.Common_SourceData_ClimateZones_Data(), Table_SourceData_ClimateZones[[#Headers],[Climate zone]], 0)</f>
        <v>≤ 1000 mm</v>
      </c>
      <c r="G93" s="39" t="str" cm="1">
        <f t="array" ref="G93">Common_InputFunctions.Utility_DisplayArrayInTable(Common_SourceData.Common_SourceData_ClimateZones_Data(), Table_SourceData_ClimateZones[[#Headers],[Climate zone]], 0)</f>
        <v>≤ 7</v>
      </c>
      <c r="H93" s="39" t="str" cm="1">
        <f t="array" ref="H93">Common_InputFunctions.Utility_DisplayArrayInTable(Common_SourceData.Common_SourceData_ClimateZones_Data(), Table_SourceData_ClimateZones[[#Headers],[Climate zone]], 0)</f>
        <v>≤ 1000 m</v>
      </c>
      <c r="I93" s="39" t="str" cm="1">
        <f t="array" ref="I93">Common_InputFunctions.Utility_DisplayArrayInTable(Common_SourceData.Common_SourceData_ClimateZones_Data(), Table_SourceData_ClimateZones[[#Headers],[Climate zone]], 0)</f>
        <v>Any</v>
      </c>
      <c r="J93" s="39" cm="1">
        <f t="array" ref="J93">Common_InputFunctions.Utility_DisplayArrayInTable(Common_SourceData.Common_SourceData_ClimateZones_Data(), Table_SourceData_ClimateZones[[#Headers],[Climate zone]], 0)</f>
        <v>18.001000000000001</v>
      </c>
      <c r="K93" s="39" cm="1">
        <f t="array" ref="K93">Common_InputFunctions.Utility_DisplayArrayInTable(Common_SourceData.Common_SourceData_ClimateZones_Data(), Table_SourceData_ClimateZones[[#Headers],[Climate zone]], 0)</f>
        <v>999999</v>
      </c>
      <c r="L93" s="39" cm="1">
        <f t="array" ref="L93">Common_InputFunctions.Utility_DisplayArrayInTable(Common_SourceData.Common_SourceData_ClimateZones_Data(), Table_SourceData_ClimateZones[[#Headers],[Climate zone]], 0)</f>
        <v>-999999</v>
      </c>
      <c r="M93" s="39" cm="1">
        <f t="array" ref="M93">Common_InputFunctions.Utility_DisplayArrayInTable(Common_SourceData.Common_SourceData_ClimateZones_Data(), Table_SourceData_ClimateZones[[#Headers],[Climate zone]], 0)</f>
        <v>1000</v>
      </c>
      <c r="N93" s="39" cm="1">
        <f t="array" ref="N93">Common_InputFunctions.Utility_DisplayArrayInTable(Common_SourceData.Common_SourceData_ClimateZones_Data(), Table_SourceData_ClimateZones[[#Headers],[Climate zone]], 0)</f>
        <v>-999999</v>
      </c>
      <c r="O93" s="39" cm="1">
        <f t="array" ref="O93">Common_InputFunctions.Utility_DisplayArrayInTable(Common_SourceData.Common_SourceData_ClimateZones_Data(), Table_SourceData_ClimateZones[[#Headers],[Climate zone]], 0)</f>
        <v>7</v>
      </c>
      <c r="P93" s="39" cm="1">
        <f t="array" ref="P93">Common_InputFunctions.Utility_DisplayArrayInTable(Common_SourceData.Common_SourceData_ClimateZones_Data(), Table_SourceData_ClimateZones[[#Headers],[Climate zone]], 0)</f>
        <v>-999999</v>
      </c>
      <c r="Q93" s="39" cm="1">
        <f t="array" ref="Q93">Common_InputFunctions.Utility_DisplayArrayInTable(Common_SourceData.Common_SourceData_ClimateZones_Data(), Table_SourceData_ClimateZones[[#Headers],[Climate zone]], 0)</f>
        <v>999.99900000000002</v>
      </c>
      <c r="R93" s="39" cm="1">
        <f t="array" ref="R93">Common_InputFunctions.Utility_DisplayArrayInTable(Common_SourceData.Common_SourceData_ClimateZones_Data(), Table_SourceData_ClimateZones[[#Headers],[Climate zone]], 0)</f>
        <v>-999999</v>
      </c>
      <c r="S93" s="39" cm="1">
        <f t="array" ref="S93">Common_InputFunctions.Utility_DisplayArrayInTable(Common_SourceData.Common_SourceData_ClimateZones_Data(), Table_SourceData_ClimateZones[[#Headers],[Climate zone]], 0)</f>
        <v>999999</v>
      </c>
      <c r="T93" s="39"/>
    </row>
    <row r="94" spans="4:20" ht="20.100000000000001" customHeight="1" x14ac:dyDescent="0.25">
      <c r="D94" s="39" t="str" cm="1">
        <f t="array" ref="D94">Common_InputFunctions.Utility_DisplayArrayInTable(Common_SourceData.Common_SourceData_ClimateZones_Data(), Table_SourceData_ClimateZones[[#Headers],[Climate zone]], 0)</f>
        <v>Warm temperate moist</v>
      </c>
      <c r="E94" s="39" t="str" cm="1">
        <f t="array" ref="E94">Common_InputFunctions.Utility_DisplayArrayInTable(Common_SourceData.Common_SourceData_ClimateZones_Data(), Table_SourceData_ClimateZones[[#Headers],[Climate zone]], 0)</f>
        <v>&gt; 10 C</v>
      </c>
      <c r="F94" s="39" t="str" cm="1">
        <f t="array" ref="F94">Common_InputFunctions.Utility_DisplayArrayInTable(Common_SourceData.Common_SourceData_ClimateZones_Data(), Table_SourceData_ClimateZones[[#Headers],[Climate zone]], 0)</f>
        <v>Any</v>
      </c>
      <c r="G94" s="39" t="str" cm="1">
        <f t="array" ref="G94">Common_InputFunctions.Utility_DisplayArrayInTable(Common_SourceData.Common_SourceData_ClimateZones_Data(), Table_SourceData_ClimateZones[[#Headers],[Climate zone]], 0)</f>
        <v>Any</v>
      </c>
      <c r="H94" s="39" t="str" cm="1">
        <f t="array" ref="H94">Common_InputFunctions.Utility_DisplayArrayInTable(Common_SourceData.Common_SourceData_ClimateZones_Data(), Table_SourceData_ClimateZones[[#Headers],[Climate zone]], 0)</f>
        <v>Any</v>
      </c>
      <c r="I94" s="39" t="str" cm="1">
        <f t="array" ref="I94">Common_InputFunctions.Utility_DisplayArrayInTable(Common_SourceData.Common_SourceData_ClimateZones_Data(), Table_SourceData_ClimateZones[[#Headers],[Climate zone]], 0)</f>
        <v>&gt; 1</v>
      </c>
      <c r="J94" s="39" cm="1">
        <f t="array" ref="J94">Common_InputFunctions.Utility_DisplayArrayInTable(Common_SourceData.Common_SourceData_ClimateZones_Data(), Table_SourceData_ClimateZones[[#Headers],[Climate zone]], 0)</f>
        <v>10.000999999999999</v>
      </c>
      <c r="K94" s="39" cm="1">
        <f t="array" ref="K94">Common_InputFunctions.Utility_DisplayArrayInTable(Common_SourceData.Common_SourceData_ClimateZones_Data(), Table_SourceData_ClimateZones[[#Headers],[Climate zone]], 0)</f>
        <v>999999</v>
      </c>
      <c r="L94" s="39" cm="1">
        <f t="array" ref="L94">Common_InputFunctions.Utility_DisplayArrayInTable(Common_SourceData.Common_SourceData_ClimateZones_Data(), Table_SourceData_ClimateZones[[#Headers],[Climate zone]], 0)</f>
        <v>-999999</v>
      </c>
      <c r="M94" s="39" cm="1">
        <f t="array" ref="M94">Common_InputFunctions.Utility_DisplayArrayInTable(Common_SourceData.Common_SourceData_ClimateZones_Data(), Table_SourceData_ClimateZones[[#Headers],[Climate zone]], 0)</f>
        <v>999999</v>
      </c>
      <c r="N94" s="39" cm="1">
        <f t="array" ref="N94">Common_InputFunctions.Utility_DisplayArrayInTable(Common_SourceData.Common_SourceData_ClimateZones_Data(), Table_SourceData_ClimateZones[[#Headers],[Climate zone]], 0)</f>
        <v>-999999</v>
      </c>
      <c r="O94" s="39" cm="1">
        <f t="array" ref="O94">Common_InputFunctions.Utility_DisplayArrayInTable(Common_SourceData.Common_SourceData_ClimateZones_Data(), Table_SourceData_ClimateZones[[#Headers],[Climate zone]], 0)</f>
        <v>999999</v>
      </c>
      <c r="P94" s="39" cm="1">
        <f t="array" ref="P94">Common_InputFunctions.Utility_DisplayArrayInTable(Common_SourceData.Common_SourceData_ClimateZones_Data(), Table_SourceData_ClimateZones[[#Headers],[Climate zone]], 0)</f>
        <v>-999999</v>
      </c>
      <c r="Q94" s="39" cm="1">
        <f t="array" ref="Q94">Common_InputFunctions.Utility_DisplayArrayInTable(Common_SourceData.Common_SourceData_ClimateZones_Data(), Table_SourceData_ClimateZones[[#Headers],[Climate zone]], 0)</f>
        <v>999999</v>
      </c>
      <c r="R94" s="39" cm="1">
        <f t="array" ref="R94">Common_InputFunctions.Utility_DisplayArrayInTable(Common_SourceData.Common_SourceData_ClimateZones_Data(), Table_SourceData_ClimateZones[[#Headers],[Climate zone]], 0)</f>
        <v>1.0009999999999999</v>
      </c>
      <c r="S94" s="39" cm="1">
        <f t="array" ref="S94">Common_InputFunctions.Utility_DisplayArrayInTable(Common_SourceData.Common_SourceData_ClimateZones_Data(), Table_SourceData_ClimateZones[[#Headers],[Climate zone]], 0)</f>
        <v>999999</v>
      </c>
      <c r="T94" s="39"/>
    </row>
    <row r="95" spans="4:20" ht="20.100000000000001" customHeight="1" x14ac:dyDescent="0.25">
      <c r="D95" s="39" t="str" cm="1">
        <f t="array" ref="D95">Common_InputFunctions.Utility_DisplayArrayInTable(Common_SourceData.Common_SourceData_ClimateZones_Data(), Table_SourceData_ClimateZones[[#Headers],[Climate zone]], 0)</f>
        <v>Warm temperate dry</v>
      </c>
      <c r="E95" s="39" t="str" cm="1">
        <f t="array" ref="E95">Common_InputFunctions.Utility_DisplayArrayInTable(Common_SourceData.Common_SourceData_ClimateZones_Data(), Table_SourceData_ClimateZones[[#Headers],[Climate zone]], 0)</f>
        <v>&gt; 10 C</v>
      </c>
      <c r="F95" s="39" t="str" cm="1">
        <f t="array" ref="F95">Common_InputFunctions.Utility_DisplayArrayInTable(Common_SourceData.Common_SourceData_ClimateZones_Data(), Table_SourceData_ClimateZones[[#Headers],[Climate zone]], 0)</f>
        <v>Any</v>
      </c>
      <c r="G95" s="39" t="str" cm="1">
        <f t="array" ref="G95">Common_InputFunctions.Utility_DisplayArrayInTable(Common_SourceData.Common_SourceData_ClimateZones_Data(), Table_SourceData_ClimateZones[[#Headers],[Climate zone]], 0)</f>
        <v>Any</v>
      </c>
      <c r="H95" s="39" t="str" cm="1">
        <f t="array" ref="H95">Common_InputFunctions.Utility_DisplayArrayInTable(Common_SourceData.Common_SourceData_ClimateZones_Data(), Table_SourceData_ClimateZones[[#Headers],[Climate zone]], 0)</f>
        <v>Any</v>
      </c>
      <c r="I95" s="39" t="str" cm="1">
        <f t="array" ref="I95">Common_InputFunctions.Utility_DisplayArrayInTable(Common_SourceData.Common_SourceData_ClimateZones_Data(), Table_SourceData_ClimateZones[[#Headers],[Climate zone]], 0)</f>
        <v>≤ 1</v>
      </c>
      <c r="J95" s="39" cm="1">
        <f t="array" ref="J95">Common_InputFunctions.Utility_DisplayArrayInTable(Common_SourceData.Common_SourceData_ClimateZones_Data(), Table_SourceData_ClimateZones[[#Headers],[Climate zone]], 0)</f>
        <v>10.000999999999999</v>
      </c>
      <c r="K95" s="39" cm="1">
        <f t="array" ref="K95">Common_InputFunctions.Utility_DisplayArrayInTable(Common_SourceData.Common_SourceData_ClimateZones_Data(), Table_SourceData_ClimateZones[[#Headers],[Climate zone]], 0)</f>
        <v>999999</v>
      </c>
      <c r="L95" s="39" cm="1">
        <f t="array" ref="L95">Common_InputFunctions.Utility_DisplayArrayInTable(Common_SourceData.Common_SourceData_ClimateZones_Data(), Table_SourceData_ClimateZones[[#Headers],[Climate zone]], 0)</f>
        <v>-999999</v>
      </c>
      <c r="M95" s="39" cm="1">
        <f t="array" ref="M95">Common_InputFunctions.Utility_DisplayArrayInTable(Common_SourceData.Common_SourceData_ClimateZones_Data(), Table_SourceData_ClimateZones[[#Headers],[Climate zone]], 0)</f>
        <v>999999</v>
      </c>
      <c r="N95" s="39" cm="1">
        <f t="array" ref="N95">Common_InputFunctions.Utility_DisplayArrayInTable(Common_SourceData.Common_SourceData_ClimateZones_Data(), Table_SourceData_ClimateZones[[#Headers],[Climate zone]], 0)</f>
        <v>-999999</v>
      </c>
      <c r="O95" s="39" cm="1">
        <f t="array" ref="O95">Common_InputFunctions.Utility_DisplayArrayInTable(Common_SourceData.Common_SourceData_ClimateZones_Data(), Table_SourceData_ClimateZones[[#Headers],[Climate zone]], 0)</f>
        <v>999999</v>
      </c>
      <c r="P95" s="39" cm="1">
        <f t="array" ref="P95">Common_InputFunctions.Utility_DisplayArrayInTable(Common_SourceData.Common_SourceData_ClimateZones_Data(), Table_SourceData_ClimateZones[[#Headers],[Climate zone]], 0)</f>
        <v>-999999</v>
      </c>
      <c r="Q95" s="39" cm="1">
        <f t="array" ref="Q95">Common_InputFunctions.Utility_DisplayArrayInTable(Common_SourceData.Common_SourceData_ClimateZones_Data(), Table_SourceData_ClimateZones[[#Headers],[Climate zone]], 0)</f>
        <v>999999</v>
      </c>
      <c r="R95" s="39" cm="1">
        <f t="array" ref="R95">Common_InputFunctions.Utility_DisplayArrayInTable(Common_SourceData.Common_SourceData_ClimateZones_Data(), Table_SourceData_ClimateZones[[#Headers],[Climate zone]], 0)</f>
        <v>-999999</v>
      </c>
      <c r="S95" s="39" cm="1">
        <f t="array" ref="S95">Common_InputFunctions.Utility_DisplayArrayInTable(Common_SourceData.Common_SourceData_ClimateZones_Data(), Table_SourceData_ClimateZones[[#Headers],[Climate zone]], 0)</f>
        <v>1</v>
      </c>
      <c r="T95" s="39"/>
    </row>
    <row r="96" spans="4:20" ht="20.100000000000001" customHeight="1" x14ac:dyDescent="0.25">
      <c r="D96" s="39" t="str" cm="1">
        <f t="array" ref="D96">Common_InputFunctions.Utility_DisplayArrayInTable(Common_SourceData.Common_SourceData_ClimateZones_Data(), Table_SourceData_ClimateZones[[#Headers],[Climate zone]], 0)</f>
        <v>Cool temperate moist</v>
      </c>
      <c r="E96" s="39" t="str" cm="1">
        <f t="array" ref="E96">Common_InputFunctions.Utility_DisplayArrayInTable(Common_SourceData.Common_SourceData_ClimateZones_Data(), Table_SourceData_ClimateZones[[#Headers],[Climate zone]], 0)</f>
        <v>&gt; 0 C - ≤ 10 C</v>
      </c>
      <c r="F96" s="39" t="str" cm="1">
        <f t="array" ref="F96">Common_InputFunctions.Utility_DisplayArrayInTable(Common_SourceData.Common_SourceData_ClimateZones_Data(), Table_SourceData_ClimateZones[[#Headers],[Climate zone]], 0)</f>
        <v>Any</v>
      </c>
      <c r="G96" s="39" t="str" cm="1">
        <f t="array" ref="G96">Common_InputFunctions.Utility_DisplayArrayInTable(Common_SourceData.Common_SourceData_ClimateZones_Data(), Table_SourceData_ClimateZones[[#Headers],[Climate zone]], 0)</f>
        <v>Any</v>
      </c>
      <c r="H96" s="39" t="str" cm="1">
        <f t="array" ref="H96">Common_InputFunctions.Utility_DisplayArrayInTable(Common_SourceData.Common_SourceData_ClimateZones_Data(), Table_SourceData_ClimateZones[[#Headers],[Climate zone]], 0)</f>
        <v>Any</v>
      </c>
      <c r="I96" s="39" t="str" cm="1">
        <f t="array" ref="I96">Common_InputFunctions.Utility_DisplayArrayInTable(Common_SourceData.Common_SourceData_ClimateZones_Data(), Table_SourceData_ClimateZones[[#Headers],[Climate zone]], 0)</f>
        <v>&gt; 1</v>
      </c>
      <c r="J96" s="39" cm="1">
        <f t="array" ref="J96">Common_InputFunctions.Utility_DisplayArrayInTable(Common_SourceData.Common_SourceData_ClimateZones_Data(), Table_SourceData_ClimateZones[[#Headers],[Climate zone]], 0)</f>
        <v>-999999</v>
      </c>
      <c r="K96" s="39" cm="1">
        <f t="array" ref="K96">Common_InputFunctions.Utility_DisplayArrayInTable(Common_SourceData.Common_SourceData_ClimateZones_Data(), Table_SourceData_ClimateZones[[#Headers],[Climate zone]], 0)</f>
        <v>10</v>
      </c>
      <c r="L96" s="39" cm="1">
        <f t="array" ref="L96">Common_InputFunctions.Utility_DisplayArrayInTable(Common_SourceData.Common_SourceData_ClimateZones_Data(), Table_SourceData_ClimateZones[[#Headers],[Climate zone]], 0)</f>
        <v>-999999</v>
      </c>
      <c r="M96" s="39" cm="1">
        <f t="array" ref="M96">Common_InputFunctions.Utility_DisplayArrayInTable(Common_SourceData.Common_SourceData_ClimateZones_Data(), Table_SourceData_ClimateZones[[#Headers],[Climate zone]], 0)</f>
        <v>999999</v>
      </c>
      <c r="N96" s="39" cm="1">
        <f t="array" ref="N96">Common_InputFunctions.Utility_DisplayArrayInTable(Common_SourceData.Common_SourceData_ClimateZones_Data(), Table_SourceData_ClimateZones[[#Headers],[Climate zone]], 0)</f>
        <v>-999999</v>
      </c>
      <c r="O96" s="39" cm="1">
        <f t="array" ref="O96">Common_InputFunctions.Utility_DisplayArrayInTable(Common_SourceData.Common_SourceData_ClimateZones_Data(), Table_SourceData_ClimateZones[[#Headers],[Climate zone]], 0)</f>
        <v>999999</v>
      </c>
      <c r="P96" s="39" cm="1">
        <f t="array" ref="P96">Common_InputFunctions.Utility_DisplayArrayInTable(Common_SourceData.Common_SourceData_ClimateZones_Data(), Table_SourceData_ClimateZones[[#Headers],[Climate zone]], 0)</f>
        <v>-999999</v>
      </c>
      <c r="Q96" s="39" cm="1">
        <f t="array" ref="Q96">Common_InputFunctions.Utility_DisplayArrayInTable(Common_SourceData.Common_SourceData_ClimateZones_Data(), Table_SourceData_ClimateZones[[#Headers],[Climate zone]], 0)</f>
        <v>999999</v>
      </c>
      <c r="R96" s="39" cm="1">
        <f t="array" ref="R96">Common_InputFunctions.Utility_DisplayArrayInTable(Common_SourceData.Common_SourceData_ClimateZones_Data(), Table_SourceData_ClimateZones[[#Headers],[Climate zone]], 0)</f>
        <v>1.0009999999999999</v>
      </c>
      <c r="S96" s="39" cm="1">
        <f t="array" ref="S96">Common_InputFunctions.Utility_DisplayArrayInTable(Common_SourceData.Common_SourceData_ClimateZones_Data(), Table_SourceData_ClimateZones[[#Headers],[Climate zone]], 0)</f>
        <v>999999</v>
      </c>
      <c r="T96" s="39"/>
    </row>
    <row r="97" spans="4:20" ht="20.100000000000001" customHeight="1" x14ac:dyDescent="0.25">
      <c r="D97" s="39" t="str" cm="1">
        <f t="array" ref="D97">Common_InputFunctions.Utility_DisplayArrayInTable(Common_SourceData.Common_SourceData_ClimateZones_Data(), Table_SourceData_ClimateZones[[#Headers],[Climate zone]], 0)</f>
        <v>Cool temperate dry</v>
      </c>
      <c r="E97" s="39" t="str" cm="1">
        <f t="array" ref="E97">Common_InputFunctions.Utility_DisplayArrayInTable(Common_SourceData.Common_SourceData_ClimateZones_Data(), Table_SourceData_ClimateZones[[#Headers],[Climate zone]], 0)</f>
        <v>&gt; 0 C - ≤ 10 C</v>
      </c>
      <c r="F97" s="39" t="str" cm="1">
        <f t="array" ref="F97">Common_InputFunctions.Utility_DisplayArrayInTable(Common_SourceData.Common_SourceData_ClimateZones_Data(), Table_SourceData_ClimateZones[[#Headers],[Climate zone]], 0)</f>
        <v>Any</v>
      </c>
      <c r="G97" s="39" t="str" cm="1">
        <f t="array" ref="G97">Common_InputFunctions.Utility_DisplayArrayInTable(Common_SourceData.Common_SourceData_ClimateZones_Data(), Table_SourceData_ClimateZones[[#Headers],[Climate zone]], 0)</f>
        <v>Any</v>
      </c>
      <c r="H97" s="39" t="str" cm="1">
        <f t="array" ref="H97">Common_InputFunctions.Utility_DisplayArrayInTable(Common_SourceData.Common_SourceData_ClimateZones_Data(), Table_SourceData_ClimateZones[[#Headers],[Climate zone]], 0)</f>
        <v>Any</v>
      </c>
      <c r="I97" s="39" t="str" cm="1">
        <f t="array" ref="I97">Common_InputFunctions.Utility_DisplayArrayInTable(Common_SourceData.Common_SourceData_ClimateZones_Data(), Table_SourceData_ClimateZones[[#Headers],[Climate zone]], 0)</f>
        <v>≤ 1</v>
      </c>
      <c r="J97" s="39" cm="1">
        <f t="array" ref="J97">Common_InputFunctions.Utility_DisplayArrayInTable(Common_SourceData.Common_SourceData_ClimateZones_Data(), Table_SourceData_ClimateZones[[#Headers],[Climate zone]], 0)</f>
        <v>-999999</v>
      </c>
      <c r="K97" s="39" cm="1">
        <f t="array" ref="K97">Common_InputFunctions.Utility_DisplayArrayInTable(Common_SourceData.Common_SourceData_ClimateZones_Data(), Table_SourceData_ClimateZones[[#Headers],[Climate zone]], 0)</f>
        <v>10</v>
      </c>
      <c r="L97" s="39" cm="1">
        <f t="array" ref="L97">Common_InputFunctions.Utility_DisplayArrayInTable(Common_SourceData.Common_SourceData_ClimateZones_Data(), Table_SourceData_ClimateZones[[#Headers],[Climate zone]], 0)</f>
        <v>-999999</v>
      </c>
      <c r="M97" s="39" cm="1">
        <f t="array" ref="M97">Common_InputFunctions.Utility_DisplayArrayInTable(Common_SourceData.Common_SourceData_ClimateZones_Data(), Table_SourceData_ClimateZones[[#Headers],[Climate zone]], 0)</f>
        <v>999999</v>
      </c>
      <c r="N97" s="39" cm="1">
        <f t="array" ref="N97">Common_InputFunctions.Utility_DisplayArrayInTable(Common_SourceData.Common_SourceData_ClimateZones_Data(), Table_SourceData_ClimateZones[[#Headers],[Climate zone]], 0)</f>
        <v>-999999</v>
      </c>
      <c r="O97" s="39" cm="1">
        <f t="array" ref="O97">Common_InputFunctions.Utility_DisplayArrayInTable(Common_SourceData.Common_SourceData_ClimateZones_Data(), Table_SourceData_ClimateZones[[#Headers],[Climate zone]], 0)</f>
        <v>999999</v>
      </c>
      <c r="P97" s="39" cm="1">
        <f t="array" ref="P97">Common_InputFunctions.Utility_DisplayArrayInTable(Common_SourceData.Common_SourceData_ClimateZones_Data(), Table_SourceData_ClimateZones[[#Headers],[Climate zone]], 0)</f>
        <v>-999999</v>
      </c>
      <c r="Q97" s="39" cm="1">
        <f t="array" ref="Q97">Common_InputFunctions.Utility_DisplayArrayInTable(Common_SourceData.Common_SourceData_ClimateZones_Data(), Table_SourceData_ClimateZones[[#Headers],[Climate zone]], 0)</f>
        <v>999999</v>
      </c>
      <c r="R97" s="39" cm="1">
        <f t="array" ref="R97">Common_InputFunctions.Utility_DisplayArrayInTable(Common_SourceData.Common_SourceData_ClimateZones_Data(), Table_SourceData_ClimateZones[[#Headers],[Climate zone]], 0)</f>
        <v>-999999</v>
      </c>
      <c r="S97" s="39" cm="1">
        <f t="array" ref="S97">Common_InputFunctions.Utility_DisplayArrayInTable(Common_SourceData.Common_SourceData_ClimateZones_Data(), Table_SourceData_ClimateZones[[#Headers],[Climate zone]], 0)</f>
        <v>1</v>
      </c>
      <c r="T97" s="39"/>
    </row>
    <row r="98" spans="4:20" ht="20.100000000000001" customHeight="1" x14ac:dyDescent="0.25"/>
    <row r="99" spans="4:20" ht="20.100000000000001" customHeight="1" x14ac:dyDescent="0.25">
      <c r="D99" s="55" t="str" cm="1">
        <f t="array" ref="D99:D102">Common_SourceData.Common_SourceData_ClimateZones_Appendices()</f>
        <v>Note:</v>
      </c>
    </row>
    <row r="100" spans="4:20" ht="20.100000000000001" customHeight="1" x14ac:dyDescent="0.25">
      <c r="D100" s="55" t="str">
        <v>MAT = mean annual temperature</v>
      </c>
    </row>
    <row r="101" spans="4:20" ht="20.100000000000001" customHeight="1" x14ac:dyDescent="0.25">
      <c r="D101" s="55" t="str">
        <v>MAP = mean annual precipitation</v>
      </c>
    </row>
    <row r="102" spans="4:20" ht="20.100000000000001" customHeight="1" x14ac:dyDescent="0.25">
      <c r="D102" s="55" t="str">
        <v>PET = potential evapotranspiration</v>
      </c>
    </row>
    <row r="103" spans="4:20" ht="20.100000000000001" customHeight="1" x14ac:dyDescent="0.25">
      <c r="D103" s="55"/>
    </row>
    <row r="104" spans="4:20" ht="20.100000000000001" customHeight="1" x14ac:dyDescent="0.25"/>
    <row r="105" spans="4:20" ht="20.100000000000001" customHeight="1" x14ac:dyDescent="0.25">
      <c r="D105" s="6" t="str" cm="1">
        <f t="array" ref="D105">Common_SourceData.Common_SourceData_TemperatureZones_Title()</f>
        <v>VEERG Australian temperature zones</v>
      </c>
    </row>
    <row r="106" spans="4:20" ht="20.100000000000001" customHeight="1" x14ac:dyDescent="0.25">
      <c r="D106" s="5" t="str" cm="1">
        <f t="array" ref="D106">Common_SourceData.Common_SourceData_TemperatureZones_Source()</f>
        <v>VEERG 2026: Table 1.3: Climate and Rainfall zone classifications and definitions</v>
      </c>
    </row>
    <row r="107" spans="4:20" ht="20.100000000000001" customHeight="1" x14ac:dyDescent="0.25">
      <c r="D107" s="56" t="str" cm="1">
        <f t="array" ref="D107">"⚠️" &amp; Common_SourceData.Common_SourceData_TemperatureZones_Variation()</f>
        <v>⚠️VARIATION OF SOURCE DATA: Added extra MAT min and MAT max columns to calculate zone from real temperature data.</v>
      </c>
    </row>
    <row r="108" spans="4:20" ht="20.100000000000001" customHeight="1" x14ac:dyDescent="0.25"/>
    <row r="109" spans="4:20" ht="20.100000000000001" customHeight="1" x14ac:dyDescent="0.25">
      <c r="D109" s="39" t="s">
        <v>52</v>
      </c>
      <c r="E109" s="39" t="s">
        <v>33</v>
      </c>
      <c r="F109" s="39" t="s">
        <v>53</v>
      </c>
      <c r="G109" s="39" t="s">
        <v>54</v>
      </c>
    </row>
    <row r="110" spans="4:20" ht="20.100000000000001" customHeight="1" x14ac:dyDescent="0.25">
      <c r="D110" s="39" t="str" cm="1">
        <f t="array" ref="D110">Common_InputFunctions.Utility_DisplayArrayInTable(Common_SourceData.Common_SourceData_TemperatureZones_Data(),Table_SourceData_TemperatureZones[[#Headers],[Temperature Zone]],0)</f>
        <v>Warm</v>
      </c>
      <c r="E110" s="39" t="str" cm="1">
        <f t="array" ref="E110">Common_InputFunctions.Utility_DisplayArrayInTable(Common_SourceData.Common_SourceData_TemperatureZones_Data(),Table_SourceData_TemperatureZones[[#Headers],[Temperature Zone]],0)</f>
        <v>≥ 26 C</v>
      </c>
      <c r="F110" s="39" cm="1">
        <f t="array" ref="F110">Common_InputFunctions.Utility_DisplayArrayInTable(Common_SourceData.Common_SourceData_TemperatureZones_Data(),Table_SourceData_TemperatureZones[[#Headers],[Temperature Zone]],0)</f>
        <v>26</v>
      </c>
      <c r="G110" s="39" cm="1">
        <f t="array" ref="G110">Common_InputFunctions.Utility_DisplayArrayInTable(Common_SourceData.Common_SourceData_TemperatureZones_Data(),Table_SourceData_TemperatureZones[[#Headers],[Temperature Zone]],0)</f>
        <v>999999</v>
      </c>
    </row>
    <row r="111" spans="4:20" ht="20.100000000000001" customHeight="1" x14ac:dyDescent="0.25">
      <c r="D111" s="39" t="str" cm="1">
        <f t="array" ref="D111">Common_InputFunctions.Utility_DisplayArrayInTable(Common_SourceData.Common_SourceData_TemperatureZones_Data(),Table_SourceData_TemperatureZones[[#Headers],[Temperature Zone]],0)</f>
        <v>Temperate</v>
      </c>
      <c r="E111" s="39" t="str" cm="1">
        <f t="array" ref="E111">Common_InputFunctions.Utility_DisplayArrayInTable(Common_SourceData.Common_SourceData_TemperatureZones_Data(),Table_SourceData_TemperatureZones[[#Headers],[Temperature Zone]],0)</f>
        <v>15 - 25 C</v>
      </c>
      <c r="F111" s="39" cm="1">
        <f t="array" ref="F111">Common_InputFunctions.Utility_DisplayArrayInTable(Common_SourceData.Common_SourceData_TemperatureZones_Data(),Table_SourceData_TemperatureZones[[#Headers],[Temperature Zone]],0)</f>
        <v>15</v>
      </c>
      <c r="G111" s="39" cm="1">
        <f t="array" ref="G111">Common_InputFunctions.Utility_DisplayArrayInTable(Common_SourceData.Common_SourceData_TemperatureZones_Data(),Table_SourceData_TemperatureZones[[#Headers],[Temperature Zone]],0)</f>
        <v>25.998999999999999</v>
      </c>
    </row>
    <row r="112" spans="4:20" ht="20.100000000000001" customHeight="1" x14ac:dyDescent="0.25">
      <c r="D112" s="39" t="str" cm="1">
        <f t="array" ref="D112">Common_InputFunctions.Utility_DisplayArrayInTable(Common_SourceData.Common_SourceData_TemperatureZones_Data(),Table_SourceData_TemperatureZones[[#Headers],[Temperature Zone]],0)</f>
        <v>Cool</v>
      </c>
      <c r="E112" s="39" t="str" cm="1">
        <f t="array" ref="E112">Common_InputFunctions.Utility_DisplayArrayInTable(Common_SourceData.Common_SourceData_TemperatureZones_Data(),Table_SourceData_TemperatureZones[[#Headers],[Temperature Zone]],0)</f>
        <v>≤ 14 C</v>
      </c>
      <c r="F112" s="39" cm="1">
        <f t="array" ref="F112">Common_InputFunctions.Utility_DisplayArrayInTable(Common_SourceData.Common_SourceData_TemperatureZones_Data(),Table_SourceData_TemperatureZones[[#Headers],[Temperature Zone]],0)</f>
        <v>-999999</v>
      </c>
      <c r="G112" s="39" cm="1">
        <f t="array" ref="G112">Common_InputFunctions.Utility_DisplayArrayInTable(Common_SourceData.Common_SourceData_TemperatureZones_Data(),Table_SourceData_TemperatureZones[[#Headers],[Temperature Zone]],0)</f>
        <v>14.999000000000001</v>
      </c>
    </row>
    <row r="113" spans="4:66" ht="20.100000000000001" customHeight="1" x14ac:dyDescent="0.25"/>
    <row r="114" spans="4:66" ht="20.100000000000001" customHeight="1" x14ac:dyDescent="0.25"/>
    <row r="115" spans="4:66" ht="20.100000000000001" customHeight="1" x14ac:dyDescent="0.25">
      <c r="D115" s="6" t="str" cm="1">
        <f t="array" ref="D115">Common_SourceData.Common_SourceData_RainfallZones_Title()</f>
        <v>VEERG Australian rainfall zones</v>
      </c>
      <c r="BN115" s="7"/>
    </row>
    <row r="116" spans="4:66" ht="20.100000000000001" customHeight="1" x14ac:dyDescent="0.25">
      <c r="D116" s="5" t="str" cm="1">
        <f t="array" ref="D116">Common_SourceData.Common_SourceData_RainfallZones_Source()</f>
        <v>VEERG 2026: Table 1.3: Climate and Rainfall zone classifications and definitions</v>
      </c>
      <c r="BN116" s="7"/>
    </row>
    <row r="117" spans="4:66" ht="20.100000000000001" customHeight="1" x14ac:dyDescent="0.25">
      <c r="D117" s="56" t="str" cm="1">
        <f t="array" ref="D117">"⚠️" &amp; Common_SourceData.Common_SourceData_RainfallZones_Variation()</f>
        <v>⚠️VARIATION OF SOURCE DATA: Added extra Rainfall min and Rainfall max columns to calculate zone from real rainfall data.</v>
      </c>
      <c r="BN117" s="7"/>
    </row>
    <row r="118" spans="4:66" ht="20.100000000000001" customHeight="1" x14ac:dyDescent="0.25">
      <c r="BN118" s="7"/>
    </row>
    <row r="119" spans="4:66" ht="20.100000000000001" customHeight="1" x14ac:dyDescent="0.25">
      <c r="D119" s="39" t="s">
        <v>55</v>
      </c>
      <c r="E119" s="39" t="s">
        <v>56</v>
      </c>
      <c r="F119" s="39" t="s">
        <v>40</v>
      </c>
      <c r="G119" s="39" t="s">
        <v>41</v>
      </c>
      <c r="BN119" s="7"/>
    </row>
    <row r="120" spans="4:66" ht="20.100000000000001" customHeight="1" x14ac:dyDescent="0.25">
      <c r="D120" s="39" t="str" cm="1">
        <f t="array" ref="D120">Common_InputFunctions.Utility_DisplayArrayInTable(Common_SourceData.Common_SourceData_RainfallZones_Data(),Table_SourceData_RainfallZones[[#Headers],[Rainfall Zone]],0)</f>
        <v>High rainfall</v>
      </c>
      <c r="E120" s="39" t="str" cm="1">
        <f t="array" ref="E120">Common_InputFunctions.Utility_DisplayArrayInTable(Common_SourceData.Common_SourceData_RainfallZones_Data(),Table_SourceData_RainfallZones[[#Headers],[Rainfall Zone]],0)</f>
        <v>Annual rainfall &gt; 600mm</v>
      </c>
      <c r="F120" s="39" cm="1">
        <f t="array" ref="F120">Common_InputFunctions.Utility_DisplayArrayInTable(Common_SourceData.Common_SourceData_RainfallZones_Data(),Table_SourceData_RainfallZones[[#Headers],[Rainfall Zone]],0)</f>
        <v>600.00099999999998</v>
      </c>
      <c r="G120" s="39" cm="1">
        <f t="array" ref="G120">Common_InputFunctions.Utility_DisplayArrayInTable(Common_SourceData.Common_SourceData_RainfallZones_Data(),Table_SourceData_RainfallZones[[#Headers],[Rainfall Zone]],0)</f>
        <v>999999</v>
      </c>
      <c r="BN120" s="7"/>
    </row>
    <row r="121" spans="4:66" ht="20.100000000000001" customHeight="1" x14ac:dyDescent="0.25">
      <c r="D121" s="39" t="str" cm="1">
        <f t="array" ref="D121">Common_InputFunctions.Utility_DisplayArrayInTable(Common_SourceData.Common_SourceData_RainfallZones_Data(),Table_SourceData_RainfallZones[[#Headers],[Rainfall Zone]],0)</f>
        <v>Low rainfall</v>
      </c>
      <c r="E121" s="39" t="str" cm="1">
        <f t="array" ref="E121">Common_InputFunctions.Utility_DisplayArrayInTable(Common_SourceData.Common_SourceData_RainfallZones_Data(),Table_SourceData_RainfallZones[[#Headers],[Rainfall Zone]],0)</f>
        <v>Annual rainfall ≤ 600mm</v>
      </c>
      <c r="F121" s="39" cm="1">
        <f t="array" ref="F121">Common_InputFunctions.Utility_DisplayArrayInTable(Common_SourceData.Common_SourceData_RainfallZones_Data(),Table_SourceData_RainfallZones[[#Headers],[Rainfall Zone]],0)</f>
        <v>-999999</v>
      </c>
      <c r="G121" s="39" cm="1">
        <f t="array" ref="G121">Common_InputFunctions.Utility_DisplayArrayInTable(Common_SourceData.Common_SourceData_RainfallZones_Data(),Table_SourceData_RainfallZones[[#Headers],[Rainfall Zone]],0)</f>
        <v>600</v>
      </c>
      <c r="BN121" s="7"/>
    </row>
    <row r="122" spans="4:66" ht="20.100000000000001" customHeight="1" x14ac:dyDescent="0.25">
      <c r="BN122" s="7"/>
    </row>
    <row r="123" spans="4:66" ht="20.100000000000001" customHeight="1" x14ac:dyDescent="0.25"/>
    <row r="124" spans="4:66" ht="20.100000000000001" customHeight="1" x14ac:dyDescent="0.25">
      <c r="D124" s="6" t="str" cm="1">
        <f t="array" ref="D124">Common_SourceData.Common_SourceData_LeachingZones_Title()</f>
        <v>VEERG Australian leaching zones</v>
      </c>
    </row>
    <row r="125" spans="4:66" ht="20.100000000000001" customHeight="1" x14ac:dyDescent="0.25">
      <c r="D125" s="5" t="str" cm="1">
        <f t="array" ref="D125">Common_SourceData.Common_SourceData_LeachingZones_Source()</f>
        <v>VEERG 2026: Table 1.3: Climate and Rainfall zone classifications and definitions</v>
      </c>
    </row>
    <row r="126" spans="4:66" ht="20.100000000000001" customHeight="1" x14ac:dyDescent="0.25"/>
    <row r="127" spans="4:66" ht="20.100000000000001" customHeight="1" x14ac:dyDescent="0.25">
      <c r="D127" s="39" t="s">
        <v>62</v>
      </c>
      <c r="E127" s="39" t="s">
        <v>63</v>
      </c>
    </row>
    <row r="128" spans="4:66" ht="20.100000000000001" customHeight="1" x14ac:dyDescent="0.25">
      <c r="D128" s="39" t="str" cm="1">
        <f t="array" ref="D128">Common_InputFunctions.Utility_DisplayArrayInTable(Common_SourceData.Common_SourceData_LeachingZones_Data(), Table_SourceData_LeachingZones[[#Headers],[Leaching Zone]], 0)</f>
        <v>Leaching occurs</v>
      </c>
      <c r="E128" s="39" t="str" cm="1">
        <f t="array" ref="E128">Common_InputFunctions.Utility_DisplayArrayInTable(Common_SourceData.Common_SourceData_LeachingZones_Data(), Table_SourceData_LeachingZones[[#Headers],[Leaching Zone]], 0)</f>
        <v>Σ(𝑟𝑎𝑖𝑛)&gt;Σ(𝐸𝑇0)+𝑠𝑜𝑖𝑙 𝑤𝑎𝑡𝑒𝑟 ℎ𝑜𝑙𝑑𝑖𝑛𝑔 𝑐𝑎𝑝𝑎𝑐𝑖𝑡𝑦</v>
      </c>
    </row>
    <row r="129" spans="4:77" ht="20.100000000000001" customHeight="1" x14ac:dyDescent="0.25">
      <c r="D129" s="39" t="str" cm="1">
        <f t="array" ref="D129">Common_InputFunctions.Utility_DisplayArrayInTable(Common_SourceData.Common_SourceData_LeachingZones_Data(), Table_SourceData_LeachingZones[[#Headers],[Leaching Zone]], 0)</f>
        <v>Leaching does not occur</v>
      </c>
      <c r="E129" s="39" t="str" cm="1">
        <f t="array" ref="E129">Common_InputFunctions.Utility_DisplayArrayInTable(Common_SourceData.Common_SourceData_LeachingZones_Data(), Table_SourceData_LeachingZones[[#Headers],[Leaching Zone]], 0)</f>
        <v>Σ(𝑟𝑎𝑖𝑛)≤Σ(𝐸𝑇0)+𝑠𝑜𝑖𝑙 𝑤𝑎𝑡𝑒𝑟 ℎ𝑜𝑙𝑑𝑖𝑛𝑔 𝑐𝑎𝑝𝑎𝑐𝑖𝑡𝑦</v>
      </c>
    </row>
    <row r="130" spans="4:77" ht="20.100000000000001" customHeight="1" x14ac:dyDescent="0.25"/>
    <row r="131" spans="4:77" ht="20.100000000000001" customHeight="1" x14ac:dyDescent="0.25"/>
    <row r="132" spans="4:77" ht="20.100000000000001" customHeight="1" x14ac:dyDescent="0.25">
      <c r="D132" s="6" t="str" cm="1">
        <f t="array" ref="D132">Common_SourceData.Common_SourceData_FracWET_Title()</f>
        <v>Fraction of N that is available for leaching and runoff</v>
      </c>
      <c r="E132" s="24"/>
    </row>
    <row r="133" spans="4:77" ht="20.100000000000001" customHeight="1" x14ac:dyDescent="0.25">
      <c r="D133" s="5" t="str" cm="1">
        <f t="array" ref="D133">Common_SourceData.Common_SourceData_FracWET_Source()</f>
        <v>VEERG 2026:5.5.2.3 Constant Parameters</v>
      </c>
      <c r="E133" s="24"/>
    </row>
    <row r="134" spans="4:77" ht="20.100000000000001" customHeight="1" x14ac:dyDescent="0.25">
      <c r="D134" t="s">
        <v>79</v>
      </c>
      <c r="E134" t="s">
        <v>80</v>
      </c>
    </row>
    <row r="135" spans="4:77" ht="20.100000000000001" customHeight="1" x14ac:dyDescent="0.25">
      <c r="D135" t="str" cm="1">
        <f t="array" ref="D135">Common_InputFunctions.Utility_DisplayArrayInTable(Common_SourceData.Common_SourceData_FracWET_Data(),Table_SourceData_FracWET[[#Headers],[Is in leaching zone]],0)</f>
        <v>Yes - in leaching zone</v>
      </c>
      <c r="E135" cm="1">
        <f t="array" ref="E135">Common_InputFunctions.Utility_DisplayArrayInTable(Common_SourceData.Common_SourceData_FracWET_Data(),Table_SourceData_FracWET[[#Headers],[Is in leaching zone]],0)</f>
        <v>1</v>
      </c>
    </row>
    <row r="136" spans="4:77" ht="20.100000000000001" customHeight="1" x14ac:dyDescent="0.25">
      <c r="D136" s="1" t="str" cm="1">
        <f t="array" ref="D136">Common_InputFunctions.Utility_DisplayArrayInTable(Common_SourceData.Common_SourceData_FracWET_Data(),Table_SourceData_FracWET[[#Headers],[Is in leaching zone]],0)</f>
        <v>No - not in leaching zone</v>
      </c>
      <c r="E136" s="39" cm="1">
        <f t="array" ref="E136">Common_InputFunctions.Utility_DisplayArrayInTable(Common_SourceData.Common_SourceData_FracWET_Data(),Table_SourceData_FracWET[[#Headers],[Is in leaching zone]],0)</f>
        <v>0</v>
      </c>
    </row>
    <row r="137" spans="4:77" ht="20.100000000000001" customHeight="1" x14ac:dyDescent="0.25"/>
    <row r="138" spans="4:77" ht="20.100000000000001" customHeight="1" x14ac:dyDescent="0.25">
      <c r="BN138" s="7"/>
      <c r="BO138" s="7"/>
      <c r="BP138" s="7"/>
      <c r="BQ138" s="7"/>
      <c r="BR138" s="7"/>
      <c r="BS138" s="7"/>
      <c r="BT138" s="7"/>
      <c r="BU138" s="7"/>
      <c r="BV138" s="7"/>
      <c r="BW138" s="7"/>
      <c r="BX138" s="7"/>
      <c r="BY138" s="7"/>
    </row>
    <row r="139" spans="4:77" ht="20.100000000000001" customHeight="1" x14ac:dyDescent="0.25">
      <c r="D139" s="6" t="str" cm="1">
        <f t="array" ref="D139">Common_SourceData.Common_SourceData_FracWETIrrigation_Title()</f>
        <v>FracWET for irrigation types</v>
      </c>
      <c r="BN139" s="7"/>
      <c r="BO139" s="7"/>
      <c r="BP139" s="7"/>
      <c r="BQ139" s="7"/>
      <c r="BR139" s="7"/>
      <c r="BS139" s="7"/>
      <c r="BT139" s="7"/>
      <c r="BU139" s="7"/>
      <c r="BV139" s="7"/>
      <c r="BW139" s="7"/>
      <c r="BX139" s="7"/>
      <c r="BY139" s="7"/>
    </row>
    <row r="140" spans="4:77" ht="20.100000000000001" customHeight="1" x14ac:dyDescent="0.25">
      <c r="D140" s="5" t="str" cm="1">
        <f t="array" ref="D140">Common_SourceData.Common_SourceData_FracWETIrrigation_Source()</f>
        <v>VEERG 2026: Chapter 1, section 1.8.2 Leaching, climate and rainfall zones</v>
      </c>
      <c r="BN140" s="7"/>
      <c r="BO140" s="7"/>
      <c r="BP140" s="7"/>
      <c r="BQ140" s="7"/>
      <c r="BR140" s="7"/>
      <c r="BS140" s="7"/>
      <c r="BT140" s="7"/>
      <c r="BU140" s="7"/>
      <c r="BV140" s="7"/>
      <c r="BW140" s="7"/>
      <c r="BX140" s="7"/>
      <c r="BY140" s="7"/>
    </row>
    <row r="141" spans="4:77" ht="20.100000000000001" customHeight="1" x14ac:dyDescent="0.25">
      <c r="D141" s="56" t="str" cm="1">
        <f t="array" ref="D141">Common_SourceData.Common_SourceData_FracWETIrrigation_Variation()</f>
        <v>VARIATION FROM SOURCE DATA: Table created based on VEERG text 'Areas are subject to leaching (i.e., in the leaching zone) when... the land is irrigated (except drip irrigation).'</v>
      </c>
      <c r="BN141" s="7"/>
    </row>
    <row r="142" spans="4:77" ht="20.100000000000001" customHeight="1" x14ac:dyDescent="0.25">
      <c r="D142" s="39" t="s">
        <v>113</v>
      </c>
      <c r="E142" s="39" t="s">
        <v>80</v>
      </c>
      <c r="BN142" s="7"/>
    </row>
    <row r="143" spans="4:77" ht="20.100000000000001" customHeight="1" x14ac:dyDescent="0.25">
      <c r="D143" s="39" t="str" cm="1">
        <f t="array" ref="D143">Common_InputFunctions.Utility_DisplayArrayInTable(Common_SourceData.Common_SourceData_FracWETIrrigation_Data(), Table_SourceData_FracWETIrrigation[[#Headers],[Irrigation type i]], 0)</f>
        <v>Not irrigated</v>
      </c>
      <c r="E143" s="39" cm="1">
        <f t="array" ref="E143">Common_InputFunctions.Utility_DisplayArrayInTable(Common_SourceData.Common_SourceData_FracWETIrrigation_Data(), Table_SourceData_FracWETIrrigation[[#Headers],[Irrigation type i]], 0)</f>
        <v>0</v>
      </c>
      <c r="BN143" s="7"/>
    </row>
    <row r="144" spans="4:77" ht="20.100000000000001" customHeight="1" x14ac:dyDescent="0.25">
      <c r="D144" s="1" t="str" cm="1">
        <f t="array" ref="D144">Common_InputFunctions.Utility_DisplayArrayInTable(Common_SourceData.Common_SourceData_FracWETIrrigation_Data(), Table_SourceData_FracWETIrrigation[[#Headers],[Irrigation type i]], 0)</f>
        <v>Drip irrigation</v>
      </c>
      <c r="E144" s="39" cm="1">
        <f t="array" ref="E144">Common_InputFunctions.Utility_DisplayArrayInTable(Common_SourceData.Common_SourceData_FracWETIrrigation_Data(), Table_SourceData_FracWETIrrigation[[#Headers],[Irrigation type i]], 0)</f>
        <v>0</v>
      </c>
      <c r="BN144" s="7"/>
    </row>
    <row r="145" spans="4:66" ht="20.100000000000001" customHeight="1" x14ac:dyDescent="0.25">
      <c r="D145" s="1" t="str" cm="1">
        <f t="array" ref="D145">Common_InputFunctions.Utility_DisplayArrayInTable(Common_SourceData.Common_SourceData_FracWETIrrigation_Data(), Table_SourceData_FracWETIrrigation[[#Headers],[Irrigation type i]], 0)</f>
        <v>Sprinkler irrigation</v>
      </c>
      <c r="E145" s="39" cm="1">
        <f t="array" ref="E145">Common_InputFunctions.Utility_DisplayArrayInTable(Common_SourceData.Common_SourceData_FracWETIrrigation_Data(), Table_SourceData_FracWETIrrigation[[#Headers],[Irrigation type i]], 0)</f>
        <v>1</v>
      </c>
      <c r="BN145" s="7"/>
    </row>
    <row r="146" spans="4:66" ht="20.100000000000001" customHeight="1" x14ac:dyDescent="0.25">
      <c r="D146" s="1" t="str" cm="1">
        <f t="array" ref="D146">Common_InputFunctions.Utility_DisplayArrayInTable(Common_SourceData.Common_SourceData_FracWETIrrigation_Data(), Table_SourceData_FracWETIrrigation[[#Headers],[Irrigation type i]], 0)</f>
        <v>Surface irrigation</v>
      </c>
      <c r="E146" s="39" cm="1">
        <f t="array" ref="E146">Common_InputFunctions.Utility_DisplayArrayInTable(Common_SourceData.Common_SourceData_FracWETIrrigation_Data(), Table_SourceData_FracWETIrrigation[[#Headers],[Irrigation type i]], 0)</f>
        <v>1</v>
      </c>
      <c r="BN146" s="7"/>
    </row>
    <row r="147" spans="4:66" ht="20.100000000000001" customHeight="1" x14ac:dyDescent="0.25">
      <c r="D147" s="1" t="str" cm="1">
        <f t="array" ref="D147">Common_InputFunctions.Utility_DisplayArrayInTable(Common_SourceData.Common_SourceData_FracWETIrrigation_Data(), Table_SourceData_FracWETIrrigation[[#Headers],[Irrigation type i]], 0)</f>
        <v>Other irrigation</v>
      </c>
      <c r="E147" s="39" cm="1">
        <f t="array" ref="E147">Common_InputFunctions.Utility_DisplayArrayInTable(Common_SourceData.Common_SourceData_FracWETIrrigation_Data(), Table_SourceData_FracWETIrrigation[[#Headers],[Irrigation type i]], 0)</f>
        <v>1</v>
      </c>
      <c r="BN147" s="7"/>
    </row>
    <row r="148" spans="4:66" ht="20.100000000000001" customHeight="1" x14ac:dyDescent="0.25">
      <c r="BN148" s="7"/>
    </row>
    <row r="149" spans="4:66" ht="20.100000000000001" customHeight="1" x14ac:dyDescent="0.25">
      <c r="BN149" s="7"/>
    </row>
    <row r="150" spans="4:66" ht="20.100000000000001" customHeight="1" x14ac:dyDescent="0.25">
      <c r="D150" s="6" t="str" cm="1">
        <f t="array" ref="D150">Common_SourceData.Common_SourceData_DataScores_Scope3_Title()</f>
        <v>Australian data scores for scope 3</v>
      </c>
      <c r="BN150" s="7"/>
    </row>
    <row r="151" spans="4:66" ht="20.100000000000001" customHeight="1" x14ac:dyDescent="0.25">
      <c r="D151" s="5" t="str" cm="1">
        <f t="array" ref="D151">Common_SourceData.Common_SourceData_DataScores_Scope3_Source()</f>
        <v>VEERG 2026: XXXXXXXX</v>
      </c>
      <c r="BN151" s="7"/>
    </row>
    <row r="152" spans="4:66" ht="20.100000000000001" customHeight="1" x14ac:dyDescent="0.25">
      <c r="BN152" s="7"/>
    </row>
    <row r="153" spans="4:66" ht="20.100000000000001" customHeight="1" x14ac:dyDescent="0.25">
      <c r="D153" s="39" t="s">
        <v>65</v>
      </c>
      <c r="E153" s="39" t="s">
        <v>66</v>
      </c>
      <c r="BC153" s="3"/>
      <c r="BD153" s="3"/>
      <c r="BE153" s="3"/>
      <c r="BF153" s="3"/>
      <c r="BG153" s="3"/>
      <c r="BH153" s="3"/>
      <c r="BI153" s="3"/>
      <c r="BJ153" s="3"/>
      <c r="BK153" s="3"/>
      <c r="BL153" s="3"/>
      <c r="BM153" s="3"/>
    </row>
    <row r="154" spans="4:66" ht="20.100000000000001" customHeight="1" x14ac:dyDescent="0.25">
      <c r="D154" s="39" t="str" cm="1">
        <f t="array" ref="D154">Common_InputFunctions.Utility_DisplayArrayInTable(Common_SourceData.Common_SourceData_DataScores_Scope3_Data(), Table_SourceData_DataScores_Scope3[[#Headers],[Data source]], 0)</f>
        <v>International scope 3 database</v>
      </c>
      <c r="E154" s="39" cm="1">
        <f t="array" ref="E154">Common_InputFunctions.Utility_DisplayArrayInTable(Common_SourceData.Common_SourceData_DataScores_Scope3_Data(), Table_SourceData_DataScores_Scope3[[#Headers],[Data source]], 0)</f>
        <v>1</v>
      </c>
      <c r="BC154" s="3"/>
      <c r="BD154" s="3"/>
      <c r="BE154" s="3"/>
      <c r="BF154" s="3"/>
      <c r="BG154" s="3"/>
      <c r="BH154" s="3"/>
      <c r="BI154" s="3"/>
      <c r="BJ154" s="3"/>
      <c r="BK154" s="3"/>
      <c r="BL154" s="3"/>
      <c r="BM154" s="3"/>
    </row>
    <row r="155" spans="4:66" ht="20.100000000000001" customHeight="1" x14ac:dyDescent="0.25">
      <c r="D155" s="39" t="str" cm="1">
        <f t="array" ref="D155">Common_InputFunctions.Utility_DisplayArrayInTable(Common_SourceData.Common_SourceData_DataScores_Scope3_Data(), Table_SourceData_DataScores_Scope3[[#Headers],[Data source]], 0)</f>
        <v>Australian scope 3 database</v>
      </c>
      <c r="E155" s="39" cm="1">
        <f t="array" ref="E155">Common_InputFunctions.Utility_DisplayArrayInTable(Common_SourceData.Common_SourceData_DataScores_Scope3_Data(), Table_SourceData_DataScores_Scope3[[#Headers],[Data source]], 0)</f>
        <v>2</v>
      </c>
      <c r="BC155" s="3"/>
      <c r="BD155" s="3"/>
      <c r="BE155" s="3"/>
      <c r="BF155" s="3"/>
      <c r="BG155" s="3"/>
      <c r="BH155" s="3"/>
      <c r="BI155" s="3"/>
      <c r="BJ155" s="3"/>
      <c r="BK155" s="3"/>
      <c r="BL155" s="3"/>
      <c r="BM155" s="3"/>
    </row>
    <row r="156" spans="4:66" ht="20.100000000000001" customHeight="1" x14ac:dyDescent="0.25">
      <c r="D156" s="39" t="str" cm="1">
        <f t="array" ref="D156">Common_InputFunctions.Utility_DisplayArrayInTable(Common_SourceData.Common_SourceData_DataScores_Scope3_Data(), Table_SourceData_DataScores_Scope3[[#Headers],[Data source]], 0)</f>
        <v>State or regional scope 3 database</v>
      </c>
      <c r="E156" s="39" cm="1">
        <f t="array" ref="E156">Common_InputFunctions.Utility_DisplayArrayInTable(Common_SourceData.Common_SourceData_DataScores_Scope3_Data(), Table_SourceData_DataScores_Scope3[[#Headers],[Data source]], 0)</f>
        <v>3</v>
      </c>
    </row>
    <row r="157" spans="4:66" ht="20.100000000000001" customHeight="1" x14ac:dyDescent="0.25">
      <c r="D157" s="39" t="str" cm="1">
        <f t="array" ref="D157">Common_InputFunctions.Utility_DisplayArrayInTable(Common_SourceData.Common_SourceData_DataScores_Scope3_Data(), Table_SourceData_DataScores_Scope3[[#Headers],[Data source]], 0)</f>
        <v>Emissions intensity calculated from approved method</v>
      </c>
      <c r="E157" s="39" cm="1">
        <f t="array" ref="E157">Common_InputFunctions.Utility_DisplayArrayInTable(Common_SourceData.Common_SourceData_DataScores_Scope3_Data(), Table_SourceData_DataScores_Scope3[[#Headers],[Data source]], 0)</f>
        <v>4</v>
      </c>
    </row>
    <row r="158" spans="4:66" ht="20.100000000000001" customHeight="1" x14ac:dyDescent="0.25">
      <c r="D158" s="39" t="str" cm="1">
        <f t="array" ref="D158">Common_InputFunctions.Utility_DisplayArrayInTable(Common_SourceData.Common_SourceData_DataScores_Scope3_Data(), Table_SourceData_DataScores_Scope3[[#Headers],[Data source]], 0)</f>
        <v>Verified credential matching ISO14067</v>
      </c>
      <c r="E158" s="39" cm="1">
        <f t="array" ref="E158">Common_InputFunctions.Utility_DisplayArrayInTable(Common_SourceData.Common_SourceData_DataScores_Scope3_Data(), Table_SourceData_DataScores_Scope3[[#Headers],[Data source]], 0)</f>
        <v>5</v>
      </c>
    </row>
    <row r="159" spans="4:66" ht="20.100000000000001" customHeight="1" x14ac:dyDescent="0.25"/>
    <row r="160" spans="4:66" ht="20.100000000000001" customHeight="1" x14ac:dyDescent="0.25"/>
    <row r="161" spans="4:68" ht="20.100000000000001" customHeight="1" x14ac:dyDescent="0.25">
      <c r="D161" s="6" t="str" cm="1">
        <f t="array" ref="D161">Common_SourceData.Common_SourceData_FracLEACH_Title()</f>
        <v>Fraction of N that is available for leaching and runoff</v>
      </c>
      <c r="E161" s="24"/>
    </row>
    <row r="162" spans="4:68" ht="20.100000000000001" customHeight="1" x14ac:dyDescent="0.25">
      <c r="D162" s="5" t="str" cm="1">
        <f t="array" ref="D162">Common_SourceData.Common_SourceData_FracLEACH_Source()</f>
        <v>VEERG 2026:5.5.2.3 Constant Parameters</v>
      </c>
      <c r="E162" s="24"/>
    </row>
    <row r="163" spans="4:68" ht="20.100000000000001" customHeight="1" x14ac:dyDescent="0.25">
      <c r="D163" s="5" t="str" cm="1">
        <f t="array" ref="D163">Common_SourceData.Common_SourceData_FracLEACH_NIRReference()</f>
        <v>National Inventory Report Volume 1: Leaching and runoff (3.D.b.2)</v>
      </c>
      <c r="E163" s="24"/>
    </row>
    <row r="164" spans="4:68" ht="20.100000000000001" customHeight="1" x14ac:dyDescent="0.25">
      <c r="D164" s="24" t="str" cm="1">
        <f t="array" ref="D164:E164">Common_SourceData.Common_SourceData_FracLEACH_Data()</f>
        <v>FracLEACH</v>
      </c>
      <c r="E164" s="24">
        <v>0.24</v>
      </c>
    </row>
    <row r="165" spans="4:68" ht="20.100000000000001" customHeight="1" x14ac:dyDescent="0.25">
      <c r="BN165" s="7"/>
      <c r="BO165" s="7"/>
      <c r="BP165" s="7"/>
    </row>
    <row r="166" spans="4:68" ht="20.100000000000001" customHeight="1" x14ac:dyDescent="0.25">
      <c r="BN166" s="7"/>
      <c r="BO166" s="7"/>
      <c r="BP166" s="7"/>
    </row>
    <row r="167" spans="4:68" ht="20.100000000000001" customHeight="1" x14ac:dyDescent="0.25">
      <c r="D167" s="6" t="str" cm="1">
        <f t="array" ref="D167">Common_SourceData.Common_SourceData_EFleach_Title()</f>
        <v>Emission factor for nitrogen leaching and runoff</v>
      </c>
      <c r="BN167" s="7"/>
      <c r="BO167" s="7"/>
      <c r="BP167" s="7"/>
    </row>
    <row r="168" spans="4:68" ht="20.100000000000001" customHeight="1" x14ac:dyDescent="0.25">
      <c r="D168" s="5" t="str" cm="1">
        <f t="array" ref="D168">Common_SourceData.Common_SourceData_EFleach_Source()</f>
        <v>VEERG 2026:5.5.2.3 Constant Parameters</v>
      </c>
      <c r="BN168" s="7"/>
      <c r="BO168" s="7"/>
      <c r="BP168" s="7"/>
    </row>
    <row r="169" spans="4:68" ht="20.100000000000001" customHeight="1" x14ac:dyDescent="0.25">
      <c r="D169" s="5" t="str" cm="1">
        <f t="array" ref="D169">Common_SourceData.Common_SourceData_EFleach_NIRReference()</f>
        <v>National Inventory Report Volume 1: Equation 3.D.B_10</v>
      </c>
      <c r="BN169" s="7"/>
      <c r="BO169" s="7"/>
      <c r="BP169" s="7"/>
    </row>
    <row r="170" spans="4:68" ht="20.100000000000001" customHeight="1" x14ac:dyDescent="0.25">
      <c r="D170" s="1" t="str" cm="1">
        <f t="array" ref="D170:E170">Common_SourceData.Common_SourceData_EFleach_Data()</f>
        <v>EFleach</v>
      </c>
      <c r="E170" s="1">
        <v>1.0999999999999999E-2</v>
      </c>
      <c r="BN170" s="7"/>
      <c r="BO170" s="7"/>
      <c r="BP170" s="7"/>
    </row>
    <row r="171" spans="4:68" ht="20.100000000000001" customHeight="1" x14ac:dyDescent="0.25">
      <c r="BN171" s="7"/>
      <c r="BO171" s="7"/>
      <c r="BP171" s="7"/>
    </row>
    <row r="172" spans="4:68" ht="20.100000000000001" customHeight="1" x14ac:dyDescent="0.25">
      <c r="BN172" s="7"/>
      <c r="BO172" s="7"/>
      <c r="BP172" s="7"/>
    </row>
    <row r="173" spans="4:68" ht="20.100000000000001" customHeight="1" x14ac:dyDescent="0.25">
      <c r="D173" s="6" t="str" cm="1">
        <f t="array" ref="D173">Common_SourceData.Common_SourceData_DensityOfMethane_Title()</f>
        <v>p = density of methane</v>
      </c>
      <c r="BN173" s="7"/>
      <c r="BO173" s="7"/>
      <c r="BP173" s="7"/>
    </row>
    <row r="174" spans="4:68" ht="20.100000000000001" customHeight="1" x14ac:dyDescent="0.25">
      <c r="D174" s="5" t="str" cm="1">
        <f t="array" ref="D174">Common_SourceData.Common_SourceData_DensityOfMethane_Source()</f>
        <v>National Inventory Report 2023 Volume 1: Equations 3.B.1a_2, 3.B.1c_2, 3.B.3_1, 3.B.4g_2</v>
      </c>
      <c r="BN174" s="7"/>
      <c r="BO174" s="7"/>
      <c r="BP174" s="7"/>
    </row>
    <row r="175" spans="4:68" ht="20.100000000000001" customHeight="1" x14ac:dyDescent="0.25">
      <c r="D175" s="1" cm="1">
        <f t="array" ref="D175">Common_SourceData.Common_SourceData_DensityOfMethane_Data()</f>
        <v>0.6784</v>
      </c>
      <c r="E175" s="55" t="str" cm="1">
        <f t="array" ref="E175">Common_SourceData.Common_SourceData_DensityOfMethane_Unit()</f>
        <v>kg/m3</v>
      </c>
      <c r="BN175" s="7"/>
      <c r="BO175" s="7"/>
      <c r="BP175" s="7"/>
    </row>
    <row r="176" spans="4:68" ht="20.100000000000001" customHeight="1" x14ac:dyDescent="0.25">
      <c r="BN176" s="7"/>
      <c r="BO176" s="7"/>
      <c r="BP176" s="7"/>
    </row>
    <row r="177" spans="4:68" ht="20.100000000000001" customHeight="1" x14ac:dyDescent="0.25">
      <c r="BN177" s="7"/>
      <c r="BO177" s="7"/>
      <c r="BP177" s="7"/>
    </row>
    <row r="178" spans="4:68" ht="20.100000000000001" customHeight="1" x14ac:dyDescent="0.25">
      <c r="D178" s="6" t="str" cm="1">
        <f t="array" ref="D178">Common_SourceData.Common_SourceData_EFN2O_Title()</f>
        <v>Nitrous oxide emission factors for inorganic fertiliser application</v>
      </c>
      <c r="BN178" s="7"/>
      <c r="BO178" s="7"/>
      <c r="BP178" s="7"/>
    </row>
    <row r="179" spans="4:68" ht="20.100000000000001" customHeight="1" x14ac:dyDescent="0.25">
      <c r="D179" s="5" t="str" cm="1">
        <f t="array" ref="D179">Common_SourceData.Common_SourceData_EFN2O_Source()</f>
        <v>VEERG 2026: Table A.2.2.1</v>
      </c>
      <c r="BN179" s="7"/>
      <c r="BO179" s="7"/>
      <c r="BP179" s="7"/>
    </row>
    <row r="180" spans="4:68" ht="20.100000000000001" customHeight="1" x14ac:dyDescent="0.25">
      <c r="D180" s="55" t="str" cm="1">
        <f t="array" ref="D180">Common_SourceData.Common_SourceData_EFN2O_Unit()</f>
        <v>(kg N2O-N / kg N</v>
      </c>
    </row>
    <row r="181" spans="4:68" ht="20.100000000000001" customHeight="1" x14ac:dyDescent="0.25">
      <c r="D181" s="56" t="str" cm="1">
        <f t="array" ref="D181:D185">Common_SourceData.Common_SourceData_EFN2O_Variation()</f>
        <v>VARIATION OF SOURCE DATA:</v>
      </c>
    </row>
    <row r="182" spans="4:68" ht="20.100000000000001" customHeight="1" x14ac:dyDescent="0.25">
      <c r="D182" s="56" t="str">
        <v>Removed duplicate 'Aquaculture' row.</v>
      </c>
    </row>
    <row r="183" spans="4:68" ht="20.100000000000001" customHeight="1" x14ac:dyDescent="0.25">
      <c r="D183" s="56" t="str">
        <v>Removed asterisks to aid lookup.</v>
      </c>
    </row>
    <row r="184" spans="4:68" ht="20.100000000000001" customHeight="1" x14ac:dyDescent="0.25">
      <c r="D184" s="56" t="str">
        <v>Added 'production system only', 'rainfall zone' and 'irrigation method' columns to aid lookup.</v>
      </c>
    </row>
    <row r="185" spans="4:68" ht="20.100000000000001" customHeight="1" x14ac:dyDescent="0.25">
      <c r="D185" s="56" t="str">
        <v>Duplicated 'non-irrigated pasture' row with same EF for low and high rainfall zones to aid lookup.</v>
      </c>
    </row>
    <row r="186" spans="4:68" ht="20.100000000000001" customHeight="1" x14ac:dyDescent="0.25">
      <c r="D186" s="39" t="s">
        <v>97</v>
      </c>
      <c r="E186" s="39" t="s">
        <v>98</v>
      </c>
      <c r="F186" s="39" t="s">
        <v>99</v>
      </c>
      <c r="G186" s="39" t="s">
        <v>100</v>
      </c>
      <c r="H186" s="39" t="s">
        <v>32</v>
      </c>
    </row>
    <row r="187" spans="4:68" ht="20.100000000000001" customHeight="1" x14ac:dyDescent="0.25">
      <c r="D187" s="39" t="str" cm="1">
        <f t="array" ref="D187">Common_InputFunctions.Utility_DisplayArrayInTable(Common_SourceData.Common_SourceData_EFN2O_Data(), Table_SourceData_Common_EFN2O[[#Headers],[Production system j]], 0)</f>
        <v>Irrigated pasture</v>
      </c>
      <c r="E187" s="39" cm="1">
        <f t="array" ref="E187">Common_InputFunctions.Utility_DisplayArrayInTable(Common_SourceData.Common_SourceData_EFN2O_Data(), Table_SourceData_Common_EFN2O[[#Headers],[Production system j]], 0)</f>
        <v>5.8999999999999999E-3</v>
      </c>
      <c r="F187" s="39" t="str" cm="1">
        <f t="array" ref="F187">Common_InputFunctions.Utility_DisplayArrayInTable(Common_SourceData.Common_SourceData_EFN2O_Data(), Table_SourceData_Common_EFN2O[[#Headers],[Production system j]], 0)</f>
        <v>Pasture</v>
      </c>
      <c r="G187" s="39" t="str" cm="1">
        <f t="array" ref="G187">Common_InputFunctions.Utility_DisplayArrayInTable(Common_SourceData.Common_SourceData_EFN2O_Data(), Table_SourceData_Common_EFN2O[[#Headers],[Production system j]], 0)</f>
        <v>Any</v>
      </c>
      <c r="H187" s="39" t="str" cm="1">
        <f t="array" ref="H187">Common_InputFunctions.Utility_DisplayArrayInTable(Common_SourceData.Common_SourceData_EFN2O_Data(), Table_SourceData_Common_EFN2O[[#Headers],[Production system j]], 0)</f>
        <v>Any</v>
      </c>
    </row>
    <row r="188" spans="4:68" ht="20.100000000000001" customHeight="1" x14ac:dyDescent="0.25">
      <c r="D188" s="39" t="str" cm="1">
        <f t="array" ref="D188">Common_InputFunctions.Utility_DisplayArrayInTable(Common_SourceData.Common_SourceData_EFN2O_Data(), Table_SourceData_Common_EFN2O[[#Headers],[Production system j]], 0)</f>
        <v>Irrigated crop</v>
      </c>
      <c r="E188" s="39" cm="1">
        <f t="array" ref="E188">Common_InputFunctions.Utility_DisplayArrayInTable(Common_SourceData.Common_SourceData_EFN2O_Data(), Table_SourceData_Common_EFN2O[[#Headers],[Production system j]], 0)</f>
        <v>7.0000000000000001E-3</v>
      </c>
      <c r="F188" s="39" t="str" cm="1">
        <f t="array" ref="F188">Common_InputFunctions.Utility_DisplayArrayInTable(Common_SourceData.Common_SourceData_EFN2O_Data(), Table_SourceData_Common_EFN2O[[#Headers],[Production system j]], 0)</f>
        <v>Crop</v>
      </c>
      <c r="G188" s="39" t="str" cm="1">
        <f t="array" ref="G188">Common_InputFunctions.Utility_DisplayArrayInTable(Common_SourceData.Common_SourceData_EFN2O_Data(), Table_SourceData_Common_EFN2O[[#Headers],[Production system j]], 0)</f>
        <v>Any</v>
      </c>
      <c r="H188" s="39" t="str" cm="1">
        <f t="array" ref="H188">Common_InputFunctions.Utility_DisplayArrayInTable(Common_SourceData.Common_SourceData_EFN2O_Data(), Table_SourceData_Common_EFN2O[[#Headers],[Production system j]], 0)</f>
        <v>Any</v>
      </c>
    </row>
    <row r="189" spans="4:68" ht="20.100000000000001" customHeight="1" x14ac:dyDescent="0.25">
      <c r="D189" s="39" t="str" cm="1">
        <f t="array" ref="D189">Common_InputFunctions.Utility_DisplayArrayInTable(Common_SourceData.Common_SourceData_EFN2O_Data(), Table_SourceData_Common_EFN2O[[#Headers],[Production system j]], 0)</f>
        <v>Non-irrigated pasture</v>
      </c>
      <c r="E189" s="39" cm="1">
        <f t="array" ref="E189">Common_InputFunctions.Utility_DisplayArrayInTable(Common_SourceData.Common_SourceData_EFN2O_Data(), Table_SourceData_Common_EFN2O[[#Headers],[Production system j]], 0)</f>
        <v>1.8E-3</v>
      </c>
      <c r="F189" s="39" t="str" cm="1">
        <f t="array" ref="F189">Common_InputFunctions.Utility_DisplayArrayInTable(Common_SourceData.Common_SourceData_EFN2O_Data(), Table_SourceData_Common_EFN2O[[#Headers],[Production system j]], 0)</f>
        <v>Pasture</v>
      </c>
      <c r="G189" s="39" t="str" cm="1">
        <f t="array" ref="G189">Common_InputFunctions.Utility_DisplayArrayInTable(Common_SourceData.Common_SourceData_EFN2O_Data(), Table_SourceData_Common_EFN2O[[#Headers],[Production system j]], 0)</f>
        <v>Not irrigated</v>
      </c>
      <c r="H189" s="39" t="str" cm="1">
        <f t="array" ref="H189">Common_InputFunctions.Utility_DisplayArrayInTable(Common_SourceData.Common_SourceData_EFN2O_Data(), Table_SourceData_Common_EFN2O[[#Headers],[Production system j]], 0)</f>
        <v>Low rainfall</v>
      </c>
    </row>
    <row r="190" spans="4:68" ht="20.100000000000001" customHeight="1" x14ac:dyDescent="0.25">
      <c r="D190" s="39" t="str" cm="1">
        <f t="array" ref="D190">Common_InputFunctions.Utility_DisplayArrayInTable(Common_SourceData.Common_SourceData_EFN2O_Data(), Table_SourceData_Common_EFN2O[[#Headers],[Production system j]], 0)</f>
        <v>Non-irrigated pasture</v>
      </c>
      <c r="E190" s="39" cm="1">
        <f t="array" ref="E190">Common_InputFunctions.Utility_DisplayArrayInTable(Common_SourceData.Common_SourceData_EFN2O_Data(), Table_SourceData_Common_EFN2O[[#Headers],[Production system j]], 0)</f>
        <v>1.8E-3</v>
      </c>
      <c r="F190" s="39" t="str" cm="1">
        <f t="array" ref="F190">Common_InputFunctions.Utility_DisplayArrayInTable(Common_SourceData.Common_SourceData_EFN2O_Data(), Table_SourceData_Common_EFN2O[[#Headers],[Production system j]], 0)</f>
        <v>Pasture</v>
      </c>
      <c r="G190" s="39" t="str" cm="1">
        <f t="array" ref="G190">Common_InputFunctions.Utility_DisplayArrayInTable(Common_SourceData.Common_SourceData_EFN2O_Data(), Table_SourceData_Common_EFN2O[[#Headers],[Production system j]], 0)</f>
        <v>Not irrigated</v>
      </c>
      <c r="H190" s="39" t="str" cm="1">
        <f t="array" ref="H190">Common_InputFunctions.Utility_DisplayArrayInTable(Common_SourceData.Common_SourceData_EFN2O_Data(), Table_SourceData_Common_EFN2O[[#Headers],[Production system j]], 0)</f>
        <v>High rainfall</v>
      </c>
    </row>
    <row r="191" spans="4:68" ht="20.100000000000001" customHeight="1" x14ac:dyDescent="0.25">
      <c r="D191" s="39" t="str" cm="1">
        <f t="array" ref="D191">Common_InputFunctions.Utility_DisplayArrayInTable(Common_SourceData.Common_SourceData_EFN2O_Data(), Table_SourceData_Common_EFN2O[[#Headers],[Production system j]], 0)</f>
        <v>Non-irrigated crop (low rainfall)</v>
      </c>
      <c r="E191" s="39" cm="1">
        <f t="array" ref="E191">Common_InputFunctions.Utility_DisplayArrayInTable(Common_SourceData.Common_SourceData_EFN2O_Data(), Table_SourceData_Common_EFN2O[[#Headers],[Production system j]], 0)</f>
        <v>2.8999999999999998E-3</v>
      </c>
      <c r="F191" s="39" t="str" cm="1">
        <f t="array" ref="F191">Common_InputFunctions.Utility_DisplayArrayInTable(Common_SourceData.Common_SourceData_EFN2O_Data(), Table_SourceData_Common_EFN2O[[#Headers],[Production system j]], 0)</f>
        <v>Crop</v>
      </c>
      <c r="G191" s="39" t="str" cm="1">
        <f t="array" ref="G191">Common_InputFunctions.Utility_DisplayArrayInTable(Common_SourceData.Common_SourceData_EFN2O_Data(), Table_SourceData_Common_EFN2O[[#Headers],[Production system j]], 0)</f>
        <v>Not irrigated</v>
      </c>
      <c r="H191" s="39" t="str" cm="1">
        <f t="array" ref="H191">Common_InputFunctions.Utility_DisplayArrayInTable(Common_SourceData.Common_SourceData_EFN2O_Data(), Table_SourceData_Common_EFN2O[[#Headers],[Production system j]], 0)</f>
        <v>Low rainfall</v>
      </c>
    </row>
    <row r="192" spans="4:68" ht="20.100000000000001" customHeight="1" x14ac:dyDescent="0.25">
      <c r="D192" s="39" t="str" cm="1">
        <f t="array" ref="D192">Common_InputFunctions.Utility_DisplayArrayInTable(Common_SourceData.Common_SourceData_EFN2O_Data(), Table_SourceData_Common_EFN2O[[#Headers],[Production system j]], 0)</f>
        <v>Non-irrigated crop (high rainfall)</v>
      </c>
      <c r="E192" s="39" cm="1">
        <f t="array" ref="E192">Common_InputFunctions.Utility_DisplayArrayInTable(Common_SourceData.Common_SourceData_EFN2O_Data(), Table_SourceData_Common_EFN2O[[#Headers],[Production system j]], 0)</f>
        <v>8.0000000000000002E-3</v>
      </c>
      <c r="F192" s="39" t="str" cm="1">
        <f t="array" ref="F192">Common_InputFunctions.Utility_DisplayArrayInTable(Common_SourceData.Common_SourceData_EFN2O_Data(), Table_SourceData_Common_EFN2O[[#Headers],[Production system j]], 0)</f>
        <v>Crop</v>
      </c>
      <c r="G192" s="39" t="str" cm="1">
        <f t="array" ref="G192">Common_InputFunctions.Utility_DisplayArrayInTable(Common_SourceData.Common_SourceData_EFN2O_Data(), Table_SourceData_Common_EFN2O[[#Headers],[Production system j]], 0)</f>
        <v>Not irrigated</v>
      </c>
      <c r="H192" s="39" t="str" cm="1">
        <f t="array" ref="H192">Common_InputFunctions.Utility_DisplayArrayInTable(Common_SourceData.Common_SourceData_EFN2O_Data(), Table_SourceData_Common_EFN2O[[#Headers],[Production system j]], 0)</f>
        <v>High rainfall</v>
      </c>
    </row>
    <row r="193" spans="4:8" ht="20.100000000000001" customHeight="1" x14ac:dyDescent="0.25">
      <c r="D193" s="39" t="str" cm="1">
        <f t="array" ref="D193">Common_InputFunctions.Utility_DisplayArrayInTable(Common_SourceData.Common_SourceData_EFN2O_Data(), Table_SourceData_Common_EFN2O[[#Headers],[Production system j]], 0)</f>
        <v>Sugar</v>
      </c>
      <c r="E193" s="39" cm="1">
        <f t="array" ref="E193">Common_InputFunctions.Utility_DisplayArrayInTable(Common_SourceData.Common_SourceData_EFN2O_Data(), Table_SourceData_Common_EFN2O[[#Headers],[Production system j]], 0)</f>
        <v>1.9900000000000001E-2</v>
      </c>
      <c r="F193" s="39" t="str" cm="1">
        <f t="array" ref="F193">Common_InputFunctions.Utility_DisplayArrayInTable(Common_SourceData.Common_SourceData_EFN2O_Data(), Table_SourceData_Common_EFN2O[[#Headers],[Production system j]], 0)</f>
        <v>Sugar</v>
      </c>
      <c r="G193" s="39" t="str" cm="1">
        <f t="array" ref="G193">Common_InputFunctions.Utility_DisplayArrayInTable(Common_SourceData.Common_SourceData_EFN2O_Data(), Table_SourceData_Common_EFN2O[[#Headers],[Production system j]], 0)</f>
        <v>Any</v>
      </c>
      <c r="H193" s="39" t="str" cm="1">
        <f t="array" ref="H193">Common_InputFunctions.Utility_DisplayArrayInTable(Common_SourceData.Common_SourceData_EFN2O_Data(), Table_SourceData_Common_EFN2O[[#Headers],[Production system j]], 0)</f>
        <v>Any</v>
      </c>
    </row>
    <row r="194" spans="4:8" ht="20.100000000000001" customHeight="1" x14ac:dyDescent="0.25">
      <c r="D194" s="39" t="str" cm="1">
        <f t="array" ref="D194">Common_InputFunctions.Utility_DisplayArrayInTable(Common_SourceData.Common_SourceData_EFN2O_Data(), Table_SourceData_Common_EFN2O[[#Headers],[Production system j]], 0)</f>
        <v>Cotton</v>
      </c>
      <c r="E194" s="39" cm="1">
        <f t="array" ref="E194">Common_InputFunctions.Utility_DisplayArrayInTable(Common_SourceData.Common_SourceData_EFN2O_Data(), Table_SourceData_Common_EFN2O[[#Headers],[Production system j]], 0)</f>
        <v>5.3E-3</v>
      </c>
      <c r="F194" s="39" t="str" cm="1">
        <f t="array" ref="F194">Common_InputFunctions.Utility_DisplayArrayInTable(Common_SourceData.Common_SourceData_EFN2O_Data(), Table_SourceData_Common_EFN2O[[#Headers],[Production system j]], 0)</f>
        <v>Cotton</v>
      </c>
      <c r="G194" s="39" t="str" cm="1">
        <f t="array" ref="G194">Common_InputFunctions.Utility_DisplayArrayInTable(Common_SourceData.Common_SourceData_EFN2O_Data(), Table_SourceData_Common_EFN2O[[#Headers],[Production system j]], 0)</f>
        <v>Any</v>
      </c>
      <c r="H194" s="39" t="str" cm="1">
        <f t="array" ref="H194">Common_InputFunctions.Utility_DisplayArrayInTable(Common_SourceData.Common_SourceData_EFN2O_Data(), Table_SourceData_Common_EFN2O[[#Headers],[Production system j]], 0)</f>
        <v>Any</v>
      </c>
    </row>
    <row r="195" spans="4:8" ht="20.100000000000001" customHeight="1" x14ac:dyDescent="0.25">
      <c r="D195" s="39" t="str" cm="1">
        <f t="array" ref="D195">Common_InputFunctions.Utility_DisplayArrayInTable(Common_SourceData.Common_SourceData_EFN2O_Data(), Table_SourceData_Common_EFN2O[[#Headers],[Production system j]], 0)</f>
        <v>Horticultural crops</v>
      </c>
      <c r="E195" s="39" cm="1">
        <f t="array" ref="E195">Common_InputFunctions.Utility_DisplayArrayInTable(Common_SourceData.Common_SourceData_EFN2O_Data(), Table_SourceData_Common_EFN2O[[#Headers],[Production system j]], 0)</f>
        <v>6.4000000000000003E-3</v>
      </c>
      <c r="F195" s="39" t="str" cm="1">
        <f t="array" ref="F195">Common_InputFunctions.Utility_DisplayArrayInTable(Common_SourceData.Common_SourceData_EFN2O_Data(), Table_SourceData_Common_EFN2O[[#Headers],[Production system j]], 0)</f>
        <v>Horticultural crops</v>
      </c>
      <c r="G195" s="39" t="str" cm="1">
        <f t="array" ref="G195">Common_InputFunctions.Utility_DisplayArrayInTable(Common_SourceData.Common_SourceData_EFN2O_Data(), Table_SourceData_Common_EFN2O[[#Headers],[Production system j]], 0)</f>
        <v>Any</v>
      </c>
      <c r="H195" s="39" t="str" cm="1">
        <f t="array" ref="H195">Common_InputFunctions.Utility_DisplayArrayInTable(Common_SourceData.Common_SourceData_EFN2O_Data(), Table_SourceData_Common_EFN2O[[#Headers],[Production system j]], 0)</f>
        <v>Any</v>
      </c>
    </row>
    <row r="196" spans="4:8" ht="20.100000000000001" customHeight="1" x14ac:dyDescent="0.25">
      <c r="D196" s="39" t="str" cm="1">
        <f t="array" ref="D196">Common_InputFunctions.Utility_DisplayArrayInTable(Common_SourceData.Common_SourceData_EFN2O_Data(), Table_SourceData_Common_EFN2O[[#Headers],[Production system j]], 0)</f>
        <v>Rice (continuous flooding)</v>
      </c>
      <c r="E196" s="39" cm="1">
        <f t="array" ref="E196">Common_InputFunctions.Utility_DisplayArrayInTable(Common_SourceData.Common_SourceData_EFN2O_Data(), Table_SourceData_Common_EFN2O[[#Headers],[Production system j]], 0)</f>
        <v>3.0000000000000001E-3</v>
      </c>
      <c r="F196" s="39" t="str" cm="1">
        <f t="array" ref="F196">Common_InputFunctions.Utility_DisplayArrayInTable(Common_SourceData.Common_SourceData_EFN2O_Data(), Table_SourceData_Common_EFN2O[[#Headers],[Production system j]], 0)</f>
        <v>Rice</v>
      </c>
      <c r="G196" s="39" t="str" cm="1">
        <f t="array" ref="G196">Common_InputFunctions.Utility_DisplayArrayInTable(Common_SourceData.Common_SourceData_EFN2O_Data(), Table_SourceData_Common_EFN2O[[#Headers],[Production system j]], 0)</f>
        <v>Continuous flooding</v>
      </c>
      <c r="H196" s="39" t="str" cm="1">
        <f t="array" ref="H196">Common_InputFunctions.Utility_DisplayArrayInTable(Common_SourceData.Common_SourceData_EFN2O_Data(), Table_SourceData_Common_EFN2O[[#Headers],[Production system j]], 0)</f>
        <v>Any</v>
      </c>
    </row>
    <row r="197" spans="4:8" x14ac:dyDescent="0.25">
      <c r="D197" s="39" t="str" cm="1">
        <f t="array" ref="D197">Common_InputFunctions.Utility_DisplayArrayInTable(Common_SourceData.Common_SourceData_EFN2O_Data(), Table_SourceData_Common_EFN2O[[#Headers],[Production system j]], 0)</f>
        <v>Rice (single and multiple drainage, or alternate wetting and drying)</v>
      </c>
      <c r="E197" s="39" cm="1">
        <f t="array" ref="E197">Common_InputFunctions.Utility_DisplayArrayInTable(Common_SourceData.Common_SourceData_EFN2O_Data(), Table_SourceData_Common_EFN2O[[#Headers],[Production system j]], 0)</f>
        <v>5.0000000000000001E-3</v>
      </c>
      <c r="F197" s="39" t="str" cm="1">
        <f t="array" ref="F197">Common_InputFunctions.Utility_DisplayArrayInTable(Common_SourceData.Common_SourceData_EFN2O_Data(), Table_SourceData_Common_EFN2O[[#Headers],[Production system j]], 0)</f>
        <v>Rice</v>
      </c>
      <c r="G197" s="39" t="str" cm="1">
        <f t="array" ref="G197">Common_InputFunctions.Utility_DisplayArrayInTable(Common_SourceData.Common_SourceData_EFN2O_Data(), Table_SourceData_Common_EFN2O[[#Headers],[Production system j]], 0)</f>
        <v>Single and multiple drainage, or alternate wetting and drying</v>
      </c>
      <c r="H197" s="39" t="str" cm="1">
        <f t="array" ref="H197">Common_InputFunctions.Utility_DisplayArrayInTable(Common_SourceData.Common_SourceData_EFN2O_Data(), Table_SourceData_Common_EFN2O[[#Headers],[Production system j]], 0)</f>
        <v>Any</v>
      </c>
    </row>
    <row r="198" spans="4:8" x14ac:dyDescent="0.25">
      <c r="D198" s="39" t="str" cm="1">
        <f t="array" ref="D198">Common_InputFunctions.Utility_DisplayArrayInTable(Common_SourceData.Common_SourceData_EFN2O_Data(), Table_SourceData_Common_EFN2O[[#Headers],[Production system j]], 0)</f>
        <v>Aquaculture</v>
      </c>
      <c r="E198" s="39" cm="1">
        <f t="array" ref="E198">Common_InputFunctions.Utility_DisplayArrayInTable(Common_SourceData.Common_SourceData_EFN2O_Data(), Table_SourceData_Common_EFN2O[[#Headers],[Production system j]], 0)</f>
        <v>2.5999999999999999E-3</v>
      </c>
      <c r="F198" s="39" t="str" cm="1">
        <f t="array" ref="F198">Common_InputFunctions.Utility_DisplayArrayInTable(Common_SourceData.Common_SourceData_EFN2O_Data(), Table_SourceData_Common_EFN2O[[#Headers],[Production system j]], 0)</f>
        <v>Aquaculture</v>
      </c>
      <c r="G198" s="39" t="str" cm="1">
        <f t="array" ref="G198">Common_InputFunctions.Utility_DisplayArrayInTable(Common_SourceData.Common_SourceData_EFN2O_Data(), Table_SourceData_Common_EFN2O[[#Headers],[Production system j]], 0)</f>
        <v>Any</v>
      </c>
      <c r="H198" s="39" t="str" cm="1">
        <f t="array" ref="H198">Common_InputFunctions.Utility_DisplayArrayInTable(Common_SourceData.Common_SourceData_EFN2O_Data(), Table_SourceData_Common_EFN2O[[#Headers],[Production system j]], 0)</f>
        <v>Any</v>
      </c>
    </row>
    <row r="199" spans="4:8" x14ac:dyDescent="0.25">
      <c r="D199" s="39" t="str" cm="1">
        <f t="array" ref="D199">Common_InputFunctions.Utility_DisplayArrayInTable(Common_SourceData.Common_SourceData_EFN2O_Data(), Table_SourceData_Common_EFN2O[[#Headers],[Production system j]], 0)</f>
        <v>Forestry</v>
      </c>
      <c r="E199" s="39" cm="1">
        <f t="array" ref="E199">Common_InputFunctions.Utility_DisplayArrayInTable(Common_SourceData.Common_SourceData_EFN2O_Data(), Table_SourceData_Common_EFN2O[[#Headers],[Production system j]], 0)</f>
        <v>1.8E-3</v>
      </c>
      <c r="F199" s="39" t="str" cm="1">
        <f t="array" ref="F199">Common_InputFunctions.Utility_DisplayArrayInTable(Common_SourceData.Common_SourceData_EFN2O_Data(), Table_SourceData_Common_EFN2O[[#Headers],[Production system j]], 0)</f>
        <v>Forestry</v>
      </c>
      <c r="G199" s="39" t="str" cm="1">
        <f t="array" ref="G199">Common_InputFunctions.Utility_DisplayArrayInTable(Common_SourceData.Common_SourceData_EFN2O_Data(), Table_SourceData_Common_EFN2O[[#Headers],[Production system j]], 0)</f>
        <v>Any</v>
      </c>
      <c r="H199" s="39" t="str" cm="1">
        <f t="array" ref="H199">Common_InputFunctions.Utility_DisplayArrayInTable(Common_SourceData.Common_SourceData_EFN2O_Data(), Table_SourceData_Common_EFN2O[[#Headers],[Production system j]], 0)</f>
        <v>Any</v>
      </c>
    </row>
    <row r="202" spans="4:8" ht="23.25" x14ac:dyDescent="0.25">
      <c r="D202" s="6" t="str" cm="1">
        <f t="array" ref="D202">Common_SourceData.Common_SourceData_EFPastureRangeAndPaddock_Title()</f>
        <v>Emission factor for urine and dung deposited on pasture, range or paddock</v>
      </c>
    </row>
    <row r="203" spans="4:8" x14ac:dyDescent="0.25">
      <c r="D203" s="5" t="str" cm="1">
        <f t="array" ref="D203">Common_SourceData.Common_SourceData_EFPastureRangeAndPaddock_Source()</f>
        <v>VEERG 2026: Table A.2.2.2</v>
      </c>
    </row>
    <row r="204" spans="4:8" x14ac:dyDescent="0.25">
      <c r="D204" s="56" t="str" cm="1">
        <f t="array" ref="D204">Common_SourceData.Common_SourceData_EFPastureRangeAndPaddock_Variation()</f>
        <v>VARIATION FROM SOURCE DATA: Changed 'Dry climate zones' to singular 'Dry climate zone' to aid lookup.</v>
      </c>
    </row>
    <row r="205" spans="4:8" x14ac:dyDescent="0.25">
      <c r="D205" s="55" t="str" cm="1">
        <f t="array" ref="D205">Common_SourceData.Common_SourceData_EFPastureRangeAndPaddock_Unit()</f>
        <v>kg N2O - N / kg N</v>
      </c>
    </row>
    <row r="206" spans="4:8" x14ac:dyDescent="0.25">
      <c r="D206" s="39" t="s">
        <v>8</v>
      </c>
      <c r="E206" s="39" t="s">
        <v>114</v>
      </c>
    </row>
    <row r="207" spans="4:8" x14ac:dyDescent="0.25">
      <c r="D207" s="39" t="str" cm="1">
        <f t="array" ref="D207">Common_InputFunctions.Utility_DisplayArrayInTable(Common_SourceData.Common_SourceData_EFPastureRangeAndPaddock_Data(), Table_SourceData_EFPastureRangeAndPaddock[[#Headers],[Climate zone]], 0)</f>
        <v>Wet climate zone</v>
      </c>
      <c r="E207" s="39" cm="1">
        <f t="array" ref="E207">Common_InputFunctions.Utility_DisplayArrayInTable(Common_SourceData.Common_SourceData_EFPastureRangeAndPaddock_Data(), Table_SourceData_EFPastureRangeAndPaddock[[#Headers],[Climate zone]], 0)</f>
        <v>6.0000000000000001E-3</v>
      </c>
    </row>
    <row r="208" spans="4:8" x14ac:dyDescent="0.25">
      <c r="D208" s="1" t="str" cm="1">
        <f t="array" ref="D208">Common_InputFunctions.Utility_DisplayArrayInTable(Common_SourceData.Common_SourceData_EFPastureRangeAndPaddock_Data(), Table_SourceData_EFPastureRangeAndPaddock[[#Headers],[Climate zone]], 0)</f>
        <v>Dry climate zone</v>
      </c>
      <c r="E208" s="39" cm="1">
        <f t="array" ref="E208">Common_InputFunctions.Utility_DisplayArrayInTable(Common_SourceData.Common_SourceData_EFPastureRangeAndPaddock_Data(), Table_SourceData_EFPastureRangeAndPaddock[[#Headers],[Climate zone]], 0)</f>
        <v>2E-3</v>
      </c>
    </row>
    <row r="211" spans="4:5" x14ac:dyDescent="0.25">
      <c r="D211" s="1" t="str" cm="1">
        <f t="array" ref="D211">Common_SourceData.Common_SourceData_MonthsToSeasons_Title()</f>
        <v>Months to Seasons Mapping</v>
      </c>
    </row>
    <row r="212" spans="4:5" x14ac:dyDescent="0.25">
      <c r="D212" s="39" t="s">
        <v>115</v>
      </c>
      <c r="E212" s="39" t="s">
        <v>116</v>
      </c>
    </row>
    <row r="213" spans="4:5" x14ac:dyDescent="0.25">
      <c r="D213" s="39" t="str" cm="1">
        <f t="array" ref="D213">Common_InputFunctions.Utility_DisplayArrayInTable(Common_SourceData.Common_SourceData_MonthsToSeasons_Data(), Table_SourceData_Common_MonthToSeason[[#Headers],[Month]], 0)</f>
        <v>January</v>
      </c>
      <c r="E213" s="39" t="str" cm="1">
        <f t="array" ref="E213">Common_InputFunctions.Utility_DisplayArrayInTable(Common_SourceData.Common_SourceData_MonthsToSeasons_Data(), Table_SourceData_Common_MonthToSeason[[#Headers],[Month]], 0)</f>
        <v>Summer</v>
      </c>
    </row>
    <row r="214" spans="4:5" x14ac:dyDescent="0.25">
      <c r="D214" s="1" t="str" cm="1">
        <f t="array" ref="D214">Common_InputFunctions.Utility_DisplayArrayInTable(Common_SourceData.Common_SourceData_MonthsToSeasons_Data(), Table_SourceData_Common_MonthToSeason[[#Headers],[Month]], 0)</f>
        <v>February</v>
      </c>
      <c r="E214" s="39" t="str" cm="1">
        <f t="array" ref="E214">Common_InputFunctions.Utility_DisplayArrayInTable(Common_SourceData.Common_SourceData_MonthsToSeasons_Data(), Table_SourceData_Common_MonthToSeason[[#Headers],[Month]], 0)</f>
        <v>Summer</v>
      </c>
    </row>
    <row r="215" spans="4:5" x14ac:dyDescent="0.25">
      <c r="D215" s="1" t="str" cm="1">
        <f t="array" ref="D215">Common_InputFunctions.Utility_DisplayArrayInTable(Common_SourceData.Common_SourceData_MonthsToSeasons_Data(), Table_SourceData_Common_MonthToSeason[[#Headers],[Month]], 0)</f>
        <v>March</v>
      </c>
      <c r="E215" s="39" t="str" cm="1">
        <f t="array" ref="E215">Common_InputFunctions.Utility_DisplayArrayInTable(Common_SourceData.Common_SourceData_MonthsToSeasons_Data(), Table_SourceData_Common_MonthToSeason[[#Headers],[Month]], 0)</f>
        <v>Autumn</v>
      </c>
    </row>
    <row r="216" spans="4:5" x14ac:dyDescent="0.25">
      <c r="D216" s="1" t="str" cm="1">
        <f t="array" ref="D216">Common_InputFunctions.Utility_DisplayArrayInTable(Common_SourceData.Common_SourceData_MonthsToSeasons_Data(), Table_SourceData_Common_MonthToSeason[[#Headers],[Month]], 0)</f>
        <v>April</v>
      </c>
      <c r="E216" s="39" t="str" cm="1">
        <f t="array" ref="E216">Common_InputFunctions.Utility_DisplayArrayInTable(Common_SourceData.Common_SourceData_MonthsToSeasons_Data(), Table_SourceData_Common_MonthToSeason[[#Headers],[Month]], 0)</f>
        <v>Autumn</v>
      </c>
    </row>
    <row r="217" spans="4:5" x14ac:dyDescent="0.25">
      <c r="D217" s="1" t="str" cm="1">
        <f t="array" ref="D217">Common_InputFunctions.Utility_DisplayArrayInTable(Common_SourceData.Common_SourceData_MonthsToSeasons_Data(), Table_SourceData_Common_MonthToSeason[[#Headers],[Month]], 0)</f>
        <v>May</v>
      </c>
      <c r="E217" s="39" t="str" cm="1">
        <f t="array" ref="E217">Common_InputFunctions.Utility_DisplayArrayInTable(Common_SourceData.Common_SourceData_MonthsToSeasons_Data(), Table_SourceData_Common_MonthToSeason[[#Headers],[Month]], 0)</f>
        <v>Autumn</v>
      </c>
    </row>
    <row r="218" spans="4:5" x14ac:dyDescent="0.25">
      <c r="D218" s="1" t="str" cm="1">
        <f t="array" ref="D218">Common_InputFunctions.Utility_DisplayArrayInTable(Common_SourceData.Common_SourceData_MonthsToSeasons_Data(), Table_SourceData_Common_MonthToSeason[[#Headers],[Month]], 0)</f>
        <v>June</v>
      </c>
      <c r="E218" s="39" t="str" cm="1">
        <f t="array" ref="E218">Common_InputFunctions.Utility_DisplayArrayInTable(Common_SourceData.Common_SourceData_MonthsToSeasons_Data(), Table_SourceData_Common_MonthToSeason[[#Headers],[Month]], 0)</f>
        <v>Winter</v>
      </c>
    </row>
    <row r="219" spans="4:5" x14ac:dyDescent="0.25">
      <c r="D219" s="1" t="str" cm="1">
        <f t="array" ref="D219">Common_InputFunctions.Utility_DisplayArrayInTable(Common_SourceData.Common_SourceData_MonthsToSeasons_Data(), Table_SourceData_Common_MonthToSeason[[#Headers],[Month]], 0)</f>
        <v>July</v>
      </c>
      <c r="E219" s="39" t="str" cm="1">
        <f t="array" ref="E219">Common_InputFunctions.Utility_DisplayArrayInTable(Common_SourceData.Common_SourceData_MonthsToSeasons_Data(), Table_SourceData_Common_MonthToSeason[[#Headers],[Month]], 0)</f>
        <v>Winter</v>
      </c>
    </row>
    <row r="220" spans="4:5" x14ac:dyDescent="0.25">
      <c r="D220" s="1" t="str" cm="1">
        <f t="array" ref="D220">Common_InputFunctions.Utility_DisplayArrayInTable(Common_SourceData.Common_SourceData_MonthsToSeasons_Data(), Table_SourceData_Common_MonthToSeason[[#Headers],[Month]], 0)</f>
        <v>August</v>
      </c>
      <c r="E220" s="39" t="str" cm="1">
        <f t="array" ref="E220">Common_InputFunctions.Utility_DisplayArrayInTable(Common_SourceData.Common_SourceData_MonthsToSeasons_Data(), Table_SourceData_Common_MonthToSeason[[#Headers],[Month]], 0)</f>
        <v>Winter</v>
      </c>
    </row>
    <row r="221" spans="4:5" x14ac:dyDescent="0.25">
      <c r="D221" s="1" t="str" cm="1">
        <f t="array" ref="D221">Common_InputFunctions.Utility_DisplayArrayInTable(Common_SourceData.Common_SourceData_MonthsToSeasons_Data(), Table_SourceData_Common_MonthToSeason[[#Headers],[Month]], 0)</f>
        <v>September</v>
      </c>
      <c r="E221" s="39" t="str" cm="1">
        <f t="array" ref="E221">Common_InputFunctions.Utility_DisplayArrayInTable(Common_SourceData.Common_SourceData_MonthsToSeasons_Data(), Table_SourceData_Common_MonthToSeason[[#Headers],[Month]], 0)</f>
        <v>Spring</v>
      </c>
    </row>
    <row r="222" spans="4:5" x14ac:dyDescent="0.25">
      <c r="D222" s="1" t="str" cm="1">
        <f t="array" ref="D222">Common_InputFunctions.Utility_DisplayArrayInTable(Common_SourceData.Common_SourceData_MonthsToSeasons_Data(), Table_SourceData_Common_MonthToSeason[[#Headers],[Month]], 0)</f>
        <v>October</v>
      </c>
      <c r="E222" s="39" t="str" cm="1">
        <f t="array" ref="E222">Common_InputFunctions.Utility_DisplayArrayInTable(Common_SourceData.Common_SourceData_MonthsToSeasons_Data(), Table_SourceData_Common_MonthToSeason[[#Headers],[Month]], 0)</f>
        <v>Spring</v>
      </c>
    </row>
    <row r="223" spans="4:5" x14ac:dyDescent="0.25">
      <c r="D223" s="1" t="str" cm="1">
        <f t="array" ref="D223">Common_InputFunctions.Utility_DisplayArrayInTable(Common_SourceData.Common_SourceData_MonthsToSeasons_Data(), Table_SourceData_Common_MonthToSeason[[#Headers],[Month]], 0)</f>
        <v>November</v>
      </c>
      <c r="E223" s="39" t="str" cm="1">
        <f t="array" ref="E223">Common_InputFunctions.Utility_DisplayArrayInTable(Common_SourceData.Common_SourceData_MonthsToSeasons_Data(), Table_SourceData_Common_MonthToSeason[[#Headers],[Month]], 0)</f>
        <v>Spring</v>
      </c>
    </row>
    <row r="224" spans="4:5" x14ac:dyDescent="0.25">
      <c r="D224" s="1" t="str" cm="1">
        <f t="array" ref="D224">Common_InputFunctions.Utility_DisplayArrayInTable(Common_SourceData.Common_SourceData_MonthsToSeasons_Data(), Table_SourceData_Common_MonthToSeason[[#Headers],[Month]], 0)</f>
        <v>December</v>
      </c>
      <c r="E224" s="39" t="str" cm="1">
        <f t="array" ref="E224">Common_InputFunctions.Utility_DisplayArrayInTable(Common_SourceData.Common_SourceData_MonthsToSeasons_Data(), Table_SourceData_Common_MonthToSeason[[#Headers],[Month]], 0)</f>
        <v>Summer</v>
      </c>
    </row>
    <row r="227" spans="4:19" ht="23.25" x14ac:dyDescent="0.25">
      <c r="D227" s="6" t="str" cm="1">
        <f t="array" ref="D227">Common_SourceData.Common_SourceData_MCFTemperatureZone_Title()</f>
        <v>Manure Management – Methane conversion factor per temperature zone (fraction) (MCFim)</v>
      </c>
    </row>
    <row r="228" spans="4:19" x14ac:dyDescent="0.25">
      <c r="D228" s="5" t="str" cm="1">
        <f t="array" ref="D228">Common_SourceData.Common_SourceData_MCFTemperatureZone_Source()</f>
        <v>VEERG 2026: Table A.1.8.1</v>
      </c>
    </row>
    <row r="229" spans="4:19" x14ac:dyDescent="0.25">
      <c r="D229" s="56" t="str" cm="1">
        <f t="array" ref="D229">Common_SourceData.Common_SourceData_MCFTemperatureZone_Variation()</f>
        <v>VARIATION FROM SOURCE: Added row of NIR MMA definitions to aid lookup. Duplicated 'Poultry with and without litter' column with separate NIR definitions to aid lookup. Added 'MAT raw' column to allow lookup of numbers.</v>
      </c>
    </row>
    <row r="231" spans="4:19" x14ac:dyDescent="0.25">
      <c r="D231" s="39" t="s">
        <v>49</v>
      </c>
      <c r="E231" s="39" t="s">
        <v>125</v>
      </c>
      <c r="F231" s="38" t="s">
        <v>126</v>
      </c>
      <c r="G231" s="39" t="s">
        <v>127</v>
      </c>
      <c r="H231" s="39" t="s">
        <v>128</v>
      </c>
      <c r="I231" s="39" t="s">
        <v>129</v>
      </c>
      <c r="J231" s="39" t="s">
        <v>130</v>
      </c>
      <c r="K231" s="39" t="s">
        <v>131</v>
      </c>
      <c r="L231" s="39" t="s">
        <v>132</v>
      </c>
      <c r="M231" s="39" t="s">
        <v>133</v>
      </c>
      <c r="N231" s="39" t="s">
        <v>134</v>
      </c>
      <c r="O231" s="39" t="s">
        <v>135</v>
      </c>
      <c r="P231" s="39" t="s">
        <v>136</v>
      </c>
      <c r="Q231" s="39" t="s">
        <v>123</v>
      </c>
      <c r="R231" s="39" t="s">
        <v>137</v>
      </c>
      <c r="S231" s="39" t="s">
        <v>138</v>
      </c>
    </row>
    <row r="232" spans="4:19" x14ac:dyDescent="0.25">
      <c r="D232" s="39" t="str" cm="1">
        <f t="array" ref="D232">Common_InputFunctions.Utility_DisplayArrayInTable(Common_SourceData.Common_SourceData_MCFTemperatureZone_Data(),Table_SourceData_Common_MCFTemperatureZone[[#Headers],[Temperature zone]],0)</f>
        <v>Cool</v>
      </c>
      <c r="E232" s="39" t="str" cm="1">
        <f t="array" ref="E232">Common_InputFunctions.Utility_DisplayArrayInTable(Common_SourceData.Common_SourceData_MCFTemperatureZone_Data(),Table_SourceData_Common_MCFTemperatureZone[[#Headers],[Temperature zone]],0)</f>
        <v>≤10</v>
      </c>
      <c r="F232" s="39" cm="1">
        <f t="array" ref="F232">Common_InputFunctions.Utility_DisplayArrayInTable(Common_SourceData.Common_SourceData_MCFTemperatureZone_Data(),Table_SourceData_Common_MCFTemperatureZone[[#Headers],[Temperature zone]],0)</f>
        <v>0.66</v>
      </c>
      <c r="G232" s="39" cm="1">
        <f t="array" ref="G232">Common_InputFunctions.Utility_DisplayArrayInTable(Common_SourceData.Common_SourceData_MCFTemperatureZone_Data(),Table_SourceData_Common_MCFTemperatureZone[[#Headers],[Temperature zone]],0)</f>
        <v>0.1</v>
      </c>
      <c r="H232" s="39" cm="1">
        <f t="array" ref="H232">Common_InputFunctions.Utility_DisplayArrayInTable(Common_SourceData.Common_SourceData_MCFTemperatureZone_Data(),Table_SourceData_Common_MCFTemperatureZone[[#Headers],[Temperature zone]],0)</f>
        <v>0.1</v>
      </c>
      <c r="I232" s="39" cm="1">
        <f t="array" ref="I232">Common_InputFunctions.Utility_DisplayArrayInTable(Common_SourceData.Common_SourceData_MCFTemperatureZone_Data(),Table_SourceData_Common_MCFTemperatureZone[[#Headers],[Temperature zone]],0)</f>
        <v>1E-3</v>
      </c>
      <c r="J232" s="39" cm="1">
        <f t="array" ref="J232">Common_InputFunctions.Utility_DisplayArrayInTable(Common_SourceData.Common_SourceData_MCFTemperatureZone_Data(),Table_SourceData_Common_MCFTemperatureZone[[#Headers],[Temperature zone]],0)</f>
        <v>5.0000000000000001E-3</v>
      </c>
      <c r="K232" s="39" cm="1">
        <f t="array" ref="K232">Common_InputFunctions.Utility_DisplayArrayInTable(Common_SourceData.Common_SourceData_MCFTemperatureZone_Data(),Table_SourceData_Common_MCFTemperatureZone[[#Headers],[Temperature zone]],0)</f>
        <v>0.02</v>
      </c>
      <c r="L232" s="39" cm="1">
        <f t="array" ref="L232">Common_InputFunctions.Utility_DisplayArrayInTable(Common_SourceData.Common_SourceData_MCFTemperatureZone_Data(),Table_SourceData_Common_MCFTemperatureZone[[#Headers],[Temperature zone]],0)</f>
        <v>0.03</v>
      </c>
      <c r="M232" s="39" cm="1">
        <f t="array" ref="M232">Common_InputFunctions.Utility_DisplayArrayInTable(Common_SourceData.Common_SourceData_MCFTemperatureZone_Data(),Table_SourceData_Common_MCFTemperatureZone[[#Headers],[Temperature zone]],0)</f>
        <v>0.04</v>
      </c>
      <c r="N232" s="39" cm="1">
        <f t="array" ref="N232">Common_InputFunctions.Utility_DisplayArrayInTable(Common_SourceData.Common_SourceData_MCFTemperatureZone_Data(),Table_SourceData_Common_MCFTemperatureZone[[#Headers],[Temperature zone]],0)</f>
        <v>1.4999999999999999E-2</v>
      </c>
      <c r="O232" s="39" cm="1">
        <f t="array" ref="O232">Common_InputFunctions.Utility_DisplayArrayInTable(Common_SourceData.Common_SourceData_MCFTemperatureZone_Data(),Table_SourceData_Common_MCFTemperatureZone[[#Headers],[Temperature zone]],0)</f>
        <v>1.4999999999999999E-2</v>
      </c>
      <c r="P232" s="39" cm="1">
        <f t="array" ref="P232">Common_InputFunctions.Utility_DisplayArrayInTable(Common_SourceData.Common_SourceData_MCFTemperatureZone_Data(),Table_SourceData_Common_MCFTemperatureZone[[#Headers],[Temperature zone]],0)</f>
        <v>0</v>
      </c>
      <c r="Q232" s="39" cm="1">
        <f t="array" ref="Q232">Common_InputFunctions.Utility_DisplayArrayInTable(Common_SourceData.Common_SourceData_MCFTemperatureZone_Data(),Table_SourceData_Common_MCFTemperatureZone[[#Headers],[Temperature zone]],0)</f>
        <v>0</v>
      </c>
      <c r="R232" s="39" cm="1">
        <f t="array" ref="R232">Common_InputFunctions.Utility_DisplayArrayInTable(Common_SourceData.Common_SourceData_MCFTemperatureZone_Data(),Table_SourceData_Common_MCFTemperatureZone[[#Headers],[Temperature zone]],0)</f>
        <v>4.7000000000000002E-3</v>
      </c>
      <c r="S232" s="39" cm="1">
        <f t="array" ref="S232">Common_InputFunctions.Utility_DisplayArrayInTable(Common_SourceData.Common_SourceData_MCFTemperatureZone_Data(),Table_SourceData_Common_MCFTemperatureZone[[#Headers],[Temperature zone]],0)</f>
        <v>10</v>
      </c>
    </row>
    <row r="233" spans="4:19" x14ac:dyDescent="0.25">
      <c r="D233" s="1" t="str" cm="1">
        <f t="array" ref="D233">Common_InputFunctions.Utility_DisplayArrayInTable(Common_SourceData.Common_SourceData_MCFTemperatureZone_Data(),Table_SourceData_Common_MCFTemperatureZone[[#Headers],[Temperature zone]],0)</f>
        <v>Cool</v>
      </c>
      <c r="E233" s="39" cm="1">
        <f t="array" ref="E233">Common_InputFunctions.Utility_DisplayArrayInTable(Common_SourceData.Common_SourceData_MCFTemperatureZone_Data(),Table_SourceData_Common_MCFTemperatureZone[[#Headers],[Temperature zone]],0)</f>
        <v>11</v>
      </c>
      <c r="F233" s="39" cm="1">
        <f t="array" ref="F233">Common_InputFunctions.Utility_DisplayArrayInTable(Common_SourceData.Common_SourceData_MCFTemperatureZone_Data(),Table_SourceData_Common_MCFTemperatureZone[[#Headers],[Temperature zone]],0)</f>
        <v>0.68</v>
      </c>
      <c r="G233" s="39" cm="1">
        <f t="array" ref="G233">Common_InputFunctions.Utility_DisplayArrayInTable(Common_SourceData.Common_SourceData_MCFTemperatureZone_Data(),Table_SourceData_Common_MCFTemperatureZone[[#Headers],[Temperature zone]],0)</f>
        <v>0.1</v>
      </c>
      <c r="H233" s="39" cm="1">
        <f t="array" ref="H233">Common_InputFunctions.Utility_DisplayArrayInTable(Common_SourceData.Common_SourceData_MCFTemperatureZone_Data(),Table_SourceData_Common_MCFTemperatureZone[[#Headers],[Temperature zone]],0)</f>
        <v>0.11</v>
      </c>
      <c r="I233" s="39" cm="1">
        <f t="array" ref="I233">Common_InputFunctions.Utility_DisplayArrayInTable(Common_SourceData.Common_SourceData_MCFTemperatureZone_Data(),Table_SourceData_Common_MCFTemperatureZone[[#Headers],[Temperature zone]],0)</f>
        <v>1E-3</v>
      </c>
      <c r="J233" s="39" cm="1">
        <f t="array" ref="J233">Common_InputFunctions.Utility_DisplayArrayInTable(Common_SourceData.Common_SourceData_MCFTemperatureZone_Data(),Table_SourceData_Common_MCFTemperatureZone[[#Headers],[Temperature zone]],0)</f>
        <v>5.0000000000000001E-3</v>
      </c>
      <c r="K233" s="39" cm="1">
        <f t="array" ref="K233">Common_InputFunctions.Utility_DisplayArrayInTable(Common_SourceData.Common_SourceData_MCFTemperatureZone_Data(),Table_SourceData_Common_MCFTemperatureZone[[#Headers],[Temperature zone]],0)</f>
        <v>0.02</v>
      </c>
      <c r="L233" s="39" cm="1">
        <f t="array" ref="L233">Common_InputFunctions.Utility_DisplayArrayInTable(Common_SourceData.Common_SourceData_MCFTemperatureZone_Data(),Table_SourceData_Common_MCFTemperatureZone[[#Headers],[Temperature zone]],0)</f>
        <v>0.03</v>
      </c>
      <c r="M233" s="39" cm="1">
        <f t="array" ref="M233">Common_InputFunctions.Utility_DisplayArrayInTable(Common_SourceData.Common_SourceData_MCFTemperatureZone_Data(),Table_SourceData_Common_MCFTemperatureZone[[#Headers],[Temperature zone]],0)</f>
        <v>0.04</v>
      </c>
      <c r="N233" s="39" cm="1">
        <f t="array" ref="N233">Common_InputFunctions.Utility_DisplayArrayInTable(Common_SourceData.Common_SourceData_MCFTemperatureZone_Data(),Table_SourceData_Common_MCFTemperatureZone[[#Headers],[Temperature zone]],0)</f>
        <v>1.4999999999999999E-2</v>
      </c>
      <c r="O233" s="39" cm="1">
        <f t="array" ref="O233">Common_InputFunctions.Utility_DisplayArrayInTable(Common_SourceData.Common_SourceData_MCFTemperatureZone_Data(),Table_SourceData_Common_MCFTemperatureZone[[#Headers],[Temperature zone]],0)</f>
        <v>1.4999999999999999E-2</v>
      </c>
      <c r="P233" s="39" cm="1">
        <f t="array" ref="P233">Common_InputFunctions.Utility_DisplayArrayInTable(Common_SourceData.Common_SourceData_MCFTemperatureZone_Data(),Table_SourceData_Common_MCFTemperatureZone[[#Headers],[Temperature zone]],0)</f>
        <v>0</v>
      </c>
      <c r="Q233" s="39" cm="1">
        <f t="array" ref="Q233">Common_InputFunctions.Utility_DisplayArrayInTable(Common_SourceData.Common_SourceData_MCFTemperatureZone_Data(),Table_SourceData_Common_MCFTemperatureZone[[#Headers],[Temperature zone]],0)</f>
        <v>0</v>
      </c>
      <c r="R233" s="39" cm="1">
        <f t="array" ref="R233">Common_InputFunctions.Utility_DisplayArrayInTable(Common_SourceData.Common_SourceData_MCFTemperatureZone_Data(),Table_SourceData_Common_MCFTemperatureZone[[#Headers],[Temperature zone]],0)</f>
        <v>4.7000000000000002E-3</v>
      </c>
      <c r="S233" s="39" cm="1">
        <f t="array" ref="S233">Common_InputFunctions.Utility_DisplayArrayInTable(Common_SourceData.Common_SourceData_MCFTemperatureZone_Data(),Table_SourceData_Common_MCFTemperatureZone[[#Headers],[Temperature zone]],0)</f>
        <v>11</v>
      </c>
    </row>
    <row r="234" spans="4:19" x14ac:dyDescent="0.25">
      <c r="D234" s="1" t="str" cm="1">
        <f t="array" ref="D234">Common_InputFunctions.Utility_DisplayArrayInTable(Common_SourceData.Common_SourceData_MCFTemperatureZone_Data(),Table_SourceData_Common_MCFTemperatureZone[[#Headers],[Temperature zone]],0)</f>
        <v>Cool</v>
      </c>
      <c r="E234" s="39" cm="1">
        <f t="array" ref="E234">Common_InputFunctions.Utility_DisplayArrayInTable(Common_SourceData.Common_SourceData_MCFTemperatureZone_Data(),Table_SourceData_Common_MCFTemperatureZone[[#Headers],[Temperature zone]],0)</f>
        <v>12</v>
      </c>
      <c r="F234" s="39" cm="1">
        <f t="array" ref="F234">Common_InputFunctions.Utility_DisplayArrayInTable(Common_SourceData.Common_SourceData_MCFTemperatureZone_Data(),Table_SourceData_Common_MCFTemperatureZone[[#Headers],[Temperature zone]],0)</f>
        <v>0.7</v>
      </c>
      <c r="G234" s="39" cm="1">
        <f t="array" ref="G234">Common_InputFunctions.Utility_DisplayArrayInTable(Common_SourceData.Common_SourceData_MCFTemperatureZone_Data(),Table_SourceData_Common_MCFTemperatureZone[[#Headers],[Temperature zone]],0)</f>
        <v>0.1</v>
      </c>
      <c r="H234" s="39" cm="1">
        <f t="array" ref="H234">Common_InputFunctions.Utility_DisplayArrayInTable(Common_SourceData.Common_SourceData_MCFTemperatureZone_Data(),Table_SourceData_Common_MCFTemperatureZone[[#Headers],[Temperature zone]],0)</f>
        <v>0.13</v>
      </c>
      <c r="I234" s="39" cm="1">
        <f t="array" ref="I234">Common_InputFunctions.Utility_DisplayArrayInTable(Common_SourceData.Common_SourceData_MCFTemperatureZone_Data(),Table_SourceData_Common_MCFTemperatureZone[[#Headers],[Temperature zone]],0)</f>
        <v>1E-3</v>
      </c>
      <c r="J234" s="39" cm="1">
        <f t="array" ref="J234">Common_InputFunctions.Utility_DisplayArrayInTable(Common_SourceData.Common_SourceData_MCFTemperatureZone_Data(),Table_SourceData_Common_MCFTemperatureZone[[#Headers],[Temperature zone]],0)</f>
        <v>5.0000000000000001E-3</v>
      </c>
      <c r="K234" s="39" cm="1">
        <f t="array" ref="K234">Common_InputFunctions.Utility_DisplayArrayInTable(Common_SourceData.Common_SourceData_MCFTemperatureZone_Data(),Table_SourceData_Common_MCFTemperatureZone[[#Headers],[Temperature zone]],0)</f>
        <v>0.02</v>
      </c>
      <c r="L234" s="39" cm="1">
        <f t="array" ref="L234">Common_InputFunctions.Utility_DisplayArrayInTable(Common_SourceData.Common_SourceData_MCFTemperatureZone_Data(),Table_SourceData_Common_MCFTemperatureZone[[#Headers],[Temperature zone]],0)</f>
        <v>0.03</v>
      </c>
      <c r="M234" s="39" cm="1">
        <f t="array" ref="M234">Common_InputFunctions.Utility_DisplayArrayInTable(Common_SourceData.Common_SourceData_MCFTemperatureZone_Data(),Table_SourceData_Common_MCFTemperatureZone[[#Headers],[Temperature zone]],0)</f>
        <v>0.04</v>
      </c>
      <c r="N234" s="39" cm="1">
        <f t="array" ref="N234">Common_InputFunctions.Utility_DisplayArrayInTable(Common_SourceData.Common_SourceData_MCFTemperatureZone_Data(),Table_SourceData_Common_MCFTemperatureZone[[#Headers],[Temperature zone]],0)</f>
        <v>1.4999999999999999E-2</v>
      </c>
      <c r="O234" s="39" cm="1">
        <f t="array" ref="O234">Common_InputFunctions.Utility_DisplayArrayInTable(Common_SourceData.Common_SourceData_MCFTemperatureZone_Data(),Table_SourceData_Common_MCFTemperatureZone[[#Headers],[Temperature zone]],0)</f>
        <v>1.4999999999999999E-2</v>
      </c>
      <c r="P234" s="39" cm="1">
        <f t="array" ref="P234">Common_InputFunctions.Utility_DisplayArrayInTable(Common_SourceData.Common_SourceData_MCFTemperatureZone_Data(),Table_SourceData_Common_MCFTemperatureZone[[#Headers],[Temperature zone]],0)</f>
        <v>0</v>
      </c>
      <c r="Q234" s="39" cm="1">
        <f t="array" ref="Q234">Common_InputFunctions.Utility_DisplayArrayInTable(Common_SourceData.Common_SourceData_MCFTemperatureZone_Data(),Table_SourceData_Common_MCFTemperatureZone[[#Headers],[Temperature zone]],0)</f>
        <v>0</v>
      </c>
      <c r="R234" s="39" cm="1">
        <f t="array" ref="R234">Common_InputFunctions.Utility_DisplayArrayInTable(Common_SourceData.Common_SourceData_MCFTemperatureZone_Data(),Table_SourceData_Common_MCFTemperatureZone[[#Headers],[Temperature zone]],0)</f>
        <v>4.7000000000000002E-3</v>
      </c>
      <c r="S234" s="39" cm="1">
        <f t="array" ref="S234">Common_InputFunctions.Utility_DisplayArrayInTable(Common_SourceData.Common_SourceData_MCFTemperatureZone_Data(),Table_SourceData_Common_MCFTemperatureZone[[#Headers],[Temperature zone]],0)</f>
        <v>12</v>
      </c>
    </row>
    <row r="235" spans="4:19" x14ac:dyDescent="0.25">
      <c r="D235" s="1" t="str" cm="1">
        <f t="array" ref="D235">Common_InputFunctions.Utility_DisplayArrayInTable(Common_SourceData.Common_SourceData_MCFTemperatureZone_Data(),Table_SourceData_Common_MCFTemperatureZone[[#Headers],[Temperature zone]],0)</f>
        <v>Cool</v>
      </c>
      <c r="E235" s="39" cm="1">
        <f t="array" ref="E235">Common_InputFunctions.Utility_DisplayArrayInTable(Common_SourceData.Common_SourceData_MCFTemperatureZone_Data(),Table_SourceData_Common_MCFTemperatureZone[[#Headers],[Temperature zone]],0)</f>
        <v>13</v>
      </c>
      <c r="F235" s="39" cm="1">
        <f t="array" ref="F235">Common_InputFunctions.Utility_DisplayArrayInTable(Common_SourceData.Common_SourceData_MCFTemperatureZone_Data(),Table_SourceData_Common_MCFTemperatureZone[[#Headers],[Temperature zone]],0)</f>
        <v>0.71</v>
      </c>
      <c r="G235" s="39" cm="1">
        <f t="array" ref="G235">Common_InputFunctions.Utility_DisplayArrayInTable(Common_SourceData.Common_SourceData_MCFTemperatureZone_Data(),Table_SourceData_Common_MCFTemperatureZone[[#Headers],[Temperature zone]],0)</f>
        <v>0.1</v>
      </c>
      <c r="H235" s="39" cm="1">
        <f t="array" ref="H235">Common_InputFunctions.Utility_DisplayArrayInTable(Common_SourceData.Common_SourceData_MCFTemperatureZone_Data(),Table_SourceData_Common_MCFTemperatureZone[[#Headers],[Temperature zone]],0)</f>
        <v>0.14000000000000001</v>
      </c>
      <c r="I235" s="39" cm="1">
        <f t="array" ref="I235">Common_InputFunctions.Utility_DisplayArrayInTable(Common_SourceData.Common_SourceData_MCFTemperatureZone_Data(),Table_SourceData_Common_MCFTemperatureZone[[#Headers],[Temperature zone]],0)</f>
        <v>1E-3</v>
      </c>
      <c r="J235" s="39" cm="1">
        <f t="array" ref="J235">Common_InputFunctions.Utility_DisplayArrayInTable(Common_SourceData.Common_SourceData_MCFTemperatureZone_Data(),Table_SourceData_Common_MCFTemperatureZone[[#Headers],[Temperature zone]],0)</f>
        <v>5.0000000000000001E-3</v>
      </c>
      <c r="K235" s="39" cm="1">
        <f t="array" ref="K235">Common_InputFunctions.Utility_DisplayArrayInTable(Common_SourceData.Common_SourceData_MCFTemperatureZone_Data(),Table_SourceData_Common_MCFTemperatureZone[[#Headers],[Temperature zone]],0)</f>
        <v>0.02</v>
      </c>
      <c r="L235" s="39" cm="1">
        <f t="array" ref="L235">Common_InputFunctions.Utility_DisplayArrayInTable(Common_SourceData.Common_SourceData_MCFTemperatureZone_Data(),Table_SourceData_Common_MCFTemperatureZone[[#Headers],[Temperature zone]],0)</f>
        <v>0.03</v>
      </c>
      <c r="M235" s="39" cm="1">
        <f t="array" ref="M235">Common_InputFunctions.Utility_DisplayArrayInTable(Common_SourceData.Common_SourceData_MCFTemperatureZone_Data(),Table_SourceData_Common_MCFTemperatureZone[[#Headers],[Temperature zone]],0)</f>
        <v>0.04</v>
      </c>
      <c r="N235" s="39" cm="1">
        <f t="array" ref="N235">Common_InputFunctions.Utility_DisplayArrayInTable(Common_SourceData.Common_SourceData_MCFTemperatureZone_Data(),Table_SourceData_Common_MCFTemperatureZone[[#Headers],[Temperature zone]],0)</f>
        <v>1.4999999999999999E-2</v>
      </c>
      <c r="O235" s="39" cm="1">
        <f t="array" ref="O235">Common_InputFunctions.Utility_DisplayArrayInTable(Common_SourceData.Common_SourceData_MCFTemperatureZone_Data(),Table_SourceData_Common_MCFTemperatureZone[[#Headers],[Temperature zone]],0)</f>
        <v>1.4999999999999999E-2</v>
      </c>
      <c r="P235" s="39" cm="1">
        <f t="array" ref="P235">Common_InputFunctions.Utility_DisplayArrayInTable(Common_SourceData.Common_SourceData_MCFTemperatureZone_Data(),Table_SourceData_Common_MCFTemperatureZone[[#Headers],[Temperature zone]],0)</f>
        <v>0</v>
      </c>
      <c r="Q235" s="39" cm="1">
        <f t="array" ref="Q235">Common_InputFunctions.Utility_DisplayArrayInTable(Common_SourceData.Common_SourceData_MCFTemperatureZone_Data(),Table_SourceData_Common_MCFTemperatureZone[[#Headers],[Temperature zone]],0)</f>
        <v>0</v>
      </c>
      <c r="R235" s="39" cm="1">
        <f t="array" ref="R235">Common_InputFunctions.Utility_DisplayArrayInTable(Common_SourceData.Common_SourceData_MCFTemperatureZone_Data(),Table_SourceData_Common_MCFTemperatureZone[[#Headers],[Temperature zone]],0)</f>
        <v>4.7000000000000002E-3</v>
      </c>
      <c r="S235" s="39" cm="1">
        <f t="array" ref="S235">Common_InputFunctions.Utility_DisplayArrayInTable(Common_SourceData.Common_SourceData_MCFTemperatureZone_Data(),Table_SourceData_Common_MCFTemperatureZone[[#Headers],[Temperature zone]],0)</f>
        <v>13</v>
      </c>
    </row>
    <row r="236" spans="4:19" x14ac:dyDescent="0.25">
      <c r="D236" s="1" t="str" cm="1">
        <f t="array" ref="D236">Common_InputFunctions.Utility_DisplayArrayInTable(Common_SourceData.Common_SourceData_MCFTemperatureZone_Data(),Table_SourceData_Common_MCFTemperatureZone[[#Headers],[Temperature zone]],0)</f>
        <v>Cool</v>
      </c>
      <c r="E236" s="39" cm="1">
        <f t="array" ref="E236">Common_InputFunctions.Utility_DisplayArrayInTable(Common_SourceData.Common_SourceData_MCFTemperatureZone_Data(),Table_SourceData_Common_MCFTemperatureZone[[#Headers],[Temperature zone]],0)</f>
        <v>14</v>
      </c>
      <c r="F236" s="39" cm="1">
        <f t="array" ref="F236">Common_InputFunctions.Utility_DisplayArrayInTable(Common_SourceData.Common_SourceData_MCFTemperatureZone_Data(),Table_SourceData_Common_MCFTemperatureZone[[#Headers],[Temperature zone]],0)</f>
        <v>0.73</v>
      </c>
      <c r="G236" s="39" cm="1">
        <f t="array" ref="G236">Common_InputFunctions.Utility_DisplayArrayInTable(Common_SourceData.Common_SourceData_MCFTemperatureZone_Data(),Table_SourceData_Common_MCFTemperatureZone[[#Headers],[Temperature zone]],0)</f>
        <v>0.1</v>
      </c>
      <c r="H236" s="39" cm="1">
        <f t="array" ref="H236">Common_InputFunctions.Utility_DisplayArrayInTable(Common_SourceData.Common_SourceData_MCFTemperatureZone_Data(),Table_SourceData_Common_MCFTemperatureZone[[#Headers],[Temperature zone]],0)</f>
        <v>0.15</v>
      </c>
      <c r="I236" s="39" cm="1">
        <f t="array" ref="I236">Common_InputFunctions.Utility_DisplayArrayInTable(Common_SourceData.Common_SourceData_MCFTemperatureZone_Data(),Table_SourceData_Common_MCFTemperatureZone[[#Headers],[Temperature zone]],0)</f>
        <v>1E-3</v>
      </c>
      <c r="J236" s="39" cm="1">
        <f t="array" ref="J236">Common_InputFunctions.Utility_DisplayArrayInTable(Common_SourceData.Common_SourceData_MCFTemperatureZone_Data(),Table_SourceData_Common_MCFTemperatureZone[[#Headers],[Temperature zone]],0)</f>
        <v>5.0000000000000001E-3</v>
      </c>
      <c r="K236" s="39" cm="1">
        <f t="array" ref="K236">Common_InputFunctions.Utility_DisplayArrayInTable(Common_SourceData.Common_SourceData_MCFTemperatureZone_Data(),Table_SourceData_Common_MCFTemperatureZone[[#Headers],[Temperature zone]],0)</f>
        <v>0.02</v>
      </c>
      <c r="L236" s="39" cm="1">
        <f t="array" ref="L236">Common_InputFunctions.Utility_DisplayArrayInTable(Common_SourceData.Common_SourceData_MCFTemperatureZone_Data(),Table_SourceData_Common_MCFTemperatureZone[[#Headers],[Temperature zone]],0)</f>
        <v>0.03</v>
      </c>
      <c r="M236" s="39" cm="1">
        <f t="array" ref="M236">Common_InputFunctions.Utility_DisplayArrayInTable(Common_SourceData.Common_SourceData_MCFTemperatureZone_Data(),Table_SourceData_Common_MCFTemperatureZone[[#Headers],[Temperature zone]],0)</f>
        <v>0.04</v>
      </c>
      <c r="N236" s="39" cm="1">
        <f t="array" ref="N236">Common_InputFunctions.Utility_DisplayArrayInTable(Common_SourceData.Common_SourceData_MCFTemperatureZone_Data(),Table_SourceData_Common_MCFTemperatureZone[[#Headers],[Temperature zone]],0)</f>
        <v>1.4999999999999999E-2</v>
      </c>
      <c r="O236" s="39" cm="1">
        <f t="array" ref="O236">Common_InputFunctions.Utility_DisplayArrayInTable(Common_SourceData.Common_SourceData_MCFTemperatureZone_Data(),Table_SourceData_Common_MCFTemperatureZone[[#Headers],[Temperature zone]],0)</f>
        <v>1.4999999999999999E-2</v>
      </c>
      <c r="P236" s="39" cm="1">
        <f t="array" ref="P236">Common_InputFunctions.Utility_DisplayArrayInTable(Common_SourceData.Common_SourceData_MCFTemperatureZone_Data(),Table_SourceData_Common_MCFTemperatureZone[[#Headers],[Temperature zone]],0)</f>
        <v>0</v>
      </c>
      <c r="Q236" s="39" cm="1">
        <f t="array" ref="Q236">Common_InputFunctions.Utility_DisplayArrayInTable(Common_SourceData.Common_SourceData_MCFTemperatureZone_Data(),Table_SourceData_Common_MCFTemperatureZone[[#Headers],[Temperature zone]],0)</f>
        <v>0</v>
      </c>
      <c r="R236" s="39" cm="1">
        <f t="array" ref="R236">Common_InputFunctions.Utility_DisplayArrayInTable(Common_SourceData.Common_SourceData_MCFTemperatureZone_Data(),Table_SourceData_Common_MCFTemperatureZone[[#Headers],[Temperature zone]],0)</f>
        <v>4.7000000000000002E-3</v>
      </c>
      <c r="S236" s="39" cm="1">
        <f t="array" ref="S236">Common_InputFunctions.Utility_DisplayArrayInTable(Common_SourceData.Common_SourceData_MCFTemperatureZone_Data(),Table_SourceData_Common_MCFTemperatureZone[[#Headers],[Temperature zone]],0)</f>
        <v>14</v>
      </c>
    </row>
    <row r="237" spans="4:19" x14ac:dyDescent="0.25">
      <c r="D237" s="1" t="str" cm="1">
        <f t="array" ref="D237">Common_InputFunctions.Utility_DisplayArrayInTable(Common_SourceData.Common_SourceData_MCFTemperatureZone_Data(),Table_SourceData_Common_MCFTemperatureZone[[#Headers],[Temperature zone]],0)</f>
        <v>Temperate</v>
      </c>
      <c r="E237" s="39" cm="1">
        <f t="array" ref="E237">Common_InputFunctions.Utility_DisplayArrayInTable(Common_SourceData.Common_SourceData_MCFTemperatureZone_Data(),Table_SourceData_Common_MCFTemperatureZone[[#Headers],[Temperature zone]],0)</f>
        <v>15</v>
      </c>
      <c r="F237" s="39" cm="1">
        <f t="array" ref="F237">Common_InputFunctions.Utility_DisplayArrayInTable(Common_SourceData.Common_SourceData_MCFTemperatureZone_Data(),Table_SourceData_Common_MCFTemperatureZone[[#Headers],[Temperature zone]],0)</f>
        <v>0.74</v>
      </c>
      <c r="G237" s="39" cm="1">
        <f t="array" ref="G237">Common_InputFunctions.Utility_DisplayArrayInTable(Common_SourceData.Common_SourceData_MCFTemperatureZone_Data(),Table_SourceData_Common_MCFTemperatureZone[[#Headers],[Temperature zone]],0)</f>
        <v>0.1</v>
      </c>
      <c r="H237" s="39" cm="1">
        <f t="array" ref="H237">Common_InputFunctions.Utility_DisplayArrayInTable(Common_SourceData.Common_SourceData_MCFTemperatureZone_Data(),Table_SourceData_Common_MCFTemperatureZone[[#Headers],[Temperature zone]],0)</f>
        <v>0.17</v>
      </c>
      <c r="I237" s="39" cm="1">
        <f t="array" ref="I237">Common_InputFunctions.Utility_DisplayArrayInTable(Common_SourceData.Common_SourceData_MCFTemperatureZone_Data(),Table_SourceData_Common_MCFTemperatureZone[[#Headers],[Temperature zone]],0)</f>
        <v>5.0000000000000001E-3</v>
      </c>
      <c r="J237" s="39" cm="1">
        <f t="array" ref="J237">Common_InputFunctions.Utility_DisplayArrayInTable(Common_SourceData.Common_SourceData_MCFTemperatureZone_Data(),Table_SourceData_Common_MCFTemperatureZone[[#Headers],[Temperature zone]],0)</f>
        <v>0.01</v>
      </c>
      <c r="K237" s="39" cm="1">
        <f t="array" ref="K237">Common_InputFunctions.Utility_DisplayArrayInTable(Common_SourceData.Common_SourceData_MCFTemperatureZone_Data(),Table_SourceData_Common_MCFTemperatureZone[[#Headers],[Temperature zone]],0)</f>
        <v>0.02</v>
      </c>
      <c r="L237" s="39" cm="1">
        <f t="array" ref="L237">Common_InputFunctions.Utility_DisplayArrayInTable(Common_SourceData.Common_SourceData_MCFTemperatureZone_Data(),Table_SourceData_Common_MCFTemperatureZone[[#Headers],[Temperature zone]],0)</f>
        <v>0.03</v>
      </c>
      <c r="M237" s="39" cm="1">
        <f t="array" ref="M237">Common_InputFunctions.Utility_DisplayArrayInTable(Common_SourceData.Common_SourceData_MCFTemperatureZone_Data(),Table_SourceData_Common_MCFTemperatureZone[[#Headers],[Temperature zone]],0)</f>
        <v>0.04</v>
      </c>
      <c r="N237" s="39" cm="1">
        <f t="array" ref="N237">Common_InputFunctions.Utility_DisplayArrayInTable(Common_SourceData.Common_SourceData_MCFTemperatureZone_Data(),Table_SourceData_Common_MCFTemperatureZone[[#Headers],[Temperature zone]],0)</f>
        <v>1.4999999999999999E-2</v>
      </c>
      <c r="O237" s="39" cm="1">
        <f t="array" ref="O237">Common_InputFunctions.Utility_DisplayArrayInTable(Common_SourceData.Common_SourceData_MCFTemperatureZone_Data(),Table_SourceData_Common_MCFTemperatureZone[[#Headers],[Temperature zone]],0)</f>
        <v>1.4999999999999999E-2</v>
      </c>
      <c r="P237" s="39" cm="1">
        <f t="array" ref="P237">Common_InputFunctions.Utility_DisplayArrayInTable(Common_SourceData.Common_SourceData_MCFTemperatureZone_Data(),Table_SourceData_Common_MCFTemperatureZone[[#Headers],[Temperature zone]],0)</f>
        <v>0</v>
      </c>
      <c r="Q237" s="39" cm="1">
        <f t="array" ref="Q237">Common_InputFunctions.Utility_DisplayArrayInTable(Common_SourceData.Common_SourceData_MCFTemperatureZone_Data(),Table_SourceData_Common_MCFTemperatureZone[[#Headers],[Temperature zone]],0)</f>
        <v>0</v>
      </c>
      <c r="R237" s="39" cm="1">
        <f t="array" ref="R237">Common_InputFunctions.Utility_DisplayArrayInTable(Common_SourceData.Common_SourceData_MCFTemperatureZone_Data(),Table_SourceData_Common_MCFTemperatureZone[[#Headers],[Temperature zone]],0)</f>
        <v>4.7000000000000002E-3</v>
      </c>
      <c r="S237" s="39" cm="1">
        <f t="array" ref="S237">Common_InputFunctions.Utility_DisplayArrayInTable(Common_SourceData.Common_SourceData_MCFTemperatureZone_Data(),Table_SourceData_Common_MCFTemperatureZone[[#Headers],[Temperature zone]],0)</f>
        <v>15</v>
      </c>
    </row>
    <row r="238" spans="4:19" x14ac:dyDescent="0.25">
      <c r="D238" s="1" t="str" cm="1">
        <f t="array" ref="D238">Common_InputFunctions.Utility_DisplayArrayInTable(Common_SourceData.Common_SourceData_MCFTemperatureZone_Data(),Table_SourceData_Common_MCFTemperatureZone[[#Headers],[Temperature zone]],0)</f>
        <v>Temperate</v>
      </c>
      <c r="E238" s="39" cm="1">
        <f t="array" ref="E238">Common_InputFunctions.Utility_DisplayArrayInTable(Common_SourceData.Common_SourceData_MCFTemperatureZone_Data(),Table_SourceData_Common_MCFTemperatureZone[[#Headers],[Temperature zone]],0)</f>
        <v>16</v>
      </c>
      <c r="F238" s="39" cm="1">
        <f t="array" ref="F238">Common_InputFunctions.Utility_DisplayArrayInTable(Common_SourceData.Common_SourceData_MCFTemperatureZone_Data(),Table_SourceData_Common_MCFTemperatureZone[[#Headers],[Temperature zone]],0)</f>
        <v>0.75</v>
      </c>
      <c r="G238" s="39" cm="1">
        <f t="array" ref="G238">Common_InputFunctions.Utility_DisplayArrayInTable(Common_SourceData.Common_SourceData_MCFTemperatureZone_Data(),Table_SourceData_Common_MCFTemperatureZone[[#Headers],[Temperature zone]],0)</f>
        <v>0.1</v>
      </c>
      <c r="H238" s="39" cm="1">
        <f t="array" ref="H238">Common_InputFunctions.Utility_DisplayArrayInTable(Common_SourceData.Common_SourceData_MCFTemperatureZone_Data(),Table_SourceData_Common_MCFTemperatureZone[[#Headers],[Temperature zone]],0)</f>
        <v>0.18</v>
      </c>
      <c r="I238" s="39" cm="1">
        <f t="array" ref="I238">Common_InputFunctions.Utility_DisplayArrayInTable(Common_SourceData.Common_SourceData_MCFTemperatureZone_Data(),Table_SourceData_Common_MCFTemperatureZone[[#Headers],[Temperature zone]],0)</f>
        <v>5.0000000000000001E-3</v>
      </c>
      <c r="J238" s="39" cm="1">
        <f t="array" ref="J238">Common_InputFunctions.Utility_DisplayArrayInTable(Common_SourceData.Common_SourceData_MCFTemperatureZone_Data(),Table_SourceData_Common_MCFTemperatureZone[[#Headers],[Temperature zone]],0)</f>
        <v>0.01</v>
      </c>
      <c r="K238" s="39" cm="1">
        <f t="array" ref="K238">Common_InputFunctions.Utility_DisplayArrayInTable(Common_SourceData.Common_SourceData_MCFTemperatureZone_Data(),Table_SourceData_Common_MCFTemperatureZone[[#Headers],[Temperature zone]],0)</f>
        <v>0.02</v>
      </c>
      <c r="L238" s="39" cm="1">
        <f t="array" ref="L238">Common_InputFunctions.Utility_DisplayArrayInTable(Common_SourceData.Common_SourceData_MCFTemperatureZone_Data(),Table_SourceData_Common_MCFTemperatureZone[[#Headers],[Temperature zone]],0)</f>
        <v>0.03</v>
      </c>
      <c r="M238" s="39" cm="1">
        <f t="array" ref="M238">Common_InputFunctions.Utility_DisplayArrayInTable(Common_SourceData.Common_SourceData_MCFTemperatureZone_Data(),Table_SourceData_Common_MCFTemperatureZone[[#Headers],[Temperature zone]],0)</f>
        <v>0.04</v>
      </c>
      <c r="N238" s="39" cm="1">
        <f t="array" ref="N238">Common_InputFunctions.Utility_DisplayArrayInTable(Common_SourceData.Common_SourceData_MCFTemperatureZone_Data(),Table_SourceData_Common_MCFTemperatureZone[[#Headers],[Temperature zone]],0)</f>
        <v>1.4999999999999999E-2</v>
      </c>
      <c r="O238" s="39" cm="1">
        <f t="array" ref="O238">Common_InputFunctions.Utility_DisplayArrayInTable(Common_SourceData.Common_SourceData_MCFTemperatureZone_Data(),Table_SourceData_Common_MCFTemperatureZone[[#Headers],[Temperature zone]],0)</f>
        <v>1.4999999999999999E-2</v>
      </c>
      <c r="P238" s="39" cm="1">
        <f t="array" ref="P238">Common_InputFunctions.Utility_DisplayArrayInTable(Common_SourceData.Common_SourceData_MCFTemperatureZone_Data(),Table_SourceData_Common_MCFTemperatureZone[[#Headers],[Temperature zone]],0)</f>
        <v>0</v>
      </c>
      <c r="Q238" s="39" cm="1">
        <f t="array" ref="Q238">Common_InputFunctions.Utility_DisplayArrayInTable(Common_SourceData.Common_SourceData_MCFTemperatureZone_Data(),Table_SourceData_Common_MCFTemperatureZone[[#Headers],[Temperature zone]],0)</f>
        <v>0</v>
      </c>
      <c r="R238" s="39" cm="1">
        <f t="array" ref="R238">Common_InputFunctions.Utility_DisplayArrayInTable(Common_SourceData.Common_SourceData_MCFTemperatureZone_Data(),Table_SourceData_Common_MCFTemperatureZone[[#Headers],[Temperature zone]],0)</f>
        <v>4.7000000000000002E-3</v>
      </c>
      <c r="S238" s="39" cm="1">
        <f t="array" ref="S238">Common_InputFunctions.Utility_DisplayArrayInTable(Common_SourceData.Common_SourceData_MCFTemperatureZone_Data(),Table_SourceData_Common_MCFTemperatureZone[[#Headers],[Temperature zone]],0)</f>
        <v>16</v>
      </c>
    </row>
    <row r="239" spans="4:19" x14ac:dyDescent="0.25">
      <c r="D239" s="1" t="str" cm="1">
        <f t="array" ref="D239">Common_InputFunctions.Utility_DisplayArrayInTable(Common_SourceData.Common_SourceData_MCFTemperatureZone_Data(),Table_SourceData_Common_MCFTemperatureZone[[#Headers],[Temperature zone]],0)</f>
        <v>Temperate</v>
      </c>
      <c r="E239" s="39" cm="1">
        <f t="array" ref="E239">Common_InputFunctions.Utility_DisplayArrayInTable(Common_SourceData.Common_SourceData_MCFTemperatureZone_Data(),Table_SourceData_Common_MCFTemperatureZone[[#Headers],[Temperature zone]],0)</f>
        <v>17</v>
      </c>
      <c r="F239" s="39" cm="1">
        <f t="array" ref="F239">Common_InputFunctions.Utility_DisplayArrayInTable(Common_SourceData.Common_SourceData_MCFTemperatureZone_Data(),Table_SourceData_Common_MCFTemperatureZone[[#Headers],[Temperature zone]],0)</f>
        <v>0.76</v>
      </c>
      <c r="G239" s="39" cm="1">
        <f t="array" ref="G239">Common_InputFunctions.Utility_DisplayArrayInTable(Common_SourceData.Common_SourceData_MCFTemperatureZone_Data(),Table_SourceData_Common_MCFTemperatureZone[[#Headers],[Temperature zone]],0)</f>
        <v>0.1</v>
      </c>
      <c r="H239" s="39" cm="1">
        <f t="array" ref="H239">Common_InputFunctions.Utility_DisplayArrayInTable(Common_SourceData.Common_SourceData_MCFTemperatureZone_Data(),Table_SourceData_Common_MCFTemperatureZone[[#Headers],[Temperature zone]],0)</f>
        <v>0.2</v>
      </c>
      <c r="I239" s="39" cm="1">
        <f t="array" ref="I239">Common_InputFunctions.Utility_DisplayArrayInTable(Common_SourceData.Common_SourceData_MCFTemperatureZone_Data(),Table_SourceData_Common_MCFTemperatureZone[[#Headers],[Temperature zone]],0)</f>
        <v>5.0000000000000001E-3</v>
      </c>
      <c r="J239" s="39" cm="1">
        <f t="array" ref="J239">Common_InputFunctions.Utility_DisplayArrayInTable(Common_SourceData.Common_SourceData_MCFTemperatureZone_Data(),Table_SourceData_Common_MCFTemperatureZone[[#Headers],[Temperature zone]],0)</f>
        <v>0.01</v>
      </c>
      <c r="K239" s="39" cm="1">
        <f t="array" ref="K239">Common_InputFunctions.Utility_DisplayArrayInTable(Common_SourceData.Common_SourceData_MCFTemperatureZone_Data(),Table_SourceData_Common_MCFTemperatureZone[[#Headers],[Temperature zone]],0)</f>
        <v>0.02</v>
      </c>
      <c r="L239" s="39" cm="1">
        <f t="array" ref="L239">Common_InputFunctions.Utility_DisplayArrayInTable(Common_SourceData.Common_SourceData_MCFTemperatureZone_Data(),Table_SourceData_Common_MCFTemperatureZone[[#Headers],[Temperature zone]],0)</f>
        <v>0.03</v>
      </c>
      <c r="M239" s="39" cm="1">
        <f t="array" ref="M239">Common_InputFunctions.Utility_DisplayArrayInTable(Common_SourceData.Common_SourceData_MCFTemperatureZone_Data(),Table_SourceData_Common_MCFTemperatureZone[[#Headers],[Temperature zone]],0)</f>
        <v>0.04</v>
      </c>
      <c r="N239" s="39" cm="1">
        <f t="array" ref="N239">Common_InputFunctions.Utility_DisplayArrayInTable(Common_SourceData.Common_SourceData_MCFTemperatureZone_Data(),Table_SourceData_Common_MCFTemperatureZone[[#Headers],[Temperature zone]],0)</f>
        <v>1.4999999999999999E-2</v>
      </c>
      <c r="O239" s="39" cm="1">
        <f t="array" ref="O239">Common_InputFunctions.Utility_DisplayArrayInTable(Common_SourceData.Common_SourceData_MCFTemperatureZone_Data(),Table_SourceData_Common_MCFTemperatureZone[[#Headers],[Temperature zone]],0)</f>
        <v>1.4999999999999999E-2</v>
      </c>
      <c r="P239" s="39" cm="1">
        <f t="array" ref="P239">Common_InputFunctions.Utility_DisplayArrayInTable(Common_SourceData.Common_SourceData_MCFTemperatureZone_Data(),Table_SourceData_Common_MCFTemperatureZone[[#Headers],[Temperature zone]],0)</f>
        <v>0</v>
      </c>
      <c r="Q239" s="39" cm="1">
        <f t="array" ref="Q239">Common_InputFunctions.Utility_DisplayArrayInTable(Common_SourceData.Common_SourceData_MCFTemperatureZone_Data(),Table_SourceData_Common_MCFTemperatureZone[[#Headers],[Temperature zone]],0)</f>
        <v>0</v>
      </c>
      <c r="R239" s="39" cm="1">
        <f t="array" ref="R239">Common_InputFunctions.Utility_DisplayArrayInTable(Common_SourceData.Common_SourceData_MCFTemperatureZone_Data(),Table_SourceData_Common_MCFTemperatureZone[[#Headers],[Temperature zone]],0)</f>
        <v>4.7000000000000002E-3</v>
      </c>
      <c r="S239" s="39" cm="1">
        <f t="array" ref="S239">Common_InputFunctions.Utility_DisplayArrayInTable(Common_SourceData.Common_SourceData_MCFTemperatureZone_Data(),Table_SourceData_Common_MCFTemperatureZone[[#Headers],[Temperature zone]],0)</f>
        <v>17</v>
      </c>
    </row>
    <row r="240" spans="4:19" x14ac:dyDescent="0.25">
      <c r="D240" s="1" t="str" cm="1">
        <f t="array" ref="D240">Common_InputFunctions.Utility_DisplayArrayInTable(Common_SourceData.Common_SourceData_MCFTemperatureZone_Data(),Table_SourceData_Common_MCFTemperatureZone[[#Headers],[Temperature zone]],0)</f>
        <v>Temperate</v>
      </c>
      <c r="E240" s="39" cm="1">
        <f t="array" ref="E240">Common_InputFunctions.Utility_DisplayArrayInTable(Common_SourceData.Common_SourceData_MCFTemperatureZone_Data(),Table_SourceData_Common_MCFTemperatureZone[[#Headers],[Temperature zone]],0)</f>
        <v>18</v>
      </c>
      <c r="F240" s="39" cm="1">
        <f t="array" ref="F240">Common_InputFunctions.Utility_DisplayArrayInTable(Common_SourceData.Common_SourceData_MCFTemperatureZone_Data(),Table_SourceData_Common_MCFTemperatureZone[[#Headers],[Temperature zone]],0)</f>
        <v>0.77</v>
      </c>
      <c r="G240" s="39" cm="1">
        <f t="array" ref="G240">Common_InputFunctions.Utility_DisplayArrayInTable(Common_SourceData.Common_SourceData_MCFTemperatureZone_Data(),Table_SourceData_Common_MCFTemperatureZone[[#Headers],[Temperature zone]],0)</f>
        <v>0.1</v>
      </c>
      <c r="H240" s="39" cm="1">
        <f t="array" ref="H240">Common_InputFunctions.Utility_DisplayArrayInTable(Common_SourceData.Common_SourceData_MCFTemperatureZone_Data(),Table_SourceData_Common_MCFTemperatureZone[[#Headers],[Temperature zone]],0)</f>
        <v>0.22</v>
      </c>
      <c r="I240" s="39" cm="1">
        <f t="array" ref="I240">Common_InputFunctions.Utility_DisplayArrayInTable(Common_SourceData.Common_SourceData_MCFTemperatureZone_Data(),Table_SourceData_Common_MCFTemperatureZone[[#Headers],[Temperature zone]],0)</f>
        <v>5.0000000000000001E-3</v>
      </c>
      <c r="J240" s="39" cm="1">
        <f t="array" ref="J240">Common_InputFunctions.Utility_DisplayArrayInTable(Common_SourceData.Common_SourceData_MCFTemperatureZone_Data(),Table_SourceData_Common_MCFTemperatureZone[[#Headers],[Temperature zone]],0)</f>
        <v>0.01</v>
      </c>
      <c r="K240" s="39" cm="1">
        <f t="array" ref="K240">Common_InputFunctions.Utility_DisplayArrayInTable(Common_SourceData.Common_SourceData_MCFTemperatureZone_Data(),Table_SourceData_Common_MCFTemperatureZone[[#Headers],[Temperature zone]],0)</f>
        <v>0.02</v>
      </c>
      <c r="L240" s="39" cm="1">
        <f t="array" ref="L240">Common_InputFunctions.Utility_DisplayArrayInTable(Common_SourceData.Common_SourceData_MCFTemperatureZone_Data(),Table_SourceData_Common_MCFTemperatureZone[[#Headers],[Temperature zone]],0)</f>
        <v>0.03</v>
      </c>
      <c r="M240" s="39" cm="1">
        <f t="array" ref="M240">Common_InputFunctions.Utility_DisplayArrayInTable(Common_SourceData.Common_SourceData_MCFTemperatureZone_Data(),Table_SourceData_Common_MCFTemperatureZone[[#Headers],[Temperature zone]],0)</f>
        <v>0.04</v>
      </c>
      <c r="N240" s="39" cm="1">
        <f t="array" ref="N240">Common_InputFunctions.Utility_DisplayArrayInTable(Common_SourceData.Common_SourceData_MCFTemperatureZone_Data(),Table_SourceData_Common_MCFTemperatureZone[[#Headers],[Temperature zone]],0)</f>
        <v>1.4999999999999999E-2</v>
      </c>
      <c r="O240" s="39" cm="1">
        <f t="array" ref="O240">Common_InputFunctions.Utility_DisplayArrayInTable(Common_SourceData.Common_SourceData_MCFTemperatureZone_Data(),Table_SourceData_Common_MCFTemperatureZone[[#Headers],[Temperature zone]],0)</f>
        <v>1.4999999999999999E-2</v>
      </c>
      <c r="P240" s="39" cm="1">
        <f t="array" ref="P240">Common_InputFunctions.Utility_DisplayArrayInTable(Common_SourceData.Common_SourceData_MCFTemperatureZone_Data(),Table_SourceData_Common_MCFTemperatureZone[[#Headers],[Temperature zone]],0)</f>
        <v>0</v>
      </c>
      <c r="Q240" s="39" cm="1">
        <f t="array" ref="Q240">Common_InputFunctions.Utility_DisplayArrayInTable(Common_SourceData.Common_SourceData_MCFTemperatureZone_Data(),Table_SourceData_Common_MCFTemperatureZone[[#Headers],[Temperature zone]],0)</f>
        <v>0</v>
      </c>
      <c r="R240" s="39" cm="1">
        <f t="array" ref="R240">Common_InputFunctions.Utility_DisplayArrayInTable(Common_SourceData.Common_SourceData_MCFTemperatureZone_Data(),Table_SourceData_Common_MCFTemperatureZone[[#Headers],[Temperature zone]],0)</f>
        <v>4.7000000000000002E-3</v>
      </c>
      <c r="S240" s="39" cm="1">
        <f t="array" ref="S240">Common_InputFunctions.Utility_DisplayArrayInTable(Common_SourceData.Common_SourceData_MCFTemperatureZone_Data(),Table_SourceData_Common_MCFTemperatureZone[[#Headers],[Temperature zone]],0)</f>
        <v>18</v>
      </c>
    </row>
    <row r="241" spans="4:19" x14ac:dyDescent="0.25">
      <c r="D241" s="1" t="str" cm="1">
        <f t="array" ref="D241">Common_InputFunctions.Utility_DisplayArrayInTable(Common_SourceData.Common_SourceData_MCFTemperatureZone_Data(),Table_SourceData_Common_MCFTemperatureZone[[#Headers],[Temperature zone]],0)</f>
        <v>Temperate</v>
      </c>
      <c r="E241" s="39" cm="1">
        <f t="array" ref="E241">Common_InputFunctions.Utility_DisplayArrayInTable(Common_SourceData.Common_SourceData_MCFTemperatureZone_Data(),Table_SourceData_Common_MCFTemperatureZone[[#Headers],[Temperature zone]],0)</f>
        <v>19</v>
      </c>
      <c r="F241" s="39" cm="1">
        <f t="array" ref="F241">Common_InputFunctions.Utility_DisplayArrayInTable(Common_SourceData.Common_SourceData_MCFTemperatureZone_Data(),Table_SourceData_Common_MCFTemperatureZone[[#Headers],[Temperature zone]],0)</f>
        <v>0.77</v>
      </c>
      <c r="G241" s="39" cm="1">
        <f t="array" ref="G241">Common_InputFunctions.Utility_DisplayArrayInTable(Common_SourceData.Common_SourceData_MCFTemperatureZone_Data(),Table_SourceData_Common_MCFTemperatureZone[[#Headers],[Temperature zone]],0)</f>
        <v>0.1</v>
      </c>
      <c r="H241" s="39" cm="1">
        <f t="array" ref="H241">Common_InputFunctions.Utility_DisplayArrayInTable(Common_SourceData.Common_SourceData_MCFTemperatureZone_Data(),Table_SourceData_Common_MCFTemperatureZone[[#Headers],[Temperature zone]],0)</f>
        <v>0.24</v>
      </c>
      <c r="I241" s="39" cm="1">
        <f t="array" ref="I241">Common_InputFunctions.Utility_DisplayArrayInTable(Common_SourceData.Common_SourceData_MCFTemperatureZone_Data(),Table_SourceData_Common_MCFTemperatureZone[[#Headers],[Temperature zone]],0)</f>
        <v>5.0000000000000001E-3</v>
      </c>
      <c r="J241" s="39" cm="1">
        <f t="array" ref="J241">Common_InputFunctions.Utility_DisplayArrayInTable(Common_SourceData.Common_SourceData_MCFTemperatureZone_Data(),Table_SourceData_Common_MCFTemperatureZone[[#Headers],[Temperature zone]],0)</f>
        <v>0.01</v>
      </c>
      <c r="K241" s="39" cm="1">
        <f t="array" ref="K241">Common_InputFunctions.Utility_DisplayArrayInTable(Common_SourceData.Common_SourceData_MCFTemperatureZone_Data(),Table_SourceData_Common_MCFTemperatureZone[[#Headers],[Temperature zone]],0)</f>
        <v>0.02</v>
      </c>
      <c r="L241" s="39" cm="1">
        <f t="array" ref="L241">Common_InputFunctions.Utility_DisplayArrayInTable(Common_SourceData.Common_SourceData_MCFTemperatureZone_Data(),Table_SourceData_Common_MCFTemperatureZone[[#Headers],[Temperature zone]],0)</f>
        <v>0.03</v>
      </c>
      <c r="M241" s="39" cm="1">
        <f t="array" ref="M241">Common_InputFunctions.Utility_DisplayArrayInTable(Common_SourceData.Common_SourceData_MCFTemperatureZone_Data(),Table_SourceData_Common_MCFTemperatureZone[[#Headers],[Temperature zone]],0)</f>
        <v>0.04</v>
      </c>
      <c r="N241" s="39" cm="1">
        <f t="array" ref="N241">Common_InputFunctions.Utility_DisplayArrayInTable(Common_SourceData.Common_SourceData_MCFTemperatureZone_Data(),Table_SourceData_Common_MCFTemperatureZone[[#Headers],[Temperature zone]],0)</f>
        <v>1.4999999999999999E-2</v>
      </c>
      <c r="O241" s="39" cm="1">
        <f t="array" ref="O241">Common_InputFunctions.Utility_DisplayArrayInTable(Common_SourceData.Common_SourceData_MCFTemperatureZone_Data(),Table_SourceData_Common_MCFTemperatureZone[[#Headers],[Temperature zone]],0)</f>
        <v>1.4999999999999999E-2</v>
      </c>
      <c r="P241" s="39" cm="1">
        <f t="array" ref="P241">Common_InputFunctions.Utility_DisplayArrayInTable(Common_SourceData.Common_SourceData_MCFTemperatureZone_Data(),Table_SourceData_Common_MCFTemperatureZone[[#Headers],[Temperature zone]],0)</f>
        <v>0</v>
      </c>
      <c r="Q241" s="39" cm="1">
        <f t="array" ref="Q241">Common_InputFunctions.Utility_DisplayArrayInTable(Common_SourceData.Common_SourceData_MCFTemperatureZone_Data(),Table_SourceData_Common_MCFTemperatureZone[[#Headers],[Temperature zone]],0)</f>
        <v>0</v>
      </c>
      <c r="R241" s="39" cm="1">
        <f t="array" ref="R241">Common_InputFunctions.Utility_DisplayArrayInTable(Common_SourceData.Common_SourceData_MCFTemperatureZone_Data(),Table_SourceData_Common_MCFTemperatureZone[[#Headers],[Temperature zone]],0)</f>
        <v>4.7000000000000002E-3</v>
      </c>
      <c r="S241" s="39" cm="1">
        <f t="array" ref="S241">Common_InputFunctions.Utility_DisplayArrayInTable(Common_SourceData.Common_SourceData_MCFTemperatureZone_Data(),Table_SourceData_Common_MCFTemperatureZone[[#Headers],[Temperature zone]],0)</f>
        <v>19</v>
      </c>
    </row>
    <row r="242" spans="4:19" x14ac:dyDescent="0.25">
      <c r="D242" s="1" t="str" cm="1">
        <f t="array" ref="D242">Common_InputFunctions.Utility_DisplayArrayInTable(Common_SourceData.Common_SourceData_MCFTemperatureZone_Data(),Table_SourceData_Common_MCFTemperatureZone[[#Headers],[Temperature zone]],0)</f>
        <v>Temperate</v>
      </c>
      <c r="E242" s="39" cm="1">
        <f t="array" ref="E242">Common_InputFunctions.Utility_DisplayArrayInTable(Common_SourceData.Common_SourceData_MCFTemperatureZone_Data(),Table_SourceData_Common_MCFTemperatureZone[[#Headers],[Temperature zone]],0)</f>
        <v>20</v>
      </c>
      <c r="F242" s="39" cm="1">
        <f t="array" ref="F242">Common_InputFunctions.Utility_DisplayArrayInTable(Common_SourceData.Common_SourceData_MCFTemperatureZone_Data(),Table_SourceData_Common_MCFTemperatureZone[[#Headers],[Temperature zone]],0)</f>
        <v>0.78</v>
      </c>
      <c r="G242" s="39" cm="1">
        <f t="array" ref="G242">Common_InputFunctions.Utility_DisplayArrayInTable(Common_SourceData.Common_SourceData_MCFTemperatureZone_Data(),Table_SourceData_Common_MCFTemperatureZone[[#Headers],[Temperature zone]],0)</f>
        <v>0.1</v>
      </c>
      <c r="H242" s="39" cm="1">
        <f t="array" ref="H242">Common_InputFunctions.Utility_DisplayArrayInTable(Common_SourceData.Common_SourceData_MCFTemperatureZone_Data(),Table_SourceData_Common_MCFTemperatureZone[[#Headers],[Temperature zone]],0)</f>
        <v>0.26</v>
      </c>
      <c r="I242" s="39" cm="1">
        <f t="array" ref="I242">Common_InputFunctions.Utility_DisplayArrayInTable(Common_SourceData.Common_SourceData_MCFTemperatureZone_Data(),Table_SourceData_Common_MCFTemperatureZone[[#Headers],[Temperature zone]],0)</f>
        <v>5.0000000000000001E-3</v>
      </c>
      <c r="J242" s="39" cm="1">
        <f t="array" ref="J242">Common_InputFunctions.Utility_DisplayArrayInTable(Common_SourceData.Common_SourceData_MCFTemperatureZone_Data(),Table_SourceData_Common_MCFTemperatureZone[[#Headers],[Temperature zone]],0)</f>
        <v>0.01</v>
      </c>
      <c r="K242" s="39" cm="1">
        <f t="array" ref="K242">Common_InputFunctions.Utility_DisplayArrayInTable(Common_SourceData.Common_SourceData_MCFTemperatureZone_Data(),Table_SourceData_Common_MCFTemperatureZone[[#Headers],[Temperature zone]],0)</f>
        <v>0.02</v>
      </c>
      <c r="L242" s="39" cm="1">
        <f t="array" ref="L242">Common_InputFunctions.Utility_DisplayArrayInTable(Common_SourceData.Common_SourceData_MCFTemperatureZone_Data(),Table_SourceData_Common_MCFTemperatureZone[[#Headers],[Temperature zone]],0)</f>
        <v>0.03</v>
      </c>
      <c r="M242" s="39" cm="1">
        <f t="array" ref="M242">Common_InputFunctions.Utility_DisplayArrayInTable(Common_SourceData.Common_SourceData_MCFTemperatureZone_Data(),Table_SourceData_Common_MCFTemperatureZone[[#Headers],[Temperature zone]],0)</f>
        <v>0.04</v>
      </c>
      <c r="N242" s="39" cm="1">
        <f t="array" ref="N242">Common_InputFunctions.Utility_DisplayArrayInTable(Common_SourceData.Common_SourceData_MCFTemperatureZone_Data(),Table_SourceData_Common_MCFTemperatureZone[[#Headers],[Temperature zone]],0)</f>
        <v>1.4999999999999999E-2</v>
      </c>
      <c r="O242" s="39" cm="1">
        <f t="array" ref="O242">Common_InputFunctions.Utility_DisplayArrayInTable(Common_SourceData.Common_SourceData_MCFTemperatureZone_Data(),Table_SourceData_Common_MCFTemperatureZone[[#Headers],[Temperature zone]],0)</f>
        <v>1.4999999999999999E-2</v>
      </c>
      <c r="P242" s="39" cm="1">
        <f t="array" ref="P242">Common_InputFunctions.Utility_DisplayArrayInTable(Common_SourceData.Common_SourceData_MCFTemperatureZone_Data(),Table_SourceData_Common_MCFTemperatureZone[[#Headers],[Temperature zone]],0)</f>
        <v>0</v>
      </c>
      <c r="Q242" s="39" cm="1">
        <f t="array" ref="Q242">Common_InputFunctions.Utility_DisplayArrayInTable(Common_SourceData.Common_SourceData_MCFTemperatureZone_Data(),Table_SourceData_Common_MCFTemperatureZone[[#Headers],[Temperature zone]],0)</f>
        <v>0</v>
      </c>
      <c r="R242" s="39" cm="1">
        <f t="array" ref="R242">Common_InputFunctions.Utility_DisplayArrayInTable(Common_SourceData.Common_SourceData_MCFTemperatureZone_Data(),Table_SourceData_Common_MCFTemperatureZone[[#Headers],[Temperature zone]],0)</f>
        <v>4.7000000000000002E-3</v>
      </c>
      <c r="S242" s="39" cm="1">
        <f t="array" ref="S242">Common_InputFunctions.Utility_DisplayArrayInTable(Common_SourceData.Common_SourceData_MCFTemperatureZone_Data(),Table_SourceData_Common_MCFTemperatureZone[[#Headers],[Temperature zone]],0)</f>
        <v>20</v>
      </c>
    </row>
    <row r="243" spans="4:19" x14ac:dyDescent="0.25">
      <c r="D243" s="1" t="str" cm="1">
        <f t="array" ref="D243">Common_InputFunctions.Utility_DisplayArrayInTable(Common_SourceData.Common_SourceData_MCFTemperatureZone_Data(),Table_SourceData_Common_MCFTemperatureZone[[#Headers],[Temperature zone]],0)</f>
        <v>Temperate</v>
      </c>
      <c r="E243" s="39" cm="1">
        <f t="array" ref="E243">Common_InputFunctions.Utility_DisplayArrayInTable(Common_SourceData.Common_SourceData_MCFTemperatureZone_Data(),Table_SourceData_Common_MCFTemperatureZone[[#Headers],[Temperature zone]],0)</f>
        <v>21</v>
      </c>
      <c r="F243" s="39" cm="1">
        <f t="array" ref="F243">Common_InputFunctions.Utility_DisplayArrayInTable(Common_SourceData.Common_SourceData_MCFTemperatureZone_Data(),Table_SourceData_Common_MCFTemperatureZone[[#Headers],[Temperature zone]],0)</f>
        <v>0.78</v>
      </c>
      <c r="G243" s="39" cm="1">
        <f t="array" ref="G243">Common_InputFunctions.Utility_DisplayArrayInTable(Common_SourceData.Common_SourceData_MCFTemperatureZone_Data(),Table_SourceData_Common_MCFTemperatureZone[[#Headers],[Temperature zone]],0)</f>
        <v>0.1</v>
      </c>
      <c r="H243" s="39" cm="1">
        <f t="array" ref="H243">Common_InputFunctions.Utility_DisplayArrayInTable(Common_SourceData.Common_SourceData_MCFTemperatureZone_Data(),Table_SourceData_Common_MCFTemperatureZone[[#Headers],[Temperature zone]],0)</f>
        <v>0.28999999999999998</v>
      </c>
      <c r="I243" s="39" cm="1">
        <f t="array" ref="I243">Common_InputFunctions.Utility_DisplayArrayInTable(Common_SourceData.Common_SourceData_MCFTemperatureZone_Data(),Table_SourceData_Common_MCFTemperatureZone[[#Headers],[Temperature zone]],0)</f>
        <v>5.0000000000000001E-3</v>
      </c>
      <c r="J243" s="39" cm="1">
        <f t="array" ref="J243">Common_InputFunctions.Utility_DisplayArrayInTable(Common_SourceData.Common_SourceData_MCFTemperatureZone_Data(),Table_SourceData_Common_MCFTemperatureZone[[#Headers],[Temperature zone]],0)</f>
        <v>0.01</v>
      </c>
      <c r="K243" s="39" cm="1">
        <f t="array" ref="K243">Common_InputFunctions.Utility_DisplayArrayInTable(Common_SourceData.Common_SourceData_MCFTemperatureZone_Data(),Table_SourceData_Common_MCFTemperatureZone[[#Headers],[Temperature zone]],0)</f>
        <v>0.02</v>
      </c>
      <c r="L243" s="39" cm="1">
        <f t="array" ref="L243">Common_InputFunctions.Utility_DisplayArrayInTable(Common_SourceData.Common_SourceData_MCFTemperatureZone_Data(),Table_SourceData_Common_MCFTemperatureZone[[#Headers],[Temperature zone]],0)</f>
        <v>0.03</v>
      </c>
      <c r="M243" s="39" cm="1">
        <f t="array" ref="M243">Common_InputFunctions.Utility_DisplayArrayInTable(Common_SourceData.Common_SourceData_MCFTemperatureZone_Data(),Table_SourceData_Common_MCFTemperatureZone[[#Headers],[Temperature zone]],0)</f>
        <v>0.04</v>
      </c>
      <c r="N243" s="39" cm="1">
        <f t="array" ref="N243">Common_InputFunctions.Utility_DisplayArrayInTable(Common_SourceData.Common_SourceData_MCFTemperatureZone_Data(),Table_SourceData_Common_MCFTemperatureZone[[#Headers],[Temperature zone]],0)</f>
        <v>1.4999999999999999E-2</v>
      </c>
      <c r="O243" s="39" cm="1">
        <f t="array" ref="O243">Common_InputFunctions.Utility_DisplayArrayInTable(Common_SourceData.Common_SourceData_MCFTemperatureZone_Data(),Table_SourceData_Common_MCFTemperatureZone[[#Headers],[Temperature zone]],0)</f>
        <v>1.4999999999999999E-2</v>
      </c>
      <c r="P243" s="39" cm="1">
        <f t="array" ref="P243">Common_InputFunctions.Utility_DisplayArrayInTable(Common_SourceData.Common_SourceData_MCFTemperatureZone_Data(),Table_SourceData_Common_MCFTemperatureZone[[#Headers],[Temperature zone]],0)</f>
        <v>0</v>
      </c>
      <c r="Q243" s="39" cm="1">
        <f t="array" ref="Q243">Common_InputFunctions.Utility_DisplayArrayInTable(Common_SourceData.Common_SourceData_MCFTemperatureZone_Data(),Table_SourceData_Common_MCFTemperatureZone[[#Headers],[Temperature zone]],0)</f>
        <v>0</v>
      </c>
      <c r="R243" s="39" cm="1">
        <f t="array" ref="R243">Common_InputFunctions.Utility_DisplayArrayInTable(Common_SourceData.Common_SourceData_MCFTemperatureZone_Data(),Table_SourceData_Common_MCFTemperatureZone[[#Headers],[Temperature zone]],0)</f>
        <v>4.7000000000000002E-3</v>
      </c>
      <c r="S243" s="39" cm="1">
        <f t="array" ref="S243">Common_InputFunctions.Utility_DisplayArrayInTable(Common_SourceData.Common_SourceData_MCFTemperatureZone_Data(),Table_SourceData_Common_MCFTemperatureZone[[#Headers],[Temperature zone]],0)</f>
        <v>21</v>
      </c>
    </row>
    <row r="244" spans="4:19" x14ac:dyDescent="0.25">
      <c r="D244" s="1" t="str" cm="1">
        <f t="array" ref="D244">Common_InputFunctions.Utility_DisplayArrayInTable(Common_SourceData.Common_SourceData_MCFTemperatureZone_Data(),Table_SourceData_Common_MCFTemperatureZone[[#Headers],[Temperature zone]],0)</f>
        <v>Temperate</v>
      </c>
      <c r="E244" s="39" cm="1">
        <f t="array" ref="E244">Common_InputFunctions.Utility_DisplayArrayInTable(Common_SourceData.Common_SourceData_MCFTemperatureZone_Data(),Table_SourceData_Common_MCFTemperatureZone[[#Headers],[Temperature zone]],0)</f>
        <v>22</v>
      </c>
      <c r="F244" s="39" cm="1">
        <f t="array" ref="F244">Common_InputFunctions.Utility_DisplayArrayInTable(Common_SourceData.Common_SourceData_MCFTemperatureZone_Data(),Table_SourceData_Common_MCFTemperatureZone[[#Headers],[Temperature zone]],0)</f>
        <v>0.78</v>
      </c>
      <c r="G244" s="39" cm="1">
        <f t="array" ref="G244">Common_InputFunctions.Utility_DisplayArrayInTable(Common_SourceData.Common_SourceData_MCFTemperatureZone_Data(),Table_SourceData_Common_MCFTemperatureZone[[#Headers],[Temperature zone]],0)</f>
        <v>0.1</v>
      </c>
      <c r="H244" s="39" cm="1">
        <f t="array" ref="H244">Common_InputFunctions.Utility_DisplayArrayInTable(Common_SourceData.Common_SourceData_MCFTemperatureZone_Data(),Table_SourceData_Common_MCFTemperatureZone[[#Headers],[Temperature zone]],0)</f>
        <v>0.31</v>
      </c>
      <c r="I244" s="39" cm="1">
        <f t="array" ref="I244">Common_InputFunctions.Utility_DisplayArrayInTable(Common_SourceData.Common_SourceData_MCFTemperatureZone_Data(),Table_SourceData_Common_MCFTemperatureZone[[#Headers],[Temperature zone]],0)</f>
        <v>5.0000000000000001E-3</v>
      </c>
      <c r="J244" s="39" cm="1">
        <f t="array" ref="J244">Common_InputFunctions.Utility_DisplayArrayInTable(Common_SourceData.Common_SourceData_MCFTemperatureZone_Data(),Table_SourceData_Common_MCFTemperatureZone[[#Headers],[Temperature zone]],0)</f>
        <v>0.01</v>
      </c>
      <c r="K244" s="39" cm="1">
        <f t="array" ref="K244">Common_InputFunctions.Utility_DisplayArrayInTable(Common_SourceData.Common_SourceData_MCFTemperatureZone_Data(),Table_SourceData_Common_MCFTemperatureZone[[#Headers],[Temperature zone]],0)</f>
        <v>0.02</v>
      </c>
      <c r="L244" s="39" cm="1">
        <f t="array" ref="L244">Common_InputFunctions.Utility_DisplayArrayInTable(Common_SourceData.Common_SourceData_MCFTemperatureZone_Data(),Table_SourceData_Common_MCFTemperatureZone[[#Headers],[Temperature zone]],0)</f>
        <v>0.03</v>
      </c>
      <c r="M244" s="39" cm="1">
        <f t="array" ref="M244">Common_InputFunctions.Utility_DisplayArrayInTable(Common_SourceData.Common_SourceData_MCFTemperatureZone_Data(),Table_SourceData_Common_MCFTemperatureZone[[#Headers],[Temperature zone]],0)</f>
        <v>0.04</v>
      </c>
      <c r="N244" s="39" cm="1">
        <f t="array" ref="N244">Common_InputFunctions.Utility_DisplayArrayInTable(Common_SourceData.Common_SourceData_MCFTemperatureZone_Data(),Table_SourceData_Common_MCFTemperatureZone[[#Headers],[Temperature zone]],0)</f>
        <v>1.4999999999999999E-2</v>
      </c>
      <c r="O244" s="39" cm="1">
        <f t="array" ref="O244">Common_InputFunctions.Utility_DisplayArrayInTable(Common_SourceData.Common_SourceData_MCFTemperatureZone_Data(),Table_SourceData_Common_MCFTemperatureZone[[#Headers],[Temperature zone]],0)</f>
        <v>1.4999999999999999E-2</v>
      </c>
      <c r="P244" s="39" cm="1">
        <f t="array" ref="P244">Common_InputFunctions.Utility_DisplayArrayInTable(Common_SourceData.Common_SourceData_MCFTemperatureZone_Data(),Table_SourceData_Common_MCFTemperatureZone[[#Headers],[Temperature zone]],0)</f>
        <v>0</v>
      </c>
      <c r="Q244" s="39" cm="1">
        <f t="array" ref="Q244">Common_InputFunctions.Utility_DisplayArrayInTable(Common_SourceData.Common_SourceData_MCFTemperatureZone_Data(),Table_SourceData_Common_MCFTemperatureZone[[#Headers],[Temperature zone]],0)</f>
        <v>0</v>
      </c>
      <c r="R244" s="39" cm="1">
        <f t="array" ref="R244">Common_InputFunctions.Utility_DisplayArrayInTable(Common_SourceData.Common_SourceData_MCFTemperatureZone_Data(),Table_SourceData_Common_MCFTemperatureZone[[#Headers],[Temperature zone]],0)</f>
        <v>4.7000000000000002E-3</v>
      </c>
      <c r="S244" s="39" cm="1">
        <f t="array" ref="S244">Common_InputFunctions.Utility_DisplayArrayInTable(Common_SourceData.Common_SourceData_MCFTemperatureZone_Data(),Table_SourceData_Common_MCFTemperatureZone[[#Headers],[Temperature zone]],0)</f>
        <v>22</v>
      </c>
    </row>
    <row r="245" spans="4:19" x14ac:dyDescent="0.25">
      <c r="D245" s="1" t="str" cm="1">
        <f t="array" ref="D245">Common_InputFunctions.Utility_DisplayArrayInTable(Common_SourceData.Common_SourceData_MCFTemperatureZone_Data(),Table_SourceData_Common_MCFTemperatureZone[[#Headers],[Temperature zone]],0)</f>
        <v>Temperate</v>
      </c>
      <c r="E245" s="39" cm="1">
        <f t="array" ref="E245">Common_InputFunctions.Utility_DisplayArrayInTable(Common_SourceData.Common_SourceData_MCFTemperatureZone_Data(),Table_SourceData_Common_MCFTemperatureZone[[#Headers],[Temperature zone]],0)</f>
        <v>23</v>
      </c>
      <c r="F245" s="39" cm="1">
        <f t="array" ref="F245">Common_InputFunctions.Utility_DisplayArrayInTable(Common_SourceData.Common_SourceData_MCFTemperatureZone_Data(),Table_SourceData_Common_MCFTemperatureZone[[#Headers],[Temperature zone]],0)</f>
        <v>0.79</v>
      </c>
      <c r="G245" s="39" cm="1">
        <f t="array" ref="G245">Common_InputFunctions.Utility_DisplayArrayInTable(Common_SourceData.Common_SourceData_MCFTemperatureZone_Data(),Table_SourceData_Common_MCFTemperatureZone[[#Headers],[Temperature zone]],0)</f>
        <v>0.1</v>
      </c>
      <c r="H245" s="39" cm="1">
        <f t="array" ref="H245">Common_InputFunctions.Utility_DisplayArrayInTable(Common_SourceData.Common_SourceData_MCFTemperatureZone_Data(),Table_SourceData_Common_MCFTemperatureZone[[#Headers],[Temperature zone]],0)</f>
        <v>0.34</v>
      </c>
      <c r="I245" s="39" cm="1">
        <f t="array" ref="I245">Common_InputFunctions.Utility_DisplayArrayInTable(Common_SourceData.Common_SourceData_MCFTemperatureZone_Data(),Table_SourceData_Common_MCFTemperatureZone[[#Headers],[Temperature zone]],0)</f>
        <v>5.0000000000000001E-3</v>
      </c>
      <c r="J245" s="39" cm="1">
        <f t="array" ref="J245">Common_InputFunctions.Utility_DisplayArrayInTable(Common_SourceData.Common_SourceData_MCFTemperatureZone_Data(),Table_SourceData_Common_MCFTemperatureZone[[#Headers],[Temperature zone]],0)</f>
        <v>0.01</v>
      </c>
      <c r="K245" s="39" cm="1">
        <f t="array" ref="K245">Common_InputFunctions.Utility_DisplayArrayInTable(Common_SourceData.Common_SourceData_MCFTemperatureZone_Data(),Table_SourceData_Common_MCFTemperatureZone[[#Headers],[Temperature zone]],0)</f>
        <v>0.02</v>
      </c>
      <c r="L245" s="39" cm="1">
        <f t="array" ref="L245">Common_InputFunctions.Utility_DisplayArrayInTable(Common_SourceData.Common_SourceData_MCFTemperatureZone_Data(),Table_SourceData_Common_MCFTemperatureZone[[#Headers],[Temperature zone]],0)</f>
        <v>0.03</v>
      </c>
      <c r="M245" s="39" cm="1">
        <f t="array" ref="M245">Common_InputFunctions.Utility_DisplayArrayInTable(Common_SourceData.Common_SourceData_MCFTemperatureZone_Data(),Table_SourceData_Common_MCFTemperatureZone[[#Headers],[Temperature zone]],0)</f>
        <v>0.04</v>
      </c>
      <c r="N245" s="39" cm="1">
        <f t="array" ref="N245">Common_InputFunctions.Utility_DisplayArrayInTable(Common_SourceData.Common_SourceData_MCFTemperatureZone_Data(),Table_SourceData_Common_MCFTemperatureZone[[#Headers],[Temperature zone]],0)</f>
        <v>1.4999999999999999E-2</v>
      </c>
      <c r="O245" s="39" cm="1">
        <f t="array" ref="O245">Common_InputFunctions.Utility_DisplayArrayInTable(Common_SourceData.Common_SourceData_MCFTemperatureZone_Data(),Table_SourceData_Common_MCFTemperatureZone[[#Headers],[Temperature zone]],0)</f>
        <v>1.4999999999999999E-2</v>
      </c>
      <c r="P245" s="39" cm="1">
        <f t="array" ref="P245">Common_InputFunctions.Utility_DisplayArrayInTable(Common_SourceData.Common_SourceData_MCFTemperatureZone_Data(),Table_SourceData_Common_MCFTemperatureZone[[#Headers],[Temperature zone]],0)</f>
        <v>0</v>
      </c>
      <c r="Q245" s="39" cm="1">
        <f t="array" ref="Q245">Common_InputFunctions.Utility_DisplayArrayInTable(Common_SourceData.Common_SourceData_MCFTemperatureZone_Data(),Table_SourceData_Common_MCFTemperatureZone[[#Headers],[Temperature zone]],0)</f>
        <v>0</v>
      </c>
      <c r="R245" s="39" cm="1">
        <f t="array" ref="R245">Common_InputFunctions.Utility_DisplayArrayInTable(Common_SourceData.Common_SourceData_MCFTemperatureZone_Data(),Table_SourceData_Common_MCFTemperatureZone[[#Headers],[Temperature zone]],0)</f>
        <v>4.7000000000000002E-3</v>
      </c>
      <c r="S245" s="39" cm="1">
        <f t="array" ref="S245">Common_InputFunctions.Utility_DisplayArrayInTable(Common_SourceData.Common_SourceData_MCFTemperatureZone_Data(),Table_SourceData_Common_MCFTemperatureZone[[#Headers],[Temperature zone]],0)</f>
        <v>23</v>
      </c>
    </row>
    <row r="246" spans="4:19" x14ac:dyDescent="0.25">
      <c r="D246" s="1" t="str" cm="1">
        <f t="array" ref="D246">Common_InputFunctions.Utility_DisplayArrayInTable(Common_SourceData.Common_SourceData_MCFTemperatureZone_Data(),Table_SourceData_Common_MCFTemperatureZone[[#Headers],[Temperature zone]],0)</f>
        <v>Temperate</v>
      </c>
      <c r="E246" s="39" cm="1">
        <f t="array" ref="E246">Common_InputFunctions.Utility_DisplayArrayInTable(Common_SourceData.Common_SourceData_MCFTemperatureZone_Data(),Table_SourceData_Common_MCFTemperatureZone[[#Headers],[Temperature zone]],0)</f>
        <v>24</v>
      </c>
      <c r="F246" s="39" cm="1">
        <f t="array" ref="F246">Common_InputFunctions.Utility_DisplayArrayInTable(Common_SourceData.Common_SourceData_MCFTemperatureZone_Data(),Table_SourceData_Common_MCFTemperatureZone[[#Headers],[Temperature zone]],0)</f>
        <v>0.79</v>
      </c>
      <c r="G246" s="39" cm="1">
        <f t="array" ref="G246">Common_InputFunctions.Utility_DisplayArrayInTable(Common_SourceData.Common_SourceData_MCFTemperatureZone_Data(),Table_SourceData_Common_MCFTemperatureZone[[#Headers],[Temperature zone]],0)</f>
        <v>0.1</v>
      </c>
      <c r="H246" s="39" cm="1">
        <f t="array" ref="H246">Common_InputFunctions.Utility_DisplayArrayInTable(Common_SourceData.Common_SourceData_MCFTemperatureZone_Data(),Table_SourceData_Common_MCFTemperatureZone[[#Headers],[Temperature zone]],0)</f>
        <v>0.37</v>
      </c>
      <c r="I246" s="39" cm="1">
        <f t="array" ref="I246">Common_InputFunctions.Utility_DisplayArrayInTable(Common_SourceData.Common_SourceData_MCFTemperatureZone_Data(),Table_SourceData_Common_MCFTemperatureZone[[#Headers],[Temperature zone]],0)</f>
        <v>5.0000000000000001E-3</v>
      </c>
      <c r="J246" s="39" cm="1">
        <f t="array" ref="J246">Common_InputFunctions.Utility_DisplayArrayInTable(Common_SourceData.Common_SourceData_MCFTemperatureZone_Data(),Table_SourceData_Common_MCFTemperatureZone[[#Headers],[Temperature zone]],0)</f>
        <v>0.01</v>
      </c>
      <c r="K246" s="39" cm="1">
        <f t="array" ref="K246">Common_InputFunctions.Utility_DisplayArrayInTable(Common_SourceData.Common_SourceData_MCFTemperatureZone_Data(),Table_SourceData_Common_MCFTemperatureZone[[#Headers],[Temperature zone]],0)</f>
        <v>0.02</v>
      </c>
      <c r="L246" s="39" cm="1">
        <f t="array" ref="L246">Common_InputFunctions.Utility_DisplayArrayInTable(Common_SourceData.Common_SourceData_MCFTemperatureZone_Data(),Table_SourceData_Common_MCFTemperatureZone[[#Headers],[Temperature zone]],0)</f>
        <v>0.03</v>
      </c>
      <c r="M246" s="39" cm="1">
        <f t="array" ref="M246">Common_InputFunctions.Utility_DisplayArrayInTable(Common_SourceData.Common_SourceData_MCFTemperatureZone_Data(),Table_SourceData_Common_MCFTemperatureZone[[#Headers],[Temperature zone]],0)</f>
        <v>0.04</v>
      </c>
      <c r="N246" s="39" cm="1">
        <f t="array" ref="N246">Common_InputFunctions.Utility_DisplayArrayInTable(Common_SourceData.Common_SourceData_MCFTemperatureZone_Data(),Table_SourceData_Common_MCFTemperatureZone[[#Headers],[Temperature zone]],0)</f>
        <v>1.4999999999999999E-2</v>
      </c>
      <c r="O246" s="39" cm="1">
        <f t="array" ref="O246">Common_InputFunctions.Utility_DisplayArrayInTable(Common_SourceData.Common_SourceData_MCFTemperatureZone_Data(),Table_SourceData_Common_MCFTemperatureZone[[#Headers],[Temperature zone]],0)</f>
        <v>1.4999999999999999E-2</v>
      </c>
      <c r="P246" s="39" cm="1">
        <f t="array" ref="P246">Common_InputFunctions.Utility_DisplayArrayInTable(Common_SourceData.Common_SourceData_MCFTemperatureZone_Data(),Table_SourceData_Common_MCFTemperatureZone[[#Headers],[Temperature zone]],0)</f>
        <v>0</v>
      </c>
      <c r="Q246" s="39" cm="1">
        <f t="array" ref="Q246">Common_InputFunctions.Utility_DisplayArrayInTable(Common_SourceData.Common_SourceData_MCFTemperatureZone_Data(),Table_SourceData_Common_MCFTemperatureZone[[#Headers],[Temperature zone]],0)</f>
        <v>0</v>
      </c>
      <c r="R246" s="39" cm="1">
        <f t="array" ref="R246">Common_InputFunctions.Utility_DisplayArrayInTable(Common_SourceData.Common_SourceData_MCFTemperatureZone_Data(),Table_SourceData_Common_MCFTemperatureZone[[#Headers],[Temperature zone]],0)</f>
        <v>4.7000000000000002E-3</v>
      </c>
      <c r="S246" s="39" cm="1">
        <f t="array" ref="S246">Common_InputFunctions.Utility_DisplayArrayInTable(Common_SourceData.Common_SourceData_MCFTemperatureZone_Data(),Table_SourceData_Common_MCFTemperatureZone[[#Headers],[Temperature zone]],0)</f>
        <v>24</v>
      </c>
    </row>
    <row r="247" spans="4:19" x14ac:dyDescent="0.25">
      <c r="D247" s="1" t="str" cm="1">
        <f t="array" ref="D247">Common_InputFunctions.Utility_DisplayArrayInTable(Common_SourceData.Common_SourceData_MCFTemperatureZone_Data(),Table_SourceData_Common_MCFTemperatureZone[[#Headers],[Temperature zone]],0)</f>
        <v>Temperate</v>
      </c>
      <c r="E247" s="39" cm="1">
        <f t="array" ref="E247">Common_InputFunctions.Utility_DisplayArrayInTable(Common_SourceData.Common_SourceData_MCFTemperatureZone_Data(),Table_SourceData_Common_MCFTemperatureZone[[#Headers],[Temperature zone]],0)</f>
        <v>25</v>
      </c>
      <c r="F247" s="39" cm="1">
        <f t="array" ref="F247">Common_InputFunctions.Utility_DisplayArrayInTable(Common_SourceData.Common_SourceData_MCFTemperatureZone_Data(),Table_SourceData_Common_MCFTemperatureZone[[#Headers],[Temperature zone]],0)</f>
        <v>0.79</v>
      </c>
      <c r="G247" s="39" cm="1">
        <f t="array" ref="G247">Common_InputFunctions.Utility_DisplayArrayInTable(Common_SourceData.Common_SourceData_MCFTemperatureZone_Data(),Table_SourceData_Common_MCFTemperatureZone[[#Headers],[Temperature zone]],0)</f>
        <v>0.1</v>
      </c>
      <c r="H247" s="39" cm="1">
        <f t="array" ref="H247">Common_InputFunctions.Utility_DisplayArrayInTable(Common_SourceData.Common_SourceData_MCFTemperatureZone_Data(),Table_SourceData_Common_MCFTemperatureZone[[#Headers],[Temperature zone]],0)</f>
        <v>0.41</v>
      </c>
      <c r="I247" s="39" cm="1">
        <f t="array" ref="I247">Common_InputFunctions.Utility_DisplayArrayInTable(Common_SourceData.Common_SourceData_MCFTemperatureZone_Data(),Table_SourceData_Common_MCFTemperatureZone[[#Headers],[Temperature zone]],0)</f>
        <v>5.0000000000000001E-3</v>
      </c>
      <c r="J247" s="39" cm="1">
        <f t="array" ref="J247">Common_InputFunctions.Utility_DisplayArrayInTable(Common_SourceData.Common_SourceData_MCFTemperatureZone_Data(),Table_SourceData_Common_MCFTemperatureZone[[#Headers],[Temperature zone]],0)</f>
        <v>0.01</v>
      </c>
      <c r="K247" s="39" cm="1">
        <f t="array" ref="K247">Common_InputFunctions.Utility_DisplayArrayInTable(Common_SourceData.Common_SourceData_MCFTemperatureZone_Data(),Table_SourceData_Common_MCFTemperatureZone[[#Headers],[Temperature zone]],0)</f>
        <v>0.02</v>
      </c>
      <c r="L247" s="39" cm="1">
        <f t="array" ref="L247">Common_InputFunctions.Utility_DisplayArrayInTable(Common_SourceData.Common_SourceData_MCFTemperatureZone_Data(),Table_SourceData_Common_MCFTemperatureZone[[#Headers],[Temperature zone]],0)</f>
        <v>0.03</v>
      </c>
      <c r="M247" s="39" cm="1">
        <f t="array" ref="M247">Common_InputFunctions.Utility_DisplayArrayInTable(Common_SourceData.Common_SourceData_MCFTemperatureZone_Data(),Table_SourceData_Common_MCFTemperatureZone[[#Headers],[Temperature zone]],0)</f>
        <v>0.04</v>
      </c>
      <c r="N247" s="39" cm="1">
        <f t="array" ref="N247">Common_InputFunctions.Utility_DisplayArrayInTable(Common_SourceData.Common_SourceData_MCFTemperatureZone_Data(),Table_SourceData_Common_MCFTemperatureZone[[#Headers],[Temperature zone]],0)</f>
        <v>1.4999999999999999E-2</v>
      </c>
      <c r="O247" s="39" cm="1">
        <f t="array" ref="O247">Common_InputFunctions.Utility_DisplayArrayInTable(Common_SourceData.Common_SourceData_MCFTemperatureZone_Data(),Table_SourceData_Common_MCFTemperatureZone[[#Headers],[Temperature zone]],0)</f>
        <v>1.4999999999999999E-2</v>
      </c>
      <c r="P247" s="39" cm="1">
        <f t="array" ref="P247">Common_InputFunctions.Utility_DisplayArrayInTable(Common_SourceData.Common_SourceData_MCFTemperatureZone_Data(),Table_SourceData_Common_MCFTemperatureZone[[#Headers],[Temperature zone]],0)</f>
        <v>0</v>
      </c>
      <c r="Q247" s="39" cm="1">
        <f t="array" ref="Q247">Common_InputFunctions.Utility_DisplayArrayInTable(Common_SourceData.Common_SourceData_MCFTemperatureZone_Data(),Table_SourceData_Common_MCFTemperatureZone[[#Headers],[Temperature zone]],0)</f>
        <v>0</v>
      </c>
      <c r="R247" s="39" cm="1">
        <f t="array" ref="R247">Common_InputFunctions.Utility_DisplayArrayInTable(Common_SourceData.Common_SourceData_MCFTemperatureZone_Data(),Table_SourceData_Common_MCFTemperatureZone[[#Headers],[Temperature zone]],0)</f>
        <v>4.7000000000000002E-3</v>
      </c>
      <c r="S247" s="39" cm="1">
        <f t="array" ref="S247">Common_InputFunctions.Utility_DisplayArrayInTable(Common_SourceData.Common_SourceData_MCFTemperatureZone_Data(),Table_SourceData_Common_MCFTemperatureZone[[#Headers],[Temperature zone]],0)</f>
        <v>25</v>
      </c>
    </row>
    <row r="248" spans="4:19" x14ac:dyDescent="0.25">
      <c r="D248" s="1" t="str" cm="1">
        <f t="array" ref="D248">Common_InputFunctions.Utility_DisplayArrayInTable(Common_SourceData.Common_SourceData_MCFTemperatureZone_Data(),Table_SourceData_Common_MCFTemperatureZone[[#Headers],[Temperature zone]],0)</f>
        <v>Warm</v>
      </c>
      <c r="E248" s="39" cm="1">
        <f t="array" ref="E248">Common_InputFunctions.Utility_DisplayArrayInTable(Common_SourceData.Common_SourceData_MCFTemperatureZone_Data(),Table_SourceData_Common_MCFTemperatureZone[[#Headers],[Temperature zone]],0)</f>
        <v>26</v>
      </c>
      <c r="F248" s="39" cm="1">
        <f t="array" ref="F248">Common_InputFunctions.Utility_DisplayArrayInTable(Common_SourceData.Common_SourceData_MCFTemperatureZone_Data(),Table_SourceData_Common_MCFTemperatureZone[[#Headers],[Temperature zone]],0)</f>
        <v>0.79</v>
      </c>
      <c r="G248" s="39" cm="1">
        <f t="array" ref="G248">Common_InputFunctions.Utility_DisplayArrayInTable(Common_SourceData.Common_SourceData_MCFTemperatureZone_Data(),Table_SourceData_Common_MCFTemperatureZone[[#Headers],[Temperature zone]],0)</f>
        <v>0.1</v>
      </c>
      <c r="H248" s="39" cm="1">
        <f t="array" ref="H248">Common_InputFunctions.Utility_DisplayArrayInTable(Common_SourceData.Common_SourceData_MCFTemperatureZone_Data(),Table_SourceData_Common_MCFTemperatureZone[[#Headers],[Temperature zone]],0)</f>
        <v>0.44</v>
      </c>
      <c r="I248" s="39" cm="1">
        <f t="array" ref="I248">Common_InputFunctions.Utility_DisplayArrayInTable(Common_SourceData.Common_SourceData_MCFTemperatureZone_Data(),Table_SourceData_Common_MCFTemperatureZone[[#Headers],[Temperature zone]],0)</f>
        <v>0.01</v>
      </c>
      <c r="J248" s="39" cm="1">
        <f t="array" ref="J248">Common_InputFunctions.Utility_DisplayArrayInTable(Common_SourceData.Common_SourceData_MCFTemperatureZone_Data(),Table_SourceData_Common_MCFTemperatureZone[[#Headers],[Temperature zone]],0)</f>
        <v>1.4999999999999999E-2</v>
      </c>
      <c r="K248" s="39" cm="1">
        <f t="array" ref="K248">Common_InputFunctions.Utility_DisplayArrayInTable(Common_SourceData.Common_SourceData_MCFTemperatureZone_Data(),Table_SourceData_Common_MCFTemperatureZone[[#Headers],[Temperature zone]],0)</f>
        <v>0.02</v>
      </c>
      <c r="L248" s="39" cm="1">
        <f t="array" ref="L248">Common_InputFunctions.Utility_DisplayArrayInTable(Common_SourceData.Common_SourceData_MCFTemperatureZone_Data(),Table_SourceData_Common_MCFTemperatureZone[[#Headers],[Temperature zone]],0)</f>
        <v>0.03</v>
      </c>
      <c r="M248" s="39" cm="1">
        <f t="array" ref="M248">Common_InputFunctions.Utility_DisplayArrayInTable(Common_SourceData.Common_SourceData_MCFTemperatureZone_Data(),Table_SourceData_Common_MCFTemperatureZone[[#Headers],[Temperature zone]],0)</f>
        <v>0.04</v>
      </c>
      <c r="N248" s="39" cm="1">
        <f t="array" ref="N248">Common_InputFunctions.Utility_DisplayArrayInTable(Common_SourceData.Common_SourceData_MCFTemperatureZone_Data(),Table_SourceData_Common_MCFTemperatureZone[[#Headers],[Temperature zone]],0)</f>
        <v>1.4999999999999999E-2</v>
      </c>
      <c r="O248" s="39" cm="1">
        <f t="array" ref="O248">Common_InputFunctions.Utility_DisplayArrayInTable(Common_SourceData.Common_SourceData_MCFTemperatureZone_Data(),Table_SourceData_Common_MCFTemperatureZone[[#Headers],[Temperature zone]],0)</f>
        <v>1.4999999999999999E-2</v>
      </c>
      <c r="P248" s="39" cm="1">
        <f t="array" ref="P248">Common_InputFunctions.Utility_DisplayArrayInTable(Common_SourceData.Common_SourceData_MCFTemperatureZone_Data(),Table_SourceData_Common_MCFTemperatureZone[[#Headers],[Temperature zone]],0)</f>
        <v>0</v>
      </c>
      <c r="Q248" s="39" cm="1">
        <f t="array" ref="Q248">Common_InputFunctions.Utility_DisplayArrayInTable(Common_SourceData.Common_SourceData_MCFTemperatureZone_Data(),Table_SourceData_Common_MCFTemperatureZone[[#Headers],[Temperature zone]],0)</f>
        <v>0</v>
      </c>
      <c r="R248" s="39" cm="1">
        <f t="array" ref="R248">Common_InputFunctions.Utility_DisplayArrayInTable(Common_SourceData.Common_SourceData_MCFTemperatureZone_Data(),Table_SourceData_Common_MCFTemperatureZone[[#Headers],[Temperature zone]],0)</f>
        <v>4.7000000000000002E-3</v>
      </c>
      <c r="S248" s="39" cm="1">
        <f t="array" ref="S248">Common_InputFunctions.Utility_DisplayArrayInTable(Common_SourceData.Common_SourceData_MCFTemperatureZone_Data(),Table_SourceData_Common_MCFTemperatureZone[[#Headers],[Temperature zone]],0)</f>
        <v>26</v>
      </c>
    </row>
    <row r="249" spans="4:19" x14ac:dyDescent="0.25">
      <c r="D249" s="1" t="str" cm="1">
        <f t="array" ref="D249">Common_InputFunctions.Utility_DisplayArrayInTable(Common_SourceData.Common_SourceData_MCFTemperatureZone_Data(),Table_SourceData_Common_MCFTemperatureZone[[#Headers],[Temperature zone]],0)</f>
        <v>Warm</v>
      </c>
      <c r="E249" s="39" cm="1">
        <f t="array" ref="E249">Common_InputFunctions.Utility_DisplayArrayInTable(Common_SourceData.Common_SourceData_MCFTemperatureZone_Data(),Table_SourceData_Common_MCFTemperatureZone[[#Headers],[Temperature zone]],0)</f>
        <v>27</v>
      </c>
      <c r="F249" s="39" cm="1">
        <f t="array" ref="F249">Common_InputFunctions.Utility_DisplayArrayInTable(Common_SourceData.Common_SourceData_MCFTemperatureZone_Data(),Table_SourceData_Common_MCFTemperatureZone[[#Headers],[Temperature zone]],0)</f>
        <v>0.8</v>
      </c>
      <c r="G249" s="39" cm="1">
        <f t="array" ref="G249">Common_InputFunctions.Utility_DisplayArrayInTable(Common_SourceData.Common_SourceData_MCFTemperatureZone_Data(),Table_SourceData_Common_MCFTemperatureZone[[#Headers],[Temperature zone]],0)</f>
        <v>0.1</v>
      </c>
      <c r="H249" s="39" cm="1">
        <f t="array" ref="H249">Common_InputFunctions.Utility_DisplayArrayInTable(Common_SourceData.Common_SourceData_MCFTemperatureZone_Data(),Table_SourceData_Common_MCFTemperatureZone[[#Headers],[Temperature zone]],0)</f>
        <v>0.48</v>
      </c>
      <c r="I249" s="39" cm="1">
        <f t="array" ref="I249">Common_InputFunctions.Utility_DisplayArrayInTable(Common_SourceData.Common_SourceData_MCFTemperatureZone_Data(),Table_SourceData_Common_MCFTemperatureZone[[#Headers],[Temperature zone]],0)</f>
        <v>0.01</v>
      </c>
      <c r="J249" s="39" cm="1">
        <f t="array" ref="J249">Common_InputFunctions.Utility_DisplayArrayInTable(Common_SourceData.Common_SourceData_MCFTemperatureZone_Data(),Table_SourceData_Common_MCFTemperatureZone[[#Headers],[Temperature zone]],0)</f>
        <v>1.4999999999999999E-2</v>
      </c>
      <c r="K249" s="39" cm="1">
        <f t="array" ref="K249">Common_InputFunctions.Utility_DisplayArrayInTable(Common_SourceData.Common_SourceData_MCFTemperatureZone_Data(),Table_SourceData_Common_MCFTemperatureZone[[#Headers],[Temperature zone]],0)</f>
        <v>0.02</v>
      </c>
      <c r="L249" s="39" cm="1">
        <f t="array" ref="L249">Common_InputFunctions.Utility_DisplayArrayInTable(Common_SourceData.Common_SourceData_MCFTemperatureZone_Data(),Table_SourceData_Common_MCFTemperatureZone[[#Headers],[Temperature zone]],0)</f>
        <v>0.03</v>
      </c>
      <c r="M249" s="39" cm="1">
        <f t="array" ref="M249">Common_InputFunctions.Utility_DisplayArrayInTable(Common_SourceData.Common_SourceData_MCFTemperatureZone_Data(),Table_SourceData_Common_MCFTemperatureZone[[#Headers],[Temperature zone]],0)</f>
        <v>0.04</v>
      </c>
      <c r="N249" s="39" cm="1">
        <f t="array" ref="N249">Common_InputFunctions.Utility_DisplayArrayInTable(Common_SourceData.Common_SourceData_MCFTemperatureZone_Data(),Table_SourceData_Common_MCFTemperatureZone[[#Headers],[Temperature zone]],0)</f>
        <v>1.4999999999999999E-2</v>
      </c>
      <c r="O249" s="39" cm="1">
        <f t="array" ref="O249">Common_InputFunctions.Utility_DisplayArrayInTable(Common_SourceData.Common_SourceData_MCFTemperatureZone_Data(),Table_SourceData_Common_MCFTemperatureZone[[#Headers],[Temperature zone]],0)</f>
        <v>1.4999999999999999E-2</v>
      </c>
      <c r="P249" s="39" cm="1">
        <f t="array" ref="P249">Common_InputFunctions.Utility_DisplayArrayInTable(Common_SourceData.Common_SourceData_MCFTemperatureZone_Data(),Table_SourceData_Common_MCFTemperatureZone[[#Headers],[Temperature zone]],0)</f>
        <v>0</v>
      </c>
      <c r="Q249" s="39" cm="1">
        <f t="array" ref="Q249">Common_InputFunctions.Utility_DisplayArrayInTable(Common_SourceData.Common_SourceData_MCFTemperatureZone_Data(),Table_SourceData_Common_MCFTemperatureZone[[#Headers],[Temperature zone]],0)</f>
        <v>0</v>
      </c>
      <c r="R249" s="39" cm="1">
        <f t="array" ref="R249">Common_InputFunctions.Utility_DisplayArrayInTable(Common_SourceData.Common_SourceData_MCFTemperatureZone_Data(),Table_SourceData_Common_MCFTemperatureZone[[#Headers],[Temperature zone]],0)</f>
        <v>4.7000000000000002E-3</v>
      </c>
      <c r="S249" s="39" cm="1">
        <f t="array" ref="S249">Common_InputFunctions.Utility_DisplayArrayInTable(Common_SourceData.Common_SourceData_MCFTemperatureZone_Data(),Table_SourceData_Common_MCFTemperatureZone[[#Headers],[Temperature zone]],0)</f>
        <v>27</v>
      </c>
    </row>
    <row r="250" spans="4:19" x14ac:dyDescent="0.25">
      <c r="D250" s="1" t="str" cm="1">
        <f t="array" ref="D250">Common_InputFunctions.Utility_DisplayArrayInTable(Common_SourceData.Common_SourceData_MCFTemperatureZone_Data(),Table_SourceData_Common_MCFTemperatureZone[[#Headers],[Temperature zone]],0)</f>
        <v>Warm</v>
      </c>
      <c r="E250" s="39" t="str" cm="1">
        <f t="array" ref="E250">Common_InputFunctions.Utility_DisplayArrayInTable(Common_SourceData.Common_SourceData_MCFTemperatureZone_Data(),Table_SourceData_Common_MCFTemperatureZone[[#Headers],[Temperature zone]],0)</f>
        <v>≥28</v>
      </c>
      <c r="F250" s="39" cm="1">
        <f t="array" ref="F250">Common_InputFunctions.Utility_DisplayArrayInTable(Common_SourceData.Common_SourceData_MCFTemperatureZone_Data(),Table_SourceData_Common_MCFTemperatureZone[[#Headers],[Temperature zone]],0)</f>
        <v>0.8</v>
      </c>
      <c r="G250" s="39" cm="1">
        <f t="array" ref="G250">Common_InputFunctions.Utility_DisplayArrayInTable(Common_SourceData.Common_SourceData_MCFTemperatureZone_Data(),Table_SourceData_Common_MCFTemperatureZone[[#Headers],[Temperature zone]],0)</f>
        <v>0.1</v>
      </c>
      <c r="H250" s="39" cm="1">
        <f t="array" ref="H250">Common_InputFunctions.Utility_DisplayArrayInTable(Common_SourceData.Common_SourceData_MCFTemperatureZone_Data(),Table_SourceData_Common_MCFTemperatureZone[[#Headers],[Temperature zone]],0)</f>
        <v>0.5</v>
      </c>
      <c r="I250" s="39" cm="1">
        <f t="array" ref="I250">Common_InputFunctions.Utility_DisplayArrayInTable(Common_SourceData.Common_SourceData_MCFTemperatureZone_Data(),Table_SourceData_Common_MCFTemperatureZone[[#Headers],[Temperature zone]],0)</f>
        <v>0.01</v>
      </c>
      <c r="J250" s="39" cm="1">
        <f t="array" ref="J250">Common_InputFunctions.Utility_DisplayArrayInTable(Common_SourceData.Common_SourceData_MCFTemperatureZone_Data(),Table_SourceData_Common_MCFTemperatureZone[[#Headers],[Temperature zone]],0)</f>
        <v>1.4999999999999999E-2</v>
      </c>
      <c r="K250" s="39" cm="1">
        <f t="array" ref="K250">Common_InputFunctions.Utility_DisplayArrayInTable(Common_SourceData.Common_SourceData_MCFTemperatureZone_Data(),Table_SourceData_Common_MCFTemperatureZone[[#Headers],[Temperature zone]],0)</f>
        <v>0.02</v>
      </c>
      <c r="L250" s="39" cm="1">
        <f t="array" ref="L250">Common_InputFunctions.Utility_DisplayArrayInTable(Common_SourceData.Common_SourceData_MCFTemperatureZone_Data(),Table_SourceData_Common_MCFTemperatureZone[[#Headers],[Temperature zone]],0)</f>
        <v>0.03</v>
      </c>
      <c r="M250" s="39" cm="1">
        <f t="array" ref="M250">Common_InputFunctions.Utility_DisplayArrayInTable(Common_SourceData.Common_SourceData_MCFTemperatureZone_Data(),Table_SourceData_Common_MCFTemperatureZone[[#Headers],[Temperature zone]],0)</f>
        <v>0.04</v>
      </c>
      <c r="N250" s="39" cm="1">
        <f t="array" ref="N250">Common_InputFunctions.Utility_DisplayArrayInTable(Common_SourceData.Common_SourceData_MCFTemperatureZone_Data(),Table_SourceData_Common_MCFTemperatureZone[[#Headers],[Temperature zone]],0)</f>
        <v>1.4999999999999999E-2</v>
      </c>
      <c r="O250" s="39" cm="1">
        <f t="array" ref="O250">Common_InputFunctions.Utility_DisplayArrayInTable(Common_SourceData.Common_SourceData_MCFTemperatureZone_Data(),Table_SourceData_Common_MCFTemperatureZone[[#Headers],[Temperature zone]],0)</f>
        <v>1.4999999999999999E-2</v>
      </c>
      <c r="P250" s="39" cm="1">
        <f t="array" ref="P250">Common_InputFunctions.Utility_DisplayArrayInTable(Common_SourceData.Common_SourceData_MCFTemperatureZone_Data(),Table_SourceData_Common_MCFTemperatureZone[[#Headers],[Temperature zone]],0)</f>
        <v>0</v>
      </c>
      <c r="Q250" s="39" cm="1">
        <f t="array" ref="Q250">Common_InputFunctions.Utility_DisplayArrayInTable(Common_SourceData.Common_SourceData_MCFTemperatureZone_Data(),Table_SourceData_Common_MCFTemperatureZone[[#Headers],[Temperature zone]],0)</f>
        <v>0</v>
      </c>
      <c r="R250" s="39" cm="1">
        <f t="array" ref="R250">Common_InputFunctions.Utility_DisplayArrayInTable(Common_SourceData.Common_SourceData_MCFTemperatureZone_Data(),Table_SourceData_Common_MCFTemperatureZone[[#Headers],[Temperature zone]],0)</f>
        <v>4.7000000000000002E-3</v>
      </c>
      <c r="S250" s="39" cm="1">
        <f t="array" ref="S250">Common_InputFunctions.Utility_DisplayArrayInTable(Common_SourceData.Common_SourceData_MCFTemperatureZone_Data(),Table_SourceData_Common_MCFTemperatureZone[[#Headers],[Temperature zone]],0)</f>
        <v>28</v>
      </c>
    </row>
    <row r="253" spans="4:19" ht="23.25" x14ac:dyDescent="0.25">
      <c r="D253" s="6" t="str" cm="1">
        <f t="array" ref="D253">Common_SourceData.Common_SourceData_EFOrganicFertiliserAndCropResidues_Title()</f>
        <v>Emission factor for organic fertiliser and crop residues returned to the soil</v>
      </c>
    </row>
    <row r="254" spans="4:19" x14ac:dyDescent="0.25">
      <c r="D254" s="5" t="str" cm="1">
        <f t="array" ref="D254">Common_SourceData.Common_SourceData_EFOrganicFertiliserAndCropResidues_Source()</f>
        <v>VEERG 2026: Table A.2.1.4</v>
      </c>
    </row>
    <row r="255" spans="4:19" x14ac:dyDescent="0.25">
      <c r="D255" s="1" t="str" cm="1">
        <f t="array" ref="D255">Common_SourceData.Common_SourceData_EFOrganicFertiliserAndCropResidues_Variable()</f>
        <v>EFNi &amp; EFN2Oi</v>
      </c>
    </row>
    <row r="256" spans="4:19" x14ac:dyDescent="0.25">
      <c r="D256" s="55" t="str" cm="1">
        <f t="array" ref="D256">Common_SourceData.Common_SourceData_EFOrganicFertiliserAndCropResidues_Unit()</f>
        <v>kg N2O - N / kg N</v>
      </c>
    </row>
    <row r="257" spans="4:5" x14ac:dyDescent="0.25">
      <c r="D257" s="39" t="s">
        <v>244</v>
      </c>
      <c r="E257" s="39" t="s">
        <v>245</v>
      </c>
    </row>
    <row r="258" spans="4:5" x14ac:dyDescent="0.25">
      <c r="D258" s="39" t="str" cm="1">
        <f t="array" ref="D258">Common_InputFunctions.Utility_DisplayArrayInTable(Common_SourceData.Common_SourceData_EFOrganicFertiliserAndCropResidues_Data(), Table_SourceData_Common_EFOrganicFertCropResidues[[#Headers],[Climate Zone]], 0)</f>
        <v>Wet climate zone</v>
      </c>
      <c r="E258" s="39" cm="1">
        <f t="array" ref="E258">Common_InputFunctions.Utility_DisplayArrayInTable(Common_SourceData.Common_SourceData_EFOrganicFertiliserAndCropResidues_Data(), Table_SourceData_Common_EFOrganicFertCropResidues[[#Headers],[Climate Zone]], 0)</f>
        <v>6.0000000000000001E-3</v>
      </c>
    </row>
    <row r="259" spans="4:5" x14ac:dyDescent="0.25">
      <c r="D259" s="1" t="str" cm="1">
        <f t="array" ref="D259">Common_InputFunctions.Utility_DisplayArrayInTable(Common_SourceData.Common_SourceData_EFOrganicFertiliserAndCropResidues_Data(), Table_SourceData_Common_EFOrganicFertCropResidues[[#Headers],[Climate Zone]], 0)</f>
        <v>Dry climate zone</v>
      </c>
      <c r="E259" s="39" cm="1">
        <f t="array" ref="E259">Common_InputFunctions.Utility_DisplayArrayInTable(Common_SourceData.Common_SourceData_EFOrganicFertiliserAndCropResidues_Data(), Table_SourceData_Common_EFOrganicFertCropResidues[[#Headers],[Climate Zone]], 0)</f>
        <v>5.0000000000000001E-3</v>
      </c>
    </row>
  </sheetData>
  <pageMargins left="0.7" right="0.7" top="0.75" bottom="0.75" header="0.3" footer="0.3"/>
  <pageSetup paperSize="9" orientation="portrait" r:id="rId1"/>
  <tableParts count="17">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87A9DA-7B49-4536-9AC1-4BDE2DD493BF}">
  <dimension ref="A1"/>
  <sheetViews>
    <sheetView workbookViewId="0"/>
  </sheetViews>
  <sheetFormatPr defaultRowHeight="15" x14ac:dyDescent="0.25"/>
  <sheetData>
    <row r="1" spans="1:1" x14ac:dyDescent="0.25">
      <c r="A1" t="s">
        <v>117</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09eef6d6-daa8-4301-8f9f-b1ec38079286" xsi:nil="true"/>
    <lcf76f155ced4ddcb4097134ff3c332f xmlns="7291119c-fce9-4911-96ae-b800be5dccd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DAG8AbQBtAG8AbgBfAFMAbwB1AHIAYwBlAEQAYQB0AGEAIgAsACIAdABlAHgAdAAiADoAIgAvACo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FMAbwB1AHIAYwBlACAAZABhAHQAYQAgAHQAaABhAHQAIABpAHMAIABjAG8AbQBtAG8AbgAgAGEAYwByAG8AcwBzACAAYQBsAGwAIABlAG4AdABlAHIAcAByAGkAcwBlACAAdAB5AHAAZQBzAFwAbgBFAHgAYwBlAGwAIABtAG8AZAB1AGwAZQAgAG4AYQBtAGUAOgAgAEMAbwBtAG0AbwBuAF8AUwBvAHUAcgBjAGUARABhAHQAYQBcAG4APQA9AD0APQA9AD0APQA9AD0APQA9AD0APQA9AD0APQA9AD0APQA9AD0APQA9AD0APQA9AD0APQA9AD0APQA9AD0APQA9AD0APQA9AD0APQA9AD0APQA9AD0APQA9AD0APQA9AD0APQA9AD0APQA9AD0APQA9AD0APQA9AD0APQA9AD0APQA9AD0APQA9AD0APQA9AD0APQBcAG4APQA9AD0APQA9AD0APQA9AD0APQA9AD0APQA9AD0APQA9AD0APQA9AD0APQA9AD0APQA9AD0APQA9AD0APQA9AD0APQA9AD0APQA9AD0APQA9AD0APQA9AD0APQA9AD0APQA9AD0APQA9AD0APQA9AD0APQA9AD0APQA9AD0APQA9AD0APQA9AD0APQA9AD0APQA9AD0APQBcAG4AKgAvAFwAbgBcAG4ALwAqAFwAbgA9AD0APQA9AD0APQA9AD0APQA9AD0APQA9AD0APQA9AD0APQA9AD0APQA9AD0APQA9AD0APQA9AD0APQA9AD0APQA9AD0APQA9AD0AXABuAD0APQA9AD0APQA9AD0APQA9AD0APQA9AD0APQA9AD0APQA9AD0APQA9AD0APQA9AD0APQA9AD0APQA9AD0APQA9AD0APQA9AD0APQBcAG4AUwBvAHUAcgBjAGUAOgAgAE4AYQB0AGkAbwBuAGEAbAAgAEkAbgB2AGUAbgB0AG8AcgB5ACAAUgBlAHAAbwByAHQAIAAyADAAMgAzACAAVgBvAGwAdQBtAGUAIAAxAFwAbgBOAEkAUgBfADIAMAAyADMAXwBWAG8AbAAxAFwAbgA9AD0APQA9AD0APQA9AD0APQA9AD0APQA9AD0APQA9AD0APQA9AD0APQA9AD0APQA9AD0APQA9AD0APQA9AD0APQA9AD0APQA9AD0AXABuAD0APQA9AD0APQA9AD0APQA9AD0APQA9AD0APQA9AD0APQA9AD0APQA9AD0APQA9AD0APQA9AD0APQA9AD0APQA9AD0APQA9AD0APQBcAG4AKgAvAFwAbgBcAG4ALwAqACAAXABuAC0ALQAtAC0ALQAtAC0ALQAtAC0ALQAtAC0ALQAtAC0ALQAtAC0ALQAtAC0ALQAtAC0ALQAtAC0ALQAtAC0ALQAtAC0ALQAtAC0ALQBcAG4AQwBvAG0AbQBvAG4AXwBTAG8AdQByAGMAZQBEAGEAdABhAF8ARABlAG4AcwBpAHQAeQBPAGYATQBlAHQAaABhAG4AZQBcAG4AcAAgAD0AIABkAGUAbgBzAGkAdAB5ACAAbwBmACAAbQBlAHQAaABhAG4AZQAgACgAMAAuADYANwA4ADQAIABrAGcALwBtADMAKQBcAG4AVABhAGsAZQBuACAAZgByAG8AbQAgAHQAaABlACAATgBhAHQAaQBvAG4AYQBsACAARwByAGUAZQBuAGgAbwB1AHMAZQAgAGEAbgBkACAARQBuAGUAcgBnAHkAIABSAGUAcABvAHIAdABpAG4AZwAgAFwAbgAoAE0AZQBhAHMAdQByAGUAbQBlAG4AdAApACAARABlAHQAZQByAG0AaQBuAGEAdABpAG8AbgAgADIAMAAwADgAXABuAC0ALQAtAC0ALQAtAC0ALQAtAC0ALQAtAC0ALQAtAC0ALQAtAC0ALQAtAC0ALQAtAC0ALQAtAC0ALQAtAC0ALQAtAC0ALQAtAC0ALQBcAG4AKgAvAFwAbgBcAG4AQwBvAG0AbQBvAG4AXwBTAG8AdQByAGMAZQBEAGEAdABhAF8ARABlAG4AcwBpAHQAeQBPAGYATQBlAHQAaABhAG4AZQBfAFQAaQB0AGwAZQBcAG4AIAAgAD0ATABBAE0AQgBEAEEAKABcACIAcAAgAD0AIABkAGUAbgBzAGkAdAB5ACAAbwBmACAAbQBlAHQAaABhAG4AZQBcACIAKQA7AFwAbgBcAG4AQwBvAG0AbQBvAG4AXwBTAG8AdQByAGMAZQBEAGEAdABhAF8ARABlAG4AcwBpAHQAeQBPAGYATQBlAHQAaABhAG4AZQBfAFUAbgBpAHQAXABuACAAIAA9AEwAQQBNAEIARABBACgAXAAiAGsAZwAvAG0AMwBcACIAKQA7AFwAbgBcAG4AQwBvAG0AbQBvAG4AXwBTAG8AdQByAGMAZQBEAGEAdABhAF8ARABlAG4AcwBpAHQAeQBPAGYATQBlAHQAaABhAG4AZQBfAFMAbwB1AHIAYwBlAFwAbgAgACAAPQBMAEEATQBCAEQAQQAoAFwAIgBOAGEAdABpAG8AbgBhAGwAIABJAG4AdgBlAG4AdABvAHIAeQAgAFIAZQBwAG8AcgB0ACAAMgAwADIAMwAgAFYAbwBsAHUAbQBlACAAMQA6ACAARQBxAHUAYQB0AGkAbwBuAHMAIAAzAC4AQgAuADEAYQBfADIALAAgADMALgBCAC4AMQBjAF8AMgAsACAAMwAuAEIALgAzAF8AMQAsACAAMwAuAEIALgA0AGcAXwAyAFwAIgApADsAXABuAFwAbgBDAG8AbQBtAG8AbgBfAFMAbwB1AHIAYwBlAEQAYQB0AGEAXwBEAGUAbgBzAGkAdAB5AE8AZgBNAGUAdABoAGEAbgBlAF8ARABhAHQAYQBcAG4AIAAgAD0ATABBAE0AQgBEAEEAKAAwAC4ANgA3ADgANAApADsAXABuAFwAbgAvACoAIABcAG4ALQAtAC0ALQAtAC0ALQAtAC0ALQAtAC0ALQAtAC0ALQAtAC0ALQAtAC0ALQAtAC0ALQAtAC0ALQAtAC0ALQAtAC0ALQAtAC0ALQAtAFwAbgBDAG8AbQBtAG8AbgBfAFMAbwB1AHIAYwBlAEQAYQB0AGEAXwBDAG8AbgB2AGUAcgB0AE4AMgBvAEUAbABlAG0AZQBuAHQAYQBsAFQAbwBNAG8AbABlAGMAdQBsAGEAcgBDAGcAXABuAEMAZwAgAD0AIAA0ADQALwAyADgAIABmAGEAYwB0AG8AcgAgAHQAbwAgAGMAbwBuAHYAZQByAHQAIABlAGwAZQBtAGUAbgB0AGEAbAAgAG0AYQBzAHMAIABvAGYAIABOADIATwAgAHQAbwAgAG0AbwBsAGUAYwB1AGwAYQByACAAbQBhAHMAcwBcAG4ALQAtAC0ALQAtAC0ALQAtAC0ALQAtAC0ALQAtAC0ALQAtAC0ALQAtAC0ALQAtAC0ALQAtAC0ALQAtAC0ALQAtAC0ALQAtAC0ALQAtAFwAbgAqAC8AXABuAFwAbgBDAG8AbQBtAG8AbgBfAFMAbwB1AHIAYwBlAEQAYQB0AGEAXwBDAG8AbgB2AGUAcgB0AE4AMgBvAEUAbABlAG0AZQBuAHQAYQBsAFQAbwBNAG8AbABlAGMAdQBsAGEAcgBDAGcAXwBUAGkAdABsAGUAXABuACAAIAA9AEwAQQBNAEIARABBACgAXAAiAEYAYQBjAHQAbwByACAAdABvACAAYwBvAG4AdgBlAHIAdAAgAGUAbABlAG0AZQBuAHQAYQBsACAAbQBhAHMAcwAgAG8AZgAgAE4AMgBPACAAdABvACAAbQBvAGwAZQBjAHUAbABhAHIAIABtAGEAcwBzAFwAIgApADsAXABuAFwAbgBDAG8AbQBtAG8AbgBfAFMAbwB1AHIAYwBlAEQAYQB0AGEAXwBDAG8AbgB2AGUAcgB0AE4AMgBvAEUAbABlAG0AZQBuAHQAYQBsAFQAbwBNAG8AbABlAGMAdQBsAGEAcgBDAGcAXwBWAGEAcgBpAGEAYgBsAGUAXABuACAAIAA9AEwAQQBNAEIARABBACgAXAAiAEMAZwBOADIATwBcACIAKQA7AFwAbgBcAG4AQwBvAG0AbQBvAG4AXwBTAG8AdQByAGMAZQBEAGEAdABhAF8AQwBvAG4AdgBlAHIAdABOADIAbwBFAGwAZQBtAGUAbgB0AGEAbABUAG8ATQBvAGwAZQBjAHUAbABhAHIAQwBnAF8AVQBuAGkAdABcAG4AIAAgAD0ATABBAE0AQgBEAEEAKABcACIAZgBhAGMAdABvAHIAXAAiACkAOwBcAG4AXABuAEMAbwBtAG0AbwBuAF8AUwBvAHUAcgBjAGUARABhAHQAYQBfAEMAbwBuAHYAZQByAHQATgAyAG8ARQBsAGUAbQBlAG4AdABhAGwAVABvAE0AbwBsAGUAYwB1AGwAYQByAEMAZwBfAFMAbwB1AHIAYwBlAFwAbgAgACAAPQBMAEEATQBCAEQAQQAoAFwAIgBOAGEAdABpAG8AbgBhAGwAIABJAG4AdgBlAG4AdABvAHIAeQAgAFIAZQBwAG8AcgB0ACAAMgAwADIAMwAgAFYAbwBsAHUAbQBlACAAMQBcACIAKQA7AFwAbgBcAG4AQwBvAG0AbQBvAG4AXwBTAG8AdQByAGMAZQBEAGEAdABhAF8AQwBvAG4AdgBlAHIAdABOADIAbwBFAGwAZQBtAGUAbgB0AGEAbABUAG8ATQBvAGwAZQBjAHUAbABhAHIAQwBnAF8ARABhAHQAYQBcAG4AIAAgAD0ATABBAE0AQgBEAEEAKAA0ADQALwAyADgAKQA7AFwAbgBcAG4ALwAqACAAXABuAC0ALQAtAC0ALQAtAC0ALQAtAC0ALQAtAC0ALQAtAC0ALQAtAC0ALQAtAC0ALQAtAC0ALQAtAC0ALQAtAC0ALQAtAC0ALQAtAC0ALQBcAG4AQwBvAG0AbQBvAG4AXwBTAG8AdQByAGMAZQBEAGEAdABhAF8AQwBvAG4AdgBlAHIAdABHAGEAcwBFAGwAZQBtAGUAbgB0AGEAbABUAG8ATQBvAGwAZQBjAHUAbABhAHIAXABuAEYAYQBjAHQAbwByACAAdABvACAAYwBvAG4AdgBlAHIAdAAgAGUAbABlAG0AZQBuAHQAYQBsACAAbQBhAHMAcwAgAG8AZgAgAGcAYQBzACAAdABvACAAbQBvAGwAZQBjAHUAbABhAHIAIABtAGEAcwBzAFwAbgAtAC0ALQAtAC0ALQAtAC0ALQAtAC0ALQAtAC0ALQAtAC0ALQAtAC0ALQAtAC0ALQAtAC0ALQAtAC0ALQAtAC0ALQAtAC0ALQAtAC0AXABuACoALwBcAG4AXABuAEMAbwBtAG0AbwBuAF8AUwBvAHUAcgBjAGUARABhAHQAYQBfAEMAbwBuAHYAZQByAHQARwBhAHMARQBsAGUAbQBlAG4AdABhAGwAVABvAE0AbwBsAGUAYwB1AGwAYQByAF8AVABpAHQAbABlAFwAbgAgACAAPQBMAEEATQBCAEQAQQAoAFwAIgBGAGEAYwB0AG8AcgAgAHQAbwAgAGMAbwBuAHYAZQByAHQAIABlAGwAZQBtAGUAbgB0AGEAbAAgAG0AYQBzAHMAIABvAGYAIABnAGEAcwAgAHQAbwAgAG0AbwBsAGUAYwB1AGwAYQByACAAbQBhAHMAcwBcACIAKQA7AFwAbgBcAG4AQwBvAG0AbQBvAG4AXwBTAG8AdQByAGMAZQBEAGEAdABhAF8AQwBvAG4AdgBlAHIAdABHAGEAcwBFAGwAZQBtAGUAbgB0AGEAbABUAG8ATQBvAGwAZQBjAHUAbABhAHIAXwBWAGEAcgBpAGEAYgBsAGUAXABuACAAIAA9AEwAQQBNAEIARABBACgAXAAiAEMAZwBcACIAKQA7AFwAbgBcAG4AQwBvAG0AbQBvAG4AXwBTAG8AdQByAGMAZQBEAGEAdABhAF8AQwBvAG4AdgBlAHIAdABHAGEAcwBFAGwAZQBtAGUAbgB0AGEAbABUAG8ATQBvAGwAZQBjAHUAbABhAHIAXwBVAG4AaQB0AFwAbgAgACAAPQBMAEEATQBCAEQAQQAoAFwAIgBmAGEAYwB0AG8AcgBcACIAKQA7AFwAbgBcAG4AQwBvAG0AbQBvAG4AXwBTAG8AdQByAGMAZQBEAGEAdABhAF8AQwBvAG4AdgBlAHIAdABHAGEAcwBFAGwAZQBtAGUAbgB0AGEAbABUAG8ATQBvAGwAZQBjAHUAbABhAHIAXwBTAG8AdQByAGMAZQBcAG4AIAAgAD0ATABBAE0AQgBEAEEAKABcACIAWABYAFgAWABYAFgAWABcACIAKQA7AFwAbgBcAG4AQwBvAG0AbQBvAG4AXwBTAG8AdQByAGMAZQBEAGEAdABhAF8AQwBvAG4AdgBlAHIAdABHAGEAcwBFAGwAZQBtAGUAbgB0AGEAbABUAG8ATQBvAGwAZQBjAHUAbABhAHIAXwBEAGEAdABhAFwAbgAgACAAPQBMAEEATQBCAEQAQQAoAFwAbgAgACAAIAAgAE0AQQBLAEUAQQBSAFIAQQBZACgAOAAsACAANAAsACAAXABuACAAIAAgACAAIAAgAEwAQQBNAEIARABBACgAcgAsAGMALAAgAFwAbgAgACAAIAAgACAAIAAgACAASQBOAEQARQBYACgAewBcAG4AIAAgACAAIAAgACAAIAAgACAAIABcACIARwBhAHMAXAAiACwAIABcACIAQwBvAG4AdgBlAHIAcwBpAG8AbgAgAGYAYQBjAHQAbwByAFwAIgAsACAAXAAiAEMAbwBuAHYAZQByAHMAaQBvAG4AIABmAGEAYwB0AG8AcgAgADEAXAAiACwAIABcACIAQwBvAG4AdgBlAHIAcwBpAG8AbgAgAGYAYQBjAHQAbwByACAAMgBcACIAOwBcAG4AIAAgACAAIAAgACAAIAAgACAAIABcACIAQwBPADIAXAAiACwAIABcACIANAA0AC8AMQAyAFwAIgAsACAANAA0ACwAIAAxADIAOwBcAG4AIAAgACAAIAAgACAAIAAgACAAIABcACIAQwBIADQAXAAiACwAIABcACIAMQA2AC8AMQAyAFwAIgAsACAAMQA2ACwAIAAxADIAOwBcAG4AIAAgACAAIAAgACAAIAAgACAAIABcACIATgAyAE8AXAAiACwAIABcACIANAA0AC8AMgA4AFwAIgAsACAANAA0ACwAIAAyADgAOwBcAG4AIAAgACAAIAAgACAAIAAgACAAIABcACIATgBvAHgAXAAiACwAIABcACIANAA2AC8AMQA0AFwAIgAsACAANAA2ACwAIAAxADQAOwBcAG4AIAAgACAAIAAgACAAIAAgACAAIABcACIAQwBPAFwAIgAsACAAXAAiADIAOAAvADEAMgBcACIALAAgADIAOAAsACAAMQAyADsAXABuACAAIAAgACAAIAAgACAAIAAgACAAXAAiAEMATwAyACAATABpAG0AZQBcACIALAAgAFwAIgA0ADQALwAxADIAXAAiACwAIAA0ADQALAAgADEAMgA7AFwAbgAgACAAIAAgACAAIAAgACAAIAAgAFwAIgBOAE0AVgBPAEMAXAAiACwAIABcACIAMQA0AC8AMQAyAFwAIgAsACAAMQA0ACwAIAAxAD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cAVwBQAE4AMgBPAFwAbgBHAGwAbwBiAGEAbAAgAHcAYQByAG0AaQBuAGcAIABwAG8AdABlAG4AdABpAGEAbAAgAGYAbwByACAAZwByAGUAZQBuAGgAbwB1AHMAZQAgAGcAYQBzAGUAcwBcAG4ALQAtAC0ALQAtAC0ALQAtAC0ALQAtAC0ALQAtAC0ALQAtAC0ALQAtAC0ALQAtAC0ALQAtAC0ALQAtAC0ALQAtAC0ALQAtAC0ALQAtAFwAbgAqAC8AXABuAFwAbgBDAG8AbQBtAG8AbgBfAFMAbwB1AHIAYwBlAEQAYQB0AGEAXwBHAFcAUABfAFQAaQB0AGwAZQBcAG4AIAAgAD0ATABBAE0AQgBEAEEAKABcACIARwBsAG8AYgBhAGwAIAB3AGEAcgBtAGkAbgBnACAAcABvAHQAZQBuAHQAaQBhAGwAIABmAG8AcgAgAGcAcgBlAGUAbgBoAG8AdQBzAGUAIABnAGEAcwBlAHMAXAAiACkAOwBcAG4AXABuAEMAbwBtAG0AbwBuAF8AUwBvAHUAcgBjAGUARABhAHQAYQBfAEcAVwBQAF8AVgBhAHIAaQBhAGIAbABlAFwAbgAgACAAPQBMAEEATQBCAEQAQQAoAFwAIgBHAFcAUABOADIATwBcACIAKQA7AFwAbgBcAG4AQwBvAG0AbQBvAG4AXwBTAG8AdQByAGMAZQBEAGEAdABhAF8ARwBXAFAAXwBVAG4AaQB0AFwAbgAgACAAPQBMAEEATQBCAEQAQQAoAFwAIgBmAGEAYwB0AG8AcgBcACIAKQA7AFwAbgBcAG4AQwBvAG0AbQBvAG4AXwBTAG8AdQByAGMAZQBEAGEAdABhAF8ARwBXAFAAXwBTAG8AdQByAGMAZQBcAG4AIAAgAD0ATABBAE0AQgBEAEEAKABcACIAWABYAFgAWABYAFgAWABcACIAKQA7AFwAbgBcAG4AQwBvAG0AbQBvAG4AXwBTAG8AdQByAGMAZQBEAGEAdABhAF8ARwBXAFAAXwBEAGEAdABhAFwAbgAgACAAPQBMAEEATQBCAEQAQQAoAFwAbgAgACAAIAAgAE0AQQBLAEUAQQBSAFIAQQBZACgAOAAsACAAMgAsACAAXABuACAAIAAgACAAIAAgAEwAQQBNAEIARABBACgAcgAsAGMALAAgAFwAbgAgACAAIAAgACAAIAAgACAASQBOAEQARQBYACgAewBcAG4AIAAgACAAIAAgACAAIAAgACAAIABcACIARwBhAHMAXAAiACwAIABcACIAQwBPADIALQBlACAAZgBhAGMAdABvAHIAXAAiADsAXABuACAAIAAgACAAIAAgACAAIAAgACAAXAAiAEMATwAyAFwAIgAsACAAMQA7AFwAbgAgACAAIAAgACAAIAAgACAAIAAgAFwAIgBDAEgANABcACIALAAgADIAOAA7AFwAbgAgACAAIAAgACAAIAAgACAAIAAgAFwAIgBOADIATwBcACIALAAgADIANgA1ADsAXABuACAAIAAgACAAIAAgACAAIAAgACAAXAAiAEMARgA0AFwAIgAsACAANgA2ADMAMAA7AFwAbgAgACAAIAAgACAAIAAgACAAIAAgAFwAIgBDADIARgA2AFwAIgAsACAAMQAyADIAMAAwADsAXABuACAAIAAgACAAIAAgACAAIAAgACAAXAAiAFMARgA2AFwAIgAsACAAMgAyADgAMAAwADsAXABuACAAIAAgACAAIAAgACAAIAAgACAAXAAiAE4ARgAzAFwAIgAsACAAMQA3ADIAMAAwAFwAbgAgACAAIAAgACAAIAAgACAAfQAsACAAcgAsACAAYwApAFwAbgAgACAAIAAgACAAIAApAFwAbgAgACAAIAAgACkAXABuACAAIAApADsAXABuAFwAbgBcAG4ALwAqACAAXABuAC0ALQAtAC0ALQAtAC0ALQAtAC0ALQAtAC0ALQAtAC0ALQAtAC0ALQAtAC0ALQAtAC0ALQAtAC0ALQAtAC0ALQAtAC0ALQAtAC0ALQBcAG4AQwBvAG0AbQBvAG4AXwBTAG8AdQByAGMAZQBEAGEAdABhAF8AQQB1AHMAdAByAGEAbABpAGEAbgBTAHQAYQB0AGUAcwBUAGUAcgByAGkAdABvAHIAaQBlAHMAXABuAC0ALQAtAC0ALQAtAC0ALQAtAC0ALQAtAC0ALQAtAC0ALQAtAC0ALQAtAC0ALQAtAC0ALQAtAC0ALQAtAC0ALQAtAC0ALQAtAC0ALQBcAG4AKgAvAFwAbgBcAG4AQwBvAG0AbQBvAG4AXwBTAG8AdQByAGMAZQBEAGEAdABhAF8AQQB1AHMAdAByAGEAbABpAGEAbgBTAHQAYQB0AGUAcwBUAGUAcgByAGkAdABvAHIAaQBlAHMAXwBUAGkAdABsAGUAXABuACAAIAA9AEwAQQBNAEIARABBACgAXAAiAEEAdQBzAHQAcgBhAGwAaQBhAG4AIABzAHQAYQB0AGUAcwAgAGEAbgBkACAAdABlAHIAcgBpAHQAbwByAGkAZQBzAFwAIgApADsAXABuAFwAbgBDAG8AbQBtAG8AbgBfAFMAbwB1AHIAYwBlAEQAYQB0AGEAXwBBAHUAcwB0AHIAYQBsAGkAYQBuAFMAdABhAHQAZQBzAFQAZQByAHIAaQB0AG8AcgBpAGUAcwBfAFYAYQByAGkAYQBiAGwAZQBcAG4AIAAgAD0ATABBAE0AQgBEAEEAKABcACIAXAAiACkAOwBcAG4AXABuAEMAbwBtAG0AbwBuAF8AUwBvAHUAcgBjAGUARABhAHQAYQBfAEEAdQBzAHQAcgBhAGwAaQBhAG4AUwB0AGEAdABlAHMAVABlAHIAcgBpAHQAbwByAGkAZQBzAF8AVQBuAGkAdABcAG4AIAAgAD0ATABBAE0AQgBEAEEAKABcACIAXAAiACkAOwBcAG4AXABuAEMAbwBtAG0AbwBuAF8AUwBvAHUAcgBjAGUARABhAHQAYQBfAEEAdQBzAHQAcgBhAGwAaQBhAG4AUwB0AGEAdABlAHMAVABlAHIAcgBpAHQAbwByAGkAZQBzAF8AUwBvAHUAcgBjAGUAXABuACAAIAA9AEwAQQBNAEIARABBACgAXAAiAFwAIgApADsAXABuAFwAbgBDAG8AbQBtAG8AbgBfAFMAbwB1AHIAYwBlAEQAYQB0AGEAXwBBAHUAcwB0AHIAYQBsAGkAYQBuAFMAdABhAHQAZQBzAFQAZQByAHIAaQB0AG8AcgBpAGUAcwBfAEQAYQB0AGEAXABuACAAIAAgAD0ATABBAE0AQgBEAEEAKABcAG4AIAAgACAAIABNAEEASwBFAEEAUgBSAEEAWQAoADkALAAgADMALAAgAFwAbgAgACAAIAAgACAAIABMAEEATQBCAEQAQQAoAHIALABjACwAIABcAG4AIAAgACAAIAAgACAAIAAgAEkATgBEAEUAWAAoAHsAXABuACAAIAAgACAAIAAgACAAIAAgACAAXAAiAFMAdABhAHQAZQAvAFQAZQByAHIAaQB0AG8AcgB5AFwAIgAsACAAXAAiAEMAbwBtAG0AbwBuACAATgBhAG0AZQBcACIALAAgAFwAIgBBAGIAYgByAGUAdgBpAGEAdABpAG8AbgBcACIAOwBcAG4AIAAgACAAIAAgACAAIAAgACAAIABcACIATgBlAHcAIABTAG8AdQB0AGgAIABXAGEAbABlAHMAXAAiACwAIABcACIATgBlAHcAIABTAG8AdQB0AGgAIABXAGEAbABlAHMAXAAiACwAIABcACIATgBTAFcAXAAiADsAXABuACAAIAAgACAAIAAgACAAIAAgACAAXAAiAEEAdQBzAHQAcgBhAGwAaQBhAG4AIABDAGEAcABpAHQAYQBsACAAVABlAHIAcgBpAHQAbwByAHkAXAAiACwAIABcACIAQQBDAFQAXAAiACwAIABcACIAQQBDAFQAXAAiADsAXABuACAAIAAgACAAIAAgACAAIAAgACAAXAAiAFYAaQBjAHQAbwByAGkAYQBcACIALAAgAFwAIgBWAGkAYwB0AG8AcgBpAGEAXAAiACwAIABcACIAVgBJAEMAXAAiADsAXABuACAAIAAgACAAIAAgACAAIAAgACAAXAAiAFEAdQBlAGUAbgBzAGwAYQBuAGQAXAAiACwAIABcACIAUQB1AGUAZQBuAHMAbABhAG4AZABcACIALAAgAFwAIgBRAEwARABcACIAOwBcAG4AIAAgACAAIAAgACAAIAAgACAAIABcACIAUwBvAHUAdABoACAAQQB1AHMAdAByAGEAbABpAGEAXAAiACwAIABcACIAUwBvAHUAdABoACAAQQB1AHMAdAByAGEAbABpAGEAXAAiACwAIABcACIAUwBBAFwAIgA7AFwAbgAgACAAIAAgACAAIAAgACAAIAAgAFwAIgBXAGUAcwB0AGUAcgBuACAAQQB1AHMAdAByAGEAbABpAGEAXAAiACwAIABcACIAVwBlAHMAdABlAHIAbgAgAEEAdQBzAHQAcgBhAGwAaQBhAFwAIgAsACAAXAAiAFcAQQBcACIAOwBcAG4AIAAgACAAIAAgACAAIAAgACAAIABcACIAVABhAHMAbQBhAG4AaQBhAFwAIgAsACAAXAAiAFQAYQBzAG0AYQBuAGkAYQBcACIALAAgAFwAIgBUAEEAUwBcACIAOwBcAG4AIAAgACAAIAAgACAAIAAgACAAIABcACIATgBvAHIAdABoAGUAcgBuACAAVABlAHIAcgBpAHQAbwByAHkAXAAiACwAIABcACIATgBvAHIAdABoAGUAcgBuACAAVABlAHIAcgBpAHQAbwByAHkAXAAiACwAIABcACIATgBUA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VwBBAFMAQQA0AEEAcgBlAGEAcwBcAG4ALQAtAC0ALQAtAC0ALQAtAC0ALQAtAC0ALQAtAC0ALQAtAC0ALQAtAC0ALQAtAC0ALQAtAC0ALQAtAC0ALQAtAC0ALQAtAC0ALQAtAFwAbgAqAC8AXABuAFwAbgBDAG8AbQBtAG8AbgBfAFMAbwB1AHIAYwBlAEQAYQB0AGEAXwBXAEEAUwBBADQAQQByAGUAYQBzAF8AVABpAHQAbABlAFwAbgAgACAAPQBMAEEATQBCAEQAQQAoAFwAIgBBAEIAUwAgAFMAdABhAHQAaQBzAHQAYwBhAGwAIABBAHIAZQBhAHMAIABMAGUAdgBlAGwAIAA0ACAALQAgAFcAZQBzAHQAZQByAG4AIABBAHUAcwB0AHIAYQBsAGkAYQBcACIAKQA7AFwAbgBcAG4AQwBvAG0AbQBvAG4AXwBTAG8AdQByAGMAZQBEAGEAdABhAF8AVwBBAFMAQQA0AEEAcgBlAGEAcwBfAFYAYQByAGkAYQBiAGwAZQBcAG4AIAAgAD0ATABBAE0AQgBEAEEAKABcACIAXAAiACkAOwBcAG4AXABuAEMAbwBtAG0AbwBuAF8AUwBvAHUAcgBjAGUARABhAHQAYQBfAFcAQQBTAEEANABBAHIAZQBhAHMAXwBVAG4AaQB0AFwAbgAgACAAPQBMAEEATQBCAEQAQQAoAFwAIgBcACIAKQA7AFwAbgBcAG4AQwBvAG0AbQBvAG4AXwBTAG8AdQByAGMAZQBEAGEAdABhAF8AVwBBAFMAQQA0AEEAcgBlAGEAcwBfAFMAbwB1AHIAYwBlAFwAbgAgACAAPQBMAEEATQBCAEQAQQAoAFwAIgBBAHUAcwB0AHIAYQBsAGkAYQBuACAAQgB1AHIAZQBhAHUAIABvAGYAIABTAHQAYQB0AGkAcwB0AGkAYwBzACAAKABBAEIAUwApACAALQAgAFMAdABhAHQAaQBzAHQAaQBjAGEAbAAgAEEAcgBlAGEAcwAgAEwAZQB2AGUAbAAgADIAIAAtACAAMgAwADIAMQAgAC0AIABTAGgAYQBwAGUAZgBpAGwAZQBcACIAKQA7AFwAbgBcAG4AQwBvAG0AbQBvAG4AXwBTAG8AdQByAGMAZQBEAGEAdABhAF8AVwBBAFMAQQA0AEEAcgBlAGEAcwBfAEQAYQB0AGEAXABuACAAIAAgAD0ATABBAE0AQgBEAEEAKABcAG4AIAAgACAAIABNAEEASwBFAEEAUgBSAEEAWQAoADEAMQAsACAAMQAsACAAXABuACAAIAAgACAAIAAgAEwAQQBNAEIARABBACgAcgAsAGMALAAgAFwAbgAgACAAIAAgACAAIAAgACAASQBOAEQARQBYACgAewBcAG4AIAAgACAAIAAgACAAIAAgACAAIABcACIAUwBBACAANAAgAE4AYQBtAGUAXAAiADsAXABuACAAIAAgACAAIAAgACAAIAAgACAAXAAiAEIAdQBuAGIAdQByAHkAXAAiADsAXABuACAAIAAgACAAIAAgACAAIAAgACAAXAAiAE0AYQBuAGQAdQByAGEAaABcACIAOwBcAG4AIAAgACAAIAAgACAAIAAgACAAIABcACIAUABlAHIAdABoACAALQAgAEkAbgBuAGUAcgBcACIAOwBcAG4AIAAgACAAIAAgACAAIAAgACAAIABcACIAUABlAHIAdABoACAALQAgAE4AbwByAHQAaAAgAEUAYQBzAHQAXAAiADsAXABuACAAIAAgACAAIAAgACAAIAAgACAAXAAiAFAAZQByAHQAaAAgAC0AIABOAG8AcgB0AGgAIABXAGUAcwB0AFwAIgA7AFwAbgAgACAAIAAgACAAIAAgACAAIAAgAFwAIgBQAGUAcgB0AGgAIAAtACAAUwBvAHUAdABoACAARQBhAHMAdABcACIAOwBcAG4AIAAgACAAIAAgACAAIAAgACAAIABcACIAUABlAHIAdABoACAALQAgAFMAbwB1AHQAaAAgAFcAZQBzAHQAXAAiADsAXABuACAAIAAgACAAIAAgACAAIAAgACAAXAAiAFcAZQBzAHQAZQByAG4AIABBAHUAcwB0AHIAYQBsAGkAYQAgAC0AIABXAGgAZQBhAHQAIABCAGUAbAB0AFwAIgA7AFwAbgAgACAAIAAgACAAIAAgACAAIAAgAFwAIgBXAGUAcwB0AGUAcgBuACAAQQB1AHMAdAByAGEAbABpAGEAIAAtACAATwB1AHQAYgBhAGMAawAgACgATgBvAHIAdABoACkAXAAiADsAXABuACAAIAAgACAAIAAgACAAIAAgACAAXAAiAFcAZQBzAHQAZQByAG4AIABBAHUAcwB0AHIAYQBsAGkAYQAgAC0AIABPAHUAdABiAGEAYwBrACAAKABTAG8AdQB0AGgAK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FcAZQB0AEEAbgBkAEQAcgB5AFoAbwBuAGUAcwBcAG4ALQAtAC0ALQAtAC0ALQAtAC0ALQAtAC0ALQAtAC0ALQAtAC0ALQAtAC0ALQAtAC0ALQAtAC0ALQAtAC0ALQAtAC0ALQAtAC0ALQAtAFwAbgAqAC8AXABuAFwAbgBDAG8AbQBtAG8AbgBfAFMAbwB1AHIAYwBlAEQAYQB0AGEAXwBXAGUAdABBAG4AZABEAHIAeQBaAG8AbgBlAHMAXwBUAGkAdABsAGUAXABuACAAIAA9AEwAQQBNAEIARABBACgAXAAiAFYARQBFAFIARwAgAEEAdQBzAHQAcgBhAGwAaQBhAG4AIAB3AGUAdAAgAGEAbgBkACAAZAByAHkAIAB6AG8AbgBlAHMAXAAiACkAOwBcAG4AXABuAEMAbwBtAG0AbwBuAF8AUwBvAHUAcgBjAGUARABhAHQAYQBfAFcAZQB0AEEAbgBkAEQAcgB5AFoAbwBuAGUAcwBfAFYAYQByAGkAYQBiAGwAZQBcAG4AIAAgAD0ATABBAE0AQgBEAEEAKABcACIAXAAiACkAOwBcAG4AXABuAEMAbwBtAG0AbwBuAF8AUwBvAHUAcgBjAGUARABhAHQAYQBfAFcAZQB0AEEAbgBkAEQAcgB5AFoAbwBuAGUAcwBfAFUAbgBpAHQAXABuACAAIAA9AEwAQQBNAEIARABBACgAXAAiAFwAIgApADsAXABuAFwAbgBDAG8AbQBtAG8AbgBfAFMAbwB1AHIAYwBlAEQAYQB0AGEAXwBXAGUAdABBAG4AZABEAHIAeQBaAG8AbgBlAHMAXwBTAG8AdQByAGMAZQBcAG4AIAAgAD0ATABBAE0AQgBEAEEAKABcACIAVgBFAEUAUgBHACAAMgAwADIANgA6ACAAVABhAGIAbABlACAAMQAuADIAOgAgAFQAcgBhAG4AcwBsAGEAdABpAG4AZwAgAGMAbABpAG0AYQB0AGUAIAB6AG8AbgBlAHMAIAB0AG8AIAB3AGUAdAAgAGEAbgBkACAAZAByAHkAIAB6AG8AbgBlAHMAXAAiACkAOwBcAG4AXABuAEMAbwBtAG0AbwBuAF8AUwBvAHUAcgBjAGUARABhAHQAYQBfAFcAZQB0AEEAbgBkAEQAcgB5AFoAbwBuAGUAcwBfAFYAYQByAGkAYQB0AGkAbwBuAFwAbgAgACAAIAA9AEwAQQBNAEIARABBACgAXABuACAAIAAgACAATQBBAEsARQBBAFIAUgBBAFkAKAAzACwAIAAxACwAIABcAG4AIAAgACAAIAAgACAATABBAE0AQgBEAEEAKAByACwAYwAsACAAXABuACAAIAAgACAAIAAgACAAIABJAE4ARABFAFgAKAB7AFwAbgAgACAAIAAgACAAIAAgACAAIAAgAFwAIgBWAEEAUgBJAEEAVABJAE8ATgAgAE8ARgAgAFMATwBVAFIAQwBFACAARABBAFQAQQA6AFwAIgA7AFwAbgAgACAAIAAgACAAIAAgACAAIAAgAFwAIgBBAGQAZABlAGQAIAB3AGEAcgBtACAALwAgAGMAbwBvAGwAIAB0AGUAbQBwAGUAcgBhAHQAZQAgAG0AbwBpAHMAdAAgAC8AIABkAHIAeQAgAC0AIABsAG8AdwAgAGYAcgBvAHMAdAAgAGEAbgBkACAAaABpAGcAaAAgAHQAZQBtAHAAIABjAGwAYQBzAHMAZQBzACAAdABvACAAYQBjAGMAbwBtAG0AbwBkAGEAdABlACAAYwBsAGkAbQBhAHQAZQAgAHMAYwBlAG4AYQByAGkAbwBzACAAZQB4AGMAbAB1AGQAZQBkACAAYgB5ACAAVgBFAEUAUgBHACAAYwByAGkAdABlAHIAaQBhAC4AXAAiADsAXABuACAAIAAgACAAIAAgACAAIAAgACAAXAAiAEYAaQB4AGUAZAAgAHQAeQBwAG8AIAAtACAAQwBoAGEAbgBnAGUAZAAgAFwAdQAwADAAMgA3AEYAcgB5AFwAdQAwADAAMgA3ACAAdABvACAAXAB1ADAAMAAyADcARAByAHkAXAB1ADAAMAAyADcALgBcACIAXABuACAAIAAgACAAIAAgACAAIAB9ACwAIAByACwAIABjACkAXABuACAAIAAgACAAIAAgACkAXABuACAAIAAgACAAKQBcAG4AIAAgACkAOwBcAG4AXABuAEMAbwBtAG0AbwBuAF8AUwBvAHUAcgBjAGUARABhAHQAYQBfAFcAZQB0AEEAbgBkAEQAcgB5AFoAbwBuAGUAcwBfAEQAYQB0AGEAXABuACAAIAAgAD0ATABBAE0AQgBEAEEAKABcAG4AIAAgACAAIABNAEEASwBFAEEAUgBSAEEAWQAoADEANQAsACAAMgAsACAAXABuACAAIAAgACAAIAAgAEwAQQBNAEIARABBACgAcgAsAGMALAAgAFwAbgAgACAAIAAgACAAIAAgACAASQBOAEQARQBYACgAewBcAG4AIAAgACAAIAAgACAAIAAgACAAIABcACIAQwBsAGkAbQBhAHQAZQAgAFoAbwBuAGUAXAAiACwAIABcACIAVwBlAHQAIABvAHIAIABEAHIAeQAgAFoAbwBuAGUAXAAiADsAXABuACAAIAAgACAAIAAgACAAIAAgACAAXAAiAFQAcgBvAHAAaQBjAGEAbAAgAG0AbwBuAHQAYQBuAGUAXAAiACwAIABcACIAVwBlAHQAIABjAGwAaQBtAGEAdABlACAAegBvAG4AZQBcACIAOwBcAG4AIAAgACAAIAAgACAAIAAgACAAIABcACIAVAByAG8AcABpAGMAYQBsACAAdwBlAHQAXAAiACwAIABcACIAVwBlAHQAIABjAGwAaQBtAGEAdABlACAAegBvAG4AZQBcACIAOwBcAG4AIAAgACAAIAAgACAAIAAgACAAIABcACIAVAByAG8AcABpAGMAYQBsACAAbQBvAGkAcwB0AFwAIgAsACAAXAAiAFcAZQB0ACAAYwBsAGkAbQBhAHQAZQAgAHoAbwBuAGUAXAAiADsAXABuACAAIAAgACAAIAAgACAAIAAgACAAXAAiAFQAcgBvAHAAaQBjAGEAbAAgAGQAcgB5AFwAIgAsACAAXAAiAEQAcgB5ACAAYwBsAGkAbQBhAHQAZQAgAHoAbwBuAGUAXAAiADsAXABuACAAIAAgACAAIAAgACAAIAAgACAAXAAiAFcAYQByAG0AIAB0AGUAbQBwAGUAcgBhAHQAZQAgAG0AbwBpAHMAdABcACIALAAgAFwAIgBXAGUAdAAgAGMAbABpAG0AYQB0AGUAIAB6AG8AbgBlAFwAIgA7AFwAbgAgACAAIAAgACAAIAAgACAAIAAgAFwAIgBXAGEAcgBtACAAdABlAG0AcABlAHIAYQB0AGUAIABkAHIAeQBcACIALAAgAFwAIgBEAHIAeQAgAGMAbABpAG0AYQB0AGUAIAB6AG8AbgBlAFwAIgA7AFwAbgAgACAAIAAgACAAIAAgACAAIAAgAFwAIgBDAG8AbwBsACAAdABlAG0AcABlAHIAYQB0AGUAIABtAG8AaQBzAHQAXAAiACwAIABcACIAVwBlAHQAIABjAGwAaQBtAGEAdABlACAAegBvAG4AZQBcACIAOwBcAG4AIAAgACAAIAAgACAAIAAgACAAIABcACIAQwBvAG8AbAAgAHQAZQBtAHAAZQByAGEAdABlACAAZAByAHkAXAAiACwAIABcACIARAByAHkAIABjAGwAaQBtAGEAdABlACAAegBvAG4AZQBcACIAOwBcAG4AIAAgACAAIAAgACAAIAAgACAAIABcACIAVwBhAHIAbQAgAHQAZQBtAHAAZQByAGEAdABlACAAbQBvAGkAcwB0ACAALQAgAGwAbwB3ACAAZgByAG8AcwB0AFwAIgAsACAAXAAiAFcAZQB0ACAAYwBsAGkAbQBhAHQAZQAgAHoAbwBuAGUAXAAiADsAXABuACAAIAAgACAAIAAgACAAIAAgACAAXAAiAFcAYQByAG0AIAB0AGUAbQBwAGUAcgBhAHQAZQAgAGQAcgB5ACAALQAgAGwAbwB3ACAAZgByAG8AcwB0AFwAIgAsACAAXAAiAEQAcgB5ACAAYwBsAGkAbQBhAHQAZQAgAHoAbwBuAGUAXAAiADsAXABuACAAIAAgACAAIAAgACAAIAAgACAAXAAiAFcAYQByAG0AIAB0AGUAbQBwAGUAcgBhAHQAZQAgAG0AbwBpAHMAdAAgAC0AIABoAGkAZwBoACAAdABlAG0AcABcACIALAAgAFwAIgBXAGUAdAAgAGMAbABpAG0AYQB0AGUAIAB6AG8AbgBlAFwAIgA7AFwAbgAgACAAIAAgACAAIAAgACAAIAAgAFwAIgBXAGEAcgBtACAAdABlAG0AcABlAHIAYQB0AGUAIABkAHIAeQAgAC0AIABoAGkAZwBoACAAdABlAG0AcABcACIALAAgAFwAIgBEAHIAeQAgAGMAbABpAG0AYQB0AGUAIAB6AG8AbgBlAFwAIgA7AFwAbgAgACAAIAAgACAAIAAgACAAIAAgAFwAIgBDAG8AbwBsACAAdABlAG0AcABlAHIAYQB0AGUAIABtAG8AaQBzAHQAIAAtACAAbABvAHcAIABmAHIAbwBzAHQAXAAiACwAIABcACIAVwBlAHQAIABjAGwAaQBtAGEAdABlACAAegBvAG4AZQBcACIAOwBcAG4AIAAgACAAIAAgACAAIAAgACAAIABcACIAQwBvAG8AbAAgAHQAZQBtAHAAZQByAGEAdABlACAAZAByAHkAIAAtACAAbABvAHcAIABmAHIAbwBzAHQAXAAiACwAIABcACIARAByAHkAIABjAGwAaQBtAGEAdABlACAAegBvAG4AZQBcACIAXABuACAAIAAgACAAIAAgACAAIAB9ACwAIAByACwAIABjACkAXABuACAAIAAgACAAIAAgACkAXABuACAAIAAgACAAKQBcAG4AIAAgACkAOwBcAG4AXABuAC8AKgAgAFwAbgAtAC0ALQAtAC0ALQAtAC0ALQAtAC0ALQAtAC0ALQAtAC0ALQAtAC0ALQAtAC0ALQAtAC0ALQAtAC0ALQAtAC0ALQAtAC0ALQAtAC0AXABuAEMAbwBtAG0AbwBuAF8AUwBvAHUAcgBjAGUARABhAHQAYQBfAEMAbABpAG0AYQB0AGUAWgBvAG4AZQBzAFwAbgAtAC0ALQAtAC0ALQAtAC0ALQAtAC0ALQAtAC0ALQAtAC0ALQAtAC0ALQAtAC0ALQAtAC0ALQAtAC0ALQAtAC0ALQAtAC0ALQAtAC0AXABuACoALwBcAG4AXABuAEMAbwBtAG0AbwBuAF8AUwBvAHUAcgBjAGUARABhAHQAYQBfAEMAbABpAG0AYQB0AGUAWgBvAG4AZQBzAF8AVABpAHQAbABlAFwAbgAgACAAPQBMAEEATQBCAEQAQQAoAFwAIgBWAEUARQBSAEcAIABBAHUAcwB0AHIAYQBsAGkAYQBuACAAYwBsAGkAbQBhAHQAZQAgAHoAbwBuAGUAcwBcACIAKQA7AFwAbgBcAG4AQwBvAG0AbQBvAG4AXwBTAG8AdQByAGMAZQBEAGEAdABhAF8AQwBsAGkAbQBhAHQAZQBaAG8AbgBlAHMAXwBWAGEAcgBpAGEAYgBsAGUAXABuACAAIAA9AEwAQQBNAEIARABBACgAXAAiAFwAIgApADsAXABuAFwAbgBDAG8AbQBtAG8AbgBfAFMAbwB1AHIAYwBlAEQAYQB0AGEAXwBDAGwAaQBtAGEAdABlAFoAbwBuAGUAcwBfAFUAbgBpAHQAXABuACAAIAA9AEwAQQBNAEIARABBACgAXAAiAFwAIgApADsAXABuAFwAbgBDAG8AbQBtAG8AbgBfAFMAbwB1AHIAYwBlAEQAYQB0AGEAXwBDAGwAaQBtAGEAdA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EMAbABpAG0AYQB0AGUAWgBvAG4AZQBzAF8AVgBhAHIAaQBhAHQAaQBvAG4AXABuACA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EEAZABkAGUAZAAgAHcAYQByAG0AIAAvACAAYwBvAG8AbAAgAHQAZQBtAHAAZQByAGEAdABlACAAbQBvAGkAcwB0ACAALwAgAGQAcgB5ACAALQAgAGwAbwB3ACAAZgByAG8AcwB0ACAAYQBuAGQAIABoAGkAZwBoACAAdABlAG0AcAAgAGMAbABhAHMAcwBlAHMAIAB0AG8AIABhAGMAYwBvAG0AbQBvAGQAYQB0AGUAIABjAGwAaQBtAGEAdABlACAAcwBjAGUAbgBhAHIAaQBvAHMAIABlAHgAYwBsAHUAZABlAGQAIABiAHkAIABWAEUARQBSAEcAIABjAHIAaQB0AGUAcgBpAGEALgBcACIAOwBcAG4AIAAgACAAIAAgACAAIAAgACAAIABcACIARgBpAHgAZQBkACAAdAB5AHAAbwAgAGkAbgAgAE0AQQBUACAAdgBhAGwAdQBlACAAZgBvAHIAIAB3AGEAcgBtACAAdABlAG0AcABlAHIAYQB0AGUAIABkAHIAeQAgAC0AIABjAGgAYQBuAGcAZQBkACAAMQAwACAAdABvACAAMQAxAC4AXAAiADsAXABuACAAIAAgACAAIAAgACAAIAAgACAAXAAiAEEAZABkAGUAZAAgAG0AaQBuACAAYQBuAGQAIABtAGEAeAAgAGMAbwBsAHUAbQBuAHMAIABmAG8AcgAgAE0AQQBUACwAIABNAEEAUAAsACAAZgByAG8AcwB0ACAAZABhAHkAcwAgAHAAZQByACAAeQBlAGEAcgAsACAAZQBsAGUAdgBhAHQAaQBvAG4ALAAgAE0AQQBQADoAUABFAFQAIAB0AG8AIABjAGEAbABjAHUAbABhAHQAZQAgAHoAbwBuAGUAcwAgAGYAcgBvAG0AIAByAGUAYQBsACAAYwBsAGkAbQBhAHQAZQAgAGQAYQB0AGEALgBcACIAOwBcAG4AIAAgACAAIAAgACAAIAAgACAAIABcACIARwBBAEYAIABhAGMAYwBlAHAAdABzACAAcgBhAGkAbgBmAGEAbABsACAAYQBzACAAYQAgAHAAcgBvAHgAeQAgAGYAbwByACAAcAByAGUAYwBpAHAAaQB0AGEAdABpAG8AbgAuAFwAIgBcAG4AIAAgACAAIAAgACAAIAAgAH0ALAAgAHIALAAgAGMAKQBcAG4AIAAgACAAIAAgACAAKQBcAG4AIAAgACAAIAApAFwAbgAgACAAKQA7AFwAbgBcAG4AQwBvAG0AbQBvAG4AXwBTAG8AdQByAGMAZQBEAGEAdABhAF8AQwBsAGkAbQBhAHQAZQBaAG8AbgBlAHMAXwBEAGEAdABhAFwAbgAgACAAIAA9AEwAQQBNAEIARABBACgAXABuACAAIAAgACAATQBBAEsARQBBAFIAUgBBAFkAKAA5ACwAIAAxADYALAAgAFwAbgAgACAAIAAgACAAIABMAEEATQBCAEQAQQAoAHIALABjACwAIABcAG4AIAAgACAAIAAgACAAIAAgAEkATgBEAEUAWAAoAHsAXABuACAAIAAgACAAIAAgACAAIAAgACAAXAAiAEMAbABpAG0AYQB0AGUAIABaAG8AbgBlAFwAIgAsACAAXAAiAE0AQQBUAFwAIgAsACAAXAAiAE0AQQBQAFwAIgAsACAAXAAiAEYAcgBvAHMAdAAgAGQAYQB5AHMAIABwAGUAcgAgAHkAZQBhAHIAXAAiACwAIABcACIARQBsAGUAdgBhAHQAaQBvAG4AXAAiACwAIABcACIATQBBAFAAOgBQAEUAVABcACIALAAgAFwAIgBNAGkAbgAgAHQAZQBtAHAAXAAiACwAIABcACIATQBhAHgAIAB0AGUAbQBwAFwAIgAsACAAXAAiAE0AaQBuACAAcgBhAGkAbgBmAGEAbABsAFwAIgAsACAAXAAiAE0AYQB4ACAAcgBhAGkAbgBmAGEAbABsAFwAIgAsACAAXAAiAE0AaQBuACAAZgByAG8AcwB0ACAAZABhAHkAcwBcACIALAAgAFwAIgBNAGEAeAAgAGYAcgBvAHMAdAAgAGQAYQB5AHMAXAAiACwAIABcACIATQBpAG4AIABlAGwAZQB2AGEAdABpAG8AbgBcACIALAAgAFwAIgBNAGEAeAAgAGUAbABlAHYAYQB0AGkAbwBuAFwAIgAsACAAXAAiAE0AaQBuACAATQBBAFAAOgBQAEUAVABcACIALAAgAFwAIgBNAGkAbgAgAE0AQQBQADoAUABFAFQAXAAiADsAXABuACAAIAAgACAAIAAgACAAIAAgACAAXAAiAFQAcgBvAHAAaQBjAGEAbAAgAG0AbwBuAHQAYQBuAGUAXAAiACwAIABcACIAXAB1ADAAMAAzAGUAIAAxADgAIABDAFwAIgAsACAAXAAiAEEAbgB5AFwAIgAsACAAXAAiAGQiIAA3AFwAIgAsACAAXAAiAFwAdQAwADAAMwBlACAAMQAwADAAMAAgAG0AXAAiACwAIABcACIAQQBuAHkAXAAiACwAIAAxADgALgAwADAAMQAsACAAOQA5ADkAOQA5ADkALAAgAC0AOQA5ADkAOQA5ADkALAAgADkAOQA5ADkAOQA5ACwAIAAtADkAOQA5ADkAOQA5ACwAIAA3ACwAIAAxADAAMAAwACwAIAA5ADkAOQA5ADkAOQAsACAALQA5ADkAOQA5ADkAOQAsACAAOQA5ADkAOQA5ADkAOwBcAG4AIAAgACAAIAAgACAAIAAgACAAIABcACIAVAByAG8AcABpAGMAYQBsACAAdwBlAHQAXAAiACwAIABcACIAXAB1ADAAMAAzAGUAIAAxADgAIABDAFwAIgAsACAAXAAiAFwAdQAwADAAMwBlACAAMgAwADAAMAAgAG0AbQBcACIALAAgAFwAIgBkIiAANwBcACIALAAgAFwAIgBkIiAAMQAwADAAMAAgAG0AXAAiACwAIABcACIAQQBuAHkAXAAiACwAIAAxADgALgAwADAAMQAsACAAOQA5ADkAOQA5ADkALAAgADIAMAAwADAALgAwADAAMQAsACAAOQA5ADkAOQA5ADkALAAgAC0AOQA5ADkAOQA5ADkALAAgADcALAAgAC0AOQA5ADkAOQA5ADkALAAgADkAOQA5AC4AOQA5ADkALAAgACAALQA5ADkAOQA5ADkAOQAsACAAOQA5ADkAOQA5ADkAOwBcAG4AIAAgACAAIAAgACAAIAAgACAAIABcACIAVAByAG8AcABpAGMAYQBsACAAbQBvAGkAcwB0AFwAIgAsACAAXAAiAFwAdQAwADAAMwBlACAAMQA4ACAAQwBcACIALAAgAFwAIgBcAHUAMAAwADMAZQAgADEAMAAwADAAIABtAG0AIAAtACAAZCIgADIAMAAwADAAIABtAG0AXAAiACwAIABcACIAZCIgADcAXAAiACwAIABcACIAZCIgADEAMAAwADAAIABtAFwAIgAsACAAXAAiAEEAbgB5AFwAIgAsACAAMQA4AC4AMAAwADEALAAgADkAOQA5ADkAOQA5ACwAIAAxADAAMAAwAC4AMAAwADEALAAgADIAMAAwADAALAAgAC0AOQA5ADkAOQA5ADkALAAgADcALAAgAC0AOQA5ADkAOQA5ADkALAAgADkAOQA5AC4AOQA5ADkALAAgACAALQA5ADkAOQA5ADkAOQAsACAAOQA5ADkAOQA5ADkAOwBcAG4AIAAgACAAIAAgACAAIAAgACAAIABcACIAVAByAG8AcABpAGMAYQBsACAAZAByAHkAXAAiACwAIABcACIAXAB1ADAAMAAzAGUAIAAxADgAIABDAFwAIgAsACAAXAAiAGQiIAAxADAAMAAwACAAbQBtAFwAIgAsACAAXAAiAGQiIAA3AFwAIgAsACAAXAAiAGQiIAAxADAAMAAwACAAbQBcACIALAAgAFwAIgBBAG4AeQBcACIALAAgADEAOAAuADAAMAAxACwAIAA5ADkAOQA5ADkAOQAsACAALQA5ADkAOQA5ADkAOQAsACAAMQAwADAAMAAsACAALQA5ADkAOQA5ADkAOQAsACAANwAsACAALQA5ADkAOQA5ADkAOQAsACAAOQA5ADkALgA5ADkAOQAsACAAIAAtADkAOQA5ADkAOQA5ACwAIAA5ADkAOQA5ADkAOQA7AFwAbgAgACAAIAAgACAAIAAgACAAIAAgAFwAIgBXAGEAcgBtACAAdABlAG0AcABlAHIAYQB0AGUAIABtAG8AaQBzAHQAXAAiACwAIABcACIAXAB1ADAAMAAzAGUAIAAxADAAIABDAFwAIgAsACAAXAAiAEEAbgB5AFwAIgAsACAAXAAiAEEAbgB5AFwAIgAsACAAXAAiAEEAbgB5AFwAIgAsACAAXAAiAFwAdQAwADAAMwBlACAAMQBcACIALAAgADEAMAAuADAAMAAxACwAIAA5ADkAOQA5ADkAOQAsACAALQA5ADkAOQA5ADkAOQAsACAAOQA5ADkAOQA5ADkALAAgAC0AOQA5ADkAOQA5ADkALAAgADkAOQA5ADkAOQA5ACwAIAAtADkAOQA5ADkAOQA5ACwAIAA5ADkAOQA5ADkAOQAsACAAMQAuADAAMAAxACwAIAA5ADkAOQA5ADkAOQA7AFwAbgAgACAAIAAgACAAIAAgACAAIAAgAFwAIgBXAGEAcgBtACAAdABlAG0AcABlAHIAYQB0AGUAIABkAHIAeQBcACIALAAgAFwAIgBcAHUAMAAwADMAZQAgADEAMAAgAEMAXAAiACwAIABcACIAQQBuAHkAXAAiACwAIABcACIAQQBuAHkAXAAiACwAIABcACIAQQBuAHkAXAAiACwAIABcACIAZCIgADEAXAAiACwAIAAxADAALgAwADAAMQAsACAAOQA5ADkAOQA5ADkALAAgAC0AOQA5ADkAOQA5ADkALAAgADkAOQA5ADkAOQA5ACwAIAAtADkAOQA5ADkAOQA5ACwAIAA5ADkAOQA5ADkAOQAsACAALQA5ADkAOQA5ADkAOQAsACAAOQA5ADkAOQA5ADkALAAgACAALQA5ADkAOQA5ADkAOQAsACAAMQA7AFwAbgAgACAAIAAgACAAIAAgACAAIAAgAFwAIgBDAG8AbwBsACAAdABlAG0AcABlAHIAYQB0AGUAIABtAG8AaQBzAHQAXAAiACwAIABcACIAXAB1ADAAMAAzAGUAIAAwACAAQwAgAC0AIABkIiAAMQAwACAAQwBcACIALAAgAFwAIgBBAG4AeQBcACIALAAgAFwAIgBBAG4AeQBcACIALAAgAFwAIgBBAG4AeQBcACIALAAgAFwAIgBcAHUAMAAwADMAZQAgADEAXAAiACwAIAAtADkAOQA5ADkAOQA5ACwAIAAxADAALAAgAC0AOQA5ADkAOQA5ADkALAAgADkAOQA5ADkAOQA5ACwAIAAtADkAOQA5ADkAOQA5ACwAIAA5ADkAOQA5ADkAOQAsACAALQA5ADkAOQA5ADkAOQAsACAAOQA5ADkAOQA5ADkALAAgADEALgAwADAAMQAsACAAOQA5ADkAOQA5ADkAOwBcAG4AIAAgACAAIAAgACAAIAAgACAAIABcACIAQwBvAG8AbAAgAHQAZQBtAHAAZQByAGEAdABlACAAZAByAHkAXAAiACwAIABcACIAXAB1ADAAMAAzAGUAIAAwACAAQwAgAC0AIABkIiAAMQAwACAAQwBcACIALAAgAFwAIgBBAG4AeQBcACIALAAgAFwAIgBBAG4AeQBcACIALAAgAFwAIgBBAG4AeQBcACIALAAgAFwAIgBkIiAAMQBcACIALAAgAC0AOQA5ADkAOQA5ADkALAAgADEAMAAsACAALQA5ADkAOQA5ADkAOQAsACAAOQA5ADkAOQA5ADkALAAgAC0AOQA5ADkAOQA5ADkALAAgADkAOQA5ADkAOQA5ACwAIAAtADkAOQA5ADkAOQA5ACwAIAA5ADkAOQA5ADkAOQAsACAAIAAtADkAOQA5ADkAOQA5ACwAIAAxAFwAbgAgACAAIAAgACAAIAAgACAAfQAsACAAcgAsACAAYwApAFwAbgAgACAAIAAgACAAIAApAFwAbgAgACAAIAAgACkAXABuACAAIAApADsAXABuAFwAbgBDAG8AbQBtAG8AbgBfAFMAbwB1AHIAYwBlAEQAYQB0AGEAXwBDAGwAaQBtAGEAdABlAFoAbwBuAGUAcwBfAEEAcABwAGUAbgBkAGkAYwBlAHMAXABuACAAIAAgAD0ATABBAE0AQgBEAEEAKABcAG4AIAAgACAAIABNAEEASwBFAEEAUgBSAEEAWQAoADQALAAgADEALAAgAFwAbgAgACAAIAAgACAAIABMAEEATQBCAEQAQQAoAHIALABjACwAIABcAG4AIAAgACAAIAAgACAAIAAgAEkATgBEAEUAWAAoAHsAXABuACAAIAAgACAAIAAgACAAIAAgACAAXAAiAE4AbwB0AGUAOgBcACIAOwBcAG4AIAAgACAAIAAgACAAIAAgACAAIABcACIATQBBAFQAIAA9ACAAbQBlAGEAbgAgAGEAbgBuAHUAYQBsACAAdABlAG0AcABlAHIAYQB0AHUAcgBlAFwAIgA7AFwAbgAgACAAIAAgACAAIAAgACAAIAAgAFwAIgBNAEEAUAAgAD0AIABtAGUAYQBuACAAYQBuAG4AdQBhAGwAIABwAHIAZQBjAGkAcABpAHQAYQB0AGkAbwBuAFwAIgA7AFwAbgAgACAAIAAgACAAIAAgACAAIAAgAFwAIgBQAEUAVAAgAD0AIABwAG8AdABlAG4AdABpAGEAbAAgAGUAdgBhAHAAbwB0AHIAYQBuAHMAcABpAHIAYQB0AGkAbwBuAFwAIgBcAG4AIAAgACAAIAAgACAAIAAgAH0ALAAgAHIALAAgAGMAKQBcAG4AIAAgACAAIAAgACAAKQBcAG4AIAAgACAAIAApAFwAbgAgACAAKQA7AFwAbgBcAG4AXABuAC8AKgAgAFwAbgAtAC0ALQAtAC0ALQAtAC0ALQAtAC0ALQAtAC0ALQAtAC0ALQAtAC0ALQAtAC0ALQAtAC0ALQAtAC0ALQAtAC0ALQAtAC0ALQAtAC0AXABuAEMAbwBtAG0AbwBuAF8AUwBvAHUAcgBjAGUARABhAHQAYQBfAFQAZQBtAHAAZQByAGEAdAB1AHIAZQBaAG8AbgBlAHMAXABuAC0ALQAtAC0ALQAtAC0ALQAtAC0ALQAtAC0ALQAtAC0ALQAtAC0ALQAtAC0ALQAtAC0ALQAtAC0ALQAtAC0ALQAtAC0ALQAtAC0ALQBcAG4AKgAvAFwAbgBcAG4AQwBvAG0AbQBvAG4AXwBTAG8AdQByAGMAZQBEAGEAdABhAF8AVABlAG0AcABlAHIAYQB0AHUAcgBlAFoAbwBuAGUAcwBfAFQAaQB0AGwAZQBcAG4AIAAgAD0ATABBAE0AQgBEAEEAKABcACIAVgBFAEUAUgBHACAAQQB1AHMAdAByAGEAbABpAGEAbgAgAHQAZQBtAHAAZQByAGEAdAB1AHIAZQAgAHoAbwBuAGUAcwBcACIAKQA7AFwAbgBcAG4AQwBvAG0AbQBvAG4AXwBTAG8AdQByAGMAZQBEAGEAdABhAF8AVABlAG0AcABlAHIAYQB0AHUAcgBlAFoAbwBuAGUAcwBfAFYAYQByAGkAYQBiAGwAZQBcAG4AIAAgAD0ATABBAE0AQgBEAEEAKABcACIAXAAiACkAOwBcAG4AXABuAEMAbwBtAG0AbwBuAF8AUwBvAHUAcgBjAGUARABhAHQAYQBfAFQAZQBtAHAAZQByAGEAdAB1AHIAZQBaAG8AbgBlAHMAXwBVAG4AaQB0AFwAbgAgACAAPQBMAEEATQBCAEQAQQAoAFwAIgBcACIAKQA7AFwAbgBcAG4AQwBvAG0AbQBvAG4AXwBTAG8AdQByAGMAZQBEAGEAdABhAF8AVABlAG0AcABlAHIAYQB0AHUAcgBlAFoAbwBuAGUAcwBfAFMAbwB1AHIAYwBlAFwAbgAgACAAPQBMAEEATQBCAEQAQQAoAFwAIgBWAEUARQBSAEcAIAAyADAAMgA2ADoAIABUAGEAYgBsAGUAIAAxAC4AMwA6ACAAQwBsAGkAbQBhAHQAZQAgAGEAbgBkACAAUgBhAGkAbgBmAGEAbABsACAAegBvAG4AZQAgAGMAbABhAHMAcwBpAGYAaQBjAGEAdABpAG8AbgBzACAAYQBuAGQAIABkAGUAZgBpAG4AaQB0AGkAbwBuAHMAXAAiACkAOwBcAG4AXABuAEMAbwBtAG0AbwBuAF8AUwBvAHUAcgBjAGUARABhAHQAYQBfAFQAZQBtAHAAZQByAGEAdAB1AHIAZQBaAG8AbgBlAHMAXwBWAGEAcgBpAGEAdABpAG8AbgBcAG4AIAAgAD0ATABBAE0AQgBEAEEAKABcACIAVgBBAFIASQBBAFQASQBPAE4AIABPAEYAIABTAE8AVQBSAEMARQAgAEQAQQBUAEEAOgAgAEEAZABkAGUAZAAgAGUAeAB0AHIAYQAgAE0AQQBUACAAbQBpAG4AIABhAG4AZAAgAE0AQQBUACAAbQBhAHgAIABjAG8AbAB1AG0AbgBzACAAdABvACAAYwBhAGwAYwB1AGwAYQB0AGUAIAB6AG8AbgBlACAAZgByAG8AbQAgAHIAZQBhAGwAIAB0AGUAbQBwAGUAcgBhAHQAdQByAGUAIABkAGEAdABhAC4AXAAiACkAOwBcAG4AXABuAEMAbwBtAG0AbwBuAF8AUwBvAHUAcgBjAGUARABhAHQAYQBfAFQAZQBtAHAAZQByAGEAdAB1AHIAZQBaAG8AbgBlAHMAXwBEAGEAdABhAFwAbgAgACAAIAA9AEwAQQBNAEIARABBACgAXABuACAAIAAgACAATQBBAEsARQBBAFIAUgBBAFkAKAA0ACwAIAA0ACwAIABcAG4AIAAgACAAIAAgACAATABBAE0AQgBEAEEAKAByACwAYwAsACAAXABuACAAIAAgACAAIAAgACAAIABJAE4ARABFAFgAKAB7AFwAbgAgACAAIAAgACAAIAAgACAAIAAgAFwAIgBUAGUAbQBwAGUAcgBhAHQAdQByAGUAIABaAG8AbgBlAFwAIgAsACAAXAAiAE0AZQBkAGkAYQBuACAAQQBuAG4AdQBhAGwAIABUAGUAbQBwAGUAcgBhAHQAdQByAGUAIAAoAE0AQQBUACkAXAAiACwAIABcACIATQBpAG4AIABNAEEAVABcACIALAAgAFwAIgBNAGEAeAAgAE0AQQBUAFwAIgA7AFwAbgAgACAAIAAgACAAIAAgACAAIAAgAFwAIgBXAGEAcgBtAFwAIgAsACAAXAAiAGUiIAAyADYAIABDAFwAIgAsACAAMgA2ACwAIAA5ADkAOQA5ADkAOQA7AFwAbgAgACAAIAAgACAAIAAgACAAIAAgAFwAIgBUAGUAbQBwAGUAcgBhAHQAZQBcACIALAAgAFwAIgAxADUAIAAtACAAMgA1ACAAQwBcACIALAAgADEANQAsACAAMgA1AC4AOQA5ADkAOwBcAG4AIAAgACAAIAAgACAAIAAgACAAIABcACIAQwBvAG8AbABcACIALAAgAFwAIgBkIiAAMQA0ACAAQwBcACIALAAgAC0AOQA5ADkAOQA5ADkALAAgADEANAAuADkAOQA5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SAGEAaQBuAGYAYQBsAGwAWgBvAG4AZQBzAFwAbgAtAC0ALQAtAC0ALQAtAC0ALQAtAC0ALQAtAC0ALQAtAC0ALQAtAC0ALQAtAC0ALQAtAC0ALQAtAC0ALQAtAC0ALQAtAC0ALQAtAC0AXABuACoALwBcAG4AXABuAEMAbwBtAG0AbwBuAF8AUwBvAHUAcgBjAGUARABhAHQAYQBfAFIAYQBpAG4AZgBhAGwAbABaAG8AbgBlAHMAXwBUAGkAdABsAGUAXABuACAAIAA9AEwAQQBNAEIARABBACgAXAAiAFYARQBFAFIARwAgAEEAdQBzAHQAcgBhAGwAaQBhAG4AIAByAGEAaQBuAGYAYQBsAGwAIAB6AG8AbgBlAHMAXAAiACkAOwBcAG4AXABuAEMAbwBtAG0AbwBuAF8AUwBvAHUAcgBjAGUARABhAHQAYQBfAFIAYQBpAG4AZgBhAGwAbABaAG8AbgBlAHMAXwBWAGEAcgBpAGEAYgBsAGUAXABuACAAIAA9AEwAQQBNAEIARABBACgAXAAiAFwAIgApADsAXABuAFwAbgBDAG8AbQBtAG8AbgBfAFMAbwB1AHIAYwBlAEQAYQB0AGEAXwBSAGEAaQBuAGYAYQBsAGwAWgBvAG4AZQBzAF8AVQBuAGkAdABcAG4AIAAgAD0ATABBAE0AQgBEAEEAKABcACIAXAAiACkAOwBcAG4AXABuAEMAbwBtAG0AbwBuAF8AUwBvAHUAcgBjAGUARABhAHQAYQBfAFIAYQBpAG4AZgBhAGwAbABaAG8AbgBlAHMAXwBTAG8AdQByAGMAZQBcAG4AIAAgAD0ATABBAE0AQgBEAEEAKABcACIAVgBFAEUAUgBHACAAMgAwADIANgA6ACAAVABhAGIAbABlACAAMQAuADMAOgAgAEMAbABpAG0AYQB0AGUAIABhAG4AZAAgAFIAYQBpAG4AZgBhAGwAbAAgAHoAbwBuAGUAIABjAGwAYQBzAHMAaQBmAGkAYwBhAHQAaQBvAG4AcwAgAGEAbgBkACAAZABlAGYAaQBuAGkAdABpAG8AbgBzAFwAIgApADsAXABuAFwAbgBDAG8AbQBtAG8AbgBfAFMAbwB1AHIAYwBlAEQAYQB0AGEAXwBSAGEAaQBuAGYAYQBsAGwAWgBvAG4AZQBzAF8AVgBhAHIAaQBhAHQAaQBvAG4AXABuACAAIAA9AEwAQQBNAEIARABBACgAXAAiAFYAQQBSAEkAQQBUAEkATwBOACAATwBGACAAUwBPAFUAUgBDAEUAIABEAEEAVABBADoAIABBAGQAZABlAGQAIABlAHgAdAByAGEAIABSAGEAaQBuAGYAYQBsAGwAIABtAGkAbgAgAGEAbgBkACAAUgBhAGkAbgBmAGEAbABsACAAbQBhAHgAIABjAG8AbAB1AG0AbgBzACAAdABvACAAYwBhAGwAYwB1AGwAYQB0AGUAIAB6AG8AbgBlACAAZgByAG8AbQAgAHIAZQBhAGwAIAByAGEAaQBuAGYAYQBsAGwAIABkAGEAdABhAC4AXAAiACkAOwBcAG4AXABuAEMAbwBtAG0AbwBuAF8AUwBvAHUAcgBjAGUARABhAHQAYQBfAFIAYQBpAG4AZgBhAGwAbABaAG8AbgBlAHMAXwBEAGEAdABhAFwAbgAgACAAIAA9AEwAQQBNAEIARABBACgAXABuACAAIAAgACAATQBBAEsARQBBAFIAUgBBAFkAKAAzACwAIAA0ACwAIABcAG4AIAAgACAAIAAgACAATABBAE0AQgBEAEEAKAByACwAYwAsACAAXABuACAAIAAgACAAIAAgACAAIABJAE4ARABFAFgAKAB7AFwAbgAgACAAIAAgACAAIAAgACAAIAAgAFwAIgBSAGEAaQBuAGYAYQBsAGwAIABaAG8AbgBlAFwAIgAsACAAXAAiAEEAbgBuAHUAYQBsACAAcgBhAGkAbgBmAGEAbABsAFwAIgAsACAAXAAiAFIAYQBpAG4AZgBhAGwAbAAgAG0AaQBuAFwAIgAsACAAXAAiAFIAYQBpAG4AZgBhAGwAbAAgAG0AYQB4AFwAIgA7AFwAbgAgACAAIAAgACAAIAAgACAAIAAgAFwAIgBIAGkAZwBoACAAcgBhAGkAbgBmAGEAbABsAFwAIgAsACAAXAAiAEEAbgBuAHUAYQBsACAAcgBhAGkAbgBmAGEAbABsACAAXAB1ADAAMAAzAGUAIAA2ADAAMABtAG0AXAAiACwAIAA2ADAAMAAuADAAMAAxACwAIAA5ADkAOQA5ADkAOQA7AFwAbgAgACAAIAAgACAAIAAgACAAIAAgAFwAIgBMAG8AdwAgAHIAYQBpAG4AZgBhAGwAbABcACIALAAgAFwAIgBBAG4AbgB1AGEAbAAgAHIAYQBpAG4AZgBhAGwAbAAgAGQiIAA2ADAAMABtAG0AXAAiACwAIAAtADkAOQA5ADkAOQA5ACwAIAA2ADAAMA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TABlAGEAYwBoAGkAbgBnAFoAbwBuAGUAcwBcAG4ALQAtAC0ALQAtAC0ALQAtAC0ALQAtAC0ALQAtAC0ALQAtAC0ALQAtAC0ALQAtAC0ALQAtAC0ALQAtAC0ALQAtAC0ALQAtAC0ALQAtAFwAbgAqAC8AXABuAFwAbgBDAG8AbQBtAG8AbgBfAFMAbwB1AHIAYwBlAEQAYQB0AGEAXwBMAGUAYQBjAGgAaQBuAGcAWgBvAG4AZQBzAF8AVABpAHQAbABlAFwAbgAgACAAPQBMAEEATQBCAEQAQQAoAFwAIgBWAEUARQBSAEcAIABBAHUAcwB0AHIAYQBsAGkAYQBuACAAbABlAGEAYwBoAGkAbgBnACAAegBvAG4AZQBzAFwAIgApADsAXABuAFwAbgBDAG8AbQBtAG8AbgBfAFMAbwB1AHIAYwBlAEQAYQB0AGEAXwBMAGUAYQBjAGgAaQBuAGcAWgBvAG4AZQBzAF8AVgBhAHIAaQBhAGIAbABlAFwAbgAgACAAPQBMAEEATQBCAEQAQQAoAFwAIgBcACIAKQA7AFwAbgBcAG4AQwBvAG0AbQBvAG4AXwBTAG8AdQByAGMAZQBEAGEAdABhAF8ATABlAGEAYwBoAGkAbgBnAFoAbwBuAGUAcwBfAFUAbgBpAHQAXABuACAAIAA9AEwAQQBNAEIARABBACgAXAAiAFwAIgApADsAXABuAFwAbgBDAG8AbQBtAG8AbgBfAFMAbwB1AHIAYwBlAEQAYQB0AGEAXwBMAGUAYQBjAGgAaQBuAGcAWgBvAG4AZQBzAF8AUwBvAHUAcgBjAGUAXABuACAAIAA9AEwAQQBNAEIARABBACgAXAAiAFYARQBFAFIARwAgADIAMAAyADYAOgAgAFQAYQBiAGwAZQAgADEALgAzADoAIABDAGwAaQBtAGEAdABlACAAYQBuAGQAIABSAGEAaQBuAGYAYQBsAGwAIAB6AG8AbgBlACAAYwBsAGEAcwBzAGkAZgBpAGMAYQB0AGkAbwBuAHMAIABhAG4AZAAgAGQAZQBmAGkAbgBpAHQAaQBvAG4AcwBcACIAKQA7AFwAbgBcAG4AQwBvAG0AbQBvAG4AXwBTAG8AdQByAGMAZQBEAGEAdABhAF8ATABlAGEAYwBoAGkAbgBnAFoAbwBuAGUAcwBfAFYAYQByAGkAYQB0AGkAbwBuAFwAbgAgACAAPQBMAEEATQBCAEQAQQAoAFwAIgBcACIAKQA7AFwAbgBcAG4AQwBvAG0AbQBvAG4AXwBTAG8AdQByAGMAZQBEAGEAdABhAF8ATABlAGEAYwBoAGkAbgBnAFoAbwBuAGUAcwBfAEQAYQB0AGEAXABuACAAIAAgAD0ATABBAE0AQgBEAEEAKABcAG4AIAAgACAAIABNAEEASwBFAEEAUgBSAEEAWQAoADQALAAgADIALAAgAFwAbgAgACAAIAAgACAAIABMAEEATQBCAEQAQQAoAHIALABjACwAIABcAG4AIAAgACAAIAAgACAAIAAgAEkATgBEAEUAWAAoAHsAXABuACAAIAAgACAAIAAgACAAIAAgACAAXAAiAEwAZQBhAGMAaABpAG4AZwAgAFoAbwBuAGUAXAAiACwAIABcACIATABlAGEAYwBoAGkAbgBnACAAYwByAGkAdABlAHIAaQBhAFwAIgA7AFwAbgAgACAAIAAgACAAIAAgACAAIAAgAFwAIgBMAGUAYQBjAGgAaQBuAGcAIABvAGMAYwB1AHIAcwBcACIALAAgAFwAIgCjAygANdhf3DXYTtw12FbcNdhb3CkAXAB1ADAAMAAzAGUAowMoADXYONw12EfcMAApACsANdhg3DXYXNw12FbcNdhZ3CAANdhk3DXYTtw12GHcNdhS3DXYX9wgAA4hNdhc3DXYWdw12FHcNdhW3DXYW9w12FTcIAA12FDcNdhO3DXYXdw12E7cNdhQ3DXYVtw12GHcNdhm3FwAIgA7AFwAbgAgACAAIAAgACAAIAAgACAAIAAgAFwAIgBMAGUAYQBjAGgAaQBuAGcAIABkAG8AZQBzACAAbgBvAHQAIABvAGMAYwB1AHIAXAAiACwAIABcACIAowMoADXYX9w12E7cNdhW3DXYW9wpAGQiowMoADXYONw12EfcMAApACsANdhg3DXYXNw12FbcNdhZ3CAANdhk3DXYTtw12GHcNdhS3DXYX9wgAA4hNdhc3DXYWdw12FHcNdhW3DXYW9w12FTcIAA12FDcNdhO3DXYXdw12E7cNdhQ3DXYVtw12GHcNdhm3FwAIgBcAG4AIAAgACAAIAAgACAAIAAgAH0ALAAgAHIALAAgAGMAKQBcAG4AIAAgACAAIAAgACAAKQBcAG4AIAAgACAAIAApAFwAbgAgACAAKQA7AFwAbgBcAG4ALwAqACAAXABuAC0ALQAtAC0ALQAtAC0ALQAtAC0ALQAtAC0ALQAtAC0ALQAtAC0ALQAtAC0ALQAtAC0ALQAtAC0ALQAtAC0ALQAtAC0ALQAtAC0ALQBcAG4AQwBvAG0AbQBvAG4AXwBTAG8AdQByAGMAZQBEAGEAdABhAF8ARgByAGEAYwBXAEUAV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XAEUAVABfAFQAaQB0AGwAZQBcAG4AIAAgAD0ATABBAE0AQgBEAEEAKABcACIARgByAGEAYwB0AGkAbwBuACAAbwBmACAATgAgAHQAaABhAHQAIABpAHMAIABhAHYAYQBpAGwAYQBiAGwAZQAgAGYAbwByACAAbABlAGEAYwBoAGkAbgBnACAAYQBuAGQAIAByAHUAbgBvAGYAZgBcACIAKQA7AFwAbgBcAG4AQwBvAG0AbQBvAG4AXwBTAG8AdQByAGMAZQBEAGEAdABhAF8ARgByAGEAYwBXAEUAVABfAFUAbgBpAHQAXABuACAAIAA9AEwAQQBNAEIARABBACgAXAAiACgARABpAG0AZQBuAHMAaQBvAG4AbABlAHMAcwBcACIAKQA7AFwAbgBcAG4AQwBvAG0AbQBvAG4AXwBTAG8AdQByAGMAZQBEAGEAdABhAF8ARgByAGEAYwBXAEUAVABfAFMAbwB1AHIAYwBlAFwAbgAgACAAPQBMAEEATQBCAEQAQQAoAFwAIgBWAEUARQBSAEcAIAAyADAAMgA2ADoANQAuADUALgAyAC4AMwAgAEMAbwBuAHMAdABhAG4AdAAgAFAAYQByAGEAbQBlAHQAZQByAHMAXAAiACkAOwBcAG4AXABuAEMAbwBtAG0AbwBuAF8AUwBvAHUAcgBjAGUARABhAHQAYQBfAEYAcgBhAGMAVwBFAFQAXwBOAEkAUgBSAGUAZgBlAHIAZQBuAGMAZQBcAG4AIAAgAD0ATABBAE0AQgBEAEEAKABcACIAXAAiACkAOwBcAG4AXABuAEMAbwBtAG0AbwBuAF8AUwBvAHUAcgBjAGUARABhAHQAYQBfAEYAcgBhAGMAVwBFAFQAXwBEAGEAdABhAFwAbgAgACAAPQBMAEEATQBCAEQAQQAoAFwAbgAgACAAIAAgAE0AQQBLAEUAQQBSAFIAQQBZACgAMwAsACAAMgAsACAAXABuACAAIAAgACAAIAAgAEwAQQBNAEIARABBACgAcgAsAGMALAAgAFwAbgAgACAAIAAgACAAIAAgACAASQBOAEQARQBYACgAewBcAG4AIAAgACAAIAAgACAAIAAgACAAIABcACIASQBzACAAaQBuACAAbABlAGEAYwBoAGkAbgBnACAAegBvAG4AZQBcACIALABcACIARgByAGEAYwBXAEUAVABcACIAOwBcAG4AIAAgACAAIAAgACAAIAAgACAAIABcACIAWQBlAHMAIAAtACAAaQBuACAAbABlAGEAYwBoAGkAbgBnACAAegBvAG4AZQBcACIALAAgADEAOwBcAG4AIAAgACAAIAAgACAAIAAgACAAIABcACIATgBvACAALQAgAG4AbwB0ACAAaQBuACAAbABlAGEAYwBoAGkAbgBnACAAegBvAG4AZQBcACIALAAgADAAXABuACAAIAAgACAAIAAgACAAIAB9ACwAIAByACwAIABjACkAXABuACAAIAAgACAAIAAgACkAXABuACAAIAAgACAAKQBcAG4AIAAgACkAOwBcAG4AXABuACAAIABDAG8AbQBtAG8AbgBfAFMAbwB1AHIAYwBlAEQAYQB0AGEAXwBGAHIAYQBjAFcARQBUAF8AVgBhAHIAaQBhAHQAaQBvAG4AXABuACAAIAA9AEwAQQBNAEIARABBACgAKABcACIAXAAiACkAKQA7AFwAbgBcAG4AXABuAFwAbgAvACoAIABcAG4ALQAtAC0ALQAtAC0ALQAtAC0ALQAtAC0ALQAtAC0ALQAtAC0ALQAtAC0ALQAtAC0ALQAtAC0ALQAtAC0ALQAtAC0ALQAtAC0ALQAtAFwAbgBDAG8AbQBtAG8AbgBfAFMAbwB1AHIAYwBlAEQAYQB0AGEAXwBEAGEAdABhAFMAYwBvAHIAZQBzAF8AUwBjAG8AcABlADMAXABuAC0ALQAtAC0ALQAtAC0ALQAtAC0ALQAtAC0ALQAtAC0ALQAtAC0ALQAtAC0ALQAtAC0ALQAtAC0ALQAtAC0ALQAtAC0ALQAtAC0ALQBcAG4AKgAvAFwAbgBcAG4AQwBvAG0AbQBvAG4AXwBTAG8AdQByAGMAZQBEAGEAdABhAF8ARABhAHQAYQBTAGMAbwByAGUAcwBfAFMAYwBvAHAAZQAzAF8AVABpAHQAbABlAFwAbgAgACAAPQBMAEEATQBCAEQAQQAoAFwAIgBBAHUAcwB0AHIAYQBsAGkAYQBuACAAZABhAHQAYQAgAHMAYwBvAHIAZQBzACAAZgBvAHIAIABzAGMAbwBwAGUAIAAzAFwAIgApADsAXABuAFwAbgBDAG8AbQBtAG8AbgBfAFMAbwB1AHIAYwBlAEQAYQB0AGEAXwBEAGEAdABhAFMAYwBvAHIAZQBzAF8AUwBjAG8AcABlADMAXwBWAGEAcgBpAGEAYgBsAGUAXABuACAAIAA9AEwAQQBNAEIARABBACgAXAAiAFwAIgApADsAXABuAFwAbgBDAG8AbQBtAG8AbgBfAFMAbwB1AHIAYwBlAEQAYQB0AGEAXwBEAGEAdABhAFMAYwBvAHIAZQBzAF8AUwBjAG8AcABlADMAXwBVAG4AaQB0AFwAbgAgACAAPQBMAEEATQBCAEQAQQAoAFwAIgBcACIAKQA7AFwAbgBcAG4AQwBvAG0AbQBvAG4AXwBTAG8AdQByAGMAZQBEAGEAdABhAF8ARABhAHQAYQBTAGMAbwByAGUAcwBfAFMAYwBvAHAAZQAzAF8AUwBvAHUAcgBjAGUAXABuACAAIAA9AEwAQQBNAEIARABBACgAXAAiAFYARQBFAFIARwAgADIAMAAyADYAOgAgAFgAWABYAFgAWABYAFgAWABcACIAKQA7AFwAbgBcAG4AQwBvAG0AbQBvAG4AXwBTAG8AdQByAGMAZQBEAGEAdABhAF8ARABhAHQAYQBTAGMAbwByAGUAcwBfAFMAYwBvAHAAZQAzAF8AVgBhAHIAaQBhAHQAaQBvAG4AXABuACAAIAA9AEwAQQBNAEIARABBACgAXAAiAFwAIgApADsAXABuAFwAbgBDAG8AbQBtAG8AbgBfAFMAbwB1AHIAYwBlAEQAYQB0AGEAXwBEAGEAdABhAFMAYwBvAHIAZQBzAF8AUwBjAG8AcABlADMAXwBEAGEAdABhAFwAbgAgACAAIAA9AEwAQQBNAEIARABBACgAXABuACAAIAAgACAATQBBAEsARQBBAFIAUgBBAFkAKAA2ACwAIAAyACwAIABcAG4AIAAgACAAIAAgACAATABBAE0AQgBEAEEAKAByACwAYwAsACAAXABuACAAIAAgACAAIAAgACAAIABJAE4ARABFAFgAKAB7AFwAbgAgACAAIAAgACAAIAAgACAAIAAgAFwAIgBEAGEAdABhACAAcwBvAHUAcgBjAGUAXAAiACwAIABcACIARABhAHQAYQAgAHMAYwBvAHIAZQBcACIAOwBcAG4AIAAgACAAIAAgACAAIAAgACAAIABcACIASQBuAHQAZQByAG4AYQB0AGkAbwBuAGEAbAAgAHMAYwBvAHAAZQAgADMAIABkAGEAdABhAGIAYQBzAGUAXAAiACwAIAAxADsAXABuACAAIAAgACAAIAAgACAAIAAgACAAXAAiAEEAdQBzAHQAcgBhAGwAaQBhAG4AIABzAGMAbwBwAGUAIAAzACAAZABhAHQAYQBiAGEAcwBlAFwAIgAsACAAMgA7AFwAbgAgACAAIAAgACAAIAAgACAAIAAgAFwAIgBTAHQAYQB0AGUAIABvAHIAIAByAGUAZwBpAG8AbgBhAGwAIABzAGMAbwBwAGUAIAAzACAAZABhAHQAYQBiAGEAcwBlAFwAIgAsACAAMwA7AFwAbgAgACAAIAAgACAAIAAgACAAIAAgAFwAIgBFAG0AaQBzAHMAaQBvAG4AcwAgAGkAbgB0AGUAbgBzAGkAdAB5ACAAYwBhAGwAYwB1AGwAYQB0AGUAZAAgAGYAcgBvAG0AIABhAHAAcAByAG8AdgBlAGQAIABtAGUAdABoAG8AZABcACIALAAgADQAOwBcAG4AIAAgACAAIAAgACAAIAAgACAAIABcACIAVgBlAHIAaQBmAGkAZQBkACAAYwByAGUAZABlAG4AdABpAGEAbAAgAG0AYQB0AGMAaABpAG4AZwAgAEkAUwBPADEANAAwADYANwBcACIALAAgADUAXABuACAAIAAgACAAIAAgACAAIAB9ACwAIAByACwAIABjACkAXABuACAAIAAgACAAIAAgACkAXABuACAAIAAgACAAKQBcAG4AIAAgACkAOwBcAG4AXABuAFwAbgAvACoAIABcAG4ALQAtAC0ALQAtAC0ALQAtAC0ALQAtAC0ALQAtAC0ALQAtAC0ALQAtAC0ALQAtAC0ALQAtAC0ALQAtAC0ALQAtAC0ALQAtAC0ALQAtAFwAbgBDAG8AbQBtAG8AbgBfAFMAbwB1AHIAYwBlAEQAYQB0AGEAXwBGAHIAYQBjAEwARQBBAEMASABcAG4ANQAuADUALgAyAC4AMwAgAEMAbwBuAHMAdABhAG4AdAAgAFAAYQByAGEAbQBlAHQAZQByAHMAXABuAEYAcgBhAGMAdABpAG8AbgAgAG8AZgAgAE4AIAB0AGgAYQB0ACAAaQBzACAAYQB2AGEAaQBsAGEAYgBsAGUAIABmAG8AcgAgAGwAZQBhAGMAaABpAG4AZwAgAGEAbgBkACAAcgB1AG4AbwBmAGYAXABuAC0ALQAtAC0ALQAtAC0ALQAtAC0ALQAtAC0ALQAtAC0ALQAtAC0ALQAtAC0ALQAtAC0ALQAtAC0ALQAtAC0ALQAtAC0ALQAtAC0ALQBcAG4AKgAvAFwAbgBcAG4AQwBvAG0AbQBvAG4AXwBTAG8AdQByAGMAZQBEAGEAdABhAF8ARgByAGEAYwBMAEUAQQBDAEgAXwBUAGkAdABsAGUAXABuACAAIAA9AEwAQQBNAEIARABBACgAXAAiAEYAcgBhAGMAdABpAG8AbgAgAG8AZgAgAE4AIAB0AGgAYQB0ACAAaQBzACAAYQB2AGEAaQBsAGEAYgBsAGUAIABmAG8AcgAgAGwAZQBhAGMAaABpAG4AZwAgAGEAbgBkACAAcgB1AG4AbwBmAGYAXAAiACkAOwBcAG4AXABuAEMAbwBtAG0AbwBuAF8AUwBvAHUAcgBjAGUARABhAHQAYQBfAEYAcgBhAGMATABFAEEAQwBIAF8AVQBuAGkAdABcAG4AIAAgAD0ATABBAE0AQgBEAEEAKABcACIAKABEAGkAbQBlAG4AcwBpAG8AbgBsAGUAcwBzAFwAIgApADsAXABuAFwAbgBDAG8AbQBtAG8AbgBfAFMAbwB1AHIAYwBlAEQAYQB0AGEAXwBGAHIAYQBjAEwARQBBAEMASABfAFMAbwB1AHIAYwBlAFwAbgAgACAAPQBMAEEATQBCAEQAQQAoAFwAIgBWAEUARQBSAEcAIAAyADAAMgA2ADoANQAuADUALgAyAC4AMwAgAEMAbwBuAHMAdABhAG4AdAAgAFAAYQByAGEAbQBlAHQAZQByAHMAXAAiACkAOwBcAG4AXABuAEMAbwBtAG0AbwBuAF8AUwBvAHUAcgBjAGUARABhAHQAYQBfAEYAcgBhAGMATABFAEEAQwBIAF8ATgBJAFIAUgBlAGYAZQByAGUAbgBjAGUAXABuACAAIAA9AEwAQQBNAEIARABBACgAXAAiAE4AYQB0AGkAbwBuAGEAbAAgAEkAbgB2AGUAbgB0AG8AcgB5ACAAUgBlAHAAbwByAHQAIABWAG8AbAB1AG0AZQAgADEAOgAgAEwAZQBhAGMAaABpAG4AZwAgAGEAbgBkACAAcgB1AG4AbwBmAGYAIAAoADMALgBEAC4AYgAuADIAKQBcACIAKQA7AFwAbgBcAG4AQwBvAG0AbQBvAG4AXwBTAG8AdQByAGMAZQBEAGEAdABhAF8ARgByAGEAYwBMAEUAQQBDAEgAXwBEAGEAdABhAFwAbgAgACAAPQBMAEEATQBCAEQAQQAoAFwAbgAgACAAIAAgAE0AQQBLAEUAQQBSAFIAQQBZACgAMQAsACAAMgAsACAAXABuACAAIAAgACAAIAAgAEwAQQBNAEIARABBACgAcgAsAGMALAAgAFwAbgAgACAAIAAgACAAIAAgACAASQBOAEQARQBYACgAewBcAG4AIAAgACAAIAAgACAAIAAgACAAIABcACIARgByAGEAYwBMAEUAQQBDAEgAXAAiACwAMAAuADIANABcAG4AIAAgACAAIAAgACAAIAAgAH0ALAAgAHIALAAgAGMAKQBcAG4AIAAgACAAIAAgACAAKQBcAG4AIAAgACAAIAApAFwAbgAgACAAKQA7AFwAbgBcAG4AIAAgAEMAbwBtAG0AbwBuAF8AUwBvAHUAcgBjAGUARABhAHQAYQBfAEYAcgBhAGMATABFAEEAQwBIAF8AVgBhAHIAaQBhAHQAaQBvAG4AXABuACAAIAA9AEwAQQBNAEIARABBACgAKABcACIAXAAiACkAKQA7AFwAbgBcAG4AXABuAFwAbgAvACoAIABcAG4ALQAtAC0ALQAtAC0ALQAtAC0ALQAtAC0ALQAtAC0ALQAtAC0ALQAtAC0ALQAtAC0ALQAtAC0ALQAtAC0ALQAtAC0ALQAtAC0ALQAtAFwAbgBDAG8AbQBtAG8AbgBfAFMAbwB1AHIAYwBlAEQAYQB0AGEAXwBFAEYAbABlAGEAYwBoAFwAbgA1AC4ANQAuADIALgAzACAAQwBvAG4AcwB0AGEAbgB0ACAAUABhAHIAYQBtAGUAdABlAHIAcwBcAG4ARQBtAGkAcwBzAGkAbwBuACAAZgBhAGMAdABvAHIAIABmAG8AcgAgAG4AaQB0AHIAbwBnAGUAbgAgAGwAZQBhAGMAaABpAG4AZwAgAGEAbgBkACAAcgB1AG4AbwBmAGYAXABuAC0ALQAtAC0ALQAtAC0ALQAtAC0ALQAtAC0ALQAtAC0ALQAtAC0ALQAtAC0ALQAtAC0ALQAtAC0ALQAtAC0ALQAtAC0ALQAtAC0ALQBcAG4AKgAvAFwAbgBcAG4AQwBvAG0AbQBvAG4AXwBTAG8AdQByAGMAZQBEAGEAdABhAF8ARQBGAGwAZQBhAGMAaABfAFQAaQB0AGwAZQBcAG4AIAAgAD0ATABBAE0AQgBEAEEAKABcACIARQBtAGkAcwBzAGkAbwBuACAAZgBhAGMAdABvAHIAIABmAG8AcgAgAG4AaQB0AHIAbwBnAGUAbgAgAGwAZQBhAGMAaABpAG4AZwAgAGEAbgBkACAAcgB1AG4AbwBmAGYAXAAiACkAOwBcAG4AXABuAEMAbwBtAG0AbwBuAF8AUwBvAHUAcgBjAGUARABhAHQAYQBfAEUARgBsAGUAYQBjAGgAXwBVAG4AaQB0AFwAbgAgACAAPQBMAEEATQBCAEQAQQAoAFwAIgAoAGsAZwAgAE4AMgBPAC0ATgAgAC8AIABrAGcAIABOAFwAIgApADsAXABuAFwAbgBDAG8AbQBtAG8AbgBfAFMAbwB1AHIAYwBlAEQAYQB0AGEAXwBFAEYAbABlAGEAYwBoAF8AUwBvAHUAcgBjAGUAXABuACAAIAA9AEwAQQBNAEIARABBACgAXAAiAFYARQBFAFIARwAgADIAMAAyADYAOgA1AC4ANQAuADIALgAzACAAQwBvAG4AcwB0AGEAbgB0ACAAUABhAHIAYQBtAGUAdABlAHIAcwBcACIAKQA7AFwAbgBcAG4AQwBvAG0AbQBvAG4AXwBTAG8AdQByAGMAZQBEAGEAdABhAF8ARQBGAGwAZQBhAGMAaABfAE4ASQBSAFIAZQBmAGUAcgBlAG4AYwBlAFwAbgAgACAAPQBMAEEATQBCAEQAQQAoAFwAIgBOAGEAdABpAG8AbgBhAGwAIABJAG4AdgBlAG4AdABvAHIAeQAgAFIAZQBwAG8AcgB0ACAAVgBvAGwAdQBtAGUAIAAxADoAIABFAHEAdQBhAHQAaQBvAG4AIAAzAC4ARAAuAEIAXwAxADAAXAAiACkAOwBcAG4AXABuAEMAbwBtAG0AbwBuAF8AUwBvAHUAcgBjAGUARABhAHQAYQBfAEUARgBsAGUAYQBjAGgAXwBEAGEAdABhAFwAbgAgACAAPQBMAEEATQBCAEQAQQAoAFwAbgAgACAAIAAgAE0AQQBLAEUAQQBSAFIAQQBZACgAMQAsACAAMgAsACAAXABuACAAIAAgACAAIAAgAEwAQQBNAEIARABBACgAcgAsAGMALAAgAFwAbgAgACAAIAAgACAAIAAgACAASQBOAEQARQBYACgAewBcAG4AIAAgACAAIAAgACAAIAAgACAAIABcACIARQBGAGwAZQBhAGMAaABcACIALAAwAC4AMAAxADEAXABuACAAIAAgACAAIAAgACAAIAB9ACwAIAByACwAIABjACkAXABuACAAIAAgACAAIAAgACkAXABuACAAIAAgACAAKQBcAG4AIAAgACkAOwBcAG4AXABuACAAIABDAG8AbQBtAG8AbgBfAFMAbwB1AHIAYwBlAEQAYQB0AGEAXwBFAEYAbABlAGEAYwBoAF8AVgBhAHIAaQBhAHQAaQBvAG4AXABuACAAIAA9AEwAQQBNAEIARABBACgAKABcACIAXAAiACkAKQA7AFwAbgBcAG4AXABuAC8AKgAgAFwAbgAtAC0ALQAtAC0ALQAtAC0ALQAtAC0ALQAtAC0ALQAtAC0ALQAtAC0ALQAtAC0ALQAtAC0ALQAtAC0ALQAtAC0ALQAtAC0ALQAtAC0AXABuAEMAbwBtAG0AbwBuAF8AUwBvAHUAcgBjAGUARABhAHQAYQBfAEUARgBOADIATwBcAG4AVABhAGIAbABlACAAQQAuADIALgAyAC4AMQBcAG4ATgBpAHQAcgBvAHUAcwAgAG8AeABpAGQAZQAgAGUAbQBpAHMAcwBpAG8AbgAgAGYAYQBjAHQAbwByAHMAIABmAG8AcgAgAGkAbgBvAHIAZwBhAG4AaQBjACAAZgBlAHIAdABpAGwAaQBzAGUAcgAgAGEAcABwAGwAaQBjAGEAdABpAG8AbgAgACgAawBnACAATgAyAE8ALQBOAC8AawBnACAATgApACAAKABFAEYATgAyAE8AKQBcAG4ALQAtAC0ALQAtAC0ALQAtAC0ALQAtAC0ALQAtAC0ALQAtAC0ALQAtAC0ALQAtAC0ALQAtAC0ALQAtAC0ALQAtAC0ALQAtAC0ALQAtAFwAbgAqAC8AXABuAFwAbgBDAG8AbQBtAG8AbgBfAFMAbwB1AHIAYwBlAEQAYQB0AGEAXwBFAEYATgAyAE8AXwBUAGkAdABsAGUAXABuACAAIAA9AEwAQQBNAEIARABBACgAXAAiAE4AaQB0AHIAbwB1AHMAIABvAHgAaQBkAGUAIABlAG0AaQBzAHMAaQBvAG4AIABmAGEAYwB0AG8AcgBzACAAZgBvAHIAIABpAG4AbwByAGcAYQBuAGkAYwAgAGYAZQByAHQAaQBsAGkAcwBlAHIAIABhAHAAcABsAGkAYwBhAHQAaQBvAG4AXAAiACkAOwBcAG4AXABuAEMAbwBtAG0AbwBuAF8AUwBvAHUAcgBjAGUARABhAHQAYQBfAEUARgBOADIATwBfAFUAbgBpAHQAXABuACAAIAA9AEwAQQBNAEIARABBACgAXAAiACgAawBnACAATgAyAE8ALQBOACAALwAgAGsAZwAgAE4AXAAiACkAOwBcAG4AXABuAEMAbwBtAG0AbwBuAF8AUwBvAHUAcgBjAGUARABhAHQAYQBfAEUARgBOADIATwBfAFMAbwB1AHIAYwBlAFwAbgAgACAAPQBMAEEATQBCAEQAQQAoAFwAIgBWAEUARQBSAEcAIAAyADAAMgA2ADoAIABUAGEAYgBsAGUAIABBAC4AMgAuADIALgAxAFwAIgApADsAXABuAFwAbgBDAG8AbQBtAG8AbgBfAFMAbwB1AHIAYwBlAEQAYQB0AGEAXwBFAEYATgAyAE8AXwBOAEkAUgBSAGUAZgBlAHIAZQBuAGMAZQBcAG4AIAAgAD0ATABBAE0AQgBEAEEAKABcACIAXAAiACkAOwBcAG4AXABuAEMAbwBtAG0AbwBuAF8AUwBvAHUAcgBjAGUARABhAHQAYQBfAEUARgBOADIATwBfAEQAYQB0AGEAXABuACAAIAA9AEwAQQBNAEIARABBACgAXABuACAAIAAgACAATQBBAEsARQBBAFIAUgBBAFkAKAAxADUALAAgADUALAAgAFwAbgAgACAAIAAgACAAIABMAEEATQBCAEQAQQAoAHIALABjACwAIABcAG4AIAAgACAAIAAgACAAIAAgAEkATgBEAEUAWAAoAHsAXABuACAAIAAgACAAIAAgACAAIAAgACAAXAAiAFAAcgBvAGQAdQBjAHQAaQBvAG4AIABzAHkAcwB0AGUAbQAgAGoAXAAiACwAXAAiAEUARgBOADIATwBcACIALAAgAFwAIgBQAHIAbwBkAHUAYwB0AGkAbwBuACAAcwB5AHMAdABlAG0AIABvAG4AbAB5AFwAIgAsACAAXAAiAEkAcgByAGkAZwBhAHQAaQBvAG4AIABtAGUAdABoAG8AZABcACIALAAgAFwAIgBSAGEAaQBuAGYAYQBsAGwAIAB6AG8AbgBlAFwAIgA7AFwAbgAgACAAIAAgACAAIAAgACAAIAAgAFwAIgBJAHIAcgBpAGcAYQB0AGUAZAAgAHAAYQBzAHQAdQByAGUAXAAiACwAMAAuADAAMAA1ADkALAAgAFwAIgBQAGEAcwB0AHUAcgBlAFwAIgAsACAAXAAiAEEAbgB5AFwAIgAsACAAXAAiAEEAbgB5AFwAIgA7AFwAbgAgACAAIAAgACAAIAAgACAAIAAgAFwAIgBJAHIAcgBpAGcAYQB0AGUAZAAgAGMAcgBvAHAAXAAiACwAMAAuADAAMAA3ACwAIABcACIAQwByAG8AcABcACIALAAgAFwAIgBBAG4AeQBcACIALAAgAFwAIgBBAG4AeQBcACIAOwBcAG4AIAAgACAAIAAgACAAIAAgACAAIABcACIATgBvAG4ALQBpAHIAcgBpAGcAYQB0AGUAZAAgAHAAYQBzAHQAdQByAGUAXAAiACwAMAAuADAAMAAxADgALAAgAFwAIgBQAGEAcwB0AHUAcgBlAFwAIgAsACAAXAAiAE4AbwB0ACAAaQByAHIAaQBnAGEAdABlAGQAXAAiACwAIABcACIATABvAHcAIAByAGEAaQBuAGYAYQBsAGwAXAAiADsAXABuACAAIAAgACAAIAAgACAAIAAgACAAXAAiAE4AbwBuAC0AaQByAHIAaQBnAGEAdABlAGQAIABwAGEAcwB0AHUAcgBlAFwAIgAsADAALgAwADAAMQA4ACwAIABcACIAUABhAHMAdAB1AHIAZQBcACIALAAgAFwAIgBOAG8AdAAgAGkAcgByAGkAZwBhAHQAZQBkAFwAIgAsACAAXAAiAEgAaQBnAGgAIAByAGEAaQBuAGYAYQBsAGwAXAAiADsAXABuACAAIAAgACAAIAAgACAAIAAgACAAXAAiAE4AbwBuAC0AaQByAHIAaQBnAGEAdABlAGQAIABjAHIAbwBwACAAKABsAG8AdwAgAHIAYQBpAG4AZgBhAGwAbAApAFwAIgAsADAALgAwADAAMgA5ACwAIABcACIAQwByAG8AcABcACIALAAgAFwAIgBOAG8AdAAgAGkAcgByAGkAZwBhAHQAZQBkAFwAIgAsACAAXAAiAEwAbwB3ACAAcgBhAGkAbgBmAGEAbABsAFwAIgA7AFwAbgAgACAAIAAgACAAIAAgACAAIAAgAFwAIgBOAG8AbgAtAGkAcgByAGkAZwBhAHQAZQBkACAAYwByAG8AcAAgACgAaABpAGcAaAAgAHIAYQBpAG4AZgBhAGwAbAApAFwAIgAsADAALgAwADAAOAAsACAAXAAiAEMAcgBvAHAAXAAiACwAIABcACIATgBvAHQAIABpAHIAcgBpAGcAYQB0AGUAZABcACIALAAgAFwAIgBIAGkAZwBoACAAcgBhAGkAbgBmAGEAbABsAFwAIgA7AFwAbgAgACAAIAAgACAAIAAgACAAIAAgAFwAIgBTAHUAZwBhAHIAXAAiACwAMAAuADAAMQA5ADkALAAgAFwAIgBTAHUAZwBhAHIAXAAiACwAIABcACIAQQBuAHkAXAAiACwAIABcACIAQQBuAHkAXAAiADsAXABuACAAIAAgACAAIAAgACAAIAAgACAAXAAiAEMAbwB0AHQAbwBuAFwAIgAsADAALgAwADAANQAzACwAIABcACIAQwBvAHQAdABvAG4AXAAiACwAIABcACIAQQBuAHkAXAAiACwAIABcACIAQQBuAHkAXAAiADsAXABuACAAIAAgACAAIAAgACAAIAAgACAAXAAiAEgAbwByAHQAaQBjAHUAbAB0AHUAcgBhAGwAIABjAHIAbwBwAHMAXAAiACwAMAAuADAAMAA2ADQALAAgAFwAIgBIAG8AcgB0AGkAYwB1AGwAdAB1AHIAYQBsACAAYwByAG8AcABzAFwAIgAsACAAXAAiAEEAbgB5AFwAIgAsACAAXAAiAEEAbgB5AFwAIgA7AFwAbgAgACAAIAAgACAAIAAgACAAIAAgAFwAIgBSAGkAYwBlACAAKABjAG8AbgB0AGkAbgB1AG8AdQBzACAAZgBsAG8AbwBkAGkAbgBnACkAXAAiACwAMAAuADAAMAAzACwAIABcACIAUgBpAGMAZQBcACIALAAgAFwAIgBDAG8AbgB0AGkAbgB1AG8AdQBzACAAZgBsAG8AbwBkAGkAbgBnAFwAIgAsACAAXAAiAEEAbgB5AFwAIgA7AFwAbgAgACAAIAAgACAAIAAgACAAIAAgAFwAIgBSAGkAYwBlACAAKABzAGkAbgBnAGwAZQAgAGEAbgBkACAAbQB1AGwAdABpAHAAbABlACAAZAByAGEAaQBuAGEAZwBlACwAIABvAHIAIABhAGwAdABlAHIAbgBhAHQAZQAgAHcAZQB0AHQAaQBuAGcAIABhAG4AZAAgAGQAcgB5AGkAbgBnACkAXAAiACwAMAAuADAAMAA1ACwAIABcACIAUgBpAGMAZQBcACIALAAgAFwAIgBTAGkAbgBnAGwAZQAgAGEAbgBkACAAbQB1AGwAdABpAHAAbABlACAAZAByAGEAaQBuAGEAZwBlACwAIABvAHIAIABhAGwAdABlAHIAbgBhAHQAZQAgAHcAZQB0AHQAaQBuAGcAIABhAG4AZAAgAGQAcgB5AGkAbgBnAFwAIgAsACAAXAAiAEEAbgB5AFwAIgA7AFwAbgAgACAAIAAgACAAIAAgACAAIAAgAFwAIgBBAHEAdQBhAGMAdQBsAHQAdQByAGUAXAAiACwAMAAuADAAMAAyADYALAAgAFwAIgBBAHEAdQBhAGMAdQBsAHQAdQByAGUAXAAiACwAIABcACIAQQBuAHkAXAAiACwAIABcACIAQQBuAHkAXAAiADsAXABuACAAIAAgACAAIAAgACAAIAAgACAAXAAiAEYAbwByAGUAcwB0AHIAeQBcACIALAAwAC4AMAAwADEAOAAsACAAXAAiAEYAbwByAGUAcwB0AHIAeQBcACIALAAgAFwAIgBBAG4AeQBcACIALAAgAFwAIgBBAG4AeQBcACIAXABuACAAIAAgACAAIAAgACAAIAB9ACwAIAByACwAIABjACkAXABuACAAIAAgACAAIAAgACkAXABuACAAIAAgACAAKQBcAG4AIAAgACkAOwBcAG4AXABuACAAIABDAG8AbQBtAG8AbgBfAFMAbwB1AHIAYwBlAEQAYQB0AGEAXwBFAEYATgAyAE8AXwBWAGEAcgBpAGEAdABpAG8AbgBcAG4AIAAgAD0ATABBAE0AQgBEAEEAKABcAG4AIAAgACAAIABNAEEASwBFAEEAUgBSAEEAWQAoADUALAAgADEALAAgAFwAbgAgACAAIAAgACAAIABMAEEATQBCAEQAQQAoAHIALABjACwAIABcAG4AIAAgACAAIAAgACAAIAAgAEkATgBEAEUAWAAoAHsAXABuACAAIAAgACAAIAAgACAAIAAgACAAXAAiAFYAQQBSAEkAQQBUAEkATwBOACAATwBGACAAUwBPAFUAUgBDAEUAIABEAEEAVABBADoAXAAiADsAXABuACAAIAAgACAAIAAgACAAIAAgACAAXAAiAFIAZQBtAG8AdgBlAGQAIABkAHUAcABsAGkAYwBhAHQAZQAgAFwAdQAwADAAMgA3AEEAcQB1AGEAYwB1AGwAdAB1AHIAZQBcAHUAMAAwADIANwAgAHIAbwB3AC4AXAAiADsAXABuACAAIAAgACAAIAAgACAAIAAgACAAXAAiAFIAZQBtAG8AdgBlAGQAIABhAHMAdABlAHIAaQBzAGsAcwAgAHQAbwAgAGEAaQBkACAAbABvAG8AawB1AHAALgBcACIAOwBcAG4AIAAgACAAIAAgACAAIAAgACAAIABcACIAQQBkAGQAZQBkACAAXAB1ADAAMAAyADcAcAByAG8AZAB1AGMAdABpAG8AbgAgAHMAeQBzAHQAZQBtACAAbwBuAGwAeQBcAHUAMAAwADIANwAsACAAXAB1ADAAMAAyADcAcgBhAGkAbgBmAGEAbABsACAAegBvAG4AZQBcAHUAMAAwADIANwAgAGEAbgBkACAAXAB1ADAAMAAyADcAaQByAHIAaQBnAGEAdABpAG8AbgAgAG0AZQB0AGgAbwBkAFwAdQAwADAAMgA3ACAAYwBvAGwAdQBtAG4AcwAgAHQAbwAgAGEAaQBkACAAbABvAG8AawB1AHAALgBcACIAOwBcAG4AIAAgACAAIAAgACAAIAAgACAAIABcACIARAB1AHAAbABpAGMAYQB0AGUAZAAgAFwAdQAwADAAMgA3AG4AbwBuAC0AaQByAHIAaQBnAGEAdABlAGQAIABwAGEAcwB0AHUAcgBlAFwAdQAwADAAMgA3ACAAcgBvAHcAIAB3AGkAdABoACAAcwBhAG0AZQAgAEUARgAgAGYAbwByACAAbABvAHcAIABhAG4AZAAgAGgAaQBnAGgAIAByAGEAaQBuAGYAYQBsAGwAIAB6AG8AbgBlAHMAIAB0AG8AIABhAGkAZAAgAGwAbwBvAGsAdQBwAC4AXAAiAFwAbgAgACAAIAAgACAAIAAgACAAfQAsACAAcgAsACAAYwApAFwAbgAgACAAIAAgACAAIAApAFwAbgAgACAAIAAgACkAXABuACAAIAApADsAXABuAFwAbgAvACoAIABcAG4ALQAtAC0ALQAtAC0ALQAtAC0ALQAtAC0ALQAtAC0ALQAtAC0ALQAtAC0ALQAtAC0ALQAtAC0ALQAtAC0ALQAtAC0ALQAtAC0ALQAtAFwAbgBDAG8AbQBtAG8AbgBfAFMAbwB1AHIAYwBlAEQAYQB0AGEAXwBGAHIAYQBjAFcARQBUAEkAcgByAGkAZwBhAHQAaQBvAG4AXABuAFYARQBFAFIARwAgADIAMAAyADYAOgAgAEMAaABhAHAAdABlAHIAIAAxACwAIABzAGUAYwB0AGkAbwBuACAAMQAuADgALgAyACAATABlAGEAYwBoAGkAbgBnACwAIABjAGwAaQBtAGEAdABlACAAYQBuAGQAIAByAGEAaQBuAGYAYQBsAGwAIAB6AG8AbgBlAHMAXABuAEkAUABDAEMAOgAgAE4AMgBPACAARQBNAEkAUwBTAEkATwBOAFMAIABGAFIATwBNACAATQBBAE4AQQBHAEUARAAgAFMATwBJAEwAUwAsACAAQQBOAEQAIABDAE8AMgAgAEUATQBJAFMAUwBJAE8ATgBTACAARgBSAE8ATQAgAEwASQBNAEUAIABBAE4ARAAgAFUAUgBFAEEAIABBAFAAUABMAEkAQwBBAFQASQBPAE4AXABuAC0ALQAtAC0ALQAtAC0ALQAtAC0ALQAtAC0ALQAtAC0ALQAtAC0ALQAtAC0ALQAtAC0ALQAtAC0ALQAtAC0ALQAtAC0ALQAtAC0ALQBcAG4AKgAvAFwAbgBcAG4AQwBvAG0AbQBvAG4AXwBTAG8AdQByAGMAZQBEAGEAdABhAF8ARgByAGEAYwBXAEUAVABJAHIAcgBpAGcAYQB0AGkAbwBuAF8AVABpAHQAbABlAFwAbgAgACAAPQBMAEEATQBCAEQAQQAoAFwAIgBGAHIAYQBjAFcARQBUACAAZgBvAHIAIABpAHIAcgBpAGcAYQB0AGkAbwBuACAAdAB5AHAAZQBzAFwAIgApADsAXABuAFwAbgBDAG8AbQBtAG8AbgBfAFMAbwB1AHIAYwBlAEQAYQB0AGEAXwBGAHIAYQBjAFcARQBUAEkAcgByAGkAZwBhAHQAaQBvAG4AXwBVAG4AaQB0AFwAbgAgACAAPQBMAEEATQBCAEQAQQAoAFwAIgBkAGkAbQBlAG4AcwBpAG8AbgBsAGUAcwBzAFwAIgApADsAXABuAFwAbgBDAG8AbQBtAG8AbgBfAFMAbwB1AHIAYwBlAEQAYQB0AGEAXwBGAHIAYQBjAFcARQBUAEkAcgByAGkAZwBhAHQAaQBvAG4AXwBTAG8AdQByAGMAZQBcAG4AIAAgAD0ATABBAE0AQgBEAEEAKABcACIAVgBFAEUAUgBHACAAMgAwADIANgA6ACAAQwBoAGEAcAB0AGUAcgAgADEALAAgAHMAZQBjAHQAaQBvAG4AIAAxAC4AOAAuADIAIABMAGUAYQBjAGgAaQBuAGcALAAgAGMAbABpAG0AYQB0AGUAIABhAG4AZAAgAHIAYQBpAG4AZgBhAGwAbAAgAHoAbwBuAGUAcwBcACIAKQA7AFwAbgBcAG4AQwBvAG0AbQBvAG4AXwBTAG8AdQByAGMAZQBEAGEAdABhAF8ARgByAGEAYwBXAEUAVABJAHIAcgBpAGcAYQB0AGkAbwBuAF8ATgBJAFIAUgBlAGYAZQByAGUAbgBjAGUAXABuACAAIAA9AEwAQQBNAEIARABBACgAXAAiAEkAUABDAEMAIAAyADAAMQA5ACAAUgBlAGYAaQBuAGUAbQBlAG4AdAAgAFYAbwBsAHUAbQBlACAANAA6ACAAQwBoAGEAcAB0AGUAcgAgADEAMQA6ACAATgAyAE8AIABFAG0AaQBzAHMAaQBvAG4AcwAgAGYAcgBvAG0AIABNAGEAbgBhAGcAZQBkACAAUwBvAGkAbABzACwAIABhAG4AZAAgAEMATwAyACAARQBtAGkAcwBzAGkAbwBuAHMAIABmAHIAbwBtACAATABpAG0AZQAgAGEAbgBkACAAVQByAGUAYQAgAEEAcABwAGwAaQBjAGEAdABpAG8AbgBcACIAKQA7AFwAbgBcAG4AQwBvAG0AbQBvAG4AXwBTAG8AdQByAGMAZQBEAGEAdABhAF8ARgByAGEAYwBXAEUAVABJAHIAcgBpAGcAYQB0AGkAbwBuAF8ARABhAHQAYQBcAG4AIAAgAD0ATABBAE0AQgBEAEEAKABcAG4AIAAgACAAIABNAEEASwBFAEEAUgBSAEEAWQAoADYALAAgADIALAAgAFwAbgAgACAAIAAgACAAIABMAEEATQBCAEQAQQAoAHIALABjACwAIABcAG4AIAAgACAAIAAgACAAIAAgAEkATgBEAEUAWAAoAHsAXABuACAAIAAgACAAIAAgACAAIAAgACAAXAAiAEkAcgByAGkAZwBhAHQAaQBvAG4AIAB0AHkAcABlACAAaQByAFwAIgAsAFwAIgBGAHIAYQBjAFcARQBUAFwAIgA7AFwAbgAgACAAIAAgACAAIAAgACAAIAAgAFwAIgBOAG8AdAAgAGkAcgByAGkAZwBhAHQAZQBkAFwAIgAsACAAMAA7AFwAbgAgACAAIAAgACAAIAAgACAAIAAgAFwAIgBEAHIAaQBwACAAaQByAHIAaQBnAGEAdABpAG8AbgBcACIALAAgADAAOwBcAG4AIAAgACAAIAAgACAAIAAgACAAIABcACIAUwBwAHIAaQBuAGsAbABlAHIAIABpAHIAcgBpAGcAYQB0AGkAbwBuAFwAIgAsACAAMQA7AFwAbgAgACAAIAAgACAAIAAgACAAIAAgAFwAIgBTAHUAcgBmAGEAYwBlACAAaQByAHIAaQBnAGEAdABpAG8AbgBcACIALAAgADEAOwBcAG4AIAAgACAAIAAgACAAIAAgACAAIABcACIATwB0AGgAZQByACAAaQByAHIAaQBnAGEAdABpAG8AbgBcACIALAAgADEAXABuACAAIAAgACAAIAAgACAAIAB9ACwAIAByACwAIABjACkAXABuACAAIAAgACAAIAAgACkAXABuACAAIAAgACAAKQBcAG4AIAAgACkAOwBcAG4AXABuACAAIABDAG8AbQBtAG8AbgBfAFMAbwB1AHIAYwBlAEQAYQB0AGEAXwBGAHIAYQBjAFcARQBUAEkAcgByAGkAZwBhAHQAaQBvAG4AXwBWAGEAcgBpAGEAdABpAG8AbgBcAG4AIAAgAD0ATABBAE0AQgBEAEEAKABcACIAVgBBAFIASQBBAFQASQBPAE4AIABGAFIATwBNACAAUwBPAFUAUgBDAEUAIABEAEEAVABBADoAIABUAGEAYgBsAGUAIABjAHIAZQBhAHQAZQBkACAAYgBhAHMAZQBkACAAbwBuACAAVgBFAEUAUgBHACAAdABlAHgAdAAgAFwAdQAwADAAMgA3AEEAcgBlAGEAcwAgAGEAcgBlACAAcwB1AGIAagBlAGMAdAAgAHQAbwAgAGwAZQBhAGMAaABpAG4AZwAgACgAaQAuAGUALgAsACAAaQBuACAAdABoAGUAIABsAGUAYQBjAGgAaQBuAGcAIAB6AG8AbgBlACkAIAB3AGgAZQBuAC4ALgAuACAAdABoAGUAIABsAGEAbgBkACAAaQBzACAAaQByAHIAaQBnAGEAdABlAGQAIAAoAGUAeABjAGUAcAB0ACAAZAByAGkAcAAgAGkAcgByAGkAZwBhAHQAaQBvAG4AKQAuAFwAdQAwADAAMgA3AFwAIgApADsAXABuAFwAbgBcAG4ALwAqACAAXABuAC0ALQAtAC0ALQAtAC0ALQAtAC0ALQAtAC0ALQAtAC0ALQAtAC0ALQAtAC0ALQAtAC0ALQAtAC0ALQAtAC0ALQAtAC0ALQAtAC0ALQBcAG4AQwBvAG0AbQBvAG4AXwBTAG8AdQByAGMAZQBEAGEAdABhAF8ARQBGAFAAYQBzAHQAdQByAGUAUgBhAG4AZwBlAEEAbgBkAFAAYQBkAGQAbwBjAGsAXABuAFQAYQBiAGwAZQAgAEEALgAyAC4AMgAuADIAOgAgAEUAbQBpAHMAcwBpAG8AbgAgAGYAYQBjAHQAbwByACAAZgBvAHIAIAB1AHIAaQBuAGUAIABhAG4AZAAgAGQAdQBuAGcAIABkAGUAcABvAHMAaQB0AGUAZAAgAG8AbgAgAHAAYQBzAHQAdQByAGUALAAgAHIAYQBuAGcAZQAgAG8AcgAgAHAAYQBkAGQAbwBjAGsAIAAoAGsAZwAgAE4AMgBPAC0ATgAvAGsAZwAgAE4AKQAgACgARQBGAFAAUgBQACkAXABuAC0ALQAtAC0ALQAtAC0ALQAtAC0ALQAtAC0ALQAtAC0ALQAtAC0ALQAtAC0ALQAtAC0ALQAtAC0ALQAtAC0ALQAtAC0ALQAtAC0ALQBcAG4AKgAvAFwAbgBcAG4AQwBvAG0AbQBvAG4AXwBTAG8AdQByAGMAZQBEAGEAdABhAF8ARQBGAFAAYQBzAHQAdQByAGUAUgBhAG4AZwBlAEEAbgBkAFAAYQBkAGQAbwBjAGsAXwBUAGkAdABsAGUAXABuACAAIAA9AEwAQQBNAEIARABBACgAXAAiAEUAbQBpAHMAcwBpAG8AbgAgAGYAYQBjAHQAbwByACAAZgBvAHIAIAB1AHIAaQBuAGUAIABhAG4AZAAgAGQAdQBuAGcAIABkAGUAcABvAHMAaQB0AGUAZAAgAG8AbgAgAHAAYQBzAHQAdQByAGUALAAgAHIAYQBuAGcAZQAgAG8AcgAgAHAAYQBkAGQAbwBjAGsAXAAiACkAOwBcAG4AXABuAEMAbwBtAG0AbwBuAF8AUwBvAHUAcgBjAGUARABhAHQAYQBfAEUARgBQAGEAcwB0AHUAcgBlAFIAYQBuAGcAZQBBAG4AZABQAGEAZABkAG8AYwBrAF8AVQBuAGkAdABcAG4AIAAgAD0ATABBAE0AQgBEAEEAKABcACIAawBnACAATgAyAE8AIAAtACAATgAgAC8AIABrAGcAIABOAFwAIgApADsAXABuAFwAbgBDAG8AbQBtAG8AbgBfAFMAbwB1AHIAYwBlAEQAYQB0AGEAXwBFAEYAUABhAHMAdAB1AHIAZQBSAGEAbgBnAGUAQQBuAGQAUABhAGQAZABvAGMAawBfAFMAbwB1AHIAYwBlAFwAbgAgACAAPQBMAEEATQBCAEQAQQAoAFwAIgBWAEUARQBSAEcAIAAyADAAMgA2ADoAIABUAGEAYgBsAGUAIABBAC4AMgAuADIALgAyAFwAIgApADsAXABuAFwAbgBDAG8AbQBtAG8AbgBfAFMAbwB1AHIAYwBlAEQAYQB0AGEAXwBFAEYAUABhAHMAdAB1AHIAZQBSAGEAbgBnAGUAQQBuAGQAUABhAGQAZABvAGMAawBfAE4ASQBSAFIAZQBmAGUAcgBlAG4AYwBlAFwAbgAgACAAPQBMAEEATQBCAEQAQQAoAFwAIgBcACIAKQA7AFwAbgBcAG4AQwBvAG0AbQBvAG4AXwBTAG8AdQByAGMAZQBEAGEAdABhAF8ARQBGAFAAYQBzAHQAdQByAGUAUgBhAG4AZwBlAEEAbgBkAFAAYQBkAGQAbwBjAGsAXwBEAGEAdABhAFwAbgAgACAAPQBMAEEATQBCAEQAQQAoAFwAbgAgACAAIAAgAE0AQQBLAEUAQQBSAFIAQQBZACgAMwAsACAAMgAsACAAXABuACAAIAAgACAAIAAgAEwAQQBNAEIARABBACgAcgAsAGMALAAgAFwAbgAgACAAIAAgACAAIAAgACAASQBOAEQARQBYACgAewBcAG4AIAAgACAAIAAgACAAIAAgACAAIABcACIAQwBsAGkAbQBhAHQAZQAgAHoAbwBuAGUAXAAiACwAIABcACIARQBGAFAAUgBQAFwAIgA7AFwAbgAgACAAIAAgACAAIAAgACAAIAAgAFwAIgBXAGUAdAAgAGMAbABpAG0AYQB0AGUAIAB6AG8AbgBlAFwAIgAsACAAMAAuADAAMAA2ADsAXABuACAAIAAgACAAIAAgACAAIAAgACAAXAAiAEQAcgB5ACAAYwBsAGkAbQBhAHQAZQAgAHoAbwBuAGUAXAAiACwAIAAwAC4AMAAwADIAXABuACAAIAAgACAAIAAgACAAIAB9ACwAIAByACwAIABjACkAXABuACAAIAAgACAAIAAgACkAXABuACAAIAAgACAAKQBcAG4AIAAgACkAOwBcAG4AXABuACAAIABDAG8AbQBtAG8AbgBfAFMAbwB1AHIAYwBlAEQAYQB0AGEAXwBFAEYAUABhAHMAdAB1AHIAZQBSAGEAbgBnAGUAQQBuAGQAUABhAGQAZABvAGMAawBfAFYAYQByAGkAYQB0AGkAbwBuAFwAbgAgACAAPQBMAEEATQBCAEQAQQAoAFwAIgBWAEEAUgBJAEEAVABJAE8ATgAgAEYAUgBPAE0AIABTAE8AVQBSAEMARQAgAEQAQQBUAEEAOgAgAEMAaABhAG4AZwBlAGQAIABcAHUAMAAwADIANwBEAHIAeQAgAGMAbABpAG0AYQB0AGUAIAB6AG8AbgBlAHMAXAB1ADAAMAAyADcAIAB0AG8AIABzAGkAbgBnAHUAbABhAHIAIABcAHUAMAAwADIANwBEAHIAeQAgAGMAbABpAG0AYQB0AGUAIAB6AG8AbgBlAFwAdQAwADAAMgA3ACAAdABvACAAYQBpAGQAIABsAG8AbwBrAHUAcAAuAFwAIgApADsAXABuAFwAbgBcAG4ALwAqACAAXABuAC0ALQAtAC0ALQAtAC0ALQAtAC0ALQAtAC0ALQAtAC0ALQAtAC0ALQAtAC0ALQAtAC0ALQAtAC0ALQAtAC0ALQAtAC0ALQAtAC0ALQBcAG4AQwBvAG0AbQBvAG4AXwBTAG8AdQByAGMAZQBEAGEAdABhAF8ATQBvAG4AdABoAHMAVABvAFMAZQBhAHMAbwBuAHMAXABuAC0ALQAtAC0ALQAtAC0ALQAtAC0ALQAtAC0ALQAtAC0ALQAtAC0ALQAtAC0ALQAtAC0ALQAtAC0ALQAtAC0ALQAtAC0ALQAtAC0ALQBcAG4AKgAvAFwAbgBcAG4AQwBvAG0AbQBvAG4AXwBTAG8AdQByAGMAZQBEAGEAdABhAF8ATQBvAG4AdABoAHMAVABvAFMAZQBhAHMAbwBuAHMAXwBUAGkAdABsAGUAXABuACAAIAA9AEwAQQBNAEIARABBACgAXAAiAE0AbwBuAHQAaABzACAAdABvACAAUwBlAGEAcwBvAG4AcwAgAE0AYQBwAHAAaQBuAGcAXAAiACkAOwBcAG4AXABuAEMAbwBtAG0AbwBuAF8AUwBvAHUAcgBjAGUARABhAHQAYQBfAE0AbwBuAHQAaABzAFQAbwBTAGUAYQBzAG8AbgBzAF8AVQBuAGkAdABcAG4AIAAgAD0ATABBAE0AQgBEAEEAKABcACIAXAAiACkAOwBcAG4AXABuAEMAbwBtAG0AbwBuAF8AUwBvAHUAcgBjAGUARABhAHQAYQBfAE0AbwBuAHQAaABzAFQAbwBTAGUAYQBzAG8AbgBzAF8AUwBvAHUAcgBjAGUAXABuACAAIAA9AEwAQQBNAEIARABBACgAXAAiAFwAIgApADsAXABuAFwAbgBDAG8AbQBtAG8AbgBfAFMAbwB1AHIAYwBlAEQAYQB0AGEAXwBNAG8AbgB0AGgAcwBUAG8AUwBlAGEAcwBvAG4AcwBfAE4ASQBSAFIAZQBmAGUAcgBlAG4AYwBlAFwAbgAgACAAPQBMAEEATQBCAEQAQQAoAFwAIgBcACIAKQA7AFwAbgBcAG4AQwBvAG0AbQBvAG4AXwBTAG8AdQByAGMAZQBEAGEAdABhAF8ATQBvAG4AdABoAHMAVABvAFMAZQBhAHMAbwBuAHMAXwBEAGEAdABhAFwAbgAgACAAPQBMAEEATQBCAEQAQQAoAFwAbgAgACAAIAAgAE0AQQBLAEUAQQBSAFIAQQBZACgAMQAzACwAIAAyACwAIABcAG4AIAAgACAAIAAgACAATABBAE0AQgBEAEEAKAByACwAYwAsACAAXABuACAAIAAgACAAIAAgACAAIABJAE4ARABFAFgAKAB7AFwAbgAgACAAIAAgACAAIAAgACAAIAAgAFwAIgBNAG8AbgB0AGgAXAAiACwAIABcACIAUwBlAGEAcwBvAG4AXAAiADsAXABuACAAIAAgACAAIAAgACAAIAAgACAAXAAiAEoAYQBuAHUAYQByAHkAXAAiACwAIABcACIAUwB1AG0AbQBlAHIAXAAiADsAXABuACAAIAAgACAAIAAgACAAIAAgACAAXAAiAEYAZQBiAHIAdQBhAHIAeQBcACIALAAgAFwAIgBTAHUAbQBtAGUAcgBcACIAOwBcAG4AIAAgACAAIAAgACAAIAAgACAAIABcACIATQBhAHIAYwBoAFwAIgAsACAAXAAiAEEAdQB0AHUAbQBuAFwAIgA7AFwAbgAgACAAIAAgACAAIAAgACAAIAAgAFwAIgBBAHAAcgBpAGwAXAAiACwAIABcACIAQQB1AHQAdQBtAG4AXAAiADsAXABuACAAIAAgACAAIAAgACAAIAAgACAAXAAiAE0AYQB5AFwAIgAsACAAXAAiAEEAdQB0AHUAbQBuAFwAIgA7AFwAbgAgACAAIAAgACAAIAAgACAAIAAgAFwAIgBKAHUAbgBlAFwAIgAsACAAXAAiAFcAaQBuAHQAZQByAFwAIgA7AFwAbgAgACAAIAAgACAAIAAgACAAIAAgAFwAIgBKAHUAbAB5AFwAIgAsACAAXAAiAFcAaQBuAHQAZQByAFwAIgA7AFwAbgAgACAAIAAgACAAIAAgACAAIAAgAFwAIgBBAHUAZwB1AHMAdABcACIALAAgAFwAIgBXAGkAbgB0AGUAcgBcACIAOwBcAG4AIAAgACAAIAAgACAAIAAgACAAIABcACIAUwBlAHAAdABlAG0AYgBlAHIAXAAiACwAIABcACIAUwBwAHIAaQBuAGcAXAAiADsAXABuACAAIAAgACAAIAAgACAAIAAgACAAXAAiAE8AYwB0AG8AYgBlAHIAXAAiACwAIABcACIAUwBwAHIAaQBuAGcAXAAiADsAXABuACAAIAAgACAAIAAgACAAIAAgACAAXAAiAE4AbwB2AGUAbQBiAGUAcgBcACIALAAgAFwAIgBTAHAAcgBpAG4AZwBcACIAOwBcAG4AIAAgACAAIAAgACAAIAAgACAAIABcACIARABlAGMAZQBtAGIAZQByAFwAIgAsACAAXAAiAFMAdQBtAG0AZQByAFwAIgBcAG4AIAAgACAAIAAgACAAIAAgAH0ALAAgAHIALAAgAGMAKQBcAG4AIAAgACAAIAAgACAAKQBcAG4AIAAgACAAIAApAFwAbgAgACAAKQA7AFwAbgBcAG4AIAAgAEMAbwBtAG0AbwBuAF8AUwBvAHUAcgBjAGUARABhAHQAYQBfAE0AbwBuAHQAaABzAFQAbwBTAGUAYQBzAG8AbgBzAF8AVgBhAHIAaQBhAHQAaQBvAG4AXABuACAAIAA9AEwAQQBNAEIARABBACgAXAAiAFwAIgApADsAXABuAFwAbgBcAG4AXABuAC8AKgAgAFwAbgAtAC0ALQAtAC0ALQAtAC0ALQAtAC0ALQAtAC0ALQAtAC0ALQAtAC0ALQAtAC0ALQAtAC0ALQAtAC0ALQAtAC0ALQAtAC0ALQAtAC0AXABuAEMAbwBtAG0AbwBuAF8AUwBvAHUAcgBjAGUARABhAHQAYQBfAE0AQwBGAFQAZQBtAHAAZQByAGEAdAB1AHIAZQBaAG8AbgBlAFwAbgAtAC0ALQAtAC0ALQAtAC0ALQAtAC0ALQAtAC0ALQAtAC0ALQAtAC0ALQAtAC0ALQAtAC0ALQAtAC0ALQAtAC0ALQAtAC0ALQAtAC0AXABuACoALwBcAG4AXABuAEMAbwBtAG0AbwBuAF8AUwBvAHUAcgBjAGUARABhAHQAYQBfAE0AQwBGAFQAZQBtAHAAZQByAGEAdAB1AHIAZQBaAG8AbgBlAF8AVABpAHQAbABlAFwAbgAgACAAPQBMAEEATQBCAEQAQQAoAFwAIgBNAGEAbgB1AHIAZQAgAE0AYQBuAGEAZwBlAG0AZQBuAHQAIAATICAATQBlAHQAaABhAG4AZQAgAGMAbwBuAHYAZQByAHMAaQBvAG4AIABmAGEAYwB0AG8AcgAgAHAAZQByACAAdABlAG0AcABlAHIAYQB0AHUAcgBlACAAegBvAG4AZQAgACgAZgByAGEAYwB0AGkAbwBuACkAIAAoAE0AQwBGAGkAbQApAFwAIgApADsAXABuAFwAbgBDAG8AbQBtAG8AbgBfAFMAbwB1AHIAYwBlAEQAYQB0AGEAXwBNAEMARgBUAGUAbQBwAGUAcgBhAHQAdQByAGUAWgBvAG4AZQBfAFUAbgBpAHQAXABuACAAIAA9AEwAQQBNAEIARABBACgAXAAiAGYAcgBhAGMAdABpAG8AbgBcACIAKQA7AFwAbgBcAG4AQwBvAG0AbQBvAG4AXwBTAG8AdQByAGMAZQBEAGEAdABhAF8ATQBDAEYAVABlAG0AcABlAHIAYQB0AHUAcgBlAFoAbwBuAGUAXwBTAG8AdQByAGMAZQBcAG4AIAAgAD0ATABBAE0AQgBEAEEAKABcACIAVgBFAEUAUgBHACAAMgAwADIANgA6ACAAVABhAGIAbABlACAAQQAuADEALgA4AC4AMQBcACIAKQA7AFwAbgBcAG4AQwBvAG0AbQBvAG4AXwBTAG8AdQByAGMAZQBEAGEAdABhAF8ATQBDAEYAVABlAG0AcABlAHIAYQB0AHUAcgBlAFoAbwBuAGUAXwBEAGEAdABhAFwAbgAgACAAPQBMAEEATQBCAEQAQQAoAFwAbgAgACAAIAAgAE0AQQBLAEUAQQBSAFIAQQBZACgAMgAyACwAIAAxADYALAAgAFwAbgAgACAAIAAgACAAIABMAEEATQBCAEQAQQAoAHIALABjACwAIABcAG4AIAAgACAAIAAgACAAIAAgAEkATgBEAEUAWAAoAHsAXABuACAAIAAgACAAIAAgACAAIAAgACAAXAAiAFQAZQBtAHAAZQByAGEAdAB1AHIAZQAgAHoAbwBuAGUAXAAiACwAIABcACIATQBBAFQAIAAoALoAQwApAFwAIgAsACAAXAAiAFUAbgBjAG8AdgBlAHIAZQBkACAAYQBuAGUAcgBvAGIAaQBjACAAbABhAGcAbwBvAG4AXAAiACwAIABcACIAQwBvAHYAZQByAGUAZAAgAGwAYQBnAG8AbwBuAFwAIgAsACAAXAAiAEwAaQBxAHUAaQBkACAAUwBsAHUAcgByAHkAIAAoAHcAaQB0AGgAbwB1AHQAIABuAGEAdAB1AHIAYQBsACAAYwByAHUAcwB0ACkAXAAiACwAIABcACIARABhAGkAbAB5ACAAcwBwAHIAZQBhAGQAIAAoAGIAKQBcACIALAAgAFwAIgBDAG8AbQBwAG8AcwB0AGkAbgBnACAAKABwAGEAcwBzAGkAdgBlACAAdwBpAG4AZAByAG8AdwApAFwAIgAsACAAXAAiAFMAbwBsAGkAZAAgAFMAdABvAHIAYQBnAGUAXAAiACwAIABcACIAUABpAHQAIABTAHQAbwByAGEAZwBlACAAXAB1ADAAMAAzAGMAMQAgAG0AbwBuAHQAaABcACIALAAgAFwAIgBEAGUAZQBwACAATABpAHQAdABlAHIAXAAiACwAIABcACIAUABvAHUAbAB0AHIAeQAgAE0AYQBuAHUAcgBlACAAKAB3AGkAdABoAC8AdwBpAHQAaABvAHUAdAAgAGwAaQB0AHQAZQByACkAXAAiACwAIABcACIAXAAiACwAIABcACIARABpAHIAZQBjAHQAIABwAHIAbwBjAGUAcwBzAGkAbgBnACAAaQBuAHQAbwAgAHAAZQBsAGwAZQB0AGkAegBlAGQAIABmAGUAcgB0AGkAbABpAHMAZQByAFwAIgAsACAAXAAiAEQAaQByAGUAYwB0ACAAYQBwAHAAbABpAGMAYQB0AGkAbwBuACAAdABvACAAcwBvAGkAbABcACIALAAgAFwAIgBQAGEAcwB0AHUAcgBlACwAIABSAGEAbgBnAGUAIABhAG4AZAAgAFAAYQBkAGQAbwBjAGsAIAAoAGMAKQAoAGQAKQBcACIALAAgAFwAIgBNAEEAVAAgAHIAYQB3AFwAIgA7AFwAbgAgACAAIAAgACAAIAAgACAAIAAgAFwAIgBDAG8AbwBsAFwAIgAsACAAXAAiAGQiMQAwAFwAIgAsACAAMAAuADYANgAsACAAMAAuADEALAAgADAALgAxACwAIAAwAC4AMAAwADEALAAgADAALgAwADAANQAsACAAMAAuADAAMgAsACAAMAAuADAAMwAsACAAMAAuADAANAAsACAAMAAuADAAMQA1ACwAIAAwAC4AMAAxADUALAAgADAALAAgADAALAAgADAALgAwADAANAA3ACwAIAAxADAAOwBcAG4AIAAgACAAIAAgACAAIAAgACAAIABcACIAQwBvAG8AbABcACIALAAgADEAMQAsACAAMAAuADYAOAAsACAAMAAuADEALAAgADAALgAxADEALAAgADAALgAwADAAMQAsACAAMAAuADAAMAA1ACwAIAAwAC4AMAAyACwAIAAwAC4AMAAzACwAIAAwAC4AMAA0ACwAIAAwAC4AMAAxADUALAAgADAALgAwADEANQAsACAAMAAsACAAMAAsACAAMAAuADAAMAA0ADcALAAgADEAMQA7AFwAbgAgACAAIAAgACAAIAAgACAAIAAgAFwAIgBDAG8AbwBsAFwAIgAsACAAMQAyACwAIAAwAC4ANwAsACAAMAAuADEALAAgADAALgAxADMALAAgADAALgAwADAAMQAsACAAMAAuADAAMAA1ACwAIAAwAC4AMAAyACwAIAAwAC4AMAAzACwAIAAwAC4AMAA0ACwAIAAwAC4AMAAxADUALAAgADAALgAwADEANQAsACAAMAAsACAAMAAsACAAMAAuADAAMAA0ADcALAAgADEAMgA7AFwAbgAgACAAIAAgACAAIAAgACAAIAAgAFwAIgBDAG8AbwBsAFwAIgAsACAAMQAzACwAIAAwAC4ANwAxACwAIAAwAC4AMQAsACAAMAAuADEANAAsACAAMAAuADAAMAAxACwAIAAwAC4AMAAwADUALAAgADAALgAwADIALAAgADAALgAwADMALAAgADAALgAwADQALAAgADAALgAwADEANQAsACAAMAAuADAAMQA1ACwAIAAwACwAIAAwACwAIAAwAC4AMAAwADQANwAsACAAMQAzADsAXABuACAAIAAgACAAIAAgACAAIAAgACAAXAAiAEMAbwBvAGwAXAAiACwAIAAxADQALAAgADAALgA3ADMALAAgADAALgAxACwAIAAwAC4AMQA1ACwAIAAwAC4AMAAwADEALAAgADAALgAwADAANQAsACAAMAAuADAAMgAsACAAMAAuADAAMwAsACAAMAAuADAANAAsACAAMAAuADAAMQA1ACwAIAAwAC4AMAAxADUALAAgADAALAAgADAALAAgADAALgAwADAANAA3ACwAIAAxADQAOwBcAG4AIAAgACAAIAAgACAAIAAgACAAIABcACIAVABlAG0AcABlAHIAYQB0AGUAXAAiACwAIAAxADUALAAgADAALgA3ADQALAAgADAALgAxACwAIAAwAC4AMQA3ACwAIAAwAC4AMAAwADUALAAgADAALgAwADEALAAgADAALgAwADIALAAgADAALgAwADMALAAgADAALgAwADQALAAgADAALgAwADEANQAsACAAMAAuADAAMQA1ACwAIAAwACwAIAAwACwAIAAwAC4AMAAwADQANwAsACAAMQA1ADsAXABuACAAIAAgACAAIAAgACAAIAAgACAAXAAiAFQAZQBtAHAAZQByAGEAdABlAFwAIgAsACAAMQA2ACwAIAAwAC4ANwA1ACwAIAAwAC4AMQAsACAAMAAuADEAOAAsACAAMAAuADAAMAA1ACwAIAAwAC4AMAAxACwAIAAwAC4AMAAyACwAIAAwAC4AMAAzACwAIAAwAC4AMAA0ACwAIAAwAC4AMAAxADUALAAgADAALgAwADEANQAsACAAMAAsACAAMAAsACAAMAAuADAAMAA0ADcALAAgADEANgA7AFwAbgAgACAAIAAgACAAIAAgACAAIAAgAFwAIgBUAGUAbQBwAGUAcgBhAHQAZQBcACIALAAgADEANwAsACAAMAAuADcANgAsACAAMAAuADEALAAgADAALgAyACwAIAAwAC4AMAAwADUALAAgADAALgAwADEALAAgADAALgAwADIALAAgADAALgAwADMALAAgADAALgAwADQALAAgADAALgAwADEANQAsACAAMAAuADAAMQA1ACwAIAAwACwAIAAwACwAIAAwAC4AMAAwADQANwAsACAAMQA3ADsAXABuACAAIAAgACAAIAAgACAAIAAgACAAXAAiAFQAZQBtAHAAZQByAGEAdABlAFwAIgAsACAAMQA4ACwAIAAwAC4ANwA3ACwAIAAwAC4AMQAsACAAMAAuADIAMgAsACAAMAAuADAAMAA1ACwAIAAwAC4AMAAxACwAIAAwAC4AMAAyACwAIAAwAC4AMAAzACwAIAAwAC4AMAA0ACwAIAAwAC4AMAAxADUALAAgADAALgAwADEANQAsACAAMAAsACAAMAAsACAAMAAuADAAMAA0ADcALAAgADEAOAA7AFwAbgAgACAAIAAgACAAIAAgACAAIAAgAFwAIgBUAGUAbQBwAGUAcgBhAHQAZQBcACIALAAgADEAOQAsACAAMAAuADcANwAsACAAMAAuADEALAAgADAALgAyADQALAAgADAALgAwADAANQAsACAAMAAuADAAMQAsACAAMAAuADAAMgAsACAAMAAuADAAMwAsACAAMAAuADAANAAsACAAMAAuADAAMQA1ACwAIAAwAC4AMAAxADUALAAgADAALAAgADAALAAgADAALgAwADAANAA3ACwAIAAxADkAOwBcAG4AIAAgACAAIAAgACAAIAAgACAAIABcACIAVABlAG0AcABlAHIAYQB0AGUAXAAiACwAIAAyADAALAAgADAALgA3ADgALAAgADAALgAxACwAIAAwAC4AMgA2ACwAIAAwAC4AMAAwADUALAAgADAALgAwADEALAAgADAALgAwADIALAAgADAALgAwADMALAAgADAALgAwADQALAAgADAALgAwADEANQAsACAAMAAuADAAMQA1ACwAIAAwACwAIAAwACwAIAAwAC4AMAAwADQANwAsACAAMgAwADsAXABuACAAIAAgACAAIAAgACAAIAAgACAAXAAiAFQAZQBtAHAAZQByAGEAdABlAFwAIgAsACAAMgAxACwAIAAwAC4ANwA4ACwAIAAwAC4AMQAsACAAMAAuADIAOQAsACAAMAAuADAAMAA1ACwAIAAwAC4AMAAxACwAIAAwAC4AMAAyACwAIAAwAC4AMAAzACwAIAAwAC4AMAA0ACwAIAAwAC4AMAAxADUALAAgADAALgAwADEANQAsACAAMAAsACAAMAAsACAAMAAuADAAMAA0ADcALAAgADIAMQA7AFwAbgAgACAAIAAgACAAIAAgACAAIAAgAFwAIgBUAGUAbQBwAGUAcgBhAHQAZQBcACIALAAgADIAMgAsACAAMAAuADcAOAAsACAAMAAuADEALAAgADAALgAzADEALAAgADAALgAwADAANQAsACAAMAAuADAAMQAsACAAMAAuADAAMgAsACAAMAAuADAAMwAsACAAMAAuADAANAAsACAAMAAuADAAMQA1ACwAIAAwAC4AMAAxADUALAAgADAALAAgADAALAAgADAALgAwADAANAA3ACwAIAAyADIAOwBcAG4AIAAgACAAIAAgACAAIAAgACAAIABcACIAVABlAG0AcABlAHIAYQB0AGUAXAAiACwAIAAyADMALAAgADAALgA3ADkALAAgADAALgAxACwAIAAwAC4AMwA0ACwAIAAwAC4AMAAwADUALAAgADAALgAwADEALAAgADAALgAwADIALAAgADAALgAwADMALAAgADAALgAwADQALAAgADAALgAwADEANQAsACAAMAAuADAAMQA1ACwAIAAwACwAIAAwACwAIAAwAC4AMAAwADQANwAsACAAMgAzADsAXABuACAAIAAgACAAIAAgACAAIAAgACAAXAAiAFQAZQBtAHAAZQByAGEAdABlAFwAIgAsACAAMgA0ACwAIAAwAC4ANwA5ACwAIAAwAC4AMQAsACAAMAAuADMANwAsACAAMAAuADAAMAA1ACwAIAAwAC4AMAAxACwAIAAwAC4AMAAyACwAIAAwAC4AMAAzACwAIAAwAC4AMAA0ACwAIAAwAC4AMAAxADUALAAgADAALgAwADEANQAsACAAMAAsACAAMAAsACAAMAAuADAAMAA0ADcALAAgADIANAA7AFwAbgAgACAAIAAgACAAIAAgACAAIAAgAFwAIgBUAGUAbQBwAGUAcgBhAHQAZQBcACIALAAgADIANQAsACAAMAAuADcAOQAsACAAMAAuADEALAAgADAALgA0ADEALAAgADAALgAwADAANQAsACAAMAAuADAAMQAsACAAMAAuADAAMgAsACAAMAAuADAAMwAsACAAMAAuADAANAAsACAAMAAuADAAMQA1ACwAIAAwAC4AMAAxADUALAAgADAALAAgADAALAAgADAALgAwADAANAA3ACwAIAAyADUAOwBcAG4AIAAgACAAIAAgACAAIAAgACAAIABcACIAVwBhAHIAbQBcACIALAAgADIANgAsACAAMAAuADcAOQAsACAAMAAuADEALAAgADAALgA0ADQALAAgADAALgAwADEALAAgADAALgAwADEANQAsACAAMAAuADAAMgAsACAAMAAuADAAMwAsACAAMAAuADAANAAsACAAMAAuADAAMQA1ACwAIAAwAC4AMAAxADUALAAgADAALAAgADAALAAgADAALgAwADAANAA3ACwAIAAyADYAOwBcAG4AIAAgACAAIAAgACAAIAAgACAAIABcACIAVwBhAHIAbQBcACIALAAgADIANwAsACAAMAAuADgALAAgADAALgAxACwAIAAwAC4ANAA4ACwAIAAwAC4AMAAxACwAIAAwAC4AMAAxADUALAAgADAALgAwADIALAAgADAALgAwADMALAAgADAALgAwADQALAAgADAALgAwADEANQAsACAAMAAuADAAMQA1ACwAIAAwACwAIAAwACwAIAAwAC4AMAAwADQANwAsACAAMgA3ADsAXABuACAAIAAgACAAIAAgACAAIAAgACAAXAAiAFcAYQByAG0AXAAiACwAIABcACIAZSIyADgAXAAiACwAIAAwAC4AOAAsACAAMAAuADEALAAgADAALgA1ACwAIAAwAC4AMAAxACwAIAAwAC4AMAAxADUALAAgADAALgAwADIALAAgADAALgAwADMALAAgADAALgAwADQALAAgADAALgAwADEANQAsACAAMAAuADAAMQA1ACwAIAAwACwAIAAwACwAIAAwAC4AMAAwADQANwAsACAAMgA4ADsAXABuACAAIAAgACAAIAAgACAAIAAgACAAXAAiAFwAIgAsACAAXAAiAFwAIgAsACAAXAAiAEEAbgBhAGUAcgBvAGIAaQBjACAAbABhAGcAbwBvAG4AXAAiACwAIABcACIARABpAGcAZQBzAHQAZQByACAALwAgAGMAbwB2AGUAcgBlAGQAIABsAGEAZwBvAG8AbgBzAFwAIgAsACAAXAAiAEwAaQBxAHUAaQBkACAAcwB5AHMAdABlAG0AcwBcACIALAAgAFwAIgBEAGEAaQBsAHkAIABzAHAAcgBlAGEAZABcACIALAAgAFwAIgBDAG8AbQBwAG8AcwB0AGkAbgBnACAAKABwAGEAcwBzAGkAdgBlACAAdwBpAG4AZAByAG8AdwApAFwAIgAsACAAXAAiAFMAbwBsAGkAZAAgAHMAdABvAHIAYQBnAGUAXAAiACwAIABcACIAUABpAHQAIABzAHQAbwByAGEAZwBlAFwAIgAsACAAXAAiAEQAZQBlAHAAIABsAGkAdAB0AGUAcgBcACIALAAgAFwAIgBQAG8AdQBsAHQAcgB5ACAAbQBhAG4AdQByAGUAIAB3AGkAdABoACAAYgBlAGQAZABpAG4AZwBcACIALAAgAFwAIgBQAG8AdQBsAHQAcgB5ACAAbQBhAG4AdQByAGUAIAB3AGkAdABoAG8AdQB0ACAAYgBlAGQAZABpAG4AZwBcACIALAAgAFwAIgBEAGkAcgBlAGMAdAAgAHAAcgBvAGMAZQBzAHMAaQBuAGcAXAAiACwAIABcACIARABpAHIAZQBjAHQAIABhAHAAcABsAGkAYwBhAHQAaQBvAG4AXAAiACwAIABcACIAUABhAHMAdAB1AHIAZQAgAHIAYQBuAGcAZQAgAGEAbgBkACAAcABhAGQAZABvAGMAawBcACIALAAgAFwAIgBNAEEAVAAgAHIAYQB3AFwAIgAgAFwAbgAgACAAIAAgACAAIAAgACAAfQAsACAAcgAsACAAYwApAFwAbgAgACAAIAAgACAAIAApAFwAbgAgACAAIAAgACkAXABuACAAIAApADsAXABuAFwAbgBDAG8AbQBtAG8AbgBfAFMAbwB1AHIAYwBlAEQAYQB0AGEAXwBNAEMARgBUAGUAbQBwAGUAcgBhAHQAdQByAGUAWgBvAG4AZQBfAFYAYQByAGkAYQB0AGkAbwBuAFwAbgAgACAAPQBMAEEATQBCAEQAQQAoAFwAIgBWAEEAUgBJAEEAVABJAE8ATgAgAEYAUgBPAE0AIABTAE8AVQBSAEMARQA6ACAAQQBkAGQAZQBkACAAcgBvAHcAIABvAGYAIABOAEkAUgAgAE0ATQBBACAAZABlAGYAaQBuAGkAdABpAG8AbgBzACAAdABvACAAYQBpAGQAIABsAG8AbwBrAHUAcAAuACAARAB1AHAAbABpAGMAYQB0AGUAZAAgAFwAdQAwADAAMgA3AFAAbwB1AGwAdAByAHkAIAB3AGkAdABoACAAYQBuAGQAIAB3AGkAdABoAG8AdQB0ACAAbABpAHQAdABlAHIAXAB1ADAAMAAyADcAIABjAG8AbAB1AG0AbgAgAHcAaQB0AGgAIABzAGUAcABhAHIAYQB0AGUAIABOAEkAUgAgAGQAZQBmAGkAbgBpAHQAaQBvAG4AcwAgAHQAbwAgAGEAaQBkACAAbABvAG8AawB1AHAALgAgAEEAZABkAGUAZAAgAFwAdQAwADAAMgA3AE0AQQBUACAAcgBhAHcAXAB1ADAAMAAyADcAIABjAG8AbAB1AG0AbgAgAHQAbwAgAGEAbABsAG8AdwAgAGwAbwBvAGsAdQBwACAAbwBmACAAbgB1AG0AYgBlAHIAcwAuAFwAIgApADsAXABuAFwAbgBcAG4AXABuAC8AKgAgAFwAbgAtAC0ALQAtAC0ALQAtAC0ALQAtAC0ALQAtAC0ALQAtAC0ALQAtAC0ALQAtAC0ALQAtAC0ALQAtAC0ALQAtAC0ALQAtAC0ALQAtAC0AXABuAEMAbwBtAG0AbwBuAF8AUwBvAHUAcgBjAGUARABhAHQAYQBfAEUARgBPAHIAZwBhAG4AaQBjAEYAZQByAHQAaQBsAGkAcwBlAHIAQQBuAGQAQwByAG8AcABSAGUAcwBpAGQAdQBlAHMAXABuAC0ALQAtAC0ALQAtAC0ALQAtAC0ALQAtAC0ALQAtAC0ALQAtAC0ALQAtAC0ALQAtAC0ALQAtAC0ALQAtAC0ALQAtAC0ALQAtAC0ALQBcAG4AKgAvAFwAbgBcAG4AQwBvAG0AbQBvAG4AXwBTAG8AdQByAGMAZQBEAGEAdABhAF8ARQBGAE8AcgBnAGEAbgBpAGMARgBlAHIAdABpAGwAaQBzAGUAcgBBAG4AZABDAHIAbwBwAFIAZQBzAGkAZAB1AGUAcwBfAFQAaQB0AGwAZQBcAG4AIAAgAD0ATABBAE0AQgBEAEEAKABcACIARQBtAGkAcwBzAGkAbwBuACAAZgBhAGMAdABvAHIAIABmAG8AcgAgAG8AcgBnAGEAbgBpAGMAIABmAGUAcgB0AGkAbABpAHMAZQByACAAYQBuAGQAIABjAHIAbwBwACAAcgBlAHMAaQBkAHUAZQBzACAAcgBlAHQAdQByAG4AZQBkACAAdABvACAAdABoAGUAIABzAG8AaQBsAFwAIgApADsAXABuAFwAbgBDAG8AbQBtAG8AbgBfAFMAbwB1AHIAYwBlAEQAYQB0AGEAXwBFAEYATwByAGcAYQBuAGkAYwBGAGUAcgB0AGkAbABpAHMAZQByAEEAbgBkAEMAcgBvAHAAUgBlAHMAaQBkAHUAZQBzAF8AVgBhAHIAaQBhAGIAbABlAFwAbgAgACAAPQBMAEEATQBCAEQAQQAoAFwAIgBFAEYATgBpACAAXAB1ADAAMAAyADYAIABFAEYATgAyAE8AaQBcACIAKQA7AFwAbgBcAG4AQwBvAG0AbQBvAG4AXwBTAG8AdQByAGMAZQBEAGEAdABhAF8ARQBGAE8AcgBnAGEAbgBpAGMARgBlAHIAdABpAGwAaQBzAGUAcgBBAG4AZABDAHIAbwBwAFIAZQBzAGkAZAB1AGUAcwBfAFUAbgBpAHQAXABuACAAIAA9AEwAQQBNAEIARABBACgAXAAiAGsAZwAgAE4AMgBPACAALQAgAE4AIAAvACAAawBnACAATgBcACIAKQA7AFwAbgBcAG4AQwBvAG0AbQBvAG4AXwBTAG8AdQByAGMAZQBEAGEAdABhAF8ARQBGAE8AcgBnAGEAbgBpAGMARgBlAHIAdABpAGwAaQBzAGUAcgBBAG4AZABDAHIAbwBwAFIAZQBzAGkAZAB1AGUAcwBfAFMAbwB1AHIAYwBlAFwAbgAgACAAPQBMAEEATQBCAEQAQQAoAFwAIgBWAEUARQBSAEcAIAAyADAAMgA2ADoAIABUAGEAYgBsAGUAIABBAC4AMgAuADEALgA0AFwAIgApADsAXABuAFwAbgBDAG8AbQBtAG8AbgBfAFMAbwB1AHIAYwBlAEQAYQB0AGEAXwBFAEYATwByAGcAYQBuAGkAYwBGAGUAcgB0AGkAbABpAHMAZQByAEEAbgBkAEMAcgBvAHAAUgBlAHMAaQBkAHUAZQBzAF8ATgBJAFIAUgBlAGYAZQByAGUAbgBjAGUAXABuACAAIAA9AEwAQQBNAEIARABBACgAXAAiAFwAIgApADsAXABuAFwAbgBDAG8AbQBtAG8AbgBfAFMAbwB1AHIAYwBlAEQAYQB0AGEAXwBFAEYATwByAGcAYQBuAGkAYwBGAGUAcgB0AGkAbABpAHMAZQByAEEAbgBkAEMAcgBvAHAAUgBlAHMAaQBkAHUAZQBzAF8ARABhAHQAYQBcAG4AIAAgAD0ATABBAE0AQgBEAEEAKABcAG4AIAAgACAAIABNAEEASwBFAEEAUgBSAEEAWQAoADMALAAgADIALAAgAFwAbgAgACAAIAAgACAAIABMAEEATQBCAEQAQQAoAHIALABjACwAIABcAG4AIAAgACAAIAAgACAAIAAgAEkATgBEAEUAWAAoAHsAXABuACAAIAAgACAAIAAgACAAIAAgACAAXAAiAEMAbABpAG0AYQB0AGUAIAB6AG8AbgBlAFwAIgAsACAAXAAiAEUARgBOAGkAIABcAHUAMAAwADIANgAgAEUARgBOADIATwBcACIAOwBcAG4AIAAgACAAIAAgACAAIAAgACAAIABcACIAVwBlAHQAIABjAGwAaQBtAGEAdABlACAAegBvAG4AZQBcACIALAAgADAALgAwADAANgA7AFwAbgAgACAAIAAgACAAIAAgACAAIAAgAFwAIgBEAHIAeQAgAGMAbABpAG0AYQB0AGUAIAB6AG8AbgBlAFwAIgAsACAAMAAuADAAMAA1AFwAbgAgACAAIAAgACAAIAAgACAAfQAsACAAcgAsACAAYwApAFwAbgAgACAAIAAgACAAIAApAFwAbgAgACAAIAAgACkAXABuACAAIAApADsAXABuAFwAbgBDAG8AbQBtAG8AbgBfAFMAbwB1AHIAYwBlAEQAYQB0AGEAXwBFAEYATwByAGcAYQBuAGkAYwBGAGUAcgB0AGkAbABpAHMAZQByAEEAbgBkAEMAcgBvAHAAUgBlAHMAaQBkAHUAZQBzAF8AVgBhAHIAaQBhAHQAaQBvAG4AXABuACAAIAA9AEwAQQBNAEIARABBACgAXAAiAFwAIgApADsAXABuAFwAbgBcAG4AXABuAFwAbgBcAG4AXABuAFwAbgBcAG4AXABuAFwAbgBcAG4AXABuAFwAbgBcAG4AXABuAFwAbgAiAH0ALAB7ACIAcABhAHQAaAAiADoAIgAvAHAAcgBvAGoAZQBjAHQAcwAvAEMAbwBtAG0AbwBuAF8ARQBxAHUAYQB0AGkAbwBuAHMAIgAsACIAdABlAHgAdAAiADoAIgBcAG4ALwAqACAAXABuAC0ALQAtAC0ALQAtAC0ALQAtAC0ALQAtAC0ALQAtAC0ALQAtAC0ALQAtAC0ALQAtAC0ALQAtAC0ALQAtAC0ALQAtAC0ALQAtAC0ALQBcAG4AQwBvAG0AbQBvAG4AXwBDAG8AbgB2AGUAcgB0AE4AMgBPAFQAbwBDAE8AMgBlAFwAbgBDAG8AbgB2AGUAcgB0ACAAbgBpAHQAcgBvAHUAcwAgAG8AeABpAGQAZQAgAGUAbQBpAHMAcwBpAG8AbgBzACAAdABvACAAYwBhAHIAYgBvAG4AIABkAGkAbwB4AGkAZABlACAAZQBxAHUAaQB2AGEAbABlAG4AdAAgAGUAbQBpAHMAcwBpAG8AbgBzAFwAbgBFAE4AMgBPACAAQwBPADIAZQBcAG4AdAAgAEMATwAyAGUAXABuAEUATgAyAE8AOgAgAG4AaQB0AHIAbwB1AHMAIABvAHgAaQBkAGUAIABlAG0AaQBzAHMAaQBvAG4AcwAgACgAdAAgAE4AMgBPACkAXABuAEcAVwBQAE4AMgBPADoAIABnAGwAbwBiAGEAbAAgAHcAYQByAG0AaQBuAGcAIABwAG8AdABlAG4AdABpAGEAbAAgAGYAbwByACAAbgBpAHQAcgBvAHUAcwAgAG8AeABpAGQAZQAgACgAdAAgAEMATwAyAC0AZQAgAC8AIAB0ACAATgAyAE8AKQBcAG4ALQAtAC0ALQAtAC0ALQAtAC0ALQAtAC0ALQAtAC0ALQAtAC0ALQAtAC0ALQAtAC0ALQAtAC0ALQAtAC0ALQAtAC0ALQAtAC0ALQAtAFwAbgAqAC8AXABuAFwAbgBcAG4AQwBvAG0AbQBvAG4AXwBDAG8AbgB2AGUAcgB0AE4AMgBPAFQAbwBDAE8AMgBlAFwAbgAgACAAPQBMAEEATQBCAEQAQQAoAFwAbgAgACAAIAAgAEUAXwBOADIATwAsACAARwBXAFAAXwBOADIATwAsAFwAbgAgACAAIAAgAEUAXwBOADIATwAgACoAIABHAFcAUABfAE4AMgBPAFwAbgAgACAAKQBcAG4AOwBcAG4AXABuAEMAbwBtAG0AbwBuAF8AQwBvAG4AdgBlAHIAdABOADIATwBUAG8AQwBPADIAZQBfAFQAaQB0AGwAZQBcAG4AIAAgAD0ATABBAE0AQgBEAEEAKABcACIAQwBvAG4AdgBlAHIAdAAgAG4AaQB0AHIAbwB1AHMAIABvAHgAaQBkAGUAIABlAG0AaQBzAHMAaQBvAG4AcwAgAHQAbwAgAGMAYQByAGIAbwBuACAAZABpAG8AeABpAGQAZQAgAGUAcQB1AGkAdgBhAGwAZQBuAHQAIABlAG0AaQBzAHMAaQBvAG4AcwBcACIAKQA7AFwAbgBcAG4AQwBvAG0AbQBvAG4AXwBDAG8AbgB2AGUAcgB0AE4AMgBPAFQAbwBDAE8AMgBlAF8AVgBhAHIAaQBhAGIAbABlAFwAbgAgACAAPQBMAEEATQBCAEQAQQAoAFwAIgBFAE4AMgBPACAAQwBPADIAZQBcACIAKQA7AFwAbgBcAG4AQwBvAG0AbQBvAG4AXwBDAG8AbgB2AGUAcgB0AE4AMgBPAFQAbwBDAE8AMgBlAF8AVQBuAGkAdABcAG4AIAAgAD0ATABBAE0AQgBEAEEAKABcACIAdAAgAEMATwAyAGUAXAAiACkAOwBcAG4AXABuAEMAbwBtAG0AbwBuAF8AQwBvAG4AdgBlAHIAdABOADIATwBUAG8AQwBPADIAZQBfAE4ASQBSAFIAZQBmAGUAcgBlAG4AYwBlAFwAbgAgACAAPQBMAEEATQBCAEQAQQAoAFwAIgBcACIAKQA7AFwAbgBcAG4AQwBvAG0AbQBvAG4AXwBDAG8AbgB2AGUAcgB0AE4AMgBPAFQAbwBDAE8AMgBlAF8ATABhAHQAZQB4AEUAcQB1AGEAdABpAG8AbgBcAG4AIAAgAD0ATABBAE0AQgBEAEEAKABcACIAQwBPADIAXwBlACAAPQAgAEUAXwB7AE4AMgBPAH0AIABcAFwAdABpAG0AZQBzACAARwBXAFAAXwB7AE4AMgBPAH0AXAAiACkAOwBcAG4AXABuAEMAbwBtAG0AbwBuAF8AQwBvAG4AdgBlAHIAdABOADIATwBUAG8AQwBPADIAZQBfAEEAcgBnAHUAbQBlAG4AdABzAFwAbgAgACAAPQBMAEEATQBCAEQAQQAoAFwAbgAgACAAIAAgAE0AQQBLAEUAQQBSAFIAQQBZACgAMgAsACAAMgAsACAAXABuACAAIAAgACAAIAAgAEwAQQBNAEIARABBACgAcgAsAGMALAAgAFwAbgAgACAAIAAgACAAIAAgACAASQBOAEQARQBYACgAewBcAG4AIAAgACAAIAAgACAAIAAgACAAIABcACIARQBOADIATwBcACIALABcACIATgBpAHQAcgBvAHUAcwAgAG8AeABpAGQAZQAgAGUAbQBpAHMAcwBpAG8AbgBzACAAKAB0ACAATgAyAE8AKQBcACIAOwBcAG4AIAAgACAAIAAgACAAIAAgACAAIABcACIARwBXAFAATgAyAE8AXAAiACwAXAAiAEcAbABvAGIAYQBsACAAdwBhAHIAbQBpAG4AZwAgAHAAbwB0AGUAbgB0AGkAYQBsACAAZgBvAHIAIABuAGkAdAByAG8AdQBzACAAbwB4AGkAZABlACAAKAB0ACAAQwBPADIALQBlACAALwAgAHQAIABOADIATwApAFwAIgBcAG4AIAAgACAAIAAgACAAIAAgAH0ALAAgAHIALAAgAGMAKQBcAG4AIAAgACAAIAAgACAAKQBcAG4AIAAgACAAIAApAFwAbgAgACAAKQA7AFwAbgBcAG4ALwAqACAAXABuAC0ALQAtAC0ALQAtAC0ALQAtAC0ALQAtAC0ALQAtAC0ALQAtAC0ALQAtAC0ALQAtAC0ALQAtAC0ALQAtAC0ALQAtAC0ALQAtAC0ALQBcAG4AQwBvAG0AbQBvAG4AXwBDAG8AbgB2AGUAcgB0AEMASAA0AFQAbwBDAE8AMgBlAFwAbgBDAG8AbgB2AGUAcgB0ACAAbQBlAHQAaABhAG4AZQAgAGUAbQBpAHMAcwBpAG8AbgBzACAAdABvACAAYwBhAHIAYgBvAG4AIABkAGkAbwB4AGkAZABlACAAZQBxAHUAaQB2AGEAbABlAG4AdAAgAGUAbQBpAHMAcwBpAG8AbgBzAFwAbgBFAEMASAA0ACAAQwBPADIAZQBcAG4AdAAgAEMATwAyAGUAXABuAEUAQwBIADQAOgAgAG0AZQB0AGgAYQBuAGUAIABlAG0AaQBzAHMAaQBvAG4AcwAgACgAdAAgAEMASAA0ACkAXABuAEcAVwBQAEMASAA0ADoAIABnAGwAbwBiAGEAbAAgAHcAYQByAG0AaQBuAGcAIABwAG8AdABlAG4AdABpAGEAbAAgAGYAbwByACAAbQBlAHQAaABhAG4AZQAgACgAdAAgAEMATwAyAC0AZQAgAC8AIAB0ACAAQwBIADQAKQBcAG4ALQAtAC0ALQAtAC0ALQAtAC0ALQAtAC0ALQAtAC0ALQAtAC0ALQAtAC0ALQAtAC0ALQAtAC0ALQAtAC0ALQAtAC0ALQAtAC0ALQAtAFwAbgAqAC8AXABuAFwAbgBcAG4AQwBvAG0AbQBvAG4AXwBDAG8AbgB2AGUAcgB0AEMASAA0AFQAbwBDAE8AMgBlAFwAbgAgACAAPQBMAEEATQBCAEQAQQAoAFwAbgAgACAAIAAgAEUAXwBDAEgANAAsACAARwBXAFAAXwBDAEgANAAsAFwAbgAgACAAIAAgAEUAXwBDAEgANAAgACoAIABHAFcAUABfAEMASAA0AFwAbgAgACAAKQBcAG4AOwBcAG4AXABuAEMAbwBtAG0AbwBuAF8AQwBvAG4AdgBlAHIAdABDAEgANABUAG8AQwBPADIAZQBfAFQAaQB0AGwAZQBcAG4AIAAgAD0ATABBAE0AQgBEAEEAKABcACIAQwBvAG4AdgBlAHIAdAAgAG0AZQB0AGgAYQBuAGUAIABlAG0AaQBzAHMAaQBvAG4AcwAgAHQAbwAgAGMAYQByAGIAbwBuACAAZABpAG8AeABpAGQAZQAgAGUAcQB1AGkAdgBhAGwAZQBuAHQAIABlAG0AaQBzAHMAaQBvAG4AcwBcACIAKQA7AFwAbgBcAG4AQwBvAG0AbQBvAG4AXwBDAG8AbgB2AGUAcgB0AEMASAA0AFQAbwBDAE8AMgBlAF8AVgBhAHIAaQBhAGIAbABlAFwAbgAgACAAPQBMAEEATQBCAEQAQQAoAFwAIgBFAEMASAA0ACAAQwBPADIAZQBcACIAKQA7AFwAbgBcAG4AQwBvAG0AbQBvAG4AXwBDAG8AbgB2AGUAcgB0AEMASAA0AFQAbwBDAE8AMgBlAF8AVQBuAGkAdABcAG4AIAAgAD0ATABBAE0AQgBEAEEAKABcACIAdAAgAEMATwAyAGUAXAAiACkAOwBcAG4AXABuAEMAbwBtAG0AbwBuAF8AQwBvAG4AdgBlAHIAdABDAEgANABUAG8AQwBPADIAZQBfAE4ASQBSAFIAZQBmAGUAcgBlAG4AYwBlAFwAbgAgACAAPQBMAEEATQBCAEQAQQAoAFwAIgBcACIAKQA7AFwAbgBcAG4AQwBvAG0AbQBvAG4AXwBDAG8AbgB2AGUAcgB0AEMASAA0AFQAbwBDAE8AMgBlAF8ATABhAHQAZQB4AEUAcQB1AGEAdABpAG8AbgBcAG4AIAAgAD0ATABBAE0AQgBEAEEAKABcACIAQwBPADIAXwBlACAAPQAgAEUAXwB7AEMASAA0AH0AIABcAFwAdABpAG0AZQBzACAARwBXAFAAXwB7AEMASAA0AH0AXAAiACkAOwBcAG4AXABuAEMAbwBtAG0AbwBuAF8AQwBvAG4AdgBlAHIAdABDAEgANABUAG8AQwBPADIAZQBfAEEAcgBnAHUAbQBlAG4AdABzAFwAbgAgACAAPQBMAEEATQBCAEQAQQAoAFwAbgAgACAAIAAgAE0AQQBLAEUAQQBSAFIAQQBZACgAMgAsACAAMgAsACAAXABuACAAIAAgACAAIAAgAEwAQQBNAEIARABBACgAcgAsAGMALAAgAFwAbgAgACAAIAAgACAAIAAgACAASQBOAEQARQBYACgAewBcAG4AIAAgACAAIAAgACAAIAAgACAAIABcACIARQBDAEgANABcACIALABcACIATQBlAHQAaABhAG4AZQAgAGUAbQBpAHMAcwBpAG8AbgBzACAAKAB0ACAAQwBIADQAKQBcACIAOwBcAG4AIAAgACAAIAAgACAAIAAgACAAIABcACIARwBXAFAAQwBIADQAXAAiACwAXAAiAEcAbABvAGIAYQBsACAAdwBhAHIAbQBpAG4AZwAgAHAAbwB0AGUAbgB0AGkAYQBsACAAZgBvAHIAIABtAGUAdABoAGEAbgBlACAAKAB0ACAAQwBPADIALQBlACAALwAgAHQAIABDAEgANAApAFwAIgBcAG4AIAAgACAAIAAgACAAIAAgAH0ALAAgAHIALAAgAGMAKQBcAG4AIAAgACAAIAAgACAAKQBcAG4AIAAgACAAIAApAFwAbgAgACAAKQA7ACIAfQAsAHsAIgBwAGEAdABoACIAOgAiAC8AcAByAG8AagBlAGMAdABzAC8AQwBvAG0AbQBvAG4ATABpAHYAZQBzAHQAbwBjAGsAXwBTAG8AdQByAGMAZQBEAGEAdABhACIALAAiAHQAZQB4AHQAIgA6ACIALwAqAFwAbgA9AD0APQA9AD0APQA9AD0APQA9AD0APQA9AD0APQA9AD0APQA9AD0APQA9AD0APQA9AD0APQA9AD0APQA9AD0APQA9AD0APQA9AD0APQA9AD0APQA9AD0APQA9AD0APQA9AD0APQA9AD0APQA9AD0APQA9AD0APQA9AD0APQA9AD0APQA9AD0APQA9AD0APQA9AD0APQA9AFwAbgA9AD0APQA9AD0APQA9AD0APQA9AD0APQA9AD0APQA9AD0APQA9AD0APQA9AD0APQA9AD0APQA9AD0APQA9AD0APQA9AD0APQA9AD0APQA9AD0APQA9AD0APQA9AD0APQA9AD0APQA9AD0APQA9AD0APQA9AD0APQA9AD0APQA9AD0APQA9AD0APQA9AD0APQA9AD0APQA9AFwAbgBTAG8AdQByAGMAZQAgAGQAYQB0AGEAIAB0AGgAYQB0ACAAaQBzACAAYwBvAG0AbQBvAG4AIABhAGMAcgBvAHMAcwAgAGEAbABsACAAbABpAHYAZQBzAHQAbwBjAGsAIAB0AHkAcABlAHMAXABuAEUAeABjAGUAbAAgAG0AbwBkAHUAbABlACAAbgBhAG0AZQA6ACAAUwBvAHUAcgBjAGUARABhAHQAYQBfAEwAaQB2AGUAcwB0AG8AYwBrAF8AQwBvAG0AbQBvAG4AXABuAD0APQA9AD0APQA9AD0APQA9AD0APQA9AD0APQA9AD0APQA9AD0APQA9AD0APQA9AD0APQA9AD0APQA9AD0APQA9AD0APQA9AD0APQA9AD0APQA9AD0APQA9AD0APQA9AD0APQA9AD0APQA9AD0APQA9AD0APQA9AD0APQA9AD0APQA9AD0APQA9AD0APQA9AD0APQA9AD0AXABuAD0APQA9AD0APQA9AD0APQA9AD0APQA9AD0APQA9AD0APQA9AD0APQA9AD0APQA9AD0APQA9AD0APQA9AD0APQA9AD0APQA9AD0APQA9AD0APQA9AD0APQA9AD0APQA9AD0APQA9AD0APQA9AD0APQA9AD0APQA9AD0APQA9AD0APQA9AD0APQA9AD0APQA9AD0APQA9AD0AXABuACoALwBcAG4AXABuAC8AKgBcAG4APQA9AD0APQA9AD0APQA9AD0APQA9AD0APQA9AD0APQA9AD0APQA9AD0APQA9AD0APQA9AD0APQA9AD0APQA9AD0APQA9AD0APQA9AFwAbgA9AD0APQA9AD0APQA9AD0APQA9AD0APQA9AD0APQA9AD0APQA9AD0APQA9AD0APQA9AD0APQA9AD0APQA9AD0APQA9AD0APQA9AD0AXABuAFMAbwB1AHIAYwBlADoAIABOAGEAdABpAG8AbgBhAGwAIABJAG4AdgBlAG4AdABvAHIAeQAgAFIAZQBwAG8AcgB0ACAAMgAwADIAMwAgAFYAbwBsAHUAbQBlACAAMQBcAG4ATgBJAFIAXwAyADAAMgAzAF8AVgBvAGwAMQBcAG4APQA9AD0APQA9AD0APQA9AD0APQA9AD0APQA9AD0APQA9AD0APQA9AD0APQA9AD0APQA9AD0APQA9AD0APQA9AD0APQA9AD0APQA9AFwAbgA9AD0APQA9AD0APQA9AD0APQA9AD0APQA9AD0APQA9AD0APQA9AD0APQA9AD0APQA9AD0APQA9AD0APQA9AD0APQA9AD0APQA9AD0AXABuACoALwBcAG4AXABuAC8AKgAgAFwAbgAtAC0ALQAtAC0ALQAtAC0ALQAtAC0ALQAtAC0ALQAtAC0ALQAtAC0ALQAtAC0ALQAtAC0ALQAtAC0ALQAtAC0ALQAtAC0ALQAtAC0AXABuAFMAbwB1AHIAYwBlAEQAYQB0AGEAXwBMAGkAdgBlAHMAdABvAGMAawBfAEMAbwBtAG0AbwBuAF8ARgByAGEAYwBXAEUAVABNAE0AUwBcAG4ARgByAGEAYwBXAEUAVABNAE0AUwBpACAAPQAgAEYAcgBhAGMAdABpAG8AbgAgAG8AZgAgAE4AIABhAHYAYQBpAGwAYQBiAGwAZQAgAGYAbwByACAAbABlAGEAYwBoAGkAbgBnACAAYQBuAGQAIAByAHUAbgBvAGYAZgBcAG4AKABUAGEAYgBsAGUAIABBADUALgA1AC4AMQAwAC4AMgAgAGkAcwAgAHIAZQBmAGUAcgBlAG4AYwBlAGQAIABpAG4AIABOAEkAUgAgAGIAdQB0ACAAMQAgAGkAcwAgAHUAcwBlAGQAKQBcAG4ALQAtAC0ALQAtAC0ALQAtAC0ALQAtAC0ALQAtAC0ALQAtAC0ALQAtAC0ALQAtAC0ALQAtAC0ALQAtAC0ALQAtAC0ALQAtAC0ALQAtAFwAbgAqAC8AXABuAFwAbgBTAG8AdQByAGMAZQBEAGEAdABhAF8ATABpAHYAZQBzAHQAbwBjAGsAXwBDAG8AbQBtAG8AbgBfAEYAcgBhAGMAVwBFAFQATQBNAFMAXwBUAGkAdABsAGUAXABuACAAIAA9AEwAQQBNAEIARABBACgAXAAiAEYAcgBhAGMAdABpAG8AbgAgAG8AZgAgAE4AIABhAHYAYQBpAGwAYQBiAGwAZQAgAGYAbwByACAAbABlAGEAYwBoAGkAbgBnACAAYQBuAGQAIAByAHUAbgBvAGYAZgBcACIAKQA7AFwAbgBcAG4AUwBvAHUAcgBjAGUARABhAHQAYQBfAEwAaQB2AGUAcwB0AG8AYwBrAF8AQwBvAG0AbQBvAG4AXwBGAHIAYQBjAFcARQBUAE0ATQBTAF8AVQBuAGkAdABcAG4AIAAgAD0ATABBAE0AQgBEAEEAKABcACIARgByAGEAYwB0AGkAbwBuAFwAIgApADsAXABuAFwAbgBTAG8AdQByAGMAZQBEAGEAdABhAF8ATABpAHYAZQBzAHQAbwBjAGsAXwBDAG8AbQBtAG8AbgBfAEYAcgBhAGMAVwBFAFQATQ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FcARQBUAE0ATQBTAF8ARABhAHQAYQBcAG4AIAAgAD0ATABBAE0AQgBEAEEAKAAxACkAOwBcAG4AXABuAC8AKgAgAFwAbgAtAC0ALQAtAC0ALQAtAC0ALQAtAC0ALQAtAC0ALQAtAC0ALQAtAC0ALQAtAC0ALQAtAC0ALQAtAC0ALQAtAC0ALQAtAC0ALQAtAC0AXABuAFMAbwB1AHIAYwBlAEQAYQB0AGEAXwBMAGkAdgBlAHMAdABvAGMAawBfAEMAbwBtAG0AbwBuAF8ARgByAGEAYwBMAEUAQQBDAEgAXwBNAFMAXABuAEYAcgBhAGMATABFAEEAQwBIAF8ATQBTACAAPQAgADAALgAwADIAIAAoAEcAZwAgAE4ALwBHAGcAIABhAHAAcABsAGkAZQBkACkAIAAoAEMAUwAgAEUARgAsACAAcwBvAHUAcgBjAGUAIABJAFAAQwBDACAAKAAyADAAMQA5ACkAKQAgAFwAbgBmAHIAYQBjAHQAaQBvAG4AIABvAGYAIABOACAAbABvAHMAdAAgAHQAaAByAG8AdQBnAGgAIABsAGUAYQBjAGgAaQBuAGcAIABhAG4AZAAgAHIAdQBuAG8AZgBmAFwAbgAtAC0ALQAtAC0ALQAtAC0ALQAtAC0ALQAtAC0ALQAtAC0ALQAtAC0ALQAtAC0ALQAtAC0ALQAtAC0ALQAtAC0ALQAtAC0ALQAtAC0AXABuACoALwBcAG4AXABuAFMAbwB1AHIAYwBlAEQAYQB0AGEAXwBMAGkAdgBlAHMAdABvAGMAawBfAEMAbwBtAG0AbwBuAF8ARgByAGEAYwBMAEUAQQBDAEgAXwBNAFMAXwBUAGkAdABsAGUAXABuACAAIAA9AEwAQQBNAEIARABBACgAXAAiAEYAcgBhAGMAdABpAG8AbgAgAG8AZgAgAE4AIABsAG8AcwB0ACAAdABoAHIAbwB1AGcAaAAgAGwAZQBhAGMAaABpAG4AZwAgAGEAbgBkACAAcgB1AG4AbwBmAGYAXAAiACkAOwBcAG4AXABuAFMAbwB1AHIAYwBlAEQAYQB0AGEAXwBMAGkAdgBlAHMAdABvAGMAawBfAEMAbwBtAG0AbwBuAF8ARgByAGEAYwBMAEUAQQBDAEgAXwBNAFMAXwBVAG4AaQB0AFwAbgAgACAAPQBMAEEATQBCAEQAQQAoAFwAIgBGAHIAYQBjAHQAaQBvAG4AXAAiACkAOwBcAG4AXABuAFMAbwB1AHIAYwBlAEQAYQB0AGEAXwBMAGkAdgBlAHMAdABvAGMAawBfAEMAbwBtAG0AbwBuAF8ARgByAGEAYwBMAEUAQQBDAEgAXwBNAFMAXwBTAG8AdQByAGMAZQBcAG4AIAAgAD0ATABBAE0AQgBEAEEAKABcACIATgBhAHQAaQBvAG4AYQBsACAASQBuAHYAZQBuAHQAbwByAHkAIABSAGUAcABvAHIAdAAgADIAMAAyADMAIABWAG8AbAB1AG0AZQAgADEAOgAgAEUAcQB1AGEAdABpAG8AbgBzACAAMwAuAEIALgA1AGEAXwAzACwAIAAzAC4AQgAuADUAYwBfADMALAAgADMALgBCAC4ANQBkAF8AMwBcACIAKQA7AFwAbgBcAG4AUwBvAHUAcgBjAGUARABhAHQAYQBfAEwAaQB2AGUAcwB0AG8AYwBrAF8AQwBvAG0AbQBvAG4AXwBGAHIAYQBjAEwARQBBAEMASABfAE0AUwBfAEQAYQB0AGEAXABuACAAIAA9AEwAQQBNAEIARABBACgAXABuACAAIAAgACAATQBBAEsARQBBAFIAUgBBAFkAKAA4ACwAIAAyACwAIABcAG4AIAAgACAAIAAgACAATABBAE0AQgBEAEEAKAByACwAYwAsACAAXABuACAAIAAgACAAIAAgACAAIABJAE4ARABFAFgAKAB7AFwAbgAgACAAIAAgACAAIAAgACAAIAAgAFwAIgBQAHIAbwBkAHUAYwB0AGkAbwBuACAAcwB5AHMAdABlAG0AXAAiACwAIABcACIARQBtAGkAcwBzAGkAbwBuACAAZgBhAGMAdABvAHIAXAAiADsAXABuACAAIAAgACAAIAAgACAAIAAgACAAIAAgAFwAIgBJAHIAcgBpAGcAYQB0AGUAZAAgAHAAYQBzAHQAdQByAGUAXAAiACwAIAAwAC4AMAAwADUAOQA7AFwAbgAgACAAIAAgACAAIAAgACAAIAAgACAAIABcACIASQByAHIAaQBnAGEAdABlAGQAIABjAHIAbwBwAFwAIgAsACAAMAAuADAAMAA3ADsAXABuACAAIAAgACAAIAAgACAAIAAgACAAIAAgAFwAIgBOAG8AbgAtAGkAcgByAGkAZwBhAHQAZQBkACAAcABhAHMAdAB1AHIAZQBcACIALAAgADAALgAwADAAMQA4ADsAXABuACAAIAAgACAAIAAgACAAIAAgACAAIAAgAFwAIgBOAG8AbgAtAGkAcgByAGkAZwBhAHQAZQBkACAAYwByAG8AcABcACIALAAgADAALgAwADAANAAxADsAXABuACAAIAAgACAAIAAgACAAIAAgACAAIAAgAFwAIgBTAHUAZwBhAHIAIABjAGEAbgBlAFwAIgAsACAAMAAuADAAMQA5ADkAOwBcAG4AIAAgACAAIAAgACAAIAAgACAAIAAgACAAXAAiAEMAbwB0AHQAbwBuAFwAIgAsACAAMAAuADAAMAA1ADMAOwBcAG4AIAAgACAAIAAgACAAIAAgACAAIAAgACAAXAAiAEgAbwByAHQAaQBjAHUAbAB0AHUAcgBlAFwAIgAsACAAMAAuADAAMAA2ADQ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DAG8AbQBtAG8AbgBfAFMAeQBtAGIAbwBsAHMATQBNAFMAXABuAFQAYQBiAGwAZQAgADUALgAxADIAIABBAGQAZABpAHQAaQBvAG4AYQBsACAAcwB5AG0AYgBvAGwAcwAgAHUAcwBlAGQAIABpAG4AIABhAGwAZwBvAHIAaQB0AGgAbQBzACAAZgBvAHIAIABtAGEAbgB1AHIAZQAgAHIAZQBsAGEAdABlAGQAIABlAG0AaQBzAHMAaQBvAG4AcwBcAG4ALQAtAC0ALQAtAC0ALQAtAC0ALQAtAC0ALQAtAC0ALQAtAC0ALQAtAC0ALQAtAC0ALQAtAC0ALQAtAC0ALQAtAC0ALQAtAC0ALQAtAFwAbgAqAC8AXABuAFwAbgBTAG8AdQByAGMAZQBEAGEAdABhAF8ATABpAHYAZQBzAHQAbwBjAGsAXwBDAG8AbQBtAG8AbgBfAFMAeQBtAGIAbwBsAHMATQBNAFMAXwBUAGkAdABsAGUAXABuACAAIAA9AEwAQQBNAEIARABBACgAXAAiAFQAYQBiAGwAZQAgADUALgAxADIAIABBAGQAZABpAHQAaQBvAG4AYQBsACAAcwB5AG0AYgBvAGwAcwAgAHUAcwBlAGQAIABpAG4AIABhAGwAZwBvAHIAaQB0AGgAbQBzACAAZgBvAHIAIABtAGEAbgB1AHIAZQAgAHIAZQBsAGEAdABlAGQAIABlAG0AaQBzAHMAaQBvAG4AcwBcACIAKQA7AFwAbgBcAG4AUwBvAHUAcgBjAGUARABhAHQAYQBfAEwAaQB2AGUAcwB0AG8AYwBrAF8AQwBvAG0AbQBvAG4AXwBTAHkAbQBiAG8AbABzAE0ATQBTAF8AVgBhAGkAcgBhAGIAbABlAFwAbgAgACAAPQBMAEEATQBCAEQAQQAoAFwAIgBNAE0AUwBcACIAKQA7AFwAbgBcAG4AUwBvAHUAcgBjAGUARABhAHQAYQBfAEwAaQB2AGUAcwB0AG8AYwBrAF8AQwBvAG0AbQBvAG4AXwBTAHkAbQBiAG8AbABzAE0ATQBTAF8AVQBuAGkAdABcAG4AIAAgAD0ATABBAE0AQgBEAEEAKABcACIAXAAiACkAOwBcAG4AXABuAFMAbwB1AHIAYwBlAEQAYQB0AGEAXwBMAGkAdgBlAHMAdABvAGMAawBfAEMAbwBtAG0AbwBuAF8AUwB5AG0AYgBvAGwAcwBNAE0AUwBfAFMAbwB1AHIAYwBlAFwAbgAgACAAPQBMAEEATQBCAEQAQQAoAFwAIgBOAGEAdABpAG8AbgBhAGwAIABJAG4AdgBlAG4AdABvAHIAeQAgAFIAZQBwAG8AcgB0ACAAMgAwADIAMwAgAFYAbwBsAHUAbQBlACAAMQA6ACAAVABhAGIAbABlACAANQAuADEAMgBcACIAKQA7AFwAbgBcAG4AUwBvAHUAcgBjAGUARABhAHQAYQBfAEwAaQB2AGUAcwB0AG8AYwBrAF8AQwBvAG0AbQBvAG4AXwBTAHkAbQBiAG8AbABzAE0ATQBTAF8ARABhAHQAYQBcAG4AIAAgAD0ATABBAE0AQgBEAEEAKABcAG4AIAAgACAAIABNAEEASwBFAEEAUgBSAEEAWQAoADEAOQAsACAAMwAsACAAXABuACAAIAAgACAAIAAgAEwAQQBNAEIARABBACgAcgAsAGMALAAgAFwAbgAgACAAIAAgACAAIAAgACAASQBOAEQARQBYACgAewBcAG4AIAAgACAAIAAgACAAIAAgACAAIABcACIAUwB5AG0AYgBvAGwAXAAiACwAIABcACIATQBhAG4AdQByAGUAIABtAGEAbgBhAGcAZQBtAGUAbgB0ACAAcwB5AHMAdABlAG0AXAAiACwAIABcACIAXAAiADsAXABuACAAIAAgACAAIAAgACAAIAAgACAAIAAgAFwAIgAxAFwAIgAsACAAXAAiAEEAbgBhAGUAcgBvAGIAaQBjACAAbABhAGcAbwBvAG4AXAAiACwAIABcACIAQQBuAGEAZQByAG8AYgBpAGMAIABsAGEAZwBvAG8AbgAgACgAbQA9ADEAKQBcACIAOwBcAG4AIAAgACAAIAAgACAAIAAgACAAIAAgACAAXAAiADIAXAAiACwAIABcACIATABpAHEAdQBpAGQAIABzAHkAcwB0AGUAbQBzAFwAIgAsACAAXAAiAEwAaQBxAHUAaQBkACAAcwB5AHMAdABlAG0AcwAgACgAbQA9ADIAKQBcACIAOwBcAG4AIAAgACAAIAAgACAAIAAgACAAIAAgACAAXAAiADMAXAAiACwAIABcACIARABhAGkAbAB5ACAAcwBwAHIAZQBhAGQAXAAiACwAIABcACIARABhAGkAbAB5ACAAcwBwAHIAZQBhAGQAIAAoAG0APQAzACkAXAAiADsAXABuACAAIAAgACAAIAAgACAAIAAgACAAIAAgAFwAIgAzAGEAXAAiACwAIABcACIAUwB1AG0AcAAgAGEAbgBkACAAZABpAHMAcABlAHIAcwBhAGwAIABzAHkAcwB0AGUAbQBcACIALAAgAFwAIgBTAHUAbQBwACAAYQBuAGQAIABkAGkAcwBwAGUAcgBzAGEAbAAgAHMAeQBzAHQAZQBtACAAKABtAD0AMwBhACkAXAAiADsAXABuACAAIAAgACAAIAAgACAAIAAgACAAIAAgAFwAIgAzAGIAXAAiACwAIABcACIARAByAGEAaQBuAHMAIAB0AG8AIABwAGEAZABkAG8AYwBrAFwAIgAsACAAXAAiAEQAcgBhAGkAbgBzACAAdABvACAAcABhAGQAZABvAGMAawAgACgAbQA9ADMAYgApAFwAIgA7AFwAbgAgACAAIAAgACAAIAAgACAAIAAgACAAIABcACIANABcACIALAAgAFwAIgBTAG8AbABpAGQAIABzAHQAbwByAGEAZwBlAFwAIgAsACAAXAAiAFMAbwBsAGkAZAAgAHMAdABvAHIAYQBnAGUAIAAoAG0APQA0ACkAXAAiADsAXABuACAAIAAgACAAIAAgACAAIAAgACAAIAAgAFwAIgA1AFwAIgAsACAAXAAiAEQAcgB5AGwAbwB0ACAAKABmAGUAZQBkACAAcABhAGQAKQBcACIALAAgAFwAIgBEAHIAeQBsAG8AdAAgACgAZgBlAGUAZAAgAHAAYQBkACkAIAAoAG0APQA1ACkAXAAiADsAXABuACAAIAAgACAAIAAgACAAIAAgACAAIAAgAFwAIgA2AFwAIgAsACAAXAAiAEMAbwBtAHAAbwBzAHQAaQBuAGcAIAAoAHAAYQBzAHMAaQB2AGUAIAB3AGkAbgBkAHIAbwB3ACkAXAAiACwAIABcACIAQwBvAG0AcABvAHMAdABpAG4AZwAgACgAcABhAHMAcwBpAHYAZQAgAHcAaQBuAGQAcgBvAHcAKQAgACgAbQA9ADYAKQBcACIAOwBcAG4AIAAgACAAIAAgACAAIAAgACAAIAAgACAAXAAiADcAXAAiACwAIABcACIARABpAGcAZQBzAHQAZQByACAALwAgAGMAbwB2AGUAcgBlAGQAIABsAGEAZwBvAG8AbgBzAFwAIgAsACAAXAAiAEQAaQBnAGUAcwB0AGUAcgAgAC8AIABjAG8AdgBlAHIAZQBkACAAbABhAGcAbwBvAG4AcwAgACgAbQA9ADcAKQBcACIAOwBcAG4AIAAgACAAIAAgACAAIAAgACAAIAAgACAAXAAiADgAXAAiACwAIABcACIARABlAGUAcAAgAGwAaQB0AHQAZQByAFwAIgAsACAAXAAiAEQAZQBlAHAAIABsAGkAdAB0AGUAcgAgACgAbQA9ADgAKQBcACIAOwBcAG4AIAAgACAAIAAgACAAIAAgACAAIAAgACAAXAAiADkAXAAiACwAIABcACIAUABpAHQAIABzAHQAbwByAGEAZwBlAFwAIgAsACAAXAAiAFAAaQB0ACAAcwB0AG8AcgBhAGcAZQAgACgAbQA9ADkAKQBcACIAOwBcAG4AIAAgACAAIAAgACAAIAAgACAAIAAgACAAXAAiADEAMABcACIALAAgAFwAIgBQAG8AdQBsAHQAcgB5ACAAbQBhAG4AdQByAGUAIAB3AGkAdABoACAAYgBlAGQAZABpAG4AZwBcACIALAAgAFwAIgBQAG8AdQBsAHQAcgB5ACAAbQBhAG4AdQByAGUAIAB3AGkAdABoACAAYgBlAGQAZABpAG4AZwAgACgAbQA9ADEAMAApAFwAIgA7AFwAbgAgACAAIAAgACAAIAAgACAAIAAgACAAIABcACIAMQAxAFwAIgAsACAAXAAiAFAAbwB1AGwAdAByAHkAIABtAGEAbgB1AHIAZQAgAHcAaQB0AGgAbwB1AHQAIABiAGUAZABkAGkAbgBnAFwAIgAsACAAXAAiAFAAbwB1AGwAdAByAHkAIABtAGEAbgB1AHIAZQAgAHcAaQB0AGgAbwB1AHQAIABiAGUAZABkAGkAbgBnACAAKABtAD0AMQAxACkAXAAiADsAXABuACAAIAAgACAAIAAgACAAIAAgACAAIAAgAFwAIgAxADEAYQBcACIALAAgAFwAIgBCAGUAbAB0ACAAbQBhAG4AdQByAGUAIAByAGUAbQBvAHYAYQBsAFwAIgAsACAAXAAiAEIAZQBsAHQAIABtAGEAbgB1AHIAZQAgAHIAZQBtAG8AdgBhAGwAIAAoAG0APQAxADEAYQApAFwAIgA7AFwAbgAgACAAIAAgACAAIAAgACAAIAAgACAAIABcACIAMQAxAGIAXAAiACwAIABcACIATQBhAG4AdQByAGUAIABzAHQAbwByAGUAZAAgAGkAbgAgAGgAbwB1AHMAZQBcACIALAAgAFwAIgBNAGEAbgB1AHIAZQAgAHMAdABvAHIAZQBkACAAaQBuACAAaABvAHUAcwBlACAAKABtAD0AMQAxAGIAKQBcACIAOwBcAG4AIAAgACAAIAAgACAAIAAgACAAIAAgACAAXAAiADEAMgBcACIALAAgAFwAIgBEAGkAcgBlAGMAdAAgAHAAcgBvAGMAZQBzAHMAaQBuAGcAXAAiACwAIABcACIARABpAHIAZQBjAHQAIABwAHIAbwBjAGUAcwBzAGkAbgBnACAAKABtAD0AMQAyACkAXAAiADsAXABuACAAIAAgACAAIAAgACAAIAAgACAAIAAgAFwAIgAxADMAXAAiACwAIABcACIARABpAHIAZQBjAHQAIABhAHAAcABsAGkAYwBhAHQAaQBvAG4AXAAiACwAIABcACIARABpAHIAZQBjAHQAIABhAHAAcABsAGkAYwBhAHQAaQBvAG4AIAAoAG0APQAxADMAKQBcACIAOwBcAG4AIAAgACAAIAAgACAAIAAgACAAIAAgACAAXAAiADEANABcACIALAAgAFwAIgBQAGEAcwB0AHUAcgBlACAAcgBhAG4AZwBlACAAYQBuAGQAIABwAGEAZABkAG8AYwBrAFwAIgAsACAAXAAiAFAAYQBzAHQAdQByAGUAIAByAGEAbgBnAGUAIABhAG4AZAAgAHAAYQBkAGQAbwBjAGsAIAAoAG0APQAxADQAKQBcACIAXABuACAAIAAgACAAIAAgACAAIAB9ACwAIAByACwAIABjACkAXABuACAAIAAgACAAIAAgACkAXABuACAAIAAgACAAKQBcAG4AIAAgACkAOwBcAG4AXABuAFwAbgAvACoAIABcAG4ALQAtAC0ALQAtAC0ALQAtAC0ALQAtAC0ALQAtAC0ALQAtAC0ALQAtAC0ALQAtAC0ALQAtAC0ALQAtAC0ALQAtAC0ALQAtAC0ALQAtAFwAbgBTAG8AdQByAGMAZQBEAGEAdABhAF8ATABpAHYAZQBzAHQAbwBjAGsAXwBQAHIAbwBkAHUAYwB0AF8AQgBlAGUAZgBDAGEAdAB0AGwAZQBcAG4ALQAtAC0ALQAtAC0ALQAtAC0ALQAtAC0ALQAtAC0ALQAtAC0ALQAtAC0ALQAtAC0ALQAtAC0ALQAtAC0ALQAtAC0ALQAtAC0ALQAtAFwAbgAqAC8AXABuAFwAbgBTAG8AdQByAGMAZQBEAGEAdABhAF8ATABpAHYAZQBzAHQAbwBjAGsAXwBQAHIAbwBkAHUAYwB0AF8AQgBlAGUAZgBDAGEAdAB0AGwAZQBfAFQAaQB0AGwAZQBcAG4AIAAgAD0ATABBAE0AQgBEAEEAKABcACIAQgBlAGUAZgAgAGMAYQB0AHQAbABlACAAcAByAG8AZAB1AGMAdABzACAAZgBvAHIAIABzAGMAbwBwAGUAIAAzAFwAIgApADsAXABuAFwAbgBTAG8AdQByAGMAZQBEAGEAdABhAF8ATABpAHYAZQBzAHQAbwBjAGsAXwBQAHIAbwBkAHUAYwB0AF8AQgBlAGUAZgBDAGEAdAB0AGwAZQBfAFYAYQBpAHIAYQBiAGwAZQBcAG4AIAAgAD0ATABBAE0AQgBEAEEAKABcACIAXAAiACkAOwBcAG4AXABuAFMAbwB1AHIAYwBlAEQAYQB0AGEAXwBMAGkAdgBlAHMAdABvAGMAawBfAFAAcgBvAGQAdQBjAHQAXwBCAGUAZQBmAEMAYQB0AHQAbABlAF8AVQBuAGkAdABcAG4AIAAgAD0ATABBAE0AQgBEAEEAKABcACIAXAAiACkAOwBcAG4AXABuAFMAbwB1AHIAYwBlAEQAYQB0AGEAXwBMAGkAdgBlAHMAdABvAGMAawBfAFAAcgBvAGQAdQBjAHQAXwBCAGUAZQBmAEMAYQB0AHQAbABl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CAGUAZQBmAEMAYQB0AHQAbABlAF8ARABhAHQAYQBcAG4AIAAgAD0ATABBAE0AQgBEAEEAKABcAG4AIAAgACAAIABNAEEASwBFAEEAUgBSAEEAWQAoADkALAAgADIALAAgAFwAbgAgACAAIAAgACAAIABMAEEATQBCAEQAQQAoAHIALABjACwAIABcAG4AIAAgACAAIAAgACAAIAAgAEkATgBEAEUAWAAoAHsAXABuACAAIAAgACAAIAAgACAAIAAgACAAXAAiAFAAcgBvAGQAdQBjAHQAXAAiACwAIABcACIAUwBvAHUAcgBjAGUAIAByAGUAZwBpAG8AbgBcACIAOwBcAG4AIAAgACAAIAAgACAAIAAgACAAIAAgACAAXAAiAEMAYQB0AHQAbABlACwAIABmAG8AcgAgAG0AYQBuAHUAZgBhAGMAdAB1AHIAaQBuAGcAIABiAGUAZQBmAFwAIgAsACAAXAAiAEEAdQBzAHQAcgBhAGwAaQBhAFwAIgA7AFwAbgAgACAAIAAgACAAIAAgACAAIAAgACAAIABcACIAQwBhAHQAdABsAGUALAAgAGYAbwByACAAcAByAGkAbQBlACAAYgBlAGUAZgBcACIALAAgAFwAIgBOAFMAVwBcACIAOwBcAG4AIAAgACAAIAAgACAAIAAgACAAIAAgACAAXAAiAEMAYQB0AHQAbABlACwAIAB3AGUAYQBuAGUAcgBzAFwAIgAsACAAXAAiAE4AVABcACIAOwBcAG4AIAAgACAAIAAgACAAIAAgACAAIAAgACAAXAAiAFwAIgAsACAAXAAiAFEATABEAFwAIgA7AFwAbgAgACAAIAAgACAAIAAgACAAIAAgACAAIABcACIAXAAiACwAIABcACIAUwBBAFwAIgA7AFwAbgAgACAAIAAgACAAIAAgACAAIAAgACAAIABcACIAXAAiACwAIABcACIAVABBAFMAXAAiADsAXABuACAAIAAgACAAIAAgACAAIAAgACAAIAAgAFwAIgBcACIALAAgAFwAIgBWAEkAQwBcACIAOwBcAG4AIAAgACAAIAAgACAAIAAgACAAIAAgACAAXAAiAFwAIgAsACAAXAAiAFcAQQBcACIAXABuACAAIAAgACAAIAAgACAAIAB9ACwAIAByACwAIABjACkAXABuACAAIAAgACAAIAAgACkAXABuACAAIAAgACAAKQBcAG4AIAAgACkAOwBcAG4AXABuAC8AKgAgAFwAbgAtAC0ALQAtAC0ALQAtAC0ALQAtAC0ALQAtAC0ALQAtAC0ALQAtAC0ALQAtAC0ALQAtAC0ALQAtAC0ALQAtAC0ALQAtAC0ALQAtAC0AXABuAFMAbwB1AHIAYwBlAEQAYQB0AGEAXwBMAGkAdgBlAHMAdABvAGMAawBfAFAAcgBvAGQAdQBjAHQAXwBDAGgAaQBjAGsAZQBuAHMAXABuAC0ALQAtAC0ALQAtAC0ALQAtAC0ALQAtAC0ALQAtAC0ALQAtAC0ALQAtAC0ALQAtAC0ALQAtAC0ALQAtAC0ALQAtAC0ALQAtAC0ALQBcAG4AKgAvAFwAbgBcAG4AUwBvAHUAcgBjAGUARABhAHQAYQBfAEwAaQB2AGUAcwB0AG8AYwBrAF8AUAByAG8AZAB1AGMAdABfAEMAaABpAGMAawBlAG4AcwBfAFQAaQB0AGwAZQBcAG4AIAAgAD0ATABBAE0AQgBEAEEAKABcACIAQwBoAGkAYwBrAGUAbgBzACAAcAByAG8AZAB1AGMAdABzACAAZgBvAHIAIABzAGMAbwBwAGUAIAAzAFwAIgApADsAXABuAFwAbgBTAG8AdQByAGMAZQBEAGEAdABhAF8ATABpAHYAZQBzAHQAbwBjAGsAXwBQAHIAbwBkAHUAYwB0AF8AQwBoAGkAYwBrAGUAbgBzAF8AVgBhAGkAcgBhAGIAbABlAFwAbgAgACAAPQBMAEEATQBCAEQAQQAoAFwAIgBcACIAKQA7AFwAbgBcAG4AUwBvAHUAcgBjAGUARABhAHQAYQBfAEwAaQB2AGUAcwB0AG8AYwBrAF8AUAByAG8AZAB1AGMAdABfAEMAaABpAGMAawBlAG4AcwBfAFUAbgBpAHQAXABuACAAIAA9AEwAQQBNAEIARABBACgAXAAiAFwAIgApADsAXABuAFwAbgBTAG8AdQByAGMAZQBEAGEAdABhAF8ATABpAHYAZQBzAHQAbwBjAGsAXwBQAHIAbwBkAHUAYwB0AF8AQwBoAGkAYwBrAGUAbg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DAGgAaQBjAGsAZQBuAHMAXwBEAGEAdABhAFwAbgAgACAAPQBMAEEATQBCAEQAQQAoAFwAbgAgACAAIAAgAE0AQQBLAEUAQQBSAFIAQQBZACgAMgAsACAAMgAsACAAXABuACAAIAAgACAAIAAgAEwAQQBNAEIARABBACgAcgAsAGMALAAgAFwAbgAgACAAIAAgACAAIAAgACAASQBOAEQARQBYACgAewBcAG4AIAAgACAAIAAgACAAIAAgACAAIABcACIAUAByAG8AZAB1AGMAdABcACIALAAgAFwAIgBTAG8AdQByAGMAZQAgAHIAZQBnAGkAbwBuAFwAIgA7AFwAbgAgACAAIAAgACAAIAAgACAAIAAgACAAIABcACIAQwBoAGkAYwBrAGUAbgBzAFwAIgAsACAAXAAiAEEAdQBzAHQAcgBhAGwAaQBh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EAGEAaQByAHkAYwBhAHQAdABsAGUAXABuAC0ALQAtAC0ALQAtAC0ALQAtAC0ALQAtAC0ALQAtAC0ALQAtAC0ALQAtAC0ALQAtAC0ALQAtAC0ALQAtAC0ALQAtAC0ALQAtAC0ALQBcAG4AKgAvAFwAbgBcAG4AUwBvAHUAcgBjAGUARABhAHQAYQBfAEwAaQB2AGUAcwB0AG8AYwBrAF8AUAByAG8AZAB1AGMAdABfAEQAYQBpAHIAeQBjAGEAdAB0AGwAZQBfAFQAaQB0AGwAZQBcAG4AIAAgAD0ATABBAE0AQgBEAEEAKABcACIARABhAGkAcgB5ACAAYwBhAHQAdABsAGUAIABwAHIAbwBkAHUAYwB0AHMAIABmAG8AcgAgAHMAYwBvAHAAZQAgADMAXAAiACkAOwBcAG4AXABuAFMAbwB1AHIAYwBlAEQAYQB0AGEAXwBMAGkAdgBlAHMAdABvAGMAawBfAFAAcgBvAGQAdQBjAHQAXwBEAGEAaQByAHkAYwBhAHQAdABsAGUAXwBWAGEAaQByAGEAYgBsAGUAXABuACAAIAA9AEwAQQBNAEIARABBACgAXAAiAFwAIgApADsAXABuAFwAbgBTAG8AdQByAGMAZQBEAGEAdABhAF8ATABpAHYAZQBzAHQAbwBjAGsAXwBQAHIAbwBkAHUAYwB0AF8ARABhAGkAcgB5AGMAYQB0AHQAbABlAF8AVQBuAGkAdABcAG4AIAAgAD0ATABBAE0AQgBEAEEAKABcACIAXAAiACkAOwBcAG4AXABuAFMAbwB1AHIAYwBlAEQAYQB0AGEAXwBMAGkAdgBlAHMAdABvAGMAawBfAFAAcgBvAGQAdQBjAHQAXwBEAGEAaQByAHkAYwBhAHQAdABsAGUAXwBTAG8AdQByAGMAZQBcAG4AIAAgAD0ATABBAE0AQgBEAEEAKABcACIATABpAGYAZQBjAHkAYwBsAGUAcwAuACAAKAAyADAAMgA2ACkALgAgAEcAcgBlAGUAbgBoAG8AdQBzAGUAIABHAGEAcwAgAEUAbQBpAHMAcwBpAG8AbgAgAEkAbgB0AGUAbgBzAGkAdABpAGUAcwAgAGYAbwByACAATQBhAHQAZQByAGkAYQBsACAASQBuAHAAdQB0AHMAIAB0AG8AIABBAHUAcwB0AHIAYQBsAGkAYQBuACAAQQBnAHIAaQBjAHUAbAB0AHUAcgBlACwAIABGAGkAcwBoAGUAcgBpAGUAcwAgAGEAbgBkACAARgBvAHIAZQBzAHQAcgB5AC4AIABWAGUAcgBzAGkAbwBuACAANAA4AC4AIABkAG8AaQAgADEAMAAuADUAMgA4ADEALwB6AGUAbgBvAGQAbwAuADEAOQA2ADUANgA1ADgAMABcACIAKQA7AFwAbgBcAG4AUwBvAHUAcgBjAGUARABhAHQAYQBfAEwAaQB2AGUAcwB0AG8AYwBrAF8AUAByAG8AZAB1AGMAdABfAEQAYQBpAHIAeQBjAGEAdAB0AGwAZQBfAEQAYQB0AGEAXABuACAAIAA9AEwAQQBNAEIARABBACgAXABuACAAIAAgACAATQBBAEsARQBBAFIAUgBBAFkAKAAyACwAIAAyACwAIABcAG4AIAAgACAAIAAgACAATABBAE0AQgBEAEEAKAByACwAYwAsACAAXABuACAAIAAgACAAIAAgACAAIABJAE4ARABFAFgAKAB7AFwAbgAgACAAIAAgACAAIAAgACAAIAAgAFwAIgBQAHIAbwBkAHUAYwB0AFwAIgAsACAAXAAiAFMAbwB1AHIAYwBlACAAcgBlAGcAaQBvAG4AXAAiADsAXABuACAAIAAgACAAIAAgACAAIAAgACAAIAAgAFwAIgBEAGEAaQByAHkAIABjAG8AdwBzAFwAIgAsACAAXAAiAFYASQBDAFwAIgBcAG4AIAAgACAAIAAgACAAIAAgAH0ALAAgAHIALAAgAGMAKQBcAG4AIAAgACAAIAAgACAAKQBcAG4AIAAgACAAIAApAFwAbgAgACAAKQA7AFwAbgBcAG4AXABuAC8AKgAgAFwAbgAtAC0ALQAtAC0ALQAtAC0ALQAtAC0ALQAtAC0ALQAtAC0ALQAtAC0ALQAtAC0ALQAtAC0ALQAtAC0ALQAtAC0ALQAtAC0ALQAtAC0AXABuAFMAbwB1AHIAYwBlAEQAYQB0AGEAXwBMAGkAdgBlAHMAdABvAGMAawBfAFAAcgBvAGQAdQBjAHQAXwBQAGkAZwBzAFwAbgAtAC0ALQAtAC0ALQAtAC0ALQAtAC0ALQAtAC0ALQAtAC0ALQAtAC0ALQAtAC0ALQAtAC0ALQAtAC0ALQAtAC0ALQAtAC0ALQAtAC0AXABuACoALwBcAG4AXABuAFMAbwB1AHIAYwBlAEQAYQB0AGEAXwBMAGkAdgBlAHMAdABvAGMAawBfAFAAcgBvAGQAdQBjAHQAXwBQAGkAZwBzAF8AVABpAHQAbABlAFwAbgAgACAAPQBMAEEATQBCAEQAQQAoAFwAIgBQAGkAZwBzACAAcAByAG8AZAB1AGMAdABzACAAZgBvAHIAIABzAGMAbwBwAGUAIAAzAFwAIgApADsAXABuAFwAbgBTAG8AdQByAGMAZQBEAGEAdABhAF8ATABpAHYAZQBzAHQAbwBjAGsAXwBQAHIAbwBkAHUAYwB0AF8AUABpAGcAcwBfAFYAYQBpAHIAYQBiAGwAZQBcAG4AIAAgAD0ATABBAE0AQgBEAEEAKABcACIAXAAiACkAOwBcAG4AXABuAFMAbwB1AHIAYwBlAEQAYQB0AGEAXwBMAGkAdgBlAHMAdABvAGMAawBfAFAAcgBvAGQAdQBjAHQAXwBQAGkAZwBzAF8AVQBuAGkAdABcAG4AIAAgAD0ATABBAE0AQgBEAEEAKABcACIAXAAiACkAOwBcAG4AXABuAFMAbwB1AHIAYwBlAEQAYQB0AGEAXwBMAGkAdgBlAHMAdABvAGMAawBfAFAAcgBvAGQAdQBjAHQAXwBQAGkAZwBzAF8AUwBvAHUAcgBjAGUAXABuACAAIAA9AEwAQQBNAEIARABBACgAXAAiAEwAaQBmAGUAYwB5AGMAbABlAHMALgAgACgAMgAwADIANgApAC4AIABHAHIAZQBlAG4AaABvAHUAcwBlACAARwBhAHMAIABFAG0AaQBzAHMAaQBvAG4AIABJAG4AdABlAG4AcwBpAHQAaQBlAHMAIABmAG8AcgAgAE0AYQB0AGUAcgBpAGEAbAAgAEkAbgBwAHUAdABzACAAdABvACAAQQB1AHMAdAByAGEAbABpAGEAbgAgAEEAZwByAGkAYwB1AGwAdAB1AHIAZQAsACAARgBpAHMAaABlAHIAaQBlAHMAIABhAG4AZAAgAEYAbwByAGUAcwB0AHIAeQAuACAAVgBlAHIAcwBpAG8AbgAgADQAOAAuACAAZABvAGkAIAAxADAALgA1ADIAOAAxAC8AegBlAG4AbwBkAG8ALgAxADkANgA1ADYANQA4ADAAXAAiACkAOwBcAG4AXABuAFMAbwB1AHIAYwBlAEQAYQB0AGEAXwBMAGkAdgBlAHMAdABvAGMAawBfAFAAcgBvAGQAdQBjAHQAXwBQAGkAZwBzAF8ARABhAHQAYQBcAG4AIAAgAD0ATABBAE0AQgBEAEEAKABcAG4AIAAgACAAIABNAEEASwBFAEEAUgBSAEEAWQAoADIALAAgADIALAAgAFwAbgAgACAAIAAgACAAIABMAEEATQBCAEQAQQAoAHIALABjACwAIABcAG4AIAAgACAAIAAgACAAIAAgAEkATgBEAEUAWAAoAHsAXABuACAAIAAgACAAIAAgACAAIAAgACAAXAAiAFAAcgBvAGQAdQBjAHQAXAAiACwAIABcACIAUwBvAHUAcgBjAGUAIAByAGUAZwBpAG8AbgBcACIAOwBcAG4AIAAgACAAIAAgACAAIAAgACAAIAAgACAAXAAiAFAAaQBnAHMAXAAiACwAIABcACIAQQB1AHMAdAByAGEAbABpAGEAXAAiAFwAbgAgACAAIAAgACAAIAAgACAAfQAsACAAcgAsACAAYwApAFwAbgAgACAAIAAgACAAIAApAFwAbgAgACAAIAAgACkAXABuACAAIAApADsAXABuAFwAbgAvACoAIABcAG4ALQAtAC0ALQAtAC0ALQAtAC0ALQAtAC0ALQAtAC0ALQAtAC0ALQAtAC0ALQAtAC0ALQAtAC0ALQAtAC0ALQAtAC0ALQAtAC0ALQAtAFwAbgBTAG8AdQByAGMAZQBEAGEAdABhAF8ATABpAHYAZQBzAHQAbwBjAGsAXwBQAHIAbwBkAHUAYwB0AF8AUwBoAGUAZQBwAFwAbgAtAC0ALQAtAC0ALQAtAC0ALQAtAC0ALQAtAC0ALQAtAC0ALQAtAC0ALQAtAC0ALQAtAC0ALQAtAC0ALQAtAC0ALQAtAC0ALQAtAC0AXABuACoALwBcAG4AXABuAFMAbwB1AHIAYwBlAEQAYQB0AGEAXwBMAGkAdgBlAHMAdABvAGMAawBfAFAAcgBvAGQAdQBjAHQAXwBTAGgAZQBlAHAAXwBUAGkAdABsAGUAXABuACAAIAA9AEwAQQBNAEIARABBACgAXAAiAFMAaABlAGUAcAAgAHAAcgBvAGQAdQBjAHQAcwAgAGYAbwByACAAcwBjAG8AcABlACAAMwBcACIAKQA7AFwAbgBcAG4AUwBvAHUAcgBjAGUARABhAHQAYQBfAEwAaQB2AGUAcwB0AG8AYwBrAF8AUAByAG8AZAB1AGMAdABfAFMAaABlAGUAcABfAFYAYQBpAHIAYQBiAGwAZQBcAG4AIAAgAD0ATABBAE0AQgBEAEEAKABcACIAXAAiACkAOwBcAG4AXABuAFMAbwB1AHIAYwBlAEQAYQB0AGEAXwBMAGkAdgBlAHMAdABvAGMAawBfAFAAcgBvAGQAdQBjAHQAXwBTAGgAZQBlAHAAXwBVAG4AaQB0AFwAbgAgACAAPQBMAEEATQBCAEQAQQAoAFwAIgBcACIAKQA7AFwAbgBcAG4AUwBvAHUAcgBjAGUARABhAHQAYQBfAEwAaQB2AGUAcwB0AG8AYwBrAF8AUAByAG8AZAB1AGMAdABfAFMAaABlAGUAcABfAFMAbwB1AHIAYwBlAFwAbgAgACAAPQBMAEEATQBCAEQAQQAoAFwAIgBMAGkAZgBlAGMAeQBjAGwAZQBzAC4AIAAoADIAMAAyADYAKQAuACAARwByAGUAZQBuAGgAbwB1AHMAZQAgAEcAYQBzACAARQBtAGkAcwBzAGkAbwBuACAASQBuAHQAZQBuAHMAaQB0AGkAZQBzACAAZgBvAHIAIABNAGEAdABlAHIAaQBhAGwAIABJAG4AcAB1AHQAcwAgAHQAbwAgAEEAdQBzAHQAcgBhAGwAaQBhAG4AIABBAGcAcgBpAGMAdQBsAHQAdQByAGUALAAgAEYAaQBzAGgAZQByAGkAZQBzACAAYQBuAGQAIABGAG8AcgBlAHMAdAByAHkALgAgAFYAZQByAHMAaQBvAG4AIAA0ADgALgAgAGQAbwBpACAAMQAwAC4ANQAyADgAMQAvAHoAZQBuAG8AZABvAC4AMQA5ADYANQA2ADUAOAAwAFwAIgApADsAXABuAFwAbgBTAG8AdQByAGMAZQBEAGEAdABhAF8ATABpAHYAZQBzAHQAbwBjAGsAXwBQAHIAbwBkAHUAYwB0AF8AUwBoAGUAZQBwAF8ARABhAHQAYQBcAG4AIAAgAD0ATABBAE0AQgBEAEEAKABcAG4AIAAgACAAIABNAEEASwBFAEEAUgBSAEEAWQAoADgALAAgADIALAAgAFwAbgAgACAAIAAgACAAIABMAEEATQBCAEQAQQAoAHIALABjACwAIABcAG4AIAAgACAAIAAgACAAIAAgAEkATgBEAEUAWAAoAHsAXABuACAAIAAgACAAIAAgACAAIAAgACAAXAAiAFAAcgBvAGQAdQBjAHQAXAAiACwAIABcACIAUwBvAHUAcgBjAGUAIAByAGUAZwBpAG8AbgBcACIAOwBcAG4AIAAgACAAIAAgACAAIAAgACAAIAAgACAAXAAiAFMAaABlAGUAcAAsACAAZgBvAHIAIABtAHUAdAB0AG8AbgBcACIALAAgAFwAIgBBAHUAcwB0AHIAYQBsAGkAYQBcACIAOwBcAG4AIAAgACAAIAAgACAAIAAgACAAIAAgACAAXAAiAFMAaABlAGUAcAAsACAAZgBvAHIAIABwAHIAaQBtAGUAIABsAGEAbQBiAFwAIgAsACAAXAAiAE4AUwBXAFwAIgA7AFwAbgAgACAAIAAgACAAIAAgACAAIAAgACAAIABcACIAXAAiACwAIABcACIAUQBMAEQAXAAiADsAXABuACAAIAAgACAAIAAgACAAIAAgACAAIAAgAFwAIgBcACIALAAgAFwAIgBTAEEAXAAiADsAXABuACAAIAAgACAAIAAgACAAIAAgACAAIAAgAFwAIgBcACIALAAgAFwAIgBUAEEAUwBcACIAOwBcAG4AIAAgACAAIAAgACAAIAAgACAAIAAgACAAXAAiAFwAIgAsACAAXAAiAFYASQBDAFwAIgA7AFwAbgAgACAAIAAgACAAIAAgACAAIAAgACAAIABcACIAXAAiACwAIABcACIAVwBBAFwAIgBcAG4AIAAgACAAIAAgACAAIAAgAH0ALAAgAHIALAAgAGMAKQBcAG4AIAAgACAAIAAgACAAKQBcAG4AIAAgACAAIAApAFwAbgAgACAAKQA7AFwAbgBcAG4AIgB9ACwAewAiAHAAYQB0AGgAIgA6ACIALwBwAHIAbwBqAGUAYwB0AHMALwBDAG8AbQBtAG8AbgBfAEkAbgBwAHUAdABGAHUAbgBjAHQAaQBvAG4AcwAiACwAIgB0AGUAeAB0ACIAOgAiAFUAdABpAGwAaQB0AHkAXwBHAGUAdABBAHIAcgBhAHkAVABhAGIAbABlAFIAbwB3AFMAdABhAHIAdABOAHUAbQBiAGUAcgBcAG4APQBMAEEATQBCAEQAQQAoAFwAbgAgACAAIAAgAFQAYQBiAGwAZQBoAGUAYQBkAGUAcgBDAGUAbABsACwAUgBvAHcAcwBCAGUAdAB3AGUAZQBuAEgAZQBhAGQAZQByAGEAbgBkAEEAcgByAGEAeQAsAFwAbgAgACAAIAAgAFIATwBXACgAVABhAGIAbABlAGgAZQBhAGQAZQByAEMAZQBsAGwAKQAgACsAIABSAG8AdwBzAEIAZQB0AHcAZQBlAG4ASABlAGEAZABlAHIAYQBuAGQAQQByAHIAYQB5ACAALQAgADEAXABuACkAOwBcAG4AXABuAFUAdABpAGwAaQB0AHkAXwBHAGUAdABBAHIAcgBhAHkAVABhAGIAbABlAEMAbwBsAHUAbQBuAFMAdABhAHIAdABOAHUAbQBiAGUAcgBcAG4APQBMAEEATQBCAEQAQQAoAFwAbgAgACAAVABhAGIAbABlAEgAZQBhAGQAZQByAEMAZQBsAGwALABcAG4AIAAgAEMATwBMAFUATQBOACgAVABhAGIAbABlAEgAZQBhAGQAZQByAEMAZQBsAGwAKQBcAG4AKQA7AFwAbgBcAG4AVQB0AGkAbABpAHQAeQBfAEQAaQBzAHAAbABhAHkAQQByAHIAYQB5AEkAbgBUAGEAYgBsAGUAXABuAD0ATABBAE0AQgBEAEEAKABcAG4AIABBAHIAcgBhAHkARABhAHQAYQAsACAAVABhAGIAbABlAGgAZQBhAGQAZQByAEMAZQBsAGwALAAgAFIAbwB3AHMAQgBlAHQAdwBlAGUAbgBIAGUAYQBkAGUAcgBhAG4AZABBAHIAcgBhAHkALAAgAFsAQwBvAGwAdQBtAG4AcwBCAGUAdAB3AGUAZQBuAEgAZQBhAGQAZQByAEEAbgBkAEEAcgByAGEAeQBdACwAXABuACAASQBGAEUAUgBSAE8AUgAoAFwAbgAgACAAIAAgACAASQBOAEQARQBYACgAXABuACAAIAAgACAAIAAgACAAIAAgACAAIAAgAFUATgBJAFEAVQBFACgAQQByAHIAYQB5AEQAYQB0AGEAKQAsACAAXABuACAAIAAgACAAIAAgACAAIAAgACAAIAAgAFIATwBXACgAKQAtAFUAdABpAGwAaQB0AHkAXwBHAGUAdABBAHIAcgBhAHkAVABhAGIAbABlAFIAbwB3AFMAdABhAHIAdABOAHUAbQBiAGUAcgAoAFQAYQBiAGwAZQBoAGUAYQBkAGUAcgBDAGUAbABsACwAIABSAG8AdwBzAEIAZQB0AHcAZQBlAG4ASABlAGEAZABlAHIAYQBuAGQAQQByAHIAYQB5ACkALAAgAFwAbgAgACAAIAAgACAAIAAgACAAIAAgACAAIABDAE8ATABVAE0ATgAoACkALQBVAHQAaQBsAGkAdAB5AF8ARwBlAHQAQQByAHIAYQB5AFQAYQBiAGwAZQBDAG8AbAB1AG0AbgBTAHQAYQByAHQATgB1AG0AYgBlAHIAKABUAGEAYgBsAGUAaABlAGEAZABlAHIAQwBlAGwAbAApACAAKwBcAG4AIAAgACAAIAAgACAAIAAgACAAIAAgACAASQBGACgASQBTAE8ATQBJAFQAVABFAEQAKABDAG8AbAB1AG0AbgBzAEIAZQB0AHcAZQBlAG4ASABlAGEAZABlAHIAQQBuAGQAQQByAHIAYQB5ACkALAAgADEALAAgAEMAbwBsAHUAbQBuAHMAQgBlAHQAdwBlAGUAbgBIAGUAYQBkAGUAcgBBAG4AZABBAHIAcgBhAHkAKQBcAG4AIAAgACAAIAAgACAAIAAgACkALAAgAFwAIgBcACIAXABuACAAIAAgACAAKQBcAG4AKQA7AFwAbgBcAG4AVQB0AGkAbABpAHQAeQBfAEwAbwBvAGsAdQBwAFYAYQBsAHUAZQBJAG4AVABhAGIAbABlAFwAbgA9AEwAQQBNAEIARABBACgAXABuACAAIAAgACAATABvAG8AawB1AHAAVgBhAGwAdQBlACwAIABMAG8AbwBrAHUAcABBAHIAcgBhAHkALAAgAFIAZQB0AHUAcgBuAEEAcgByAGEAeQAsAFwAbgAgACAAIAAgAFgATABPAE8ASwBVAFAAKABMAG8AbwBrAHUAcABWAGEAbAB1AGUALAAgAEwAbwBvAGsAdQBwAEEAcgByAGEAeQAsACAAUgBlAHQAdQByAG4AQQByAHIAYQB5ACwAIABcACIAXAAiACkAXABuACkAOwBcAG4AXABuAFUAdABpAGwAaQB0AHkAXwBMAG8AbwBrAHUAcABWAGEAbAB1AGUASQBuAFQAYQBiAGwAZQBOAHUAbQBiAGUAcgBcAG4APQBMAEEATQBCAEQAQQAoAFwAbgAgACAAIAAgAEwAbwBvAGsAdQBwAFYAYQBsAHUAZQAsACAATABvAG8AawB1AHAAQQByAHIAYQB5ACwAIABSAGUAdAB1AHIAbgBBAHIAcgBhAHkALABcAG4AIAAgACAAIABJAEYAKABJAFMATgBVAE0AQgBFAFIAKABcAG4AIAAgACAAIAAgACAAIAAgAFgATABPAE8ASwBVAFAAKABMAG8AbwBrAHUAcABWAGEAbAB1AGUALAAgAEwAbwBvAGsAdQBwAEEAcgByAGEAeQAsACAAUgBlAHQAdQByAG4AQQByAHIAYQB5ACwAIABcACIAXAAiACkAXABuACAAIAAgACAAKQAsACAAWABMAE8ATwBLAFUAUAAoAEwAbwBvAGsAdQBwAFYAYQBsAHUAZQAsACAATABvAG8AawB1AHAAQQByAHIAYQB5ACwAIABSAGUAdAB1AHIAbgBBAHIAcgBhAHkALAAgAFwAIgBcACIAKQAsACAAMAApAFwAbgApADsAXABuAFwAbgBVAHQAaQBsAGkAdAB5AF8ATABvAG8AawB1AHAAVgBhAGwAdQBlAEkAbgBUAGEAYgBsAGUAVAB3AG8AQwBvAGwAdQBtAG4AcwBcAG4APQBMAEEATQBCAEQAQQAoAFwAbgAgACAAIAAgAEwAbwBvAGsAdQBwAFYAYQBsAHUAZQAxACwAIABMAG8AbwBrAHUAcABWAGEAbAB1AGUAMgAsACAATABvAG8AawB1AHAAQQByAHIAYQB5ADEALAAgAEwAbwBvAGsAdQBwAEEAcgByAGEAeQAyACwAIABSAGUAdAB1AHIAbgBBAHIAcgBhAHkALAAgAFsAVgBhAGwAdQBlAEkARgBGAGEAbABzAGUAXQAsAFwAbgAgACAAIAAgAFgATABPAE8ASwBVAFAAKAAxACwAIAAoAEwAbwBvAGsAdQBwAEEAcgByAGEAeQAxAD0ATABvAG8AawB1AHAAVgBhAGwAdQBlADEAKQAqACgATABvAG8AawB1AHAAQQByAHIAYQB5ADIAPQBMAG8AbwBrAHUAcABWAGEAbAB1AGUAMgApACwAIABSAGUAdAB1AHIAbgBBAHIAcgBhAHkALAAgAEkARgAoAEkAUwBPAE0ASQBUAFQARQBEACgAVgBhAGwAdQBlAEkARgBGAGEAbABzAGUAKQAsACAAXAAiAFwAIgAsACAAVgBhAGwAdQBlAEkARgBGAGEAbABzAGUAKQApAFwAbgApADsAXABuAFwAbgBVAHQAaQBsAGkAdAB5AF8ATABvAG8AawB1AHAAVgBhAGwAdQBlAEkAbgBUAGEAYgBsAGUATwBuAGUAQwBvAGwAdQBtAG4AQQBuAGQASABlAGEAZABlAHIAXABuAD0ATABBAE0AQgBEAEEAKABcAG4AIAAgACAAIABMAG8AbwBrAHUAcABWAGEAbAB1AGUAMQAsACAATABvAG8AawB1AHAAVgBhAGwAdQBlADIALAAgAEwAbwBvAGsAdQBwAEEAcgByAGEAeQAxACwAIABMAG8AbwBrAHUAcABBAHIAcgBhAHkAMgAsACAAUgBlAHQAdQByAG4AQQByAHIAYQB5ACwAIABbAFYAYQBsAHUAZQBJAGYARgBhAGwAcwBlAF0ALABcAG4AIAAgACAAIABJAEYARQBSAFIATwBSACgAXABuACAAIAAgACAAIAAgACAAIABYAEwATwBPAEsAVQBQACgATABvAG8AawB1AHAAVgBhAGwAdQBlADEALAAgAEwAbwBvAGsAdQBwAEEAcgByAGEAeQAxACwAXABuACAAIAAgACAAIAAgACAAIAAgACAAIAAgAFgATABPAE8ASwBVAFAAKABMAG8AbwBrAHUAcABWAGEAbAB1AGUAMgAsACAATABvAG8AawB1AHAAQQByAHIAYQB5ADIALAAgAFIAZQB0AHUAcgBuAEEAcgByAGEAeQApAFwAbgAgACAAIAAgACAAIAAgACAAKQAsAFwAbgAgACAAIAAgACAAIAAgACAASQBGACgASQBTAE8ATQBJAFQAVABFAEQAKABWAGEAbAB1AGUASQBmAEYAYQBsAHMAZQApACwAIABcACIAXAAiACwAIABWAGEAbAB1AGUASQBmAEYAYQBsAHMAZQApAFwAbgAgACAAIAAgACkAXABuACkAOwBcAG4AXABuAFUAdABpAGwAaQB0AHkAXwBTAHAAbABpAHQAUwB0AHIAaQBuAGcASQBuAHQAbwBBAHIAcgBhAHkAXABuAD0ATABBAE0AQgBEAEEAKABcAG4AIAAgACAAIABDAGUAbABsACwAIABEAGUAbABpAG0AaQB0AGUAcgAsACAAWwBDAGgAYQByAGEAYwB0AGUAcgBUAG8AUgBlAG0AbwB2AGUAMQBdACwAIABbAEMAaABhAHIAYQBjAHQAZQByAFQAbwBSAGUAbQBvAHYAZQAyAF0ALABcAG4AIAAgACAAIAAgACAAIAAgAEYASQBMAFQARQBSAFgATQBMACgAXABuACAAIAAgACAAIAAgACAAIABcACIAXAB1ADAAMAAzAGMAdABcAHUAMAAwADMAZQBcAHUAMAAwADMAYwBzAFwAdQAwADAAMwBlAFwAIgAgAFwAdQAwADAAMgA2AFwAbgAgACAAIAAgACAAIAAgACAAUwBVAEIAUwBUAEkAVABVAFQARQAoAFwAbgAgACAAIAAgACAAIAAgACAAIAAgACAAIABTAFUAQgBTAFQASQBUAFUAVABFACgAUwBVAEIAUwBUAEkAVABVAFQARQAoAEMAZQBsAGwALABDAGgAYQByAGEAYwB0AGUAcgBUAG8AUgBlAG0AbwB2AGUAMQAsAFwAIgBcACIAKQAsAEMAaABhAHIAYQBjAHQAZQByAFQAbwBSAGUAbQBvAHYAZQAyACwAXAAiAFwAIgApACwAXABuACAAIAAgACAAIAAgACAAIAAgACAAIAAgAEQAZQBsAGkAbQBpAHQAZQByACwAXAAiAFwAdQAwADAAMwBjAC8AcwBcAHUAMAAwADMAZQBcAHUAMAAwADMAYwBzAFwAdQAwADAAMwBlAFwAIgBcAG4AIAAgACAAIAAgACAAIAAgACkAIABcAHUAMAAwADIANgBcAG4AIAAgACAAIAAgACAAIAAgAFwAIgBcAHUAMAAwADMAYwAvAHMAXAB1ADAAMAAzAGUAXAB1ADAAMAAzAGMALwB0AFwAdQAwADAAMwBlAFwAIgAsAFwAbgAgACAAIAAgACAAIAAgACAAXAAiAC8ALwBzAFwAIgBcAG4AIAAgACAAIAApAFwAbgApADsAXABuAFwAbgBVAHQAaQBsAGkAdAB5AF8ARwBlAHQAQwBsAGkAbQBhAHQAZQBaAG8AbgBlAFwAbgA9AEwAQQBNAEIARABBACgAXABuACAAIAAgACAAYQB2AGcAVABlAG0AcAAsAGEAdgBnAFIAYQBpAG4ALABmAHIAbwBzAHQARABhAHkAcwAsAGUAbABlAHYALABtAGEAcABfAHAAZQB0ACwAXABuACAAIAAgACAAbQBpAG4AVABlAG0AcABBAHIAcgBhAHkALABtAGEAeABUAGUAbQBwAEEAcgByAGEAeQAsAFwAbgAgACAAIAAgAG0AaQBuAFIAYQBpAG4AZgBhAGwAbABBAHIAcgBhAHkALABtAGEAeABSAGEAaQBuAGYAYQBsAGwAQQByAHIAYQB5ACwAXABuACAAIAAgACAAbQBpAG4ARgByAG8AcwB0AEEAcgByAGEAeQAsAG0AYQB4AEYAcgBvAHMAdABBAHIAcgBhAHkALABcAG4AIAAgACAAIABtAGkAbgBFAGwAZQB2AGEAdABpAG8AbgBBAHIAcgBhAHkALABtAGEAeABFAGwAZQB2AGEAdABpAG8AbgBBAHIAcgBhAHkALABcAG4AIAAgACAAIABtAGkAbgBQAEUAVABBAHIAcgBhAHkALABtAGEAeABQAEUAVABBAHIAcgBhAHkALABcAG4AIAAgACAAIABjAGwAaQBtAGEAdABlAFoAbwBuAGUAQQByAHIAYQB5ACwAXABuACAAIAAgACAATABFAFQAKABcAG4AIAAgACAAIAAgACAAIAAgAG0AYQBzAGsALABcAG4AIAAgACAAIAAgACAAIAAgACgAVgBBAEwAVQBFACgAbQBpAG4AVABlAG0AcABBAHIAcgBhAHkAKQBcAHUAMAAwADMAYwA9AGEAdgBnAFQAZQBtAHAAKQAqAFwAbgAgACAAIAAgACAAIAAgACAAKABWAEEATABVAEUAKABtAGEAeABUAGUAbQBwAEEAcgByAGEAeQApAFwAdQAwADAAMwBlAD0AYQB2AGcAVABlAG0AcAApACoAXABuACAAIAAgACAAIAAgACAAIAAoAFYAQQBMAFUARQAoAG0AaQBuAFIAYQBpAG4AZgBhAGwAbABBAHIAcgBhAHkAKQBcAHUAMAAwADMAYwA9AGEAdgBnAFIAYQBpAG4AKQAqAFwAbgAgACAAIAAgACAAIAAgACAAKABWAEEATABVAEUAKABtAGEAeABSAGEAaQBuAGYAYQBsAGwAQQByAHIAYQB5ACkAXAB1ADAAMAAzAGUAPQBhAHYAZwBSAGEAaQBuACkAKgBcAG4AIAAgACAAIAAgACAAIAAgACgAVgBBAEwAVQBFACgAbQBpAG4ARgByAG8AcwB0AEEAcgByAGEAeQApAFwAdQAwADAAMwBjAD0AZgByAG8AcwB0AEQAYQB5AHMAKQAqAFwAbgAgACAAIAAgACAAIAAgACAAKABWAEEATABVAEUAKABtAGEAeABGAHIAbwBzAHQAQQByAHIAYQB5ACkAXAB1ADAAMAAzAGUAPQBmAHIAbwBzAHQARABhAHkAcwApACoAXABuACAAIAAgACAAIAAgACAAIAAoAFYAQQBMAFUARQAoAG0AaQBuAEUAbABlAHYAYQB0AGkAbwBuAEEAcgByAGEAeQApAFwAdQAwADAAMwBjAD0AZQBsAGUAdgApACoAXABuACAAIAAgACAAIAAgACAAIAAoAFYAQQBMAFUARQAoAG0AYQB4AEUAbABlAHYAYQB0AGkAbwBuAEEAcgByAGEAeQApAFwAdQAwADAAMwBlAD0AZQBsAGUAdgApACoAXABuACAAIAAgACAAIAAgACAAIAAoAFYAQQBMAFUARQAoAG0AaQBuAFAARQBUAEEAcgByAGEAeQApAFwAdQAwADAAMwBjAD0AbQBhAHAAXwBwAGUAdAApACoAXABuACAAIAAgACAAIAAgACAAIAAoAFYAQQBMAFUARQAoAG0AYQB4AFAARQBUAEEAcgByAGEAeQApAFwAdQAwADAAMwBlAD0AbQBhAHAAXwBwAGUAdAApACwAXABuACAAIAAgACAAIAAgACAAIABUAEEASwBFACgAXABuACAAIAAgACAAIAAgACAAIAAgACAAIAAgAEYASQBMAFQARQBSACgAYwBsAGkAbQBhAHQAZQBaAG8AbgBlAEEAcgByAGEAeQAsAG0AYQBzAGsALAAgAFwAIgBOAG8AIABtAGEAdABjAGgAXAAiACkALABcAG4AIAAgACAAIAAgACAAIAAgACAAIAAgACAAMQBcAG4AIAAgACAAIAAgACAAIAAgACkAXABuACAAIAAgACAAKQBcAG4AKQA7AFwAbgBcAG4AVQB0AGkAbABpAHQAeQBfAEwAbwBvAGsAdQBwAEkAdABlAG0ARgByAG8AbQBNAGkAbgBNAGEAeABcAG4APQBMAEEATQBCAEQAQQAoAFwAbgAgACAAIAAgAEwAbwBvAGsAdQBwAFYAYQBsAHUAZQAsACAATQBpAG4AQQByAHIAYQB5ACwAIABNAGEAeABBAHIAcgBhAHkALAAgAEkAdABlAG0AQQByAHIAYQB5ACwAXABuACAAIAAgACAATABFAFQAKABcAG4AIAAgACAAIAAgACAAIAAgAG0AYQBzAGsALABcAG4AIAAgACAAIAAgACAAIAAgACgAVgBBAEwAVQBFACgATQBpAG4AQQByAHIAYQB5ACkAXAB1ADAAMAAzAGMAPQBMAG8AbwBrAHUAcABWAGEAbAB1AGUAKQAqAFwAbgAgACAAIAAgACAAIAAgACAAKABWAEEATABVAEUAKABNAGEAeABBAHIAcgBhAHkAKQBcAHUAMAAwADMAZQA9AEwAbwBvAGsAdQBwAFYAYQBsAHUAZQApACwAXABuACAAIAAgACAAIAAgACAAIABGAEkATABUAEUAUgAoAEkAdABlAG0AQQByAHIAYQB5ACwAIABtAGEAcwBrACwAIABcACIATgBvACAAbQBhAHQAYwBoAFwAIgApAFwAbgAgACAAIAAgACkAXABuACkAOwBcAG4AXABuAFwAbgBVAHQAaQBsAGkAdAB5AF8AUwB1AG0AUQB1AGEAbgB0AGkAdAB5AEYAcgBvAG0AQwByAGkAdABlAHIAaQBhAFwAbgA9AEwAQQBNAEIARABBACgAXABuACAAIABDAHIAaQB0AGUAcgBpAGEAMQAsACAAQwByAGkAdABlAHIAaQBhADEAVAB5AHAAZQBBAHIAcgBhAHkALAAgAFEAdQBhAG4AdABpAHQAeQAsACAAWwBNAHUAbAB0AGkAcABsAGkAZQByAF0ALAAgAFsAQwByAGkAdABlAHIAaQBhADIAXQAsAFsAQwByAGkAdABlAHIAaQBhADIAQQByAHIAYQB5AF0ALABcAG4AIAAgAEwARQBUACgAXABuACAAIAAgACAAbQB1AGwAdABpAHAAbABpAGUAcgAsACAASQBGACgASQBTAE8ATQBJAFQAVABFAEQAKABNAHUAbAB0AGkAcABsAGkAZQByACkALAAxACwATQB1AGwAdABpAHAAbABpAGUAcgApACwAXABuACAAIAAgACAAcQB1AGEAbgB0AGkAdAB5ACwAIABRAHUAYQBuAHQAaQB0AHkAKgBNAHUAbAB0AGkAcABsAGkAZQByACwAXABuACAAIAAgACAAYwByAGkAdABlAHIAaQBhADEALAAtAC0AKABDAHIAaQB0AGUAcgBpAGEAMQBUAHkAcABlAEEAcgByAGEAeQA9AEMAcgBpAHQAZQByAGkAYQAxACkALABcAG4AIAAgACAAIABjAHIAaQB0AGUAcgBpAGEAMgAsAEkARgAoAEkAUwBPAE0ASQBUAFQARQBEACgAQwByAGkAdABlAHIAaQBhADIAKQAsADEALAAtAC0AKABDAHIAaQB0AGUAcgBpAGEAMgBBAHIAcgBhAHkAPQBDAHIAaQB0AGUAcgBpAGEAMgApACkALABcAG4AIAAgACAAIABTAFUATQBQAFIATwBEAFUAQwBUACgAYwByAGkAdABlAHIAaQBhADEAKgBjAHIAaQB0AGUAcgBpAGEAMgAqAHEAdQBhAG4AdABpAHQAeQApAFwAbgAgACAAKQBcAG4AKQA7AFwAbgBcAG4AZwBlAHQATwB2AGUAcgBsAGEAcABwAGkAbgBnAFIAZQBwAG8AcgB0AGkAbgBnAEMAeQBjAGwAZQ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XABuACAAIAAgACAAIAAgACAAIABQAGUAcgBpAG8AZABFAG4AZAAsAEwAQQBNAEIARABBACgAcwB0ACwARQBEAEEAVABFACgAcwB0ACwAMQAyACkALQAxACkALABcAG4AIAAgACAAIAAgACAAIAAgAEEALABTAC0AMwA2ADUALABcAG4AIAAgACAAIAAgACAAIAAgAHkAYQAsAFkARQBBAFIAKABBACkALABcAG4AIAAgACAAIAAgACAAIAAgAHkAYgAsAFkARQBBAFIAKABFACkALABcAG4AIAAgACAAIAAgACAAIAAgAGYAaQByAHMAdABZAGUAYQByACwAeQBhACsAKABQAGUAcgBpAG8AZABFAG4AZAAoAEQAQQBUAEUAKAB5AGEALABtACwAZAApACkAXAB1ADAAMAAzAGMAIABTACkALABcAG4AIAAgACAAIAAgACAAIAAgAGwAYQBzAHQAWQBlAGEAcgAsAHkAYgAtACgARABBAFQARQAoAHkAYgAsAG0ALABkACkAXAB1ADAAMAAzAGUAIABFACkALABcAG4AIAAgACAAIAAgACAAIAAgAE0AQQBYACgAMAAsAGwAYQBzAHQAWQBlAGEAcgAtAGYAaQByAHMAdABZAGUAYQByACsAMQApAFwAbgAgACAAIAAgACkAXABuACkAOwBcAG4AXABuAGcAZQB0AE8AdgBlAHIAbABhAHAAcABpAG4AZwBSAGUAcABvAHIAdABpAG4AZwBQAGUAcgBpAG8AZABzAFwAbgA9AEwAQQBNAEIARABBACgAXABuACAAIAAgACAAUAByAG8AZAB1AGMAdABpAG8AbgBDAHkAYwBsAGUAUwB0AGEAcgB0ACwAUAByAG8AZAB1AGMAdABpAG8AbgBDAHkAYwBsAGUARQBuAGQALABSAGUAcABvAHIAdABpAG4AZwBDAHkAYwBsAGUAUwB0AGEAcgB0ACwAXABuACAAIAAgACAATABFAFQAKABcAG4AIAAgACAAIAAgACAAIAAgAFMALABQAHIAbwBkAHUAYwB0AGkAbwBuAEMAeQBjAGwAZQBTAHQAYQByAHQALABcAG4AIAAgACAAIAAgACAAIAAgAEUALABQAHIAbwBkAHUAYwB0AGkAbwBuAEMAeQBjAGwAZQBFAG4AZAAsAFwAbgAgACAAIAAgACAAIAAgACAAbQAsAE0ATwBOAFQASAAoAFIAZQBwAG8AcgB0AGkAbgBnAEMAeQBjAGwAZQBTAHQAYQByAHQAKQAsAFwAbgAgACAAIAAgACAAIAAgACAAZAAsAEQAQQBZACgAUgBlAHAAbwByAHQAaQBuAGcAQwB5AGMAbABlAFMAdABhAHIAdAApACwAIAAvACoAaABlAGwAcABlAHIAOgAgAGUAbgBkACAAZABhAHQAZQAgAGYAbwByACAAYQAgAHIAZQBwAG8AcgB0AGkAbgBnACAAcABlAHIAaQBvAGQAIABzAHQAYQByAHQAaQBuAGcAIABhAHQAIABhACAAZwBpAHYAZQBuACAAZABhAHQAZQAqAC8AXABuACAAIAAgACAAIAAgACAAIABQAGUAcgBpAG8AZABFAG4AZAAsAEwAQQBNAEIARABBACgAcwB0ACwARQBEAEEAVABFACgAcwB0ACwAMQAyACkALQAxACkALAAgAC8AKgBvAG4AbAB5ACAAbgBlAGUAZAAgAHQAbwAgAGwAbwBvAGsAIABiAGEAYwBrACAAMwA2ADUAIABkAGEAeQBzACgAbQBhAHgAIABvAHYAZQByAGwAYQBwACAAdwBpAG4AZABvAHcAKQAqAC8AXABuACAAIAAgACAAIAAgACAAIABBACwAUwAtADMANgA1ACwAXABuACAAIAAgACAAIAAgACAAIAB5AGEALABZAEUAQQBSACgAQQApACwAXABuACAAIAAgACAAIAAgACAAIAB5AGIALABZAEUAQQBSACgARQApACwAIAAvACoAaQBmACAAdABoAGUAIABhAG4AYwBoAG8AcgAgAGYAbwByACAAeQBhACAAZQBuAGQAcwAgAGIAZQBmAG8AcgBlACAAUwAsAGkAdAAgAGMAYQBuAFwAdQAwADAAMgA3AHQAIABvAHYAZQByAGwAYQBwADsAIABtAG8AdgBlACAAdABvACAAbgBlAHgAdAAgAHkAZQBhAHIAKgAvAFwAbgAgACAAIAAgACAAIAAgACAAZgBpAHIAcwB0AFkAZQBhAHIALAB5AGEAKwAoAFAAZQByAGkAbwBkAEUAbgBkACgARABBAFQARQAoAHkAYQAsAG0ALABkACkAKQBcAHUAMAAwADMAYwBTACkALAAgAC8AKgBpAGYAIAB0AGgAZQAgAGEAbgBjAGgAbwByACAAZgBvAHIAIAB5AGIAIABzAHQAYQByAHQAcwAgAGEAZgB0AGUAcgAgAEUALABpAHQAIABjAGEAbgBcAHUAMAAwADIANwB0ACAAbwB2AGUAcgBsAGEAcAA7ACAAbQBvAHYAZQAgAHQAbwAgAHAAcgBlAHYAaQBvAHUAcwAgAHkAZQBhAHIAKgAvAFwAbgAgACAAIAAgACAAIAAgACAAbABhAHMAdABZAGUAYQByACwAeQBiAC0AKABEAEEAVABFACgAeQBiACwAbQAsAGQAKQBcAHUAMAAwADMAZQBFACkALABcAG4AIAAgACAAIAAgACAAIAAgAG4ALABNAEEAWAAoADAALABsAGEAcwB0AFkAZQBhAHIALQBmAGkAcgBzAHQAWQBlAGEAcgArADEAKQAsAFwAbgAgACAAIAAgACAAIAAgACAAeQByAHMALABTAEUAUQBVAEUATgBDAEUAKABuACwAMQAsAGYAaQByAHMAdABZAGUAYQByACwAMQApACwAXABuACAAIAAgACAAIAAgACAAIABzAHQAYQByAHQAcwAsAEQAQQBUAEUAKAB5AHIAcwAsAG0ALABkACkALABcAG4AIAAgACAAIAAgACAAIAAgAGUAbgBkAHMALABNAEEAUAAoAHMAdABhAHIAdABzACwAUABlAHIAaQBvAGQARQBuAGQAKQAsAFwAbgAgACAAIAAgACAAIAAgACAAdABhAGcALABJAEYAKABzAHQAYQByAHQAcwA9AFIAZQBwAG8AcgB0AGkAbgBnAEMAeQBjAGwAZQBTAHQAYQByAHQALABcACIAIAAoAFQAaABpAHMAIAByAGUAcABvAHIAdABpAG4AZwAgAGMAeQBjAGwAZQApAFwAIgAsAFwAIgBcACIAKQAsAFwAbgAgACAAIAAgACAAIAAgACAAcwB0AGEAcgB0AHMAVABlAHgAdAAsAFQARQBYAFQAKABzAHQAYQByAHQAcwAsAFwAIgBkAGQAIABtAG0AbQAgAHkAeQB5AHkAXAAiACkALABcAG4AIAAgACAAIAAgACAAIAAgAGUAbgBkAHMAVABlAHgAdAAsAFQARQBYAFQAKABlAG4AZABzACwAXAAiAGQAZAAgAG0AbQBtACAAeQB5AHkAeQBcACIAKQAsAFwAbgAgACAAIAAgACAAIAAgACAASQBGACgAbgA9ADAALABcACIAXAAiACwASABTAFQAQQBDAEsAKABzAHQAYQByAHQAcwBUAGUAeAB0ACAAXAB1ADAAMAAyADYAIABcACIAIAB0AG8AIABcACIAIABcAHUAMAAwADIANgAgAGUAbgBkAHMAVABlAHgAdAAgAFwAdQAwADAAMgA2ACAAdABhAGcAKQApAFwAbgAgACAAIAAgACkAXABuACkAOwBcAG4AXABuAFUAdABpAGwAaQB0AHkAXwBEAGkAcwBwAGwAYQB5AEYAdQBuAGMAdABpAG8AbgBOAGEAbQBlAFwAbgA9AEwAQQBNAEIARABBACgARgB1AG4AYwB0AGkAbwBuACwAIABUAEUAWABUAEIARQBGAE8AUgBFACgARgBPAFIATQBVAEwAQQBUAEUAWABUACgARgB1AG4AYwB0AGkAbwBuACkALAAgAFwAIgAoAFwAIgApACkAOwBcAG4AXABuAFUAdABpAGwAaQB0AHkAXwBMAG8AbwBrAHUAcABOADIATwBFAEYARgByAG8AbQBQAHIAbwBkAEkAcgByAGkAZwBhAHQAaQBvAG4AUgBhAGkAbgBmAGEAbABsAFwAbgA9AEwAQQBNAEIARABBACgAXABuACAAIAAgACAAUAByAG8AZAB1AGMAdABpAG8AbgBTAHkAcwB0AGUAbQAsACAASQByAHIAaQBnAGEAdABpAG8AbgBNAGUAdABoAG8AZAAsACAAUgBhAGkAbgBmAGEAbABsAFoAbwBuAGUALABcAG4AIAAgACAAIABQAHIAbwBkAHUAYwB0AGkAbwBuAFMAeQBzAHQAZQBtAEEAcgByAGEAeQAsACAASQByAHIAaQBnAGEAdABpAG8AbgBNAGUAdABoAG8AZABBAHIAcgBhAHkALAAgAFIAYQBpAG4AZgBhAGwAbABaAG8AbgBlAEEAcgByAGEAeQAsAFIAZQB0AHUAcgBuAEEAcgByAGEAeQAsAFwAbgAgACAAIAAgAEwARQBUACgAXABuACAAIAAgACAAIAAgACAAIABJAHIAcgBpAGcAYQB0AGkAbwBuAE0AZQB0AGgAbwBkACwAIABJAEYAKABJAHIAcgBpAGcAYQB0AGkAbwBuAE0AZQB0AGgAbwBkAD0AXAAiAE4AbwB0ACAAaQByAHIAaQBnAGEAdABlAGQAXAAiACwAIABcACIATgBvAHQAIABpAHIAcgBpAGcAYQB0AGUAZABcACIALAAgAFwAIgBBAG4AeQBcACIAKQAsAFwAbgAgACAAIAAgACAAIAAgACAAUgBhAGkAbgBmAGEAbABsAFoAbwBuAGUALAAgAEkARgAoAEkAcgByAGkAZwBhAHQAaQBvAG4ATQBlAHQAaABvAGQAIAA9ACAAXAAiAE4AbwB0ACAAaQByAHIAaQBnAGEAdABlAGQAXAAiACwAIABSAGEAaQBuAGYAYQBsAGwAWgBvAG4AZQAsACAAXAAiAEEAbgB5AFwAIgApACwAXABuACAAIAAgACAAIAAgACAAIABYAEwATwBPAEsAVQBQACgAMQAsACAAXABuACAAIAAgACAAIAAgACAAIAAgACAAIAAgACgAUAByAG8AZAB1AGMAdABpAG8AbgBTAHkAcwB0AGUAbQBBAHIAcgBhAHkAPQBQAHIAbwBkAHUAYwB0AGkAbwBuAFMAeQBzAHQAZQBtACkAKgBcAG4AIAAgACAAIAAgACAAIAAgACAAIAAgACAAKABJAHIAcgBpAGcAYQB0AGkAbwBuAE0AZQB0AGgAbwBkAEEAcgByAGEAeQA9AEkAcgByAGkAZwBhAHQAaQBvAG4ATQBlAHQAaABvAGQAKQAqAFwAbgAgACAAIAAgACAAIAAgACAAIAAgACAAIAAoAFIAYQBpAG4AZgBhAGwAbABaAG8AbgBlAEEAcgByAGEAeQA9AFIAYQBpAG4AZgBhAGwAbABaAG8AbgBlACkALAAgAFwAbgAgACAAIAAgACAAIAAgACAAIAAgACAAIABSAGUAdAB1AHIAbgBBAHIAcgBhAHkAKQBcAG4AIAAgACAAIAApAFwAbgApADsAXABuAFwAbgBDAG8AbQBtAG8AbgBDAHIAbwBwAHAAaQBuAGcAXwBHAGUAdABGAHIAYQBjAFcARQBUAFwAbgA9AEwAQQBNAEIARABBACgAXABuACAAIAAgACAATABlAGEAYwBoAGkAbgBnAFoAbwBuAGUALABcAG4AIAAgACAAIABQAHIAbwBkAHUAYwB0AGkAbwBuAFMAeQBzAHQAZQBtACwAXABuACAAIAAgACAATABlAGEAYwBoAGkAbgBnAFoAbwBuAGUATABvAG8AawB1AHAALABcAG4AIAAgACAAIABMAGUAYQBjAGgAaQBuAGcAWgBvAG4AZQBGAHIAYQBjAFcARQBUAEwAbwBvAGsAdQBwACwAXABuACAAIAAgACAAUAByAG8AZAB1AGMAdABpAG8AbgBTAHkAcwB0AGUAbQBMAG8AbwBrAHUAcAAsAFwAbgAgACAAIAAgAFAAcgBvAGQAdQBjAHQAaQBvAG4AUwB5AHMAdABlAG0ARgByAGEAYwBXAEUAVABMAG8AbwBrAHUAcAAsAFwAbgAgACAAIAAgAEwARQBUACgAXABuACAAIAAgACAAIAAgACAAIABMAGUAYQBjAGgAaQBuAGcAWgBvAG4AZQBGAHIAYQBjAFcARQBUACwAIABcAG4AIAAgACAAIAAgACAAIAAgAEMAbwBtAG0AbwBuAF8ASQBuAHAAdQB0AEYAdQBuAGMAdABpAG8AbgBzAC4AVQB0AGkAbABpAHQAeQBfAEwAbwBvAGsAdQBwAFYAYQBsAHUAZQBJAG4AVABhAGIAbABlAE4AdQBtAGIAZQByACgAXABuACAAIAAgACAAIAAgACAAIAAgACAAIAAgAEwAZQBhAGMAaABpAG4AZwBaAG8AbgBlACwATABlAGEAYwBoAGkAbgBnAFoAbwBuAGUATABvAG8AawB1AHAALABMAGUAYQBjAGgAaQBuAGcAWgBvAG4AZQBGAHIAYQBjAFcARQBUAEwAbwBvAGsAdQBwAFwAbgAgACAAIAAgACAAIAAgACAAKQAsAFwAbgAgACAAIAAgACAAIAAgACAAUAByAG8AZAB1AGMAdABpAG8AbgBTAHkAcwB0AGUAbQBGAHIAYQBjAFcARQBUACwAIABcAG4AIAAgACAAIAAgACAAIAAgAEMAbwBtAG0AbwBuAF8ASQBuAHAAdQB0AEYAdQBuAGMAdABpAG8AbgBzAC4AVQB0AGkAbABpAHQAeQBfAEwAbwBvAGsAdQBwAFYAYQBsAHUAZQBJAG4AVABhAGIAbABlAE4AdQBtAGIAZQByACgAXABuACAAIAAgACAAIAAgACAAIAAgACAAIAAgAFAAcgBvAGQAdQBjAHQAaQBvAG4AUwB5AHMAdABlAG0ALABQAHIAbwBkAHUAYwB0AGkAbwBuAFMAeQBzAHQAZQBtAEwAbwBvAGsAdQBwACwAUAByAG8AZAB1AGMAdABpAG8AbgBTAHkAcwB0AGUAbQBGAHIAYQBjAFcARQBUAEwAbwBvAGsAdQBwAFwAbgAgACAAIAAgACAAIAAgACAAKQAsAFwAbgAgACAAIAAgACAAIAAgACAASQBGACgATABlAGEAYwBoAGkAbgBnAFoAbwBuAGUARgByAGEAYwBXAEUAVAAgACsAIABQAHIAbwBkAHUAYwB0AGkAbwBuAFMAeQBzAHQAZQBtAEYAcgBhAGMAVwBFAFQAXAB1ADAAMAAzAGUAMAAsACAAMQAsACAAMAApAFwAbgAgACAAIAAgACkAKQA7AFwAbgBcAG4AXABuAFUAdABpAGwAaQB0AHkAXwBDAG8AbgB2AGUAcgB0AFMAdABhAHQAZQBDAG8AbQBtAG8AbgBOAGEAbQBlAFQAbwBBAGIAYgByAGUAdgBpAGEAdABpAG8AbgBcAG4APQBMAEEATQBCAEQAQQAoAFwAbgAgACAAIAAgAFMAdABhAHQAZQBDAG8AbQBtAG8AbgBOAGEAbQBlACwAXABuACAAIAAgACAAUwB0AGEAdABlAEMAbwBtAG0AbwBuAE4AYQBtAGUAQQByAHIAYQB5ACwAIABTAHQAYQB0AGUAQQBiAGIAcgBlAHYAaQBhAHQAaQBvAG4AQQByAHIAYQB5ACwAXABuACAAIAAgACAAWABMAE8ATwBLAFUAUAAoAFMAdABhAHQAZQBDAG8AbQBtAG8AbgBOAGEAbQBlACwAIABTAHQAYQB0AGUAQwBvAG0AbQBvAG4ATgBhAG0AZQBBAHIAcgBhAHkALAAgAFMAdABhAHQAZQBBAGIAYgByAGUAdgBpAGEAdABpAG8AbgBBAHIAcgBhAHkALAAgAFwAIgBcACIAKQBcAG4AKQA7AFwAbgBcAG4AVQB0AGkAbABpAHQAeQBfAFMAbwB1AHIAYwBlAEgAeQBwAGUAcgBsAGkAbgBrAFwAbgA9AEwAQQBNAEIARABBACgAVABhAHIAZwBlAHQAQwBlAGwAbAAsAFwAbgAgACAATABFAFQAKABcAG4AIAAgACAAIABzAGgALAAgAFQARQBYAFQAQQBGAFQARQBSACgAQwBFAEwATAAoAFwAIgBmAGkAbABlAG4AYQBtAGUAXAAiACwAIABUAGEAcgBnAGUAdABDAGUAbABsACkALAAgAFwAIgBdAFwAIgApACwAXABuACAAIAAgACAAYQBkAGQAcgAsACAAQwBFAEwATAAoAFwAIgBhAGQAZAByAGUAcwBzAFwAIgAsACAAVABhAHIAZwBlAHQAQwBlAGwAbAApACwAXABuACAAIAAgACAAXAAiACMAXAB1ADAAMAAyADcAXAAiACAAXAB1ADAAMAAyADYAIABzAGgAIABcAHUAMAAwADIANgAgAFwAIgBcAHUAMAAwADIANwAhAFwAIgAgAFwAdQAwADAAMgA2ACAAYQBkAGQAcgBcAG4AIAAgACkAXABuACkAOwBcAG4AXABuAFUAdABpAGwAaQB0AHkAXwBTAG8AdQByAGMAZQBIAHkAcABlAHIAbABpAG4AawBEAGkAZgBmAGUAcgBlAG4AdABTAGgAZQBlAHQAXABuAD0ATABBAE0AQgBEAEEAKABUAGEAcgBnAGUAdABDAGUAbABsACwAXABuACAAIABMAEUAVAAoAFwAbgAgACAAIAAgAHMAaAAsACAAVABFAFgAVABBAEYAVABFAFIAKABDAEUATABMACgAXAAiAGYAaQBsAGUAbgBhAG0AZQBcACIALAAgAFQAYQByAGcAZQB0AEMAZQBsAGwAKQAsACAAXAAiAF0AXAAiACkALABcAG4AIAAgACAAIABhAGQAZAByACwAIABDAEUATABMACgAXAAiAGEAZABkAHIAZQBzAHMAXAAiACwAIABUAGEAcgBnAGUAdABDAGUAbABsACkALABcAG4AIAAgACAAIABcACIAIwBcACIAIABcAHUAMAAwADIANgAgAGEAZABkAHIAXABuACAAIAApAFwAbgApADsAXABuAFwAbgBVAHQAaQBsAGkAdAB5AF8ARABpAHMAcABsAGEAeQBBAHIAZwB1AG0AZQBuAHQAcwBfADEAXwAyAFwAbgA9AEwAQQBNAEIARABBACgAXABuACAAIAAgACAAQQByAGcAdQBtAGUAbgB0AHMAQQByAHIAYQB5ACwAXABuACAAIAAgACAAQwBIAE8ATwBTAEUAQwBPAEwAUwAoAEEAcgBnAHUAbQBlAG4AdABzAEEAcgByAGEAeQAsACAAMQAsACAAMgApAFwAbgApADsAXABuAFwAbgBVAHQAaQBsAGkAdAB5AF8ARABpAHMAcABsAGEAeQBBAHIAZwB1AG0AZQBuAHQAcwBfADMAXwA0AFwAbgA9AEwAQQBNAEIARABBACgAXABuACAAIAAgACAAQQByAGcAdQBtAGUAbgB0AHMAQQByAHIAYQB5ACwAXABuACAAIAAgACAAQwBIAE8ATwBTAEUAQwBPAEwAUwAoAEEAcgBnAHUAbQBlAG4AdABzAEEAcgByAGEAeQAsACAAMwAsACAANAApAFwAbgApADsAXABuAFwAbgBDAG8AbQBtAG8AbgBfAEcAZQB0AE0AQwBGAFQAZQBtAHAAZQByAGEAdAB1AHIAZQBaAG8AbgBlAFwAbgA9AEwAQQBNAEIARABBACgAXABuACAAIAAgACAAVABlAG0AcABlAHIAYQB0AHUAcgBlACwAIABNAE0AUwAsACAAVABlAG0AcABlAHIAYQB0AHUAcgBlAEEAcgByAGEAeQAsACAATQBNAFMAQQByAHIAYQB5ACwAIABSAGUAdAB1AHIAbgBBAHIAcgBhAHkALABcAG4AIAAgACAAIABYAEwATwBPAEsAVQBQACgAXABuACAAIAAgACAAIAAgACAAIABNAEUARABJAEEATgAoAFwAbgAgACAAIAAgACAAIAAgACAAIAAgACAAIABUAGUAbQBwAGUAcgBhAHQAdQByAGUALAAgAFwAbgAgACAAIAAgACAAIAAgACAAIAAgACAAIABNAEkATgAoAFQAZQBtAHAAZQByAGEAdAB1AHIAZQBBAHIAcgBhAHkAKQAsACAAXABuACAAIAAgACAAIAAgACAAIAAgACAAIAAgAE0AQQBYACgAVABlAG0AcABlAHIAYQB0AHUAcgBlAEEAcgByAGEAeQApAFwAbgAgACAAIAAgACAAIAAgACAAKQAsAFwAbgAgACAAIAAgACAAIAAgACAAVABlAG0AcABlAHIAYQB0AHUAcgBlAEEAcgByAGEAeQAsAFwAbgAgACAAIAAgACAAIAAgACAAWABMAE8ATwBLAFUAUAAoAE0ATQBTACwAIABNAE0AUwBBAHIAcgBhAHkALAAgAFIAZQB0AHUAcgBuAEEAcgByAGEAeQApAFwAbgAgACAAIAAgACkAXABuACkAOwBcAG4AXABuAFwAbgBVAHQAaQBsAGkAdAB5AF8AUgBlAHMAdQBsAHQAcwBJAHQAZQBtAEYAcgBvAG0ARQBxAHUAYQB0AGkAbwBuAFQAaQB0AGwAZQBBAG4AZABTAG8AdQByAGMAZQBcAG4APQBMAEEATQBCAEQAQQAoAFwAbgAgACAAIAAgAFQAaQB0AGwAZQBDAGUAbABsACwAIABTAG8AdQByAGMAZQBDAGUAbABsACwAXABuACAAIAAgACAAUwBVAEIAUwBUAEkAVABVAFQARQAoAEwARQBGAFQAKABTAG8AdQByAGMAZQBDAGUAbABsACwAIABGAEkATgBEACgAXAAiACwAXAAiACwAIABTAG8AdQByAGMAZQBDAGUAbABsACkAIAAtADEAKQAsACAAXAAiAFYARQBFAFIARwAgADIAMAAyADYAOgAgAFwAIgAsACAAXAAiAFwAIgApACAAXAB1ADAAMAAyADYAIABcACIAIABcACIAIABcAHUAMAAwADIANgAgAFQAaQB0AGwAZQBDAGUAbABsAFwAbgApADsAIgB9ACwAewAiAHAAYQB0AGgAIgA6ACIALwBwAHIAbwBqAGUAYwB0AHMALwBDAG8AbQBtAG8AbgBDAHIAbwBwAHAAaQBuAGcAXwBJAG4AcAB1AHQARgB1AG4AYwB0AGkAbwBuAHMAIgAsACIAdABlAHgAdAAiADoAIgBcAG4AQwBvAG0AbQBvAG4AQwByAG8AcABwAGkAbgBnAF8ARwBlAHQARgByAGEAYwBXAEUAVABcAG4APQBMAEEATQBCAEQAQQAoAFwAbgAgACAAIAAgAEwAZQBhAGMAaABpAG4AZwBaAG8AbgBlACwAXABuACAAIAAgACAAUAByAG8AZAB1AGMAdABpAG8AbgBTAHkAcwB0AGUAbQAsAFwAbgAgACAAIAAgAEwAZQBhAGMAaABpAG4AZwBaAG8AbgBlAEwAbwBvAGsAdQBwACwAXABuACAAIAAgACAATABlAGEAYwBoAGkAbgBnAFoAbwBuAGUARgByAGEAYwBXAEUAVABMAG8AbwBrAHUAcAAsAFwAbgAgACAAIAAgAFAAcgBvAGQAdQBjAHQAaQBvAG4AUwB5AHMAdABlAG0ATABvAG8AawB1AHAALABcAG4AIAAgACAAIABQAHIAbwBkAHUAYwB0AGkAbwBuAFMAeQBzAHQAZQBtAEYAcgBhAGMAVwBFAFQATABvAG8AawB1AHAALABcAG4AIAAgACAAIABMAEUAVAAoAFwAbgAgACAAIAAgACAAIAAgACAATABlAGEAYwBoAGkAbgBnAFoAbwBuAGUARgByAGEAYwBXAEUAVAAsACAAXABuACAAIAAgACAAIAAgACAAIABDAG8AbQBtAG8AbgBfAEkAbgBwAHUAdABGAHUAbgBjAHQAaQBvAG4AcwAuAFUAdABpAGwAaQB0AHkAXwBMAG8AbwBrAHUAcABWAGEAbAB1AGUASQBuAFQAYQBiAGwAZQBOAHUAbQBiAGUAcgAoAFwAbgAgACAAIAAgACAAIAAgACAAIAAgACAAIABMAGUAYQBjAGgAaQBuAGcAWgBvAG4AZQAsAEwAZQBhAGMAaABpAG4AZwBaAG8AbgBlAEwAbwBvAGsAdQBwACwATABlAGEAYwBoAGkAbgBnAFoAbwBuAGUARgByAGEAYwBXAEUAVABMAG8AbwBrAHUAcABcAG4AIAAgACAAIAAgACAAIAAgACkALABcAG4AIAAgACAAIAAgACAAIAAgAFAAcgBvAGQAdQBjAHQAaQBvAG4AUwB5AHMAdABlAG0ARgByAGEAYwBXAEUAVAAsACAAXABuACAAIAAgACAAIAAgACAAIABDAG8AbQBtAG8AbgBfAEkAbgBwAHUAdABGAHUAbgBjAHQAaQBvAG4AcwAuAFUAdABpAGwAaQB0AHkAXwBMAG8AbwBrAHUAcABWAGEAbAB1AGUASQBuAFQAYQBiAGwAZQBOAHUAbQBiAGUAcgAoAFwAbgAgACAAIAAgACAAIAAgACAAIAAgACAAIABQAHIAbwBkAHUAYwB0AGkAbwBuAFMAeQBzAHQAZQBtACwAUAByAG8AZAB1AGMAdABpAG8AbgBTAHkAcwB0AGUAbQBMAG8AbwBrAHUAcAAsAFAAcgBvAGQAdQBjAHQAaQBvAG4AUwB5AHMAdABlAG0ARgByAGEAYwBXAEUAVABMAG8AbwBrAHUAcABcAG4AIAAgACAAIAAgACAAIAAgACkALABcAG4AIAAgACAAIAAgACAAIAAgAEkARgAoAEwAZQBhAGMAaABpAG4AZwBaAG8AbgBlAEYAcgBhAGMAVwBFAFQAIAArACAAUAByAG8AZAB1AGMAdABpAG8AbgBTAHkAcwB0AGUAbQBGAHIAYQBjAFcARQBUAFwAdQAwADAAMwBlADAALAAgADEALAAgADAAKQBcAG4AIAAgACAAIAApACkAOwBcAG4AXABuAFwAbgBDAG8AbQBtAG8AbgBDAHIAbwBwAHAAaQBuAGcAXwBDAGEAbABjAHUAbABhAHQAZQBIAGEAcgB2AGUAcwB0AEkAbgBkAGUAeABcAG4APQBMAEEATQBCAEQAQQAoAFwAbgAgACAAIAAgAEMAcgBvAHAAVAB5AHAAZQAsACAAQwByAG8AcABUAHkAcABlAEEAcgByAGEAeQAsACAAUgBlAHMAaQBkAHUAZQBDAHIAbwBwAFIAYQB0AGkAbwBBAHIAcgBhAHkALABcAG4AIAAgACAAIAAxAC8AKAAxACsAQwBvAG0AbQBvAG4AXwBJAG4AcAB1AHQARgB1AG4AYwB0AGkAbwBuAHMALgBVAHQAaQBsAGkAdAB5AF8ATABvAG8AawB1AHAAVgBhAGwAdQBlAEkAbgBUAGEAYgBsAGUATgB1AG0AYgBlAHIAKABDAHIAbwBwAFQAeQBwAGUALAAgAEMAcgBvAHAAVAB5AHAAZQBBAHIAcgBhAHkALAAgAFIAZQBzAGkAZAB1AGUAQwByAG8AcABSAGEAdABpAG8AQQByAHIAYQB5ACkAKQBcAG4AKQA7AFwAbgBcAG4AQwBvAG0AbQBvAG4AQwByAG8AcABwAGkAbgBnAF8AQwBhAGwAYwB1AGwAYQB0AGUAUgBlAHMAaQBkAHUAZQBDAHIAbwBwAFIAYQB0AGkAbwBcAG4APQBMAEEATQBCAEQAQQAoAFwAbgAgACAAIAAgAEgAYQByAHYAZQBzAHQASQBuAGQAZQB4ACwAXABuACAAIAAgACAAKAAxAC0ASABhAHIAdgBlAHMAdABJAG4AZABlAHgAKQAvAEgAYQByAHYAZQBzAHQASQBuAGQAZQB4AFwAbgApADsAXABuAFwAbgBcAG4AQwBvAG0AbQBvAG4AQwByAG8AcABwAGkAbgBnAF8AQwBhAGwAYwB1AGwAYQB0AGUARgByAGEAYwB0AGkAbwBuAFIAZQBzAGkAZAB1AGUAUgBlAG0AbwB2AGUAZABcAG4APQBMAEEATQBCAEQAQQAoAFwAbgAgACAAIAAgAFQAbwB0AGEAbABSAGUAcwBpAGQAdQBlACwAIABBAG0AbwB1AG4AdABSAGUAbQBvAHYAZQBkACwAXABuACAAIAAgACAAKABBAG0AbwB1AG4AdABSAGUAbQBvAHYAZQBkACoAMQAwAF4AMwApAC8AKABUAG8AdABhAGwAUgBlAHMAaQBkAHUAZQAqADEAMABeADMAKQBcAG4AKQAiAH0ALAB7ACIAcABhAHQAaAAiADoAIgAvAHAAcgBvAGoAZQBjAHQAcwAvAFMAbwB1AHIAYwBlAEQAYQB0AGEAXwBPAHQAaABlAHIATABpAHYAZQBzAHQAbwBjAGsAIgAsACIAdABlAHgAdAAiADoAIgBcAG4ALwAqACAAXABuAC0ALQAtAC0ALQAtAC0ALQAtAC0ALQAtAC0ALQAtAC0ALQAtAC0ALQAtAC0ALQAtAC0ALQAtAC0ALQAtAC0ALQAtAC0ALQAtAC0ALQBcAG4AUwBvAHUAcgBjAGUARABhAHQAYQBfAE8AdABoAGUAcgBMAGkAdgBlAHMAdABvAGMAawBfAEUAbgB0AGUAcgBpAGMARgBlAHIAbQBlAG4AdABhAHQAaQBvAG4ARQBtAGkAcwBzAGkAbwBuAEYAYQBjAHQAbwByAFwAbgBUAGEAYgBsAGUAIABBAC4AMQAuADUALgAxADoAIABPAHQAaABlAHIAIABMAGkAdgBlAHMAdABvAGMAawAgAC0AIABFAG4AdABlAHIAaQBjACAAZgBlAHIAbQBlAG4AdABhAHQAaQBvAG4AIABlAG0AaQBzAHMAaQBvAG4AIABmAGEAYwB0AG8AcgAgAGYAbwByACAAZQBhAGMAaAAgAG8AdABoAGUAcgAgAGwAaQB2AGUAcwB0AG8AYwBrACAAdAB5AHAAZQAgACgAawBnACAAQwBIADQALwBoAGUAYQBkAC8AeQBlAGEAcgApACAAKABNAGoAKQBcAG4ALQAtAC0ALQAtAC0ALQAtAC0ALQAtAC0ALQAtAC0ALQAtAC0ALQAtAC0ALQAtAC0ALQAtAC0ALQAtAC0ALQAtAC0ALQAtAC0ALQAtAFwAbgAqAC8AXABuAFwAbgBTAG8AdQByAGMAZQBEAGEAdABhAF8ATwB0AGgAZQByAEwAaQB2AGUAcwB0AG8AYwBrAF8ARQBuAHQAZQByAGkAYwBGAGUAcgBtAGUAbgB0AGEAdABpAG8AbgBFAG0AaQBzAHMAaQBvAG4ARgBhAGMAdABvAHIAXwBUAGkAdABsAGUAXABuACAAIAA9AEwAQQBNAEIARABBACgAXAAiAE8AdABoAGUAcgAgAEwAaQB2AGUAcwB0AG8AYwBrACAALQAgAEUAbgB0AGUAcgBpAGMAIABmAGUAcgBtAGUAbgB0AGEAdABpAG8AbgAgAGUAbQBpAHMAcwBpAG8AbgAgAGYAYQBjAHQAbwByACAAZgBvAHIAIABlAGEAYwBoACAAbwB0AGgAZQByACAAbABpAHYAZQBzAHQAbwBjAGsAIAB0AHkAcABlAFwAIgApADsAXABuAFwAbgBTAG8AdQByAGMAZQBEAGEAdABhAF8ATwB0AGgAZQByAEwAaQB2AGUAcwB0AG8AYwBrAF8ARQBuAHQAZQByAGkAYwBGAGUAcgBtAGUAbgB0AGEAdABpAG8AbgBFAG0AaQBzAHMAaQBvAG4ARgBhAGMAdABvAHIAXwBWAGEAcgBpAGEAYgBsAGUAXABuACAAIAA9AEwAQQBNAEIARABBACgAXAAiAE0AagBcACIAKQA7AFwAbgBcAG4AUwBvAHUAcgBjAGUARABhAHQAYQBfAE8AdABoAGUAcgBMAGkAdgBlAHMAdABvAGMAawBfAEUAbgB0AGUAcgBpAGMARgBlAHIAbQBlAG4AdABhAHQAaQBvAG4ARQBtAGkAcwBzAGkAbwBuAEYAYQBjAHQAbwByAF8AVQBuAGkAdABcAG4AIAAgAD0ATABBAE0AQgBEAEEAKABcACIAawBnACAAQwBIADQAIAAvACAAaABlAGEAZAAgAC8AIAB5AGUAYQByAFwAIgApADsAXABuAFwAbgBTAG8AdQByAGMAZQBEAGEAdABhAF8ATwB0AGgAZQByAEwAaQB2AGUAcwB0AG8AYwBrAF8ARQBuAHQAZQByAGkAYwBGAGUAcgBtAGUAbgB0AGEAdABpAG8AbgBFAG0AaQBzAHMAaQBvAG4ARgBhAGMAdABvAHIAXwBTAG8AdQByAGMAZQBcAG4AIAAgAD0ATABBAE0AQgBEAEEAKABcACIAVgBFAEUAUgBHACAAMgAwADIANgA6ACAAVABhAGIAbABlACAAQQAuADEALgA1AC4AMQBcACIAKQA7AFwAbgBcAG4AUwBvAHUAcgBjAGUARABhAHQAYQBfAE8AdABoAGUAcgBMAGkAdgBlAHMAdABvAGMAawBfAEUAbgB0AGUAcgBpAGMARgBlAHIAbQBlAG4AdABhAHQAaQBvAG4ARQBtAGkAcwBzAGkAbwBuAEYAYQBjAHQAbwByAF8AVgBhAHIAaQBhAHQAaQBvAG4AXABuACAAIAA9AEwAQQBNAEIARABBACgAXAAiAFwAIgApADsAXABuAFwAbgBTAG8AdQByAGMAZQBEAGEAdABhAF8ATwB0AGgAZQByAEwAaQB2AGUAcwB0AG8AYwBrAF8ARQBuAHQAZQByAGkAYwBGAGUAcgBtAGUAbgB0AGEAdABpAG8AbgBFAG0AaQBzAHMAaQBvAG4ARgBhAGMAdABvAHI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TQBqAFwAIgA7AFwAbgAgACAAIAAgACAAIAAgACAAIAAgAFwAIgBCAHUAZgBmAGEAbABvAFwAIgAsACAANgA4ADsAXABuACAAIAAgACAAIAAgACAAIAAgACAAXAAiAEcAbwBhAHQAcwBcACIALAAgADUAOwBcAG4AIAAgACAAIAAgACAAIAAgACAAIABcACIARABlAGUAcgBcACIALAAgADIAMAA7AFwAbgAgACAAIAAgACAAIAAgACAAIAAgAFwAIgBDAGEAbQBlAGwAcwBcACIALAAgADQANgA7AFwAbgAgACAAIAAgACAAIAAgACAAIAAgAFwAIgBBAGwAcABhAGMAYQBzAFwAIgAsACAAOAA7AFwAbgAgACAAIAAgACAAIAAgACAAIAAgAFwAIgBIAG8AcgBzAGUAcwBcACIALAAgADEAOAA7AFwAbgAgACAAIAAgACAAIAAgACAAIAAgAFwAIgBNAHUAbABlAHMALwBhAHMAcwBlAHMAXAAiACwAIAAxADAAOwBcAG4AIAAgACAAIAAgACAAIAAgACAAIABcACIARQBtAHUAcwAvAG8AcwB0AHIAaQBjAGgAZQBzAFwAIgAsACAANQ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WAG8AbABhAHQAaQBsAGUAUwBvAGwAaQBkAHMAUAByAG8AZAB1AGMAZQBkAFwAbgBUAGEAYgBsAGUAIABBAC4AMQAuADUALgAyADoAIABPAHQAaABlAHIAIABMAGkAdgBlAHMAdABvAGMAawAgAC0AIABWAG8AbABhAHQAaQBsAGUAIABzAG8AbABpAGQAcwAgAHAAcgBvAGQAdQBjAGUAZAAgAGIAeQAgAGUAYQBjAGgAIABvAHQAaABlAHIAIABsAGkAdgBlAHMAdABvAGMAawAgAHQAeQBwAGUAIAAoAGsAZwAgAFYAUwAvAGgAZQBhAGQALwBkAGEAeQApACAAKABWAFMAagApAFwAbgAtAC0ALQAtAC0ALQAtAC0ALQAtAC0ALQAtAC0ALQAtAC0ALQAtAC0ALQAtAC0ALQAtAC0ALQAtAC0ALQAtAC0ALQAtAC0ALQAtAC0AXABuACoALwBcAG4AXABuAFMAbwB1AHIAYwBlAEQAYQB0AGEAXwBPAHQAaABlAHIATABpAHYAZQBzAHQAbwBjAGsAXwBWAG8AbABhAHQAaQBsAGUAUwBvAGwAaQBkAHMAUAByAG8AZAB1AGMAZQBkAF8AVABpAHQAbABlAFwAbgAgACAAPQBMAEEATQBCAEQAQQAoAFwAIgBPAHQAaABlAHIAIABMAGkAdgBlAHMAdABvAGMAawAgAC0AIABWAG8AbABhAHQAaQBsAGUAIABzAG8AbABpAGQAcwAgAHAAcgBvAGQAdQBjAGUAZAAgAGIAeQAgAGUAYQBjAGgAIABvAHQAaABlAHIAIABsAGkAdgBlAHMAdABvAGMAawAgAHQAeQBwAGUAXAAiACkAOwBcAG4AXABuAFMAbwB1AHIAYwBlAEQAYQB0AGEAXwBPAHQAaABlAHIATABpAHYAZQBzAHQAbwBjAGsAXwBWAG8AbABhAHQAaQBsAGUAUwBvAGwAaQBkAHMAUAByAG8AZAB1AGMAZQBkAF8AVgBhAHIAaQBhAGIAbABlAFwAbgAgACAAPQBMAEEATQBCAEQAQQAoAFwAIgBWAFMAagBcACIAKQA7AFwAbgBcAG4AUwBvAHUAcgBjAGUARABhAHQAYQBfAE8AdABoAGUAcgBMAGkAdgBlAHMAdABvAGMAawBfAFYAbwBsAGEAdABpAGwAZQBTAG8AbABpAGQAcwBQAHIAbwBkAHUAYwBlAGQAXwBVAG4AaQB0AFwAbgAgACAAPQBMAEEATQBCAEQAQQAoAFwAIgBrAGcAIABWAFMAIAAvACAAaABlAGEAZAAgAC8AIABkAGEAeQBcACIAKQA7AFwAbgBcAG4AUwBvAHUAcgBjAGUARABhAHQAYQBfAE8AdABoAGUAcgBMAGkAdgBlAHMAdABvAGMAawBfAFYAbwBsAGEAdABpAGwAZQBTAG8AbABpAGQAcwBQAHIAbwBkAHUAYwBlAGQAXwBTAG8AdQByAGMAZQBcAG4AIAAgAD0ATABBAE0AQgBEAEEAKABcACIAVgBFAEUAUgBHACAAMgAwADIANgA6ACAAVABhAGIAbABlACAAQQAuADEALgA1AC4AMgBcACIAKQA7AFwAbgBcAG4AUwBvAHUAcgBjAGUARABhAHQAYQBfAE8AdABoAGUAcgBMAGkAdgBlAHMAdABvAGMAawBfAFYAbwBsAGEAdABpAGwAZQBTAG8AbABpAGQAcwBQAHIAbwBkAHUAYwBlAGQAXwBWAGEAcgBpAGEAdABpAG8AbgBcAG4AIAAgAD0ATABBAE0AQgBEAEEAKABcACIAXAAiACkAOwBcAG4AXABuAFMAbwB1AHIAYwBlAEQAYQB0AGEAXwBPAHQAaABlAHIATABpAHYAZQBzAHQAbwBjAGsAXwBWAG8AbABhAHQAaQBsAGUAUwBvAGwAaQBkAHMAUAByAG8AZAB1AGMAZQBkAF8ARABhAHQAYQBcAG4AIAAgAD0ATABBAE0AQgBEAEEAKABcAG4AIAAgACAAIABNAEEASwBFAEEAUgBSAEEAWQAoADkALAAgADIALABcAG4AIAAgACAAIAAgACAATABBAE0AQgBEAEEAKAByACwAYwAsAFwAbgAgACAAIAAgACAAIAAgACAASQBOAEQARQBYACgAewBcAG4AIAAgACAAIAAgACAAIAAgACAAIABcACIATwB0AGgAZQByACAATABpAHYAZQBzAHQAbwBjAGsAIABUAHkAcABlAFwAIgAsACAAXAAiAFYAUwBqAFwAIgA7AFwAbgAgACAAIAAgACAAIAAgACAAIAAgAFwAIgBCAHUAZgBmAGEAbABvAFwAIgAsACAAMgAuADcAMwA7AFwAbgAgACAAIAAgACAAIAAgACAAIAAgAFwAIgBHAG8AYQB0AHMAXAAiACwAIAAwAC4AMwA0ADsAXABuACAAIAAgACAAIAAgACAAIAAgACAAXAAiAEQAZQBlAHIAXAAiACwAIAAwAC4AOQAxADsAXABuACAAIAAgACAAIAAgACAAIAAgACAAXAAiAEMAYQBtAGUAbABzAFwAIgAsACAAMgAuADcAMwA7AFwAbgAgACAAIAAgACAAIAAgACAAIAAgAFwAIgBBAGwAcABhAGMAYQBzAFwAIgAsACAAMAAuADMANAA7AFwAbgAgACAAIAAgACAAIAAgACAAIAAgAFwAIgBIAG8AcgBzAGUAcwBcACIALAAgADIALgA3ADMAOwBcAG4AIAAgACAAIAAgACAAIAAgACAAIABcACIATQB1AGwAZQBzAC8AYQBzAHMAZQBzAFwAIgAsACAAMAAuADkAMQA7AFwAbgAgACAAIAAgACAAIAAgACAAIAAgAFwAIgBFAG0AdQBzAC8AbwBzAHQAcgBpAGMAaABlAHMAXAAiACwAIAAwAC4AMwA0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4AaQB0AHIAbwBnAGUAbgBFAHgAYwByAGUAdABlAGQAXABuAFQAYQBiAGwAZQAgAEEALgAxAC4ANQAuADMAOgAgAE8AdABoAGUAcgAgAEwAaQB2AGUAcwB0AG8AYwBrACAALQAgAE4AaQB0AHIAbwBnAGUAbgAgAGUAeABjAHIAZQB0AGUAZAAgAHAAZQByACAAbABpAHYAZQBzAHQAbwBjAGsAIAB0AHkAcABlACAAKABrAGcAIABOADIATwAvAGgAZQBhAGQALwB5AGUAYQByACkAIAAoAE4ARQBqACkAXABuAC0ALQAtAC0ALQAtAC0ALQAtAC0ALQAtAC0ALQAtAC0ALQAtAC0ALQAtAC0ALQAtAC0ALQAtAC0ALQAtAC0ALQAtAC0ALQAtAC0ALQBcAG4AKgAvAFwAbgBcAG4AUwBvAHUAcgBjAGUARABhAHQAYQBfAE8AdABoAGUAcgBMAGkAdgBlAHMAdABvAGMAawBfAE4AaQB0AHIAbwBnAGUAbgBFAHgAYwByAGUAdABlAGQAXwBUAGkAdABsAGUAXABuACAAIAA9AEwAQQBNAEIARABBACgAXAAiAE8AdABoAGUAcgAgAEwAaQB2AGUAcwB0AG8AYwBrACAALQAgAE4AaQB0AHIAbwBnAGUAbgAgAGUAeABjAHIAZQB0AGUAZAAgAHAAZQByACAAbABpAHYAZQBzAHQAbwBjAGsAIAB0AHkAcABlAFwAIgApADsAXABuAFwAbgBTAG8AdQByAGMAZQBEAGEAdABhAF8ATwB0AGgAZQByAEwAaQB2AGUAcwB0AG8AYwBrAF8ATgBpAHQAcgBvAGcAZQBuAEUAeABjAHIAZQB0AGUAZABfAFYAYQByAGkAYQBiAGwAZQBcAG4AIAAgAD0ATABBAE0AQgBEAEEAKABcACIATgBFAGoAXAAiACkAOwBcAG4AXABuAFMAbwB1AHIAYwBlAEQAYQB0AGEAXwBPAHQAaABlAHIATABpAHYAZQBzAHQAbwBjAGsAXwBOAGkAdAByAG8AZwBlAG4ARQB4AGMAcgBlAHQAZQBkAF8AVQBuAGkAdABcAG4AIAAgAD0ATABBAE0AQgBEAEEAKABcACIAawBnACAATgAyAE8AIAAvACAAaABlAGEAZAAgAC8AIAB5AGUAYQByAFwAIgApADsAXABuAFwAbgBTAG8AdQByAGMAZQBEAGEAdABhAF8ATwB0AGgAZQByAEwAaQB2AGUAcwB0AG8AYwBrAF8ATgBpAHQAcgBvAGcAZQBuAEUAeABjAHIAZQB0AGUAZABfAFMAbwB1AHIAYwBlAFwAbgAgACAAPQBMAEEATQBCAEQAQQAoAFwAIgBWAEUARQBSAEcAIAAyADAAMgA2ADoAIABUAGEAYgBsAGUAIABBAC4AMQAuADUALgAzAFwAIgApADsAXABuAFwAbgBTAG8AdQByAGMAZQBEAGEAdABhAF8ATwB0AGgAZQByAEwAaQB2AGUAcwB0AG8AYwBrAF8ATgBpAHQAcgBvAGcAZQBuAEUAeABjAHIAZQB0AGUAZABfAFYAYQByAGkAYQB0AGkAbwBuAFwAbgAgACAAPQBMAEEATQBCAEQAQQAoAFwAIgBcACIAKQA7AFwAbgBcAG4AUwBvAHUAcgBjAGUARABhAHQAYQBfAE8AdABoAGUAcgBMAGkAdgBlAHMAdABvAGMAawBfAE4AaQB0AHIAbwBnAGUAbgBFAHgAYwByAGUAdABlAGQAXwBEAGEAdABhAFwAbgAgACAAPQBMAEEATQBCAEQAQQAoAFwAbgAgACAAIAAgAE0AQQBLAEUAQQBSAFIAQQBZACgAOQAsACAAMgAsAFwAbgAgACAAIAAgACAAIABMAEEATQBCAEQAQQAoAHIALABjACwAXABuACAAIAAgACAAIAAgACAAIABJAE4ARABFAFgAKAB7AFwAbgAgACAAIAAgACAAIAAgACAAIAAgAFwAIgBPAHQAaABlAHIAIABMAGkAdgBlAHMAdABvAGMAawAgAFQAeQBwAGUAXAAiACwAIABcACIATgBFAGoAXAAiADsAXABuACAAIAAgACAAIAAgACAAIAAgACAAXAAiAEIAdQBmAGYAYQBsAG8AXAAiACwAIAAzADkALgA1ADsAXABuACAAIAAgACAAIAAgACAAIAAgACAAXAAiAEcAbwBhAHQAcwBcACIALAAgADcALgAwADsAXABuACAAIAAgACAAIAAgACAAIAAgACAAXAAiAEQAZQBlAHIAXAAiACwAIAAxADMALgAyADsAXABuACAAIAAgACAAIAAgACAAIAAgACAAXAAiAEMAYQBtAGUAbABzAFwAIgAsACAAMwA5AC4ANQA7AFwAbgAgACAAIAAgACAAIAAgACAAIAAgAFwAIgBBAGwAcABhAGMAYQBzAFwAIgAsACAANwAuADAAOwBcAG4AIAAgACAAIAAgACAAIAAgACAAIABcACIASABvAHIAcwBlAHMAXAAiACwAIAAzADkALgA1ADsAXABuACAAIAAgACAAIAAgACAAIAAgACAAXAAiAE0AdQBsAGUAcwAvAGEAcwBzAGUAcwBcACIALAAgADEAMwAuADIAOwBcAG4AIAAgACAAIAAgACAAIAAgACAAIABcACIARQBtAHUAcwAvAG8AcwB0AHIAaQBjAGgAZQBzAFwAIgAsACAANwAuADA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QQB2AGUAcgBhAGcAZQBMAGkAdgBlAHcAZQBpAGcAaAB0AFwAbgBUAGEAYgBsAGUAIABBAC4AMQAuADUALgA0ADoAIABPAHQAaABlAHIAIABMAGkAdgBlAHMAdABvAGMAawAgAC0AIABBAHYAZQByAGEAZwBlACAATABpAHYAZQB3AGUAaQBnAGgAdABzACAAKABXAGMAbwApACAAKABrAGcAKQAgAFwAbgAtAC0ALQAtAC0ALQAtAC0ALQAtAC0ALQAtAC0ALQAtAC0ALQAtAC0ALQAtAC0ALQAtAC0ALQAtAC0ALQAtAC0ALQAtAC0ALQAtAC0AXABuACoALwBcAG4AXABuAFMAbwB1AHIAYwBlAEQAYQB0AGEAXwBPAHQAaABlAHIATABpAHYAZQBzAHQAbwBjAGsAXwBBAHYAZQByAGEAZwBlAEwAaQB2AGUAdwBlAGkAZwBoAHQAXwBUAGkAdABsAGUAXABuACAAIAA9AEwAQQBNAEIARABBACgAXAAiAE8AdABoAGUAcgAgAEwAaQB2AGUAcwB0AG8AYwBrACAALQAgAEEAdgBlAHIAYQBnAGUAIABMAGkAdgBlAHcAZQBpAGcAaAB0AHMAXAAiACkAOwBcAG4AXABuAFMAbwB1AHIAYwBlAEQAYQB0AGEAXwBPAHQAaABlAHIATABpAHYAZQBzAHQAbwBjAGsAXwBBAHYAZQByAGEAZwBlAEwAaQB2AGUAdwBlAGkAZwBoAHQAXwBWAGEAcgBpAGEAYgBsAGUAXABuACAAIAA9AEwAQQBNAEIARABBACgAXAAiAFcAYwBvAFwAIgApADsAXABuAFwAbgBTAG8AdQByAGMAZQBEAGEAdABhAF8ATwB0AGgAZQByAEwAaQB2AGUAcwB0AG8AYwBrAF8AQQB2AGUAcgBhAGcAZQBMAGkAdgBlAHcAZQBpAGcAaAB0AF8AVQBuAGkAdABcAG4AIAAgAD0ATABBAE0AQgBEAEEAKABcACIAawBnAFwAIgApADsAXABuAFwAbgBTAG8AdQByAGMAZQBEAGEAdABhAF8ATwB0AGgAZQByAEwAaQB2AGUAcwB0AG8AYwBrAF8AQQB2AGUAcgBhAGcAZQBMAGkAdgBlAHcAZQBpAGcAaAB0AF8AUwBvAHUAcgBjAGUAXABuACAAIAA9AEwAQQBNAEIARABBACgAXAAiAFYARQBFAFIARwAgADIAMAAyADYAOgAgAFQAYQBiAGwAZQAgAEEALgAxAC4ANQAuADQAXAAiACkAOwBcAG4AXABuAFMAbwB1AHIAYwBlAEQAYQB0AGEAXwBPAHQAaABlAHIATABpAHYAZQBzAHQAbwBjAGsAXwBBAHYAZQByAGEAZwBlAEwAaQB2AGUAdwBlAGkAZwBoAHQAXwBWAGEAcgBpAGEAdABpAG8AbgBcAG4AIAAgAD0ATABBAE0AQgBEAEEAKABcACIAXAAiACkAOwBcAG4AXABuAFMAbwB1AHIAYwBlAEQAYQB0AGEAXwBPAHQAaABlAHIATABpAHYAZQBzAHQAbwBjAGsAXwBBAHYAZQByAGEAZwBlAEwAaQB2AGUAdwBlAGkAZwBoAHQAXwBEAGEAdABhAFwAbgAgACAAPQBMAEEATQBCAEQAQQAoAFwAbgAgACAAIAAgAE0AQQBLAEUAQQBSAFIAQQBZACgAMQAxACwAIAAzACwAXABuACAAIAAgACAAIAAgAEwAQQBNAEIARABBACgAcgAsAGMALABcAG4AIAAgACAAIAAgACAAIAAgAEkATgBEAEUAWAAoAHsAXABuACAAIAAgACAAIAAgACAAIAAgACAAXAAiAE8AdABoAGUAcgAgAEwAaQB2AGUAcwB0AG8AYwBrACAAVAB5AHAAZQAgAGoAXAAiACwAIABcACIAQQB2AGUAcgBhAGcAZQAgAEwAaQB2AGUAdwBlAGkAZwBoAHQAXAAiACwAIABcACIAQQB2AGUAcgBhAGcAZQAgAEwAaQB2AGUAdwBlAGkAZwBoAHQAXAAiADsAXABuACAAIAAgACAAIAAgACAAIAAgACAAXAAiAEIAdQBmAGYAYQBsAG8AXAAiACwAIAAzADMANgAsACAAXAAiAC0AXAAiADsAXABuACAAIAAgACAAIAAgACAAIAAgACAAXAAiAEcAbwBhAHQAcwBcACIALAAgADMAMwAsACAAXAAiADIAOABrAGcAIAAtACAAbABvAHcAIABwAHIAbwBkAHUAYwB0AGkAdgBpAHQAeQAgAHMAeQBzAHQAZQBtAHMAXAAiADsAXABuACAAIAAgACAAIAAgACAAIAAgACAAXAAiAEcAbwBhAHQAcwBcACIALAAgADMAMwAsACAAXAAiADUAMABrAGcAIAAtACAAaABpAGcAaAAgAHAAcgBvAGQAdQBjAHQAaQB2AGkAdAB5ACAAcwB5AHMAdABlAG0AcwBcACIAOwBcAG4AIAAgACAAIAAgACAAIAAgACAAIABcACIARABlAGUAcgBcACIALAAgADEAMgAwACwAIAAxADIAMAA7AFwAbgAgACAAIAAgACAAIAAgACAAIAAgAFwAIgBDAGEAbQBlAGwAcwBcACIALAAgADIAMQA3ACwAIAA1ADcAMAA7AFwAbgAgACAAIAAgACAAIAAgACAAIAAgAFwAIgBBAGwAcABhAGMAYQBzAFwAIgAsACAAXAAiAC0AXAAiACwAIAA2ADUAOwBcAG4AIAAgACAAIAAgACAAIAAgACAAIABcACIASABvAHIAcwBlAHMAXAAiACwAIAAzADcANwAsACAANQA1ADAAOwBcAG4AIAAgACAAIAAgACAAIAAgACAAIABcACIATQB1AGwAZQBzAC8AYQBzAHMAZQBzAFwAIgAsACAAMQAzADAALAAgADIANAA1ADsAXABuACAAIAAgACAAIAAgACAAIAAgACAAXAAiAEUAbQB1AHMALwBvAHMAdAByAGkAYwBoAGUAcwBcACIALAAgADEAMgAwACwAIAAxADIAMAA7AFwAbgAgACAAIAAgACAAIAAgACAAIAAgAFwAIgBSAGUAZgBlAHIAZQBuAGMAZQBcACIALAAgAFwAIgBJAFAAQwBDACAAMgAwADEAOQAgAFQAYQBiAGwAZQAgADEAMABBAC4ANQAgAFsAMgBdAFwAIgAsACAAXAAiAEkAUABDAEMAIAAyADAAMQA5ACAAVABhAGIAbABlACAAMQAwAC4AMQAwACAAWwAyAF0AXAAiAFwAbgAgACAAIAAgACAAIAAgACAAfQAsACAAcgAsACAAYwApAFwAbgAgACAAIAAgACAAIAApAFwAbgAgACAAIAAgACkAXABuACAAIAApADsAXABuAFwAbgBcAG4ALwAqACAAXABuAC0ALQAtAC0ALQAtAC0ALQAtAC0ALQAtAC0ALQAtAC0ALQAtAC0ALQAtAC0ALQAtAC0ALQAtAC0ALQAtAC0ALQAtAC0ALQAtAC0ALQBcAG4AUwBvAHUAcgBjAGUARABhAHQAYQBfAE8AdABoAGUAcgBMAGkAdgBlAHMAdABvAGMAawBfAEYAcgBhAGMAdABpAG8AbgBXAGEAcwB0AGUASQBuAE0ATQBTAFwAbgBUAGEAYgBsAGUAIABBAC4AMQAuADUALgA1ADoAIABPAHQAaABlAHIAIABMAGkAdgBlAHMAdABvAGMAawAgAC0AIABGAHIAYQBjAHQAaQBvAG4AIABvAGYAIAB3AGEAcwB0AGUAIABpAG4AIABlAGEAYwBoACAAbQBhAG4AdQByAGUAIABtAGEAbgBhAGcAZQBtAGUAbgB0ACAAcwB5AHMAdABlAG0AIAAoAGYAcgBhAGMAdABpAG8AbgApACAAKABNAE0AUwBtACkAXABuAC0ALQAtAC0ALQAtAC0ALQAtAC0ALQAtAC0ALQAtAC0ALQAtAC0ALQAtAC0ALQAtAC0ALQAtAC0ALQAtAC0ALQAtAC0ALQAtAC0ALQBcAG4AKgAvAFwAbgBcAG4AUwBvAHUAcgBjAGUARABhAHQAYQBfAE8AdABoAGUAcgBMAGkAdgBlAHMAdABvAGMAawBfAEYAcgBhAGMAdABpAG8AbgBXAGEAcwB0AGUASQBuAE0ATQBTAF8AVABpAHQAbABlAFwAbgAgACAAPQBMAEEATQBCAEQAQQAoAFwAIgBPAHQAaABlAHIAIABMAGkAdgBlAHMAdABvAGMAawAgAC0AIABGAHIAYQBjAHQAaQBvAG4AIABvAGYAIAB3AGEAcwB0AGUAIABpAG4AIABlAGEAYwBoACAAbQBhAG4AdQByAGUAIABtAGEAbgBhAGcAZQBtAGUAbgB0ACAAcwB5AHMAdABlAG0AXAAiACkAOwBcAG4AXABuAFMAbwB1AHIAYwBlAEQAYQB0AGEAXwBPAHQAaABlAHIATABpAHYAZQBzAHQAbwBjAGsAXwBGAHIAYQBjAHQAaQBvAG4AVwBhAHMAdABlAEkAbgBNAE0AUwBfAFYAYQByAGkAYQBiAGwAZQBcAG4AIAAgAD0ATABBAE0AQgBEAEEAKABcACIATQBNAFMAbQBcACIAKQA7AFwAbgBcAG4AUwBvAHUAcgBjAGUARABhAHQAYQBfAE8AdABoAGUAcgBMAGkAdgBlAHMAdABvAGMAawBfAEYAcgBhAGMAdABpAG8AbgBXAGEAcwB0AGUASQBuAE0ATQBTAF8AVQBuAGkAdABcAG4AIAAgAD0ATABBAE0AQgBEAEEAKABcACIAZgByAGEAYwB0AGkAbwBuAFwAIgApADsAXABuAFwAbgBTAG8AdQByAGMAZQBEAGEAdABhAF8ATwB0AGgAZQByAEwAaQB2AGUAcwB0AG8AYwBrAF8ARgByAGEAYwB0AGkAbwBuAFcAYQBzAHQAZQBJAG4ATQBNAFMAXwBTAG8AdQByAGMAZQBcAG4AIAAgAD0ATABBAE0AQgBEAEEAKABcACIAVgBFAEUAUgBHACAAMgAwADIANgA6ACAAVABhAGIAbABlACAAQQAuADEALgA1AC4ANQBcACIAKQA7AFwAbgBcAG4AUwBvAHUAcgBjAGUARABhAHQAYQBfAE8AdABoAGUAcgBMAGkAdgBlAHMAdABvAGMAawBfAEYAcgBhAGMAdABpAG8AbgBXAGEAcwB0AGUASQBuAE0ATQBTAF8AVgBhAHIAaQBhAHQAaQBvAG4AXABuACAAIAA9AEwAQQBNAEIARABBACgAXAAiAFwAIgApADsAXABuAFwAbgBTAG8AdQByAGMAZQBEAGEAdABhAF8ATwB0AGgAZQByAEwAaQB2AGUAcwB0AG8AYwBrAF8ARgByAGEAYwB0AGkAbwBuAFcAYQBzAHQAZQBJAG4ATQBNAFMAXwBEAGEAdABhAFwAbgAgACAAPQBMAEEATQBCAEQAQQAoAFwAbgAgACAAIAAgAE0AQQBLAEUAQQBSAFIAQQBZACgAOQAsACAAMwAsAFwAbgAgACAAIAAgACAAIABMAEEATQBCAEQAQQAoAHIALABjACwAXABuACAAIAAgACAAIAAgACAAIABJAE4ARABFAFgAKAB7AFwAbgAgACAAIAAgACAAIAAgACAAIAAgAFwAIgBTAHQAYQB0AGUAXAAiACwAIABcACIAUABhAHMAdAB1AHIAZQAgAHIAYQBuAGcAZQAgAGEAbgBkACAAcABhAGQAZABvAGMAawBcACIALAAgAFwAIgBVAG4AYwBvAHYAZQByAGUAZAAgAEEAbgBhAGUAcgBvAGIAaQBjACAAbABhAGcAbwBvAG4AXAAiADsAXABuACAAIAAgACAAIAAgACAAIAAgACAAXAAiAEEAQwBUAFwAIgAsACAAIAA5ADkALgA2ADYALAAgACAAMAAuADMANAA7AFwAbgAgACAAIAAgACAAIAAgACAAIAAgAFwAIgBOAFMAVwBcACIALAAgACAAOQA5AC4ANgA2ACwAIAAgADAALgAzADQAOwBcAG4AIAAgACAAIAAgACAAIAAgACAAIABcACIATgBUAFwAIgAsACAAIAA5ADkALgA2ADYALAAgACAAMAAuADMANAA7AFwAbgAgACAAIAAgACAAIAAgACAAIAAgAFwAIgBRAEwARABcACIALAAgACAAOQA5AC4ANgA2ACwAIAAgADAALgAzADQAOwBcAG4AIAAgACAAIAAgACAAIAAgACAAIABcACIAUwBBAFwAIgAsACAAIAA5ADkALgA2ADYALAAgACAAMAAuADMANAA7AFwAbgAgACAAIAAgACAAIAAgACAAIAAgAFwAIgBUAEEAUwBcACIALAAgACAAOQA5AC4ANgA2ACwAIAAgADAALgAzADQAOwBcAG4AIAAgACAAIAAgACAAIAAgACAAIABcACIAVgBJAEMAXAAiACwAIAAgADkAOQAuADYANgAsACAAIAAwAC4AMwA0ADsAXABuACAAIAAgACAAIAAgACAAIAAgACAAXAAiAFcAQQBcACIALAAgACAAOQA5AC4ANgA2ACwAIAAgADAALgAzADQ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QBlAHQAaABhAG4AZQBDAG8AbgB2AGUAcgBzAGkAbwBuAEYAYQBjAHQAbwByAFwAbgBUAGEAYgBsAGUAIABBAC4AMQAuADUALgA2ADoAIABPAHQAaABlAHIAIABMAGkAdgBlAHMAdABvAGMAawAgAC0AIABNAGUAdABoAGEAbgBlACAAYwBvAG4AdgBlAHIAcwBpAG8AbgAgAGYAYQBjAHQAbwByACAAcABlAHIAIAByAGUAZwBpAG8AbgAgACgAZgByAGEAYwB0AGkAbwBuACkAIAAoAE0AQwBGAGkAbQApAFwAbgAtAC0ALQAtAC0ALQAtAC0ALQAtAC0ALQAtAC0ALQAtAC0ALQAtAC0ALQAtAC0ALQAtAC0ALQAtAC0ALQAtAC0ALQAtAC0ALQAtAC0AXABuACoALwBcAG4AXABuAFMAbwB1AHIAYwBlAEQAYQB0AGEAXwBPAHQAaABlAHIATABpAHYAZQBzAHQAbwBjAGsAXwBNAGUAdABoAGEAbgBlAEMAbwBuAHYAZQByAHMAaQBvAG4ARgBhAGMAdABvAHIAXwBUAGkAdABsAGUAXABuACAAIAA9AEwAQQBNAEIARABBACgAXAAiAE8AdABoAGUAcgAgAEwAaQB2AGUAcwB0AG8AYwBrACAALQAgAE0AZQB0AGgAYQBuAGUAIABjAG8AbgB2AGUAcgBzAGkAbwBuACAAZgBhAGMAdABvAHIAIABwAGUAcgAgAHIAZQBnAGkAbwBuAFwAIgApADsAXABuAFwAbgBTAG8AdQByAGMAZQBEAGEAdABhAF8ATwB0AGgAZQByAEwAaQB2AGUAcwB0AG8AYwBrAF8ATQBlAHQAaABhAG4AZQBDAG8AbgB2AGUAcgBzAGkAbwBuAEYAYQBjAHQAbwByAF8AVgBhAHIAaQBhAGIAbABlAFwAbgAgACAAPQBMAEEATQBCAEQAQQAoAFwAIgBNAEMARgBpAG0AXAAiACkAOwBcAG4AXABuAFMAbwB1AHIAYwBlAEQAYQB0AGEAXwBPAHQAaABlAHIATABpAHYAZQBzAHQAbwBjAGsAXwBNAGUAdABoAGEAbgBlAEMAbwBuAHYAZQByAHMAaQBvAG4ARgBhAGMAdABvAHIAXwBVAG4AaQB0AFwAbgAgACAAPQBMAEEATQBCAEQAQQAoAFwAIgBmAHIAYQBjAHQAaQBvAG4AXAAiACkAOwBcAG4AXABuAFMAbwB1AHIAYwBlAEQAYQB0AGEAXwBPAHQAaABlAHIATABpAHYAZQBzAHQAbwBjAGsAXwBNAGUAdABoAGEAbgBlAEMAbwBuAHYAZQByAHMAaQBvAG4ARgBhAGMAdABvAHIAXwBTAG8AdQByAGMAZQBcAG4AIAAgAD0ATABBAE0AQgBEAEEAKABcACIAVgBFAEUAUgBHACAAMgAwADIANgA6ACAAVABhAGIAbABlACAAQQAuADEALgA1AC4ANgBcACIAKQA7AFwAbgBcAG4AUwBvAHUAcgBjAGUARABhAHQAYQBfAE8AdABoAGUAcgBMAGkAdgBlAHMAdABvAGMAawBfAE0AZQB0AGgAYQBuAGUAQwBvAG4AdgBlAHIAcwBpAG8AbgBGAGEAYwB0AG8AcgBfAFYAYQByAGkAYQB0AGkAbwBuAFwAbgAgACAAPQBMAEEATQBCAEQAQQAoAFwAIgBcACIAKQA7AFwAbgBcAG4AUwBvAHUAcgBjAGUARABhAHQAYQBfAE8AdABoAGUAcgBMAGkAdgBlAHMAdABvAGMAawBfAE0AZQB0AGgAYQBuAGUAQwBvAG4AdgBlAHIAcwBpAG8AbgBGAGEAYwB0AG8AcgBfAEQAYQB0AGEAXABuACAAIAA9AEwAQQBNAEIARABBACgAXABuACAAIAAgACAATQBBAEsARQBBAFIAUgBBAFkAKAA5ACwAIAAzACwAXABuACAAIAAgACAAIAAgAEwAQQBNAEIARABBACgAcgAsAGMALABcAG4AIAAgACAAIAAgACAAIAAgAEkATgBEAEUAWAAoAHsAXABuACAAIAAgACAAIAAgACAAIAAgACAAXAAiAFMAdABhAHQAZQBcACIALAAgAFwAIgBQAGEAcwB0AHUAcgBlACAAcgBhAG4AZwBlACAAYQBuAGQAIABwAGEAZABkAG8AYwBrAFwAIgAsACAAXAAiAFUAbgBjAG8AdgBlAHIAZQBkACAAQQBuAGEAZQByAG8AYgBpAGMAIABsAGEAZwBvAG8AbgBcACIAOwBcAG4AIAAgACAAIAAgACAAIAAgACAAIABcACIAQQBDAFQAXAAiACwAIAAgADAALgAwADAANAA3ACwAIAAgADAALgA3ADEAOwBcAG4AIAAgACAAIAAgACAAIAAgACAAIABcACIATgBTAFcAXAAiACwAIAAgADAALgAwADAANAA3ACwAIAAgADAALgA3ADUAOwBcAG4AIAAgACAAIAAgACAAIAAgACAAIABcACIATgBUAFwAIgAsACAAIAAwAC4AMAAwADQANwAsACAAIAAwAC4AOAAwADsAXABuACAAIAAgACAAIAAgACAAIAAgACAAXAAiAFEATABEAFwAIgAsACAAIAAwAC4AMAAwADQANwAsACAAIAAwAC4ANwA4ADsAXABuACAAIAAgACAAIAAgACAAIAAgACAAXAAiAFMAQQBcACIALAAgACAAMAAuADAAMAA0ADcALAAgACAAMAAuADcANAA7AFwAbgAgACAAIAAgACAAIAAgACAAIAAgAFwAIgBUAEEAUwBcACIALAAgACAAMAAuADAAMAA0ADcALAAgACAAMAAuADcAMAA7AFwAbgAgACAAIAAgACAAIAAgACAAIAAgAFwAIgBWAEkAQwBcACIALAAgACAAMAAuADAAMAA0ADcALAAgACAAMAAuADcANAA7AFwAbgAgACAAIAAgACAAIAAgACAAIAAgAFwAIgBXAEEAXAAiACwAIAAgADAALgAwADAANAA3ACwAIAAgADAALgA3ADYAXABuACAAIAAgACAAIAAgACAAIAB9ACwAIAByACwAIABjACkAXABuACAAIAAgACAAIAAgACkAXABuACAAIAAgACAAKQBcAG4AIAAgACkAOwBcAG4AXABuAFwAbgAvACoAIABcAG4ALQAtAC0ALQAtAC0ALQAtAC0ALQAtAC0ALQAtAC0ALQAtAC0ALQAtAC0ALQAtAC0ALQAtAC0ALQAtAC0ALQAtAC0ALQAtAC0ALQAtAFwAbgBTAG8AdQByAGMAZQBEAGEAdABhAF8ATwB0AGgAZQByAEwAaQB2AGUAcwB0AG8AYwBrAF8ATQBlAHQAaABhAG4AZQBFAG0AaQBzAHMAaQBvAG4AcwBQAG8AdABlAG4AdABpAGEAbABcAG4AVABhAGIAbABlACAAQQAuADEALgA1AC4AWAA6ACAATwB0AGgAZQByACAATABpAHYAZQBzAHQAbwBjAGsAIAAtACAATQBlAHQAaABhAG4AZQAgAGUAbQBpAHMAcwBpAG8AbgBzACAAcABvAHQAZQBuAHQAaQBhAGwAIAAoAG0AMwAgAEMASAA0ACAALwAgAGsAZwAgAFYAUwApACAAKABCAE8AKQBcAG4ALQAtAC0ALQAtAC0ALQAtAC0ALQAtAC0ALQAtAC0ALQAtAC0ALQAtAC0ALQAtAC0ALQAtAC0ALQAtAC0ALQAtAC0ALQAtAC0ALQAtAFwAbgAqAC8AXABuAFwAbgBTAG8AdQByAGMAZQBEAGEAdABhAF8ATwB0AGgAZQByAEwAaQB2AGUAcwB0AG8AYwBrAF8ATQBlAHQAaABhAG4AZQBFAG0AaQBzAHMAaQBvAG4AcwBQAG8AdABlAG4AdABpAGEAbABfAFQAaQB0AGwAZQBcAG4AIAAgAD0ATABBAE0AQgBEAEEAKABcACIATwB0AGgAZQByACAATABpAHYAZQBzAHQAbwBjAGsAIAAtACAATQBlAHQAaABhAG4AZQAgAGUAbQBpAHMAcwBpAG8AbgBzACAAcABvAHQAZQBuAHQAaQBhAGwAXAAiACkAOwBcAG4AXABuAFMAbwB1AHIAYwBlAEQAYQB0AGEAXwBPAHQAaABlAHIATABpAHYAZQBzAHQAbwBjAGsAXwBNAGUAdABoAGEAbgBlAEUAbQBpAHMAcwBpAG8AbgBzAFAAbwB0AGUAbgB0AGkAYQBsAF8AVgBhAHIAaQBhAGIAbABlAFwAbgAgACAAPQBMAEEATQBCAEQAQQAoAFwAIgBCAE8AXAAiACkAOwBcAG4AXABuAFMAbwB1AHIAYwBlAEQAYQB0AGEAXwBPAHQAaABlAHIATABpAHYAZQBzAHQAbwBjAGsAXwBNAGUAdABoAGEAbgBlAEUAbQBpAHMAcwBpAG8AbgBzAFAAbwB0AGUAbgB0AGkAYQBsAF8AVQBuAGkAdABcAG4AIAAgAD0ATABBAE0AQgBEAEEAKABcACIAbQAzACAAQwBIADQAIAAvACAAawBnACAAVgBTAFwAIgApADsAXABuAFwAbgBTAG8AdQByAGMAZQBEAGEAdABhAF8ATwB0AGgAZQByAEwAaQB2AGUAcwB0AG8AYwBrAF8ATQBlAHQAaABhAG4AZQBFAG0AaQBzAHMAaQBvAG4AcwBQAG8AdABlAG4AdABpAGEAbABfAFMAbwB1AHIAYwBlAFwAbgAgACAAPQBMAEEATQBCAEQAQQAoAFwAIgBWAEUARQBSAEcAIAAyADAAMgA2ADoAIABUAGEAYgBsAGUAIABBAC4AMQAuADUALgBYAFwAIgApADsAXABuAFwAbgBTAG8AdQByAGMAZQBEAGEAdABhAF8ATwB0AGgAZQByAEwAaQB2AGUAcwB0AG8AYwBrAF8ATQBlAHQAaABhAG4AZQBFAG0AaQBzAHMAaQBvAG4AcwBQAG8AdABlAG4AdABpAGEAbABfAFYAYQByAGkAYQB0AGkAbwBuAFwAbgAgACAAPQBMAEEATQBCAEQAQQAoAFwAIgBWAEEAUgBJAEEAVABJAE8ATgAgAE8ATgAgAFMATwBVAFIAQwBFADoAIABUAGgAZQByAGUAIAB3AGUAcgBlACAAbgBvACAAdgBhAGwAdQBlAHMAIABpAG4AIABWAEUARQBSAEcAIABzAG8AIAB0AGgAaQBzACAAZABhAHQAYQAgAGgAYQBzACAAYgBlAGUAbgAgAGcAZQBuAGUAcgBhAHQAZQBkACAAYgB5ACAAdQBzAGkAbgBnACAAZABvAGMAdQBtAGUAbgB0AGUAZAAgAEIATwAgAHYAYQBsAHUAZQBzACAAZgByAG8AbQAgAG8AdABoAGUAcgAgAGwAaQB2AGUAcwB0AG8AYwBrAFwAIgApADsAXABuAFwAbgBTAG8AdQByAGMAZQBEAGEAdABhAF8ATwB0AGgAZQByAEwAaQB2AGUAcwB0AG8AYwBrAF8ATQBlAHQAaABhAG4AZQBFAG0AaQBzAHMAaQBvAG4AcwBQAG8AdABlAG4AdABpAGEAbABfAEQAYQB0AGEAXABuACAAIAA9AEwAQQBNAEIARABBACgAXABuACAAIAAgACAATQBBAEsARQBBAFIAUgBBAFkAKAA5ACwAIAAzACwAXABuACAAIAAgACAAIAAgAEwAQQBNAEIARABBACgAcgAsAGMALABcAG4AIAAgACAAIAAgACAAIAAgAEkATgBEAEUAWAAoAHsAXABuACAAIAAgACAAIAAgACAAIAAgACAAXAAiAE8AdABoAGUAcgAgAEwAaQB2AGUAcwB0AG8AYwBrACAAVAB5AHAAZQBcACIALAAgAFwAIgBCAE8AXAAiACwAIABcACIAVABhAGsAZQBuACAAZgByAG8AbQBcACIAOwBcAG4AIAAgACAAIAAgACAAIAAgACAAIABcACIAQgB1AGYAZgBhAGwAbwBcACIALAAgADAALgAxADkALAAgAFwAIgBGAGUAZQBkAGwAbwB0ACwAIABQAGEAcwB0AHUAcgBlACAAYgBlAGUAZgBcACIAOwBcAG4AIAAgACAAIAAgACAAIAAgACAAIABcACIARwBvAGEAdABzAFwAIgAsACAAMAAuADIANAAsACAAXAAiAFMAaABlAGUAcABcACIAOwBcAG4AIAAgACAAIAAgACAAIAAgACAAIABcACIARABlAGUAcgBcACIALAAgADAALgAyADQALAAgAFwAIgBTAGgAZQBlAHAAXAAiADsAXABuACAAIAAgACAAIAAgACAAIAAgACAAXAAiAEMAYQBtAGUAbABzAFwAIgAsACAAMAAuADIANAAsACAAXAAiAFMAaABlAGUAcABcACIAOwBcAG4AIAAgACAAIAAgACAAIAAgACAAIABcACIAQQBsAHAAYQBjAGEAcwBcACIALAAgADAALgAyADQALAAgAFwAIgBTAGgAZQBlAHAAXAAiADsAXABuACAAIAAgACAAIAAgACAAIAAgACAAXAAiAEgAbwByAHMAZQBzAFwAIgAsACAAMAAuADEAOQAsACAAXAAiAEYAZQBlAGQAbABvAHQALAAgAFAAYQBzAHQAdQByAGUAIABiAGUAZQBmAFwAIgA7AFwAbgAgACAAIAAgACAAIAAgACAAIAAgAFwAIgBNAHUAbABlAHMALwBhAHMAcwBlAHMAXAAiACwAIAAwAC4AMgA0ACwAIABcACIAUwBoAGUAZQBwAFwAIgA7AFwAbgAgACAAIAAgACAAIAAgACAAIAAgAFwAIgBFAG0AdQBzAC8AbwBzAHQAcgBpAGMAaABlAHMAXAAiACwAIAAwAC4AMwA2ACwAIABcACIAUABvAHUAbAB0AHIAeQAgAC0AIABtAGUAYQB0ACAAYwBoAGkAYwBrAGUAbgBzAFwAIgBcAG4AIAAgACAAIAAgACAAIAAgAH0ALAAgAHIALAAgAGMAKQBcAG4AIAAgACAAIAAgACAAKQBcAG4AIAAgACAAIAApAFwAbgAgACAAKQA7AFwAbgBcAG4AXABuAC8AKgAgAFwAbgAtAC0ALQAtAC0ALQAtAC0ALQAtAC0ALQAtAC0ALQAtAC0ALQAtAC0ALQAtAC0ALQAtAC0ALQAtAC0ALQAtAC0ALQAtAC0ALQAtAC0AXABuAFMAbwB1AHIAYwBlAEQAYQB0AGEAXwBPAHQAaABlAHIATABpAHYAZQBzAHQAbwBjAGsAXwBGAHIAYQBjAEcAQQBTAE0AUwBvAGkAbABcAG4ARgByAGEAYwB0AGkAbwBuACAAbwBmACAAbgBpAHQAcgBvAGcAZQBuACAAdgBvAGwAYQB0AGkAbABpAHMAZQBkACAAZgByAG8AbQAgAHUAcgBpAG4AZQAgAGEAbgBkACAAZgBhAGUAYwBlAHMAIABkAGUAcABvAHMAaQB0AGUAZAAgAG8AbgAgAHAAYQBzAHQAdQByAGUAXABuAC0ALQAtAC0ALQAtAC0ALQAtAC0ALQAtAC0ALQAtAC0ALQAtAC0ALQAtAC0ALQAtAC0ALQAtAC0ALQAtAC0ALQAtAC0ALQAtAC0ALQBcAG4AKgAvAFwAbgBcAG4AUwBvAHUAcgBjAGUARABhAHQAYQBfAE8AdABoAGUAcgBMAGkAdgBlAHMAdABvAGMAawBfAEYAcgBhAGMARwBBAFMATQBTAG8AaQBsAF8AVABpAHQAbABlAFwAbgAgACAAPQBMAEEATQBCAEQAQQAoAFwAIgBGAHIAYQBjAHQAaQBvAG4AIABvAGYAIABuAGkAdAByAG8AZwBlAG4AIAB2AG8AbABhAHQAaQBsAGkAcwBlAGQAIABmAHIAbwBtACAAdQByAGkAbgBlACAAYQBuAGQAIABmAGEAZQBjAGUAcwAgAGQAZQBwAG8AcwBpAHQAZQBkACAAbwBuACAAcABhAHMAdAB1AHIAZQBcACIAKQA7AFwAbgBcAG4AUwBvAHUAcgBjAGUARABhAHQAYQBfAE8AdABoAGUAcgBMAGkAdgBlAHMAdABvAGMAawBfAEYAcgBhAGMARwBBAFMATQBTAG8AaQBsAF8AVgBhAHIAaQBhAGIAbABlAFwAbgAgACAAPQBMAEEATQBCAEQAQQAoAFwAIgBGAHIAYQBjAEcAQQBTAE0AcwBvAGkAbABcACIAKQA7AFwAbgBcAG4AUwBvAHUAcgBjAGUARABhAHQAYQBfAE8AdABoAGUAcgBMAGkAdgBlAHMAdABvAGMAawBfAEYAcgBhAGMARwBBAFMATQBTAG8AaQBsAF8AVQBuAGkAdABcAG4AIAAgAD0ATABBAE0AQgBEAEEAKABcACIAKABrAGcAIABOAEgAMwAtAE4AIAArACAATgBPAHgALQBOACkALwBrAGcAIABOAFwAIgApADsAXABuAFwAbgBTAG8AdQByAGMAZQBEAGEAdABhAF8ATwB0AGgAZQByAEwAaQB2AGUAcwB0AG8AYwBrAF8ARgByAGEAYwBHAEEAUwBNAFMAbwBpAGwAXwBTAG8AdQByAGMAZQBcAG4AIAAgAD0ATABBAE0AQgBEAEEAKABcACIAVgBFAEUAUgBHACAAMgAwADIANgA6ACAANAAuADcALgAyAC4AMwAgAEMATwBOAFMAVABBAE4AVABTAFwAIgApADsAXABuAFwAbgBTAG8AdQByAGMAZQBEAGEAdABhAF8ATwB0AGgAZQByAEwAaQB2AGUAcwB0AG8AYwBrAF8ARgByAGEAYwBHAEEAUwBNAFMAbwBpAGwAXwBWAGEAcgBpAGEAdABpAG8AbgBcAG4AIAAgAD0ATABBAE0AQgBEAEEAKABcACIAXAAiACkAOwBcAG4AXABuAFMAbwB1AHIAYwBlAEQAYQB0AGEAXwBPAHQAaABlAHIATABpAHYAZQBzAHQAbwBjAGsAXwBGAHIAYQBjAEcAQQBTAE0AUwBvAGkAbABfAEQAYQB0AGEAXABuACAAIAA9AEwAQQBNAEIARABBACgAMAAuADIAMQApADsAXABuAFwAbgAiAH0ALAB7ACIAcABhAHQAaAAiADoAIgAvAHAAcgBvAGoAZQBjAHQAcwAvAE0ATQBTAF8ATwB0AGgAZQByAEwAaQB2AGUAcwB0AG8AYwBrAF8ATQBlAHQAaABhAG4AZQBfAEUAcQB1AGEAdABpAG8AbgBzACIALAAiAHQAZQB4AHQAIgA6ACIALwAqAFwAbgA9AD0APQA9AD0APQA9AD0APQA9AD0APQA9AD0APQA9AD0APQA9AD0APQA9AD0APQA9AD0APQA9AD0APQA9AD0APQA9AD0APQA9AD0APQA9AD0APQA9AD0APQA9AD0APQA9AD0APQA9AD0APQA9AD0APQA9AD0APQA9AD0APQA9AD0APQA9AD0APQA9AD0APQA9AD0APQA9AFwAbgA0AC4ANwA6ACAATQBhAG4AdQByAGUAIABNAGEAbgBhAGcAZQBtAGUAbgB0ACAALQAgAE8AdABoAGUAcgAgAEwAaQB2AGUAcwB0AG8AYwBrAFwAbgA9AD0APQA9AD0APQA9AD0APQA9AD0APQA9AD0APQA9AD0APQA9AD0APQA9AD0APQA9AD0APQA9AD0APQA9AD0APQA9AD0APQA9AD0APQA9AD0APQA9AD0APQA9AD0APQA9AD0APQA9AD0APQA9AD0APQA9AD0APQA9AD0APQA9AD0APQA9AD0APQA9AD0APQA9AD0APQA9AFwAbgA0AC4ANwAuADEALgAxACAATQBlAHQAaABvAGQAIAAxACAALQAgAE0AYQBuAHUAcgBlACAATQBlAHQAaABhAG4AZQ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MQBfAF8AMQBfAFQAbwB0AGEAbABBAG4AbgB1AGEAbABNAGUAdABoAGEAbgBlAFAAcgBvAGQAdQBjAHQAaQBvAG4ARgByAG8AbQBNAGEAbgB1AHIAZQBNAGEAbgBhAGcAZQBtAGUAbgB0AE8AdABoAGUAcgBMAGkAdgBlAHMAdABvAGMAawBcAG4AVABvAHQAYQBsACAAYQBuAG4AdQBhAGwAIABtAGUAdABoAGEAbgBlACAAcAByAG8AZAB1AGMAdABpAG8AbgAgAGYAcgBvAG0AIABtAGEAbgB1AHIAZQAgAG0AYQBuAGEAZwBlAG0AZQBuAHQAIABvAGYAIABvAHQAaABlAHIAIABsAGkAdgBlAHMAdABvAGMAawBcAG4ARQBfAEMASAA0AFwAbgB0ACAAQwBIADQAXABuAEUAXwB7AEMASAA0AH0APQBcAFwAcwB1AG0AXwBqAFwAXABzAHUAbQBfAG0AKABOAF8AagBcAFwAdABpAG0AZQBzACAATQBfAGoAbQBcAFwAdABpAG0AZQBzACAAMwA2ADUAKQBcAFwAdABpAG0AZQBzACAAMQAwAF4AewAtADMAfQBcAG4ATgBfAGoAIAA9ACAAYQB2AGUAcgBhAGcAZQAgAGEAbgBuAHUAYQBsACAAbgB1AG0AYgBlAHIAIABvAGYAIABsAGkAdgBlAHMAdABvAGMAawAgAHAAZQByACAAbABpAHYAZQBzAHQAbwBjAGsAIAB0AHkAcABlACAAagAgACgAaABlAGEAZAApAFwAbgBNAF8AagBtACAAPQAgAGEAbgBuAHUAYQBsACAAbQBlAHQAaABhAG4AZQAgAHAAcgBvAGQAdQBjAHQAaQBvAG4AIABmAHIAbwBtACAAbQBhAG4AdQByAGUAIABtAGEAbgBhAGcAZQBtAGUAbgB0ACAAKABrAGcAIABDAEgANAAvAGgAZQBhAGQALwBkAGEAeQApAFwAbgAtAC0ALQAtAC0ALQAtAC0ALQAtAC0ALQAtAC0ALQAtAC0ALQAtAC0ALQAtAC0ALQAtAC0ALQAtAC0ALQAtAC0ALQAtAC0ALQAtAC0AXABuACoALwBcAG4AXABuAFYARQBFAFIARwBfADQAXwA3AF8AMQBfADEAXwBfADEAXwBUAG8AdABhAGwAQQBuAG4AdQBhAGwATQBlAHQAaABhAG4AZQBQAHIAbwBkAHUAYwB0AGkAbwBuAEYAcgBvAG0ATQBhAG4AdQByAGUATQBhAG4AYQBnAGUAbQBlAG4AdABPAHQAaABlAHIATABpAHYAZQBzAHQAbwBjAGsAXABuACAAIAA9AEwAQQBNAEIARABBACgAXABuACAAIAAgACAATgBfAGoALAAgAE0AXwBqAG0ALABcAG4AIAAgACAAIABTAFUATQAoAE4AXwBqACAAKgAgAE0AXwBqAG0AIAAqACAAMwA2ADUAKQAgACoAIAAxADAAIABeACAALQAzAFwAbgAgACAAKQA7AFwAbgBcAG4AVgBFAEUAUgBHAF8ANABfADcAXwAxAF8AMQBfAF8AMQBfAFQAbwB0AGEAbABBAG4AbgB1AGEAbABNAGUAdABoAGEAbgBlAFAAcgBvAGQAdQBjAHQAaQBvAG4ARgByAG8AbQBNAGEAbgB1AHIAZQBNAGEAbgBhAGcAZQBtAGUAbgB0AE8AdABoAGUAcgBMAGkAdgBlAHMAdABvAGMAawBfAFQAaQB0AGwAZQBcAG4AIAAgAD0ATABBAE0AQgBEAEEAKABcACIAVABvAHQAYQBsACAAYQBuAG4AdQBhAGwAIABtAGUAdABoAGEAbgBlACAAcAByAG8AZAB1AGMAdABpAG8AbgAgAGYAcgBvAG0AIABtAGEAbgB1AHIAZQAgAG0AYQBuAGEAZwBlAG0AZQBuAHQAIABvAGYAIABvAHQAaABlAHIAIABsAGkAdgBlAHMAdABvAGMAawBcACIAKQA7AFwAbgBcAG4AVgBFAEUAUgBHAF8ANABfADcAXwAxAF8AMQBfAF8AMQBfAFQAbwB0AGEAbABBAG4AbgB1AGEAbABNAGUAdABoAGEAbgBlAFAAcgBvAGQAdQBjAHQAaQBvAG4ARgByAG8AbQBNAGEAbgB1AHIAZQBNAGEAbgBhAGcAZQBtAGUAbgB0AE8AdABoAGUAcgBMAGkAdgBlAHMAdABvAGMAawBfAFYAYQByAGkAYQBiAGwAZQBcAG4AIAAgAD0ATABBAE0AQgBEAEEAKABcACIARQBfAEMASAA0AFwAIgApADsAXABuAFwAbgBWAEUARQBSAEcAXwA0AF8ANwBfADEAXwAxAF8AXwAxAF8AVABvAHQAYQBsAEEAbgBuAHUAYQBsAE0AZQB0AGgAYQBuAGUAUAByAG8AZAB1AGMAdABpAG8AbgBGAHIAbwBtAE0AYQBuAHUAcgBlAE0AYQBuAGEAZwBlAG0AZQBuAHQATwB0AGgAZQByAEwAaQB2AGUAcwB0AG8AYwBrAF8AVQBuAGkAdABcAG4AIAAgAD0ATABBAE0AQgBEAEEAKABcACIAdAAgAEMASAA0AFwAIgApADsAXABuAFwAbgBWAEUARQBSAEcAXwA0AF8ANwBfADEAXwAxAF8AXwAxAF8AVABvAHQAYQBsAEEAbgBuAHUAYQBsAE0AZQB0AGgAYQBuAGUAUAByAG8AZAB1AGMAdABpAG8AbgBGAHIAbwBtAE0AYQBuAHUAcgBlAE0AYQBuAGEAZwBlAG0AZQBuAHQATwB0AGgAZQByAEwAaQB2AGUAcwB0AG8AYwBrAF8AUwBvAHUAcgBjAGUAXABuACAAIAA9AEwAQQBNAEIARABBACgAXAAiAFYARQBFAFIARwAgADIAMAAyADYAOgAgADQALgA3AC4AMQAuADEALAAgAEUAcQB1AGEAdABpAG8AbgAgACgAMQApAFwAIgApADsAXABuAFwAbgBWAEUARQBSAEcAXwA0AF8ANwBfADEAXwAxAF8AXwAxAF8AVABvAHQAYQBsAEEAbgBuAHUAYQBsAE0AZQB0AGgAYQBuAGUAUAByAG8AZAB1AGMAdABpAG8AbgBGAHIAbwBtAE0AYQBuAHUAcgBlAE0AYQBuAGEAZwBlAG0AZQBuAHQATwB0AGgAZQByAEwAaQB2AGUAcwB0AG8AYwBrAF8ATgBJAFIAUgBlAGYAZQByAGUAbgBjAGUAXABuACAAIAA9AEwAQQBNAEIARABBACgAXAAiAFwAIgApADsAXABuAFwAbgBWAEUARQBSAEcAXwA0AF8ANwBfADEAXwAxAF8AXwAxAF8AVABvAHQAYQBsAEEAbgBuAHUAYQBsAE0AZQB0AGgAYQBuAGUAUAByAG8AZAB1AGMAdABpAG8AbgBGAHIAbwBtAE0AYQBuAHUAcgBlAE0AYQBuAGEAZwBlAG0AZQBuAHQATwB0AGgAZQByAEwAaQB2AGUAcwB0AG8AYwBrAF8ATABhAHQAZQB4AEUAcQB1AGEAdABpAG8AbgBcAG4AIAAgAD0ATABBAE0AQgBEAEEAKABcACIARQBfAHsAQwBIADQAfQA9AFwAXABzAHUAbQBcAFwAbgBvAGwAaQBtAGkAdABzAF8AagBcAFwAcwB1AG0AXABcAG4AbwBsAGkAbQBpAHQAcwBfAG0AKABOAF8AagBcAFwAdABpAG0AZQBzACAATQBfAGoAbQBcAFwAdABpAG0AZQBzACAAMwA2ADUAKQBcAFwAdABpAG0AZQBzACAAMQAwAF4AewAtADMAfQBcACIAKQA7AFwAbgBcAG4AVgBFAEUAUgBHAF8ANABfADcAXwAxAF8AMQBfAF8AMQBfAFQAbwB0AGEAbABBAG4AbgB1AGEAbABNAGUAdABoAGEAbgBlAFAAcgBvAGQAdQBjAHQAaQBvAG4ARgByAG8AbQBNAGEAbgB1AHIAZQBNAGEAbgBhAGcAZQBtAGUAbgB0AE8AdABoAGUAcgBMAGkAdgBlAHMAdABvAGMAawBfAEEAcgBnAHUAbQBlAG4AdABzAFwAbgAgACAAPQBMAEEATQBCAEQAQQAoAFwAbgAgACAAIAAgAE0AQQBLAEUAQQBSAFIAQQBZACgANAAsACAANAAsAFwAbgAgACAAIAAgACAAIABMAEEATQBCAEQAQQAoAHIALABjACwAXABuACAAIAAgACAAIAAgACAAIABJAE4ARABFAFgAKAB7AFwAbgAgACAAIAAgACAAIAAgACAAIAAgAFwAIgBOAF8AagBcACIALAAgAFwAIgBhAHYAZQByAGEAZwBlACAAYQBuAG4AdQBhAGwAIABuAHUAbQBiAGUAcgAgAG8AZgAgAGwAaQB2AGUAcwB0AG8AYwBrACAAcABlAHIAIABsAGkAdgBlAHMAdABvAGMAawAgAHQAeQBwAGUAIABqAFwAIgAsACAAXAAiAGgAZQBhAGQAXAAiACwAIABcACIASQBuAHAAdQB0AFwAIgA7AFwAbgAgACAAIAAgACAAIAAgACAAIAAgAFwAIgBNAF8AagBtAFwAIgAsACAAXAAiAGEAbgBuAHUAYQBsACAAbQBlAHQAaABhAG4AZQAgAHAAcgBvAGQAdQBjAHQAaQBvAG4AIABmAHIAbwBtACAAbQBhAG4AdQByAGUAIABtAGEAbgBhAGcAZQBtAGUAbgB0AFwAIgAsACAAXAAiAGsAZwAgAEMASAA0AC8AaABlAGEAZAAvAGQAYQB5AFwAIgAsACAAXAAiAEMAYQBsAGMAdQBsAGEAdABlAGQAIABmAHIAbwBtACAANAAuADcALgAxAC4AMQAsACAAKAAyACkAXAAiADsAXABuACAAIAAgACAAIAAgACAAIAAgACAAXAAiAGoAXAAiACwAIABcACIAbABpAHYAZQBzAHQAbwBjAGsAIAB0AHkAcABlAFwAIgAsACAAXAAiAFwAIgAsACAAXAAiAEkAbgBwAHUAdABcACIAOwBcAG4AIAAgACAAIAAgACAAIAAgACAAIABcACIAbQBcACIALAAgAFwAIgBtAGEAbgB1AHIAZQAgAG0AYQBuAGEAZwBlAG0AZQBuAHQAIABzAHkAcwB0AGUAbQBcACIALAAgAFwAIgBcACIALAAgAFwAIgBJAG4AcAB1AHQAXAAiAFwAbgAgACAAIAAgACAAIAAgACAAfQAsACAAcgAsACAAYwApAFwAbgAgACAAIAAgACAAIAApAFwAbgAgACAAIAAgACkAXABuACAAIAApADsAXABuAFwAbgAvACoAXABuAC0ALQAtAC0ALQAtAC0ALQAtAC0ALQAtAC0ALQAtAC0ALQAtAC0ALQAtAC0ALQAtAC0ALQAtAC0ALQAtAC0ALQAtAC0ALQAtAC0ALQBcAG4AVgBFAEUAUgBHAF8ANABfADcAXwAxAF8AMQBfAF8AMgBfAEEAbgBuAHUAYQBsAE0AZQB0AGgAYQBuAGUAUAByAG8AZAB1AGMAdABpAG8AbgBGAHIAbwBtAE0AYQBuAHUAcgBlAE0AYQBuAGEAZwBlAG0AZQBuAHQAXABuAEEAbgBuAHUAYQBsACAAbQBlAHQAaABhAG4AZQAgAHAAcgBvAGQAdQBjAHQAaQBvAG4AIABmAHIAbwBtACAAbQBhAG4AdQByAGUAIABtAGEAbgBhAGcAZQBtAGUAbgB0AFwAbgBNAF8AagBtAFwAbgBrAGcAIABDAEgANAAvAGgAZQBhAGQALwBkAGEAeQBcAG4ATQBfAGoAbQA9AFYAUwBfAGoAXABcAHQAaQBtAGUAcwAgAEIAXwBPAFwAXAB0AGkAbQBlAHMAIABNAE0AUwBfAG0AXABcAHQAaQBtAGUAcwAgAE0AQwBGAF8AaQBtAFwAXAB0AGkAbQBlAHMAIABcAFwAcgBoAG8AXABuAFYAUwBfAGoAIAA9ACAAdgBvAGwAYQB0AGkAbABlACAAcwBvAGwAaQBkACAAcAByAG8AZAB1AGMAdABpAG8AbgAgACgAawBnAC8AaABlAGEAZAAvAGQAYQB5ACkAXABuAEIAXwBPACAAPQAgAG0AZQB0AGgAYQBuAGUAIABlAG0AaQBzAHMAaQBvAG4AcwAgAHAAbwB0AGUAbgB0AGkAYQBsACAAKABtADMAIABDAEgANAAvAGsAZwAgAFYAUwApAFwAbgBNAE0AUwBfAG0AIAA9ACAAZgByAGEAYwB0AGkAbwBuACAAbwBmACAAdwBhAHMAdABlACAAaQBuACAAZQBhAGMAaAAgAG0AYQBuAHUAcgBlACAAbQBhAG4AYQBnAGUAbQBlAG4AdAAgAHMAeQBzAHQAZQBtAFwAbgBNAEMARgBfAGkAbQAgAD0AIABtAGUAdABoAGEAbgBlACAAYwBvAG4AdgBlAHIAcwBpAG8AbgAgAGYAYQBjAHQAbwByACAAZgBvAHIAIAB0AGUAbQBwAGUAcgBhAHQAdQByAGUAIAB6AG8AbgBlACAAYQBuAGQAIABtAGEAbgB1AHIAZQAgAG0AYQBuAGEAZwBlAG0AZQBuAHQAIABzAHkAcwB0AGUAbQBcAG4AcgBoAG8AIAA9ACAAZABlAG4AcwBpAHQAeQAgAG8AZgAgAG0AZQB0AGgAYQBuAGUAIAAoAGsAZwAvAG0AMwApAFwAbgAtAC0ALQAtAC0ALQAtAC0ALQAtAC0ALQAtAC0ALQAtAC0ALQAtAC0ALQAtAC0ALQAtAC0ALQAtAC0ALQAtAC0ALQAtAC0ALQAtAC0AXABuACoALwBcAG4AXABuAFYARQBFAFIARwBfADQAXwA3AF8AMQBfADEAXwBfADIAXwBBAG4AbgB1AGEAbABNAGUAdABoAGEAbgBlAFAAcgBvAGQAdQBjAHQAaQBvAG4ARgByAG8AbQBNAGEAbgB1AHIAZQBNAGEAbgBhAGcAZQBtAGUAbgB0AFwAbgAgACAAPQBMAEEATQBCAEQAQQAoAFwAbgAgACAAIAAgAFYAUwBfAGoALAAgAEIAXwBPACwAIABNAE0AUwBfAG0ALAAgAE0AQwBGAF8AaQBtACwAIAByAGgAbwAsAFwAbgAgACAAIAAgAFYAUwBfAGoAIAAqACAAQgBfAE8AIAAqACAATQBNAFMAXwBtACAAKgAgAE0AQwBGAF8AaQBtACAAKgAgAHIAaABvAFwAbgAgACAAKQA7AFwAbgBcAG4AVgBFAEUAUgBHAF8ANABfADcAXwAxAF8AMQBfAF8AMgBfAEEAbgBuAHUAYQBsAE0AZQB0AGgAYQBuAGUAUAByAG8AZAB1AGMAdABpAG8AbgBGAHIAbwBtAE0AYQBuAHUAcgBlAE0AYQBuAGEAZwBlAG0AZQBuAHQAXwBUAGkAdABsAGUAXABuACAAIAA9AEwAQQBNAEIARABBACgAXAAiAEEAbgBuAHUAYQBsACAAbQBlAHQAaABhAG4AZQAgAHAAcgBvAGQAdQBjAHQAaQBvAG4AIABmAHIAbwBtACAAbQBhAG4AdQByAGUAIABtAGEAbgBhAGcAZQBtAGUAbgB0AFwAIgApADsAXABuAFwAbgBWAEUARQBSAEcAXwA0AF8ANwBfADEAXwAxAF8AXwAyAF8AQQBuAG4AdQBhAGwATQBlAHQAaABhAG4AZQBQAHIAbwBkAHUAYwB0AGkAbwBuAEYAcgBvAG0ATQBhAG4AdQByAGUATQBhAG4AYQBnAGUAbQBlAG4AdABfAFYAYQByAGkAYQBiAGwAZQBcAG4AIAAgAD0ATABBAE0AQgBEAEEAKABcACIATQBfAGoAbQBcACIAKQA7AFwAbgBcAG4AVgBFAEUAUgBHAF8ANABfADcAXwAxAF8AMQBfAF8AMgBfAEEAbgBuAHUAYQBsAE0AZQB0AGgAYQBuAGUAUAByAG8AZAB1AGMAdABpAG8AbgBGAHIAbwBtAE0AYQBuAHUAcgBlAE0AYQBuAGEAZwBlAG0AZQBuAHQAXwBVAG4AaQB0AFwAbgAgACAAPQBMAEEATQBCAEQAQQAoAFwAIgBrAGcAIABDAEgANAAvAGgAZQBhAGQALwBkAGEAeQBcACIAKQA7AFwAbgBcAG4AVgBFAEUAUgBHAF8ANABfADcAXwAxAF8AMQBfAF8AMgBfAEEAbgBuAHUAYQBsAE0AZQB0AGgAYQBuAGUAUAByAG8AZAB1AGMAdABpAG8AbgBGAHIAbwBtAE0AYQBuAHUAcgBlAE0AYQBuAGEAZwBlAG0AZQBuAHQAXwBTAG8AdQByAGMAZQBcAG4AIAAgAD0ATABBAE0AQgBEAEEAKABcACIAVgBFAEUAUgBHACAAMgAwADIANgA6ACAANAAuADcALgAxAC4AMQAsACAARQBxAHUAYQB0AGkAbwBuACAAKAAyACkAXAAiACkAOwBcAG4AXABuAFYARQBFAFIARwBfADQAXwA3AF8AMQBfADEAXwBfADIAXwBBAG4AbgB1AGEAbABNAGUAdABoAGEAbgBlAFAAcgBvAGQAdQBjAHQAaQBvAG4ARgByAG8AbQBNAGEAbgB1AHIAZQBNAGEAbgBhAGcAZQBtAGUAbgB0AF8ATgBJAFIAUgBlAGYAZQByAGUAbgBjAGUAXABuACAAIAA9AEwAQQBNAEIARABBACgAXAAiAFwAIgApADsAXABuAFwAbgBWAEUARQBSAEcAXwA0AF8ANwBfADEAXwAxAF8AXwAyAF8AQQBuAG4AdQBhAGwATQBlAHQAaABhAG4AZQBQAHIAbwBkAHUAYwB0AGkAbwBuAEYAcgBvAG0ATQBhAG4AdQByAGUATQBhAG4AYQBnAGUAbQBlAG4AdABfAEwAYQB0AGUAeABFAHEAdQBhAHQAaQBvAG4AXABuACAAIAA9AEwAQQBNAEIARABBACgAXAAiAE0AXwB7AGoAbQB9AD0AVgBTAF8AagBcAFwAdABpAG0AZQBzACAAQgBfAE8AXABcAHQAaQBtAGUAcwAgAE0ATQBTAF8AbQBcAFwAdABpAG0AZQBzACAATQBDAEYAXwB7AGkAbQB9AFwAXAB0AGkAbQBlAHMAIABcAFwAcgBoAG8AXAAiACkAOwBcAG4AXABuAFYARQBFAFIARwBfADQAXwA3AF8AMQBfADEAXwBfADIAXwBBAG4AbgB1AGEAbABNAGUAdABoAGEAbgBlAFAAcgBvAGQAdQBjAHQAaQBvAG4ARgByAG8AbQBNAGEAbgB1AHIAZQBNAGEAbgBhAGcAZQBtAGUAbgB0AF8AQQByAGcAdQBtAGUAbgB0AHMAXABuACAAIAA9AEwAQQBNAEIARABBACgAXABuACAAIAAgACAATQBBAEsARQBBAFIAUgBBAFkAKAA2ACwAIAA0ACwAXABuACAAIAAgACAAIAAgAEwAQQBNAEIARABBACgAcgAsAGMALABcAG4AIAAgACAAIAAgACAAIAAgAEkATgBEAEUAWAAoAHsAXABuACAAIAAgACAAIAAgACAAIAAgACAAXAAiAFYAUwBfAGoAXAAiACwAIABcACIAdgBvAGwAYQB0AGkAbABlACAAcwBvAGwAaQBkACAAcAByAG8AZAB1AGMAdABpAG8AbgBcACIALAAgAFwAIgBrAGcALwBoAGUAYQBkAC8AZABhAHkAXAAiACwAIABcACIAQwBvAG4AcwB0AGEAbgB0AFwAIgA7AFwAbgAgACAAIAAgACAAIAAgACAAIAAgAFwAIgBCAF8ATwBcACIALAAgAFwAIgBtAGUAdABoAGEAbgBlACAAZQBtAGkAcwBzAGkAbwBuAHMAIABwAG8AdABlAG4AdABpAGEAbABcACIALAAgAFwAIgBtADMAIABDAEgANAAvAGsAZwAgAFYAUwBcACIALAAgAFwAIgBDAG8AbgBzAHQAYQBuAHQAXAAiADsAXABuACAAIAAgACAAIAAgACAAIAAgACAAXAAiAE0ATQBTAF8AbQBcACIALAAgAFwAIgBmAHIAYQBjAHQAaQBvAG4AIABvAGYAIAB3AGEAcwB0AGUAIABpAG4AIABlAGEAYwBoACAAbQBhAG4AdQByAGUAIABtAGEAbgBhAGcAZQBtAGUAbgB0ACAAcwB5AHMAdABlAG0AXAAiACwAIABcACIAZgByAGEAYwB0AGkAbwBuAFwAIgAsACAAXAAiAEMAbwBuAHMAdABhAG4AdABcACIAOwBcAG4AIAAgACAAIAAgACAAIAAgACAAIABcACIATQBDAEYAXwBpAG0AXAAiACwAIABcACIAbQBlAHQAaABhAG4AZQAgAGMAbwBuAHYAZQByAHMAaQBvAG4AIABmAGEAYwB0AG8AcgAgAGYAbwByACAAcwB0AGEAdABlACAAYQBuAGQAIABtAGEAbgB1AHIAZQAgAG0AYQBuAGEAZwBlAG0AZQBuAHQAIABzAHkAcwB0AGUAbQ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HMAdABhAHQAZQBcACIALAAgAFwAIgBcACIALAAgAFwAIgBJAG4AcAB1AHQAXAAiAFwAbgAgACAAIAAgACAAIAAgACAAfQAsACAAcgAsACAAYwApAFwAbgAgACAAIAAgACAAIAApAFwAbgAgACAAIAAgACkAXABuACAAIAApADsAXABuAFwAbgBWAEUARQBSAEcAXwA0AF8ANwBfADEAXwAxAF8AXwAyAF8AQQBuAG4AdQBhAGwATQBlAHQAaABhAG4AZQBQAHIAbwBkAHUAYwB0AGkAbwBuAEYAcgBvAG0ATQBhAG4AdQByAGUATQBhAG4AYQBnAGUAbQBlAG4AdABfAEEAcgBnAHUAbQBlAG4AdABzAF8ATQBlAHQAaABvAGQAMgBcAG4AIAAgAD0ATABBAE0AQgBEAEEAKABcAG4AIAAgACAAIABNAEEASwBFAEEAUgBSAEEAWQAoADYALAAgADQALABcAG4AIAAgACAAIAAgACAATABBAE0AQgBEAEEAKAByACwAYwAsAFwAbgAgACAAIAAgACAAIAAgACAASQBOAEQARQBYACgAewBcAG4AIAAgACAAIAAgACAAIAAgACAAIABcACIAVgBTAF8AagBcACIALAAgAFwAIgB2AG8AbABhAHQAaQBsAGUAIABzAG8AbABpAGQAIABwAHIAbwBkAHUAYwB0AGkAbwBuAFwAIgAsACAAXAAiAGsAZwAvAGgAZQBhAGQALwBkAGEAeQBcACIALAAgAFwAIgBDAG8AbgBzAHQAYQBuAHQAXAAiADsAXABuACAAIAAgACAAIAAgACAAIAAgACAAXAAiAEIAXwBPAFwAIgAsACAAXAAiAG0AZQB0AGgAYQBuAGUAIABlAG0AaQBzAHMAaQBvAG4AcwAgAHAAbwB0AGUAbgB0AGkAYQBsAFwAIgAsACAAXAAiAG0AMwAgAEMASAA0AC8AawBnACAAVgBTAFwAIgAsACAAXAAiAEMAbwBuAHMAdABhAG4AdABcACIAOwBcAG4AIAAgACAAIAAgACAAIAAgACAAIABcACIATQBNAFMAXwBtAFwAIgAsACAAXAAiAGYAcgBhAGMAdABpAG8AbgAgAG8AZgAgAHcAYQBzAHQAZQAgAGkAbgAgAGUAYQBjAGgAIABtAGEAbgB1AHIAZQAgAG0AYQBuAGEAZwBlAG0AZQBuAHQAIABzAHkAcwB0AGUAbQBcACIALAAgAFwAIgBmAHIAYQBjAHQAaQBvAG4AXAAiACwAIABcACIAQwBvAG4AcwB0AGEAbgB0AFwAIgA7AFwAbgAgACAAIAAgACAAIAAgACAAIAAgAFwAIgBNAEMARgBfAGkAbQBcACIALAAgAFwAIgBtAGUAdABoAGEAbgBlACAAYwBvAG4AdgBlAHIAcwBpAG8AbgAgAGYAYQBjAHQAbwByACAAZgBvAHIAIAB0AGUAbQBwAGUAcgBhAHQAdQByAGUAIAB6AG8AbgBlACAAYQBuAGQAIABtAGEAbgB1AHIAZQAgAG0AYQBuAGEAZwBlAG0AZQBuAHQAIABzAHkAcwB0AGUAbQBcACIALAAgAFwAIgBmAHIAYQBjAHQAaQBvAG4AXAAiACwAIABcACIAQwBvAG4AcwB0AGEAbgB0AFwAIgA7AFwAbgAgACAAIAAgACAAIAAgACAAIAAgAFwAIgByAGgAbwBcACIALAAgAFwAIgBkAGUAbgBzAGkAdAB5ACAAbwBmACAAbQBlAHQAaABhAG4AZQBcACIALAAgAFwAIgBrAGcALwBtADMAXAAiACwAIABcACIAQwBvAG4AcwB0AGEAbgB0AFwAIgA7AFwAbgAgACAAIAAgACAAIAAgACAAIAAgAFwAIgBpAFwAIgAsACAAXAAiAG0AZQBhAG4AIABhAG4AbgB1AGEAbAAgAHQAZQBtAHAAZQByAGEAdAB1AHIAZQBcACIALAAgAFwAIgBkAGUAZwByAGUAZQBzACAAQwBlAGwAcwBpAHUAcwBcACIALAAgAFwAIgBJAG4AcAB1AHQAXAAiAFwAbgAgACAAIAAgACAAIAAgACAAfQAsACAAcgAsACAAYwApAFwAbgAgACAAIAAgACAAIAApAFwAbgAgACAAIAAgACkAXABuACAAIAApADsAXABuACIAfQAsAHsAIgBwAGEAdABoACIAOgAiAC8AcAByAG8AagBlAGMAdABzAC8ATQBNAFMAXwBPAHQAaABlAHIATABpAHYAZQBzAHQAbwBjAGsAXwBTAG8AaQBsAF8ATgAyAE8ARABpAHIAZQBjAHQ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MAIABNAGUAdABoAG8AZAAgADEAIAAtACAAUwBvAGkAbAAgAEQAaQByAGUAYwB0ACAATgAyAE8AIABPAHQAaABlAHIAIABMAGkAdgBlAHMAdABvAGMAawBcAG4APQA9AD0APQA9AD0APQA9AD0APQA9AD0APQA9AD0APQA9AD0APQA9AD0APQA9AD0APQA9AD0APQA9AD0APQA9AD0APQA9AD0APQA9AD0APQA9AD0APQA9AD0APQA9AD0APQA9AD0APQA9AD0APQA9AD0APQA9AD0APQA9AD0APQA9AD0APQA9AD0APQA9AD0APQA9AD0APQBcAG4AKgAvAFwAbgBcAG4ALwAqAFwAbgAtAC0ALQAtAC0ALQAtAC0ALQAtAC0ALQAtAC0ALQAtAC0ALQAtAC0ALQAtAC0ALQAtAC0ALQAtAC0ALQAtAC0ALQAtAC0ALQAtAC0AXABuAFYARQBFAFIARwBfADQAXwA3AF8AMQBfADMAXwBfADEAXwBEAGkAcgBlAGMAdABOAGkAdAByAG8AdQBzAE8AeABpAGQAZQBFAG0AaQBzAHMAaQBvAG4AcwBGAHIAbwBtAFMAbwBpAGwAXABuAEQAaQByAGUAYwB0ACAAbgBpAHQAcgBvAHUAcwAgAG8AeABpAGQAZQAgAGUAbQBpAHMAcwBpAG8AbgBzACAAZgByAG8AbQAgAGEAZwByAGkAYwB1AGwAdAB1AHIAYQBsACAAcwBvAGkAbABzACAAZgByAG8AbQAgAGQAZQBwAG8AcwBpAHQAaQBvAG4AIABvAGYAIAB1AHIAaQBuAGUAIABhAG4AZAAgAGQAdQBuAGcAIAB0AG8AIABwAGEAcwB0AHUAcgBlAFwAbgBFAF8ATgAyAE8AZABpAHIAXABuAHQAIABOADIATwBcAG4ARQBfAHsATgAyAE8ALABkAGkAcgB9AD0AQQBFAFwAXAB0AGkAbQBlAHMAIABFAEYAXwB7AFAAUgBQAH0AXABcAHQAaQBtAGUAcwAgAEMAXwB7AE4AMgBPAH0AXABcAHQAaQBtAGUAcwAgADEAMABeAHsALQAzAH0AXABuAEEARQAgAD0AIABhAG4AbgB1AGEAbAAgAG4AaQB0AHIAbwBnAGUAbgAgAGUAeABjAHIAZQB0AGUAZAAgAGIAeQAgAGUAYQBjAGgAIABsAGkAdgBlAHMAdABvAGMAawAgAHQAeQBwAGUAIAAoAGsAZwAgAE4ALwB5AGUAYQByACkAXABuAEUARgBfAFAAUgBQACAAPQAgAGUAbQBpAHMAcwBpAG8AbgAgAGYAYQBjAHQAbwByACAAZgBvAHIAIABuAGkAdAByAG8AdQBzACAAbwB4AGkAZABlACAAZgByAG8AbQAgAHUAcgBpAG4AZQAgAGEAbgBkACAAZAB1AG4AZwAgAGQAZQBwAG8AcwBpAHQAZQBkACAAdABvACAAcwBvAGkAbAAgACgAawBnACAATgAyAE8ALQBOAC8AawBnACAATgAgAGQAZQBwAG8AcwBpAHQAZQBk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MAXwBfADEAXwBEAGkAcgBlAGMAdABOAGkAdAByAG8AdQBzAE8AeABpAGQAZQBFAG0AaQBzAHMAaQBvAG4AcwBGAHIAbwBtAFMAbwBpAGwAXABuACAAIAA9AEwAQQBNAEIARABBACgAXABuACAAIAAgACAAQQBFACwAIABFAEYAXwBQAFIAUAAsACAAQwBfAE4AMgBPACwAXABuACAAIAAgACAAQQBFACAAKgAgAEUARgBfAFAAUgBQACAAKgAgAEMAXwBOADIATwAgACoAIAAxADAAIABeACAALQAzAFwAbgAgACAAKQA7AFwAbgBcAG4AVgBFAEUAUgBHAF8ANABfADcAXwAxAF8AMwBfAF8AMQBfAEQAaQByAGUAYwB0AE4AaQB0AHIAbwB1AHMATwB4AGkAZABlAEUAbQBpAHMAcwBpAG8AbgBzAEYAcgBvAG0AUwBvAGkAbABfAFQAaQB0AGwAZQBcAG4AIAAgAD0ATABBAE0AQgBEAEEAKABcACIARABpAHIAZQBjAHQAIABuAGkAdAByAG8AdQBzACAAbwB4AGkAZABlACAAZQBtAGkAcwBzAGkAbwBuAHMAIABmAHIAbwBtACAAYQBnAHIAaQBjAHUAbAB0AHUAcgBhAGwAIABzAG8AaQBsAHMAIABmAHIAbwBtACAAZABlAHAAbwBzAGkAdABpAG8AbgAgAG8AZgAgAHUAcgBpAG4AZQAgAGEAbgBkACAAZAB1AG4AZwAgAHQAbwAgAHAAYQBzAHQAdQByAGUAXAAiACkAOwBcAG4AXABuAFYARQBFAFIARwBfADQAXwA3AF8AMQBfADMAXwBfADEAXwBEAGkAcgBlAGMAdABOAGkAdAByAG8AdQBzAE8AeABpAGQAZQBFAG0AaQBzAHMAaQBvAG4AcwBGAHIAbwBtAFMAbwBpAGwAXwBWAGEAcgBpAGEAYgBsAGUAXABuACAAIAA9AEwAQQBNAEIARABBACgAXAAiAEUAXwBOADIATwBkAGkAcgBcACIAKQA7AFwAbgBcAG4AVgBFAEUAUgBHAF8ANABfADcAXwAxAF8AMwBfAF8AMQBfAEQAaQByAGUAYwB0AE4AaQB0AHIAbwB1AHMATwB4AGkAZABlAEUAbQBpAHMAcwBpAG8AbgBzAEYAcgBvAG0AUwBvAGkAbABfAFUAbgBpAHQAXABuACAAIAA9AEwAQQBNAEIARABBACgAXAAiAHQAIABOADIATwBcACIAKQA7AFwAbgBcAG4AVgBFAEUAUgBHAF8ANABfADcAXwAxAF8AMwBfAF8AMQBfAEQAaQByAGUAYwB0AE4AaQB0AHIAbwB1AHMATwB4AGkAZABlAEUAbQBpAHMAcwBpAG8AbgBzAEYAcgBvAG0AUwBvAGkAbABfAFMAbwB1AHIAYwBlAFwAbgAgACAAPQBMAEEATQBCAEQAQQAoAFwAIgBWAEUARQBSAEcAIAAyADAAMgA2ADoAIAA0AC4ANwAuADEALgAzACwAIABFAHEAdQBhAHQAaQBvAG4AIAAoADEAKQBcACIAKQA7AFwAbgBcAG4AVgBFAEUAUgBHAF8ANABfADcAXwAxAF8AMwBfAF8AMQBfAEQAaQByAGUAYwB0AE4AaQB0AHIAbwB1AHMATwB4AGkAZABlAEUAbQBpAHMAcwBpAG8AbgBzAEYAcgBvAG0AUwBvAGkAbABfAE4ASQBSAFIAZQBmAGUAcgBlAG4AYwBlAFwAbgAgACAAPQBMAEEATQBCAEQAQQAoAFwAIgBcACIAKQA7AFwAbgBcAG4AVgBFAEUAUgBHAF8ANABfADcAXwAxAF8AMwBfAF8AMQBfAEQAaQByAGUAYwB0AE4AaQB0AHIAbwB1AHMATwB4AGkAZABlAEUAbQBpAHMAcwBpAG8AbgBzAEYAcgBvAG0AUwBvAGkAbABfAEwAYQB0AGUAeABFAHEAdQBhAHQAaQBvAG4AXABuACAAIAA9AEwAQQBNAEIARABBACgAXAAiAEUAXwB7AE4AMgBPACwAZABpAHIAfQA9AEEARQBcAFwAdABpAG0AZQBzACAARQBGAF8AewBQAFIAUAB9AFwAXAB0AGkAbQBlAHMAIABDAF8AewBOADIATwB9AFwAXAB0AGkAbQBlAHMAIAAxADAAXgB7AC0AMwB9AFwAIgApADsAXABuAFwAbgBWAEUARQBSAEcAXwA0AF8ANwBfADEAXwAzAF8AXwAxAF8ARABpAHIAZQBjAHQATgBpAHQAcgBvAHUAcwBPAHgAaQBkAGUARQBtAGkAcwBzAGkAbwBuAHMARgByAG8AbQBTAG8AaQBsAF8AQQByAGcAdQBtAGUAbgB0AHMAXABuACAAIAA9AEwAQQBNAEIARABBACgAXABuACAAIAAgACAATQBBAEsARQBBAFIAUgBBAFkAKAA0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YAcgBvAG0AIAA0AC4ANwAuADEALgAzACwAIAAoADIAKQBcACIAOwBcAG4AIAAgACAAIAAgACAAIAAgACAAIABcACIARQBGAF8AUABSAFAAXAAiACwAIABcACIAZQBtAGkAcwBzAGkAbwBuACAAZgBhAGMAdABvAHIAIABmAG8AcgAgAG4AaQB0AHIAbwB1AHMAIABvAHgAaQBkAGUAIABmAHIAbwBtACAAdQByAGkAbgBlACAAYQBuAGQAIABkAHUAbgBnACAAZABlAHAAbwBzAGkAdABlAGQAIAB0AG8AIABzAG8AaQBsAFwAIgAsACAAXAAiAGsAZwAgAE4AMgBPAC0ATgAvAGsAZwAgAE4AIABkAGUAcABvAHMAaQB0AGUAZA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OwBcAG4AIAAgACAAIAAgACAAIAAgACAAIABcACIAegBcACIALAAgAFwAIgB3AGUAdAAgAG8AcgAgAGQAcgB5ACAAYwBsAGkAbQBhAHQAZQ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3AF8AMQBfADMAXwBfADIAXwBBAG4AbgB1AGEAbABOAGkAdAByAG8AZwBlAG4ARQB4AGMAcgBlAHQAZQBkAFQAbwBQAGEAcwB0AHUAcgBlAFwAbgBBAG4AbgB1AGEAbAAgAG4AaQB0AHIAbwBnAGUAbgAgAGUAeABjAHIAZQB0AGUAZAAgAGIAeQAgAGwAaQB2AGUAcwB0AG8AYwBrACAAdABvACAAcABhAHMAdAB1AHIAZQAsACAAcgBhAG4AZwBlACAAYQBuAGQAIABwAGEAZABkAG8AYwBrAFwAbgBBAEUAXABuAGsAZwAgAE4ALwB5AGUAYQByAFwAbgBBAEUAPQBcAFwAcwB1AG0AXwBqACgATgBfAGoAXABcAHQAaQBtAGUAcwAgAE4ARQBfAGoAXABcAHQAaQBtAGUAcwAgADMANgA1ACkAXABuAE4AXwBqACAAPQAgAG4AdQBtAGIAZQByACAAbwBmACAAbABpAHYAZQBzAHQAbwBjAGsAIABvAGYAIABlAGEAYwBoACAAbABpAHYAZQBzAHQAbwBjAGsAIAB0AHkAcABlACAAagAgACgAaABlAGEAZAApAFwAbgBOAEUAXwBqACAAPQAgAG4AaQB0AHIAbwBnAGUAbgAgAGUAeABjAHIAZQB0AGUAZAAgAGIAeQAgAGUAYQBjAGgAIABsAGkAdgBlAHMAdABvAGMAawAgAHQAeQBwAGUAIABqACAAKABrAGcAIABOAC8AaABlAGEAZAAvAGQAYQB5ACkAXABuAC0ALQAtAC0ALQAtAC0ALQAtAC0ALQAtAC0ALQAtAC0ALQAtAC0ALQAtAC0ALQAtAC0ALQAtAC0ALQAtAC0ALQAtAC0ALQAtAC0ALQBcAG4AKgAvAFwAbgBcAG4AVgBFAEUAUgBHAF8ANABfADcAXwAxAF8AMwBfAF8AMgBfAEEAbgBuAHUAYQBsAE4AaQB0AHIAbwBnAGUAbgBFAHgAYwByAGUAdABlAGQAVABvAFAAYQBzAHQAdQByAGUAXABuACAAIAA9AEwAQQBNAEIARABBACgAXABuACAAIAAgACAATgBfAGoALAAgAE4ARQBfAGoALABcAG4AIAAgACAAIABOAF8AagAgACoAIABOAEUAXwBqACAAKgAgADMANgA1AFwAbgAgACAAKQA7AFwAbgBcAG4AVgBFAEUAUgBHAF8ANABfADcAXwAxAF8AMwBfAF8AMgBfAEEAbgBuAHUAYQBsAE4AaQB0AHIAbwBnAGUAbgBFAHgAYwByAGUAdABlAGQAVABvAFAAYQBzAHQAdQByAGUAXwBUAGkAdABsAGUAXABuACAAIAA9AEwAQQBNAEIARABBACgAXAAiAEEAbgBuAHUAYQBsACAAbgBpAHQAcgBvAGcAZQBuACAAZQB4AGMAcgBlAHQAZQBkACAAYgB5ACAAbABpAHYAZQBzAHQAbwBjAGsAIAB0AG8AIABwAGEAcwB0AHUAcgBlACwAIAByAGEAbgBnAGUAIABhAG4AZAAgAHAAYQBkAGQAbwBjAGsAXAAiACkAOwBcAG4AXABuAFYARQBFAFIARwBfADQAXwA3AF8AMQBfADMAXwBfADIAXwBBAG4AbgB1AGEAbABOAGkAdAByAG8AZwBlAG4ARQB4AGMAcgBlAHQAZQBkAFQAbwBQAGEAcwB0AHUAcgBlAF8AVgBhAHIAaQBhAGIAbABlAFwAbgAgACAAPQBMAEEATQBCAEQAQQAoAFwAIgBBAEUAXAAiACkAOwBcAG4AXABuAFYARQBFAFIARwBfADQAXwA3AF8AMQBfADMAXwBfADIAXwBBAG4AbgB1AGEAbABOAGkAdAByAG8AZwBlAG4ARQB4AGMAcgBlAHQAZQBkAFQAbwBQAGEAcwB0AHUAcgBlAF8AVQBuAGkAdABcAG4AIAAgAD0ATABBAE0AQgBEAEEAKABcACIAawBnACAATgAvAHkAZQBhAHIAXAAiACkAOwBcAG4AXABuAFYARQBFAFIARwBfADQAXwA3AF8AMQBfADMAXwBfADIAXwBBAG4AbgB1AGEAbABOAGkAdAByAG8AZwBlAG4ARQB4AGMAcgBlAHQAZQBkAFQAbwBQAGEAcwB0AHUAcgBlAF8AUwBvAHUAcgBjAGUAXABuACAAIAA9AEwAQQBNAEIARABBACgAXAAiAFYARQBFAFIARwAgADIAMAAyADYAOgAgADQALgA3AC4AMQAuADMALAAgAEUAcQB1AGEAdABpAG8AbgAgACgAMgApAFwAIgApADsAXABuAFwAbgBWAEUARQBSAEcAXwA0AF8ANwBfADEAXwAzAF8AXwAyAF8AQQBuAG4AdQBhAGwATgBpAHQAcgBvAGcAZQBuAEUAeABjAHIAZQB0AGUAZABUAG8AUABhAHMAdAB1AHIAZQBfAE4ASQBSAFIAZQBmAGUAcgBlAG4AYwBlAFwAbgAgACAAPQBMAEEATQBCAEQAQQAoAFwAIgBcACIAKQA7AFwAbgBcAG4AVgBFAEUAUgBHAF8ANABfADcAXwAxAF8AMwBfAF8AMgBfAEEAbgBuAHUAYQBsAE4AaQB0AHIAbwBnAGUAbgBFAHgAYwByAGUAdABlAGQAVABvAFAAYQBzAHQAdQByAGUAXwBMAGEAdABlAHgARQBxAHUAYQB0AGkAbwBuAFwAbgAgACAAPQBMAEEATQBCAEQAQQAoAFwAIgBBAEUAPQBcAFwAcwB1AG0AXABcAG4AbwBsAGkAbQBpAHQAcwBfAGoAKABOAF8AagBcAFwAdABpAG0AZQBzACAATgBFAF8AagBcAFwAdABpAG0AZQBzACAAMwA2ADUAKQBcACIAKQA7AFwAbgBcAG4AVgBFAEUAUgBHAF8ANABfADcAXwAxAF8AMwBfAF8AMgBfAEEAbgBuAHUAYQBsAE4AaQB0AHIAbwBnAGUAbgBFAHgAYwByAGUAdABlAGQAVABvAFAAYQBzAHQAdQByAGUAXwBBAHIAZwB1AG0AZQBuAHQAcwBcAG4AIAAgAD0ATABBAE0AQgBEAEEAKABcAG4AIAAgACAAIABNAEEASwBFAEEAUgBSAEEAWQAoADMALAAgADQALABcAG4AIAAgACAAIAAgACAATABBAE0AQgBEAEEAKAByACwAYwAsAFwAbgAgACAAIAAgACAAIAAgACAASQBOAEQARQBYACgAewBcAG4AIAAgACAAIAAgACAAIAAgACAAIABcACIATgBfAGoAXAAiACwAIABcACIAbgB1AG0AYgBlAHIAIABvAGYAIABsAGkAdgBlAHMAdABvAGMAawAgAG8AZgAgAGUAYQBjAGgAIABsAGkAdgBlAHMAdABvAGMAawAgAHQAeQBwAGUAIABqAFwAIgAsACAAXAAiAGgAZQBhAGQAXAAiACwAIABcACIASQBuAHAAdQB0AFwAIgA7AFwAbgAgACAAIAAgACAAIAAgACAAIAAgAFwAIgBOAEUAXwBqAFwAIgAsACAAXAAiAG4AaQB0AHIAbwBnAGUAbgAgAGUAeABjAHIAZQB0AGUAZAAgAGIAeQAgAGUAYQBjAGgAIABsAGkAdgBlAHMAdABvAGMAawAgAHQAeQBwAGUAIABqAFwAIgAsACAAXAAiAGsAZwAgAE4ALwBoAGUAYQBkAC8AZABhAHkAXAAiACwAIABcACIAQwBvAG4AcwB0AGEAbgB0AFwAIgA7AFwAbgAgACAAIAAgACAAIAAgACAAIAAgAFwAIgBqAFwAIgAsACAAXAAiAGwAaQB2AGUAcwB0AG8AYwBrACAAdAB5AHAAZQBcACIALAAgAFwAIgBcACIALAAgAFwAIgBJAG4AcAB1AHQAXAAiAFwAbgAgACAAIAAgACAAIAAgACAAfQAsACAAcgAsACAAYwApAFwAbgAgACAAIAAgACAAIAApAFwAbgAgACAAIAAgACkAXABuACAAIAApADsAXABuACIAfQAsAHsAIgBwAGEAdABoACIAOgAiAC8AcAByAG8AagBlAGMAdABzAC8ATQBNAFMAXwBPAHQAaABlAHIATABpAHYAZQBzAHQAbwBjAGsAXwBTAG8AaQBsAF8AQQB0AG0AbwBzAHAAaABlAHIAaQBjAEQAZQBwAG8AcwBpAHQAaQBvAG4AIgAsACIAdABlAHgAdAAiADoAIgAvACoAXABuAD0APQA9AD0APQA9AD0APQA9AD0APQA9AD0APQA9AD0APQA9AD0APQA9AD0APQA9AD0APQA9AD0APQA9AD0APQA9AD0APQA9AD0APQA9AD0APQA9AD0APQA9AD0APQA9AD0APQA9AD0APQA9AD0APQA9AD0APQA9AD0APQA9AD0APQA9AD0APQA9AD0APQA9AD0APQA9AD0AXABuADQALgA3ADoAIABNAGEAbgB1AHIAZQAgAE0AYQBuAGEAZwBlAG0AZQBuAHQAIAAtACAATwB0AGgAZQByACAATABpAHYAZQBzAHQAbwBjAGsAXABuAD0APQA9AD0APQA9AD0APQA9AD0APQA9AD0APQA9AD0APQA9AD0APQA9AD0APQA9AD0APQA9AD0APQA9AD0APQA9AD0APQA9AD0APQA9AD0APQA9AD0APQA9AD0APQA9AD0APQA9AD0APQA9AD0APQA9AD0APQA9AD0APQA9AD0APQA9AD0APQA9AD0APQA9AD0APQA9AD0AXABuADQALgA3AC4AMQAuADUAIABNAGUAdABoAG8AZAAgADEAIAAtACAAUwBvAGkAbAAgAEEAdABtAG8AcwBwAGgAZQByAGkAYwAgAEQAZQBwAG8AcwBpAHQAaQBvAG4AIABOADIATwAgAE8AdABoAGUAcgAgAEwAaQB2AGUAcwB0AG8AYwBrAFwAbgA9AD0APQA9AD0APQA9AD0APQA9AD0APQA9AD0APQA9AD0APQA9AD0APQA9AD0APQA9AD0APQA9AD0APQA9AD0APQA9AD0APQA9AD0APQA9AD0APQA9AD0APQA9AD0APQA9AD0APQA9AD0APQA9AD0APQA9AD0APQA9AD0APQA9AD0APQA9AD0APQA9AD0APQA9AD0APQA9AFwAbgAqAC8AXABuAFwAbgAvACoAXABuAC0ALQAtAC0ALQAtAC0ALQAtAC0ALQAtAC0ALQAtAC0ALQAtAC0ALQAtAC0ALQAtAC0ALQAtAC0ALQAtAC0ALQAtAC0ALQAtAC0ALQBcAG4AVgBFAEUAUgBHAF8ANABfADcAXwAxAF8ANQBfAF8AMQBfAEEAdABtAG8AcwBwAGgAZQByAGkAYwBEAGUAcABvAHMAaQB0AGkAbwBuAEUAbQBpAHMAcwBpAG8AbgBzAEYAcgBvAG0AUABhAHMAdAB1AHIAZQBcAG4AQQB0AG0AbwBzAHAAaABlAHIAaQBjACAAZABlAHAAbwBzAGkAdABpAG8AbgAgAGUAbQBpAHMAcwBpAG8AbgBzACAAZgByAG8AbQAgAHUAcgBpAG4AZQAgAGEAbgBkACAAZAB1AG4AZwAgAGQAZQBwAG8AcwBpAHQAZQBkACAAbwBuACAAcABhAHMAdAB1AHIAZQBcAG4ARQBfAE4AMgBPAGEAZABcAG4AdAAgAE4AMgBPAFwAbgBFAF8AewBOADIATwAsAGEAZAB9AD0ATQBfAHsAdgBvAGwAfQBcAFwAdABpAG0AZQBzACAARQBGAF8AewBOADIATwB9AFwAXAB0AGkAbQBlAHMAIABDAF8AewBOADIATwB9AFwAXAB0AGkAbQBlAHMAIAAxADAAXgB7AC0AMwB9AFwAbgBNAF8AdgBvAGwAIAA9ACAAbQBhAHMAcwAgAG8AZgAgAG4AaQB0AHIAbwBnAGUAbgAgAHYAbwBsAGEAdABpAGwAaQBzAGUAZAAgAGYAcgBvAG0AIAB1AHIAaQBuAGUAIABhAG4AZAAgAGYAYQBlAGMAZQBzACAAZABlAHAAbwBzAGkAdABlAGQAIABvAG4AIABwAGEAcwB0AHUAcgBlACAAKABrAGcAIABOACkAXABuAEUARgBfAE4AMgBPACAAPQAgAGUAbQBpAHMAcwBpAG8AbgAgAGYAYQBjAHQAbwByACAAZgBvAHIAIABhAHQAbQBvAHMAcABoAGUAcgBpAGMAIABkAGUAcABvAHMAaQB0AGkAbwBuACAAKABrAGcAIABOADIATwAtAE4ALwBrAGcAIABOACkAXABuAEMAXwBOADIATwAgAD0AIABmAGEAYwB0AG8AcgAgAHQAbwAgAGMAbwBuAHYAZQByAHQAIABlAGwAZQBtAGUAbgB0AGEAbAAgAG0AYQBzAHMAIABvAGYAIABuAGkAdAByAG8AdQBzACAAbwB4AGkAZABlACAAdABvACAAbQBvAGwAZQBjAHUAbABhAHIAIABtAGEAcwBzAFwAbgAtAC0ALQAtAC0ALQAtAC0ALQAtAC0ALQAtAC0ALQAtAC0ALQAtAC0ALQAtAC0ALQAtAC0ALQAtAC0ALQAtAC0ALQAtAC0ALQAtAC0AXABuACoALwBcAG4AXABuAFYARQBFAFIARwBfADQAXwA3AF8AMQBfADUAXwBfADEAXwBBAHQAbQBvAHMAcABoAGUAcgBpAGMARABlAHAAbwBzAGkAdABpAG8AbgBFAG0AaQBzAHMAaQBvAG4AcwBGAHIAbwBtAFAAYQBzAHQAdQByAGUAXABuACAAIAA9AEwAQQBNAEIARABBACgAXABuACAAIAAgACAATQBfAHYAbwBsACwAIABFAEYAXwBOADIATwAsACAAQwBfAE4AMgBPACwAXABuACAAIAAgACAATQBfAHYAbwBsACAAKgAgAEUARgBfAE4AMgBPACAAKgAgAEMAXwBOADIATwAgACoAIAAxADAAIABeACAALQAzAFwAbgAgACAAKQA7AFwAbgBcAG4AVgBFAEUAUgBHAF8ANABfADcAXwAxAF8ANQBfAF8AMQBfAEEAdABtAG8AcwBwAGgAZQByAGkAYwBEAGUAcABvAHMAaQB0AGkAbwBuAEUAbQBpAHMAcwBpAG8AbgBzAEYAcgBvAG0AUABhAHMAdAB1AHIAZQBfAFQAaQB0AGwAZQBcAG4AIAAgAD0ATABBAE0AQgBEAEEAKABcACIAQQB0AG0AbwBzAHAAaABlAHIAaQBjACAAZABlAHAAbwBzAGkAdABpAG8AbgAgAGUAbQBpAHMAcwBpAG8AbgBzACAAZgByAG8AbQAgAHUAcgBpAG4AZQAgAGEAbgBkACAAZAB1AG4AZwAgAGQAZQBwAG8AcwBpAHQAZQBkACAAbwBuACAAcABhAHMAdAB1AHIAZQBcACIAKQA7AFwAbgBcAG4AVgBFAEUAUgBHAF8ANABfADcAXwAxAF8ANQBfAF8AMQBfAEEAdABtAG8AcwBwAGgAZQByAGkAYwBEAGUAcABvAHMAaQB0AGkAbwBuAEUAbQBpAHMAcwBpAG8AbgBzAEYAcgBvAG0AUABhAHMAdAB1AHIAZQBfAFYAYQByAGkAYQBiAGwAZQBcAG4AIAAgAD0ATABBAE0AQgBEAEEAKABcACIARQBfAE4AMgBPAGEAZABcACIAKQA7AFwAbgBcAG4AVgBFAEUAUgBHAF8ANABfADcAXwAxAF8ANQBfAF8AMQBfAEEAdABtAG8AcwBwAGgAZQByAGkAYwBEAGUAcABvAHMAaQB0AGkAbwBuAEUAbQBpAHMAcwBpAG8AbgBzAEYAcgBvAG0AUABhAHMAdAB1AHIAZQBfAFUAbgBpAHQAXABuACAAIAA9AEwAQQBNAEIARABBACgAXAAiAHQAIABOADIATwBcACIAKQA7AFwAbgBcAG4AVgBFAEUAUgBHAF8ANABfADcAXwAxAF8ANQBfAF8AMQBfAEEAdABtAG8AcwBwAGgAZQByAGkAYwBEAGUAcABvAHMAaQB0AGkAbwBuAEUAbQBpAHMAcwBpAG8AbgBzAEYAcgBvAG0AUABhAHMAdAB1AHIAZQBfAFMAbwB1AHIAYwBlAFwAbgAgACAAPQBMAEEATQBCAEQAQQAoAFwAIgBWAEUARQBSAEcAIAAyADAAMgA2ADoAIAA0AC4ANwAuADEALgA1ACwAIABFAHEAdQBhAHQAaQBvAG4AIAAoADEAKQBcACIAKQA7AFwAbgBcAG4AVgBFAEUAUgBHAF8ANABfADcAXwAxAF8ANQBfAF8AMQBfAEEAdABtAG8AcwBwAGgAZQByAGkAYwBEAGUAcABvAHMAaQB0AGkAbwBuAEUAbQBpAHMAcwBpAG8AbgBzAEYAcgBvAG0AUABhAHMAdAB1AHIAZQBfAE4ASQBSAFIAZQBmAGUAcgBlAG4AYwBlAFwAbgAgACAAPQBMAEEATQBCAEQAQQAoAFwAIgBcACIAKQA7AFwAbgBcAG4AVgBFAEUAUgBHAF8ANABfADcAXwAxAF8ANQBfAF8AMQBfAEEAdABtAG8AcwBwAGgAZQByAGkAYwBEAGUAcABvAHMAaQB0AGkAbwBuAEUAbQBpAHMAcwBpAG8AbgBzAEYAcgBvAG0AUABhAHMAdAB1AHIAZQBfAEwAYQB0AGUAeABFAHEAdQBhAHQAaQBvAG4AXABuACAAIAA9AEwAQQBNAEIARABBACgAXAAiAEUAXwB7AE4AMgBPACwAYQBkAH0APQBNAF8AewB2AG8AbAB9AFwAXAB0AGkAbQBlAHMAIABFAEYAXwB7AE4AMgBPAH0AXABcAHQAaQBtAGUAcwAgAEMAXwB7AE4AMgBPAH0AXABcAHQAaQBtAGUAcwAgADEAMABeAHsALQAzAH0AXAAiACkAOwBcAG4AXABuAFYARQBFAFIARwBfADQAXwA3AF8AMQBfADUAXwBfADEAXwBBAHQAbQBvAHMAcABoAGUAcgBpAGMARABlAHAAbwBzAGkAdABpAG8AbgBFAG0AaQBzAHMAaQBvAG4AcwBGAHIAbwBtAFAAYQBzAHQAdQByAGUAXwBBAHIAZwB1AG0AZQBuAHQAcwBcAG4AIAAgAD0ATABBAE0AQgBEAEEAKABcAG4AIAAgACAAIABNAEEASwBFAEEAUgBSAEEAWQAoADYALAAgADQALABcAG4AIAAgACAAIAAgACAATABBAE0AQgBEAEEAKAByACwAYwAsAFwAbgAgACAAIAAgACAAIAAgACAASQBOAEQARQBYACgAewBcAG4AIAAgACAAIAAgACAAIAAgACAAIABcACIATQBfAHYAbwBsAFwAIgAsACAAXAAiAG0AYQBzAHMAIABvAGYAIABuAGkAdAByAG8AZwBlAG4AIAB2AG8AbABhAHQAaQBsAGkAcwBlAGQAIABmAHIAbwBtACAAdQByAGkAbgBlACAAYQBuAGQAIABmAGEAZQBjAGUAcwAgAGQAZQBwAG8AcwBpAHQAZQBkACAAbwBuACAAcABhAHMAdAB1AHIAZQBcACIALAAgAFwAIgBrAGcAIABOAFwAIgAsACAAXAAiAEMAYQBsAGMAdQBsAGEAdABlAGQAIABmAHIAbwBtACAANAAuADcALgAxAC4ANQAsACAAKAAyACkAXAAiADsAXABuACAAIAAgACAAIAAgACAAIAAgACAAXAAiAEUARgBfAE4AMgBPAFwAIgAsACAAXAAiAGUAbQBpAHMAcwBpAG8AbgAgAGYAYQBjAHQAbwByACAAZgBvAHIAIABhAHQAbQBvAHMAcABoAGUAcgBpAGMAIABkAGUAcABvAHMAaQB0AGkAbwBuAFwAIgAsACAAXAAiAGsAZwAgAE4AMgBPAC0ATgAvAGsAZwAgAE4AXAAiACwAIABcACIAQwBvAG4AcwB0AGEAbgB0AFwAIgA7AFwAbgAgACAAIAAgACAAIAAgACAAIAAgAFwAIgBDAF8ATgAyAE8AXAAiACwAIABcACIAZgBhAGMAdABvAHIAIAB0AG8AIABjAG8AbgB2AGUAcgB0ACAAZQBsAGUAbQBlAG4AdABhAGwAIABtAGEAcwBzACAAbwBmACAAbgBpAHQAcgBvAHUAcwAgAG8AeABpAGQAZQAgAHQAbwAgAG0AbwBsAGUAYwB1AGwAYQByACAAbQBhAHMAcwBcACIALAAgAFwAIgBcACIALAAgAFwAIgBDAG8AbgBzAHQAYQBuAHQAXAAiADsAXABuACAAIAAgACAAIAAgACAAIAAgACAAXAAiAGoAXAAiACwAIABcACIAcAByAG8AZAB1AGMAdABpAG8AbgAgAHMAeQBzAHQAZQBtAFwAIgAsACAAXAAiAFwAIgAsACAAXAAiAEkAbgBwAHUAdABcACIAOwBcAG4AIAAgACAAIAAgACAAIAAgACAAIABcACIAaQBcACIALAAgAFwAIgBpAHIAcgBpAGcAYQB0AGkAbwBuACAAbQBlAHQAaABvAGQAXAAiACwAIABcACIAXAAiACwAIABcACIASQBuAHAAdQB0AFwAIgA7AFwAbgAgACAAIAAgACAAIAAgACAAIAAgAFwAIgByAFwAIgAsACAAXAAiAHIAYQBpAG4AZgBhAGwAbAAgAHoAbwBuAGUAXAAiACwAIABcACIAXAAiACwAIABcACIASQBuAHAAdQB0AFwAIgBcAG4AIAAgACAAIAAgACAAIAAgAH0ALAAgAHIALAAgAGMAKQBcAG4AIAAgACAAIAAgACAAKQBcAG4AIAAgACAAIAApAFwAbgAgACAAKQA7AFwAbgBcAG4ALwAqAFwAbgAtAC0ALQAtAC0ALQAtAC0ALQAtAC0ALQAtAC0ALQAtAC0ALQAtAC0ALQAtAC0ALQAtAC0ALQAtAC0ALQAtAC0ALQAtAC0ALQAtAC0AXABuAFYARQBFAFIARwBfADQAXwA3AF8AMQBfADUAXwBfADIAXwBNAGEAcwBzAE8AZgBOAGkAdAByAG8AZwBlAG4AVgBvAGwAYQB0AGkAbABpAHMAZQBkAEYAcgBvAG0AUABhAHMAdAB1AHIAZQBcAG4ATQBhAHMAcwAgAG8AZgAgAG4AaQB0AHIAbwBnAGUAbgAgAHYAbwBsAGEAdABpAGwAaQBzAGUAZAAgAGYAcgBvAG0AIAB1AHIAaQBuAGUAIABhAG4AZAAgAGYAYQBlAGMAZQBzACAAZABlAHAAbwBzAGkAdABlAGQAIABvAG4AIABwAGEAcwB0AHUAcgBlAFwAbgBNAF8AdgBvAGwAXABuAGsAZwAgAE4AXABuAE0AXwB7AHYAbwBsAH0APQBBAEUAXABcAHQAaQBtAGUAcwAgAEYAcgBhAGMARwBBAFMATQBzAG8AaQBsAFwAbgBBAEUAIAA9ACAAYQBuAG4AdQBhAGwAIABuAGkAdAByAG8AZwBlAG4AIABlAHgAYwByAGUAdABlAGQAIABiAHkAIABlAGEAYwBoACAAbABpAHYAZQBzAHQAbwBjAGsAIAB0AHkAcABlACAAKABrAGcAIABOAC8AeQBlAGEAcgApAFwAbgBGAHIAYQBjAEcAQQBTAE0AcwBvAGkAbAAgAD0AIABmAHIAYQBjAHQAaQBvAG4AIABvAGYAIABuAGkAdAByAG8AZwBlAG4AIAB2AG8AbABhAHQAaQBsAGkAcwBlAGQAIABmAHIAbwBtACAAdQByAGkAbgBlACAAYQBuAGQAIABmAGEAZQBjAGUAcwAgAGQAZQBwAG8AcwBpAHQAZQBkACAAbwBuACAAcABhAHMAdAB1AHIAZQAgACgAKABrAGcAIABOAEgAMwAtAE4AIAArACAATgBPAHgALQBOACkALwBrAGcAIABOACkAXABuAC0ALQAtAC0ALQAtAC0ALQAtAC0ALQAtAC0ALQAtAC0ALQAtAC0ALQAtAC0ALQAtAC0ALQAtAC0ALQAtAC0ALQAtAC0ALQAtAC0ALQBcAG4AKgAvAFwAbgBcAG4AVgBFAEUAUgBHAF8ANABfADcAXwAxAF8ANQBfAF8AMgBfAE0AYQBzAHMATwBmAE4AaQB0AHIAbwBnAGUAbgBWAG8AbABhAHQAaQBsAGkAcwBlAGQARgByAG8AbQBQAGEAcwB0AHUAcgBlAFwAbgAgACAAPQBMAEEATQBCAEQAQQAoAFwAbgAgACAAIAAgAEEARQAsACAARgByAGEAYwBHAEEAUwBNAHMAbwBpAGwALABcAG4AIAAgACAAIABBAEUAIAAqACAARgByAGEAYwBHAEEAUwBNAHMAbwBpAGwAXABuACAAIAApADsAXABuAFwAbgBWAEUARQBSAEcAXwA0AF8ANwBfADEAXwA1AF8AXwAyAF8ATQBhAHMAcwBPAGYATgBpAHQAcgBvAGcAZQBuAFYAbwBsAGEAdABpAGwAaQBzAGUAZABGAHIAbwBtAFAAYQBzAHQAdQByAGUAXwBUAGkAdABsAGUAXABuACAAIAA9AEwAQQBNAEIARABBACgAXAAiAE0AYQBzAHMAIABvAGYAIABuAGkAdAByAG8AZwBlAG4AIAB2AG8AbABhAHQAaQBsAGkAcwBlAGQAIABmAHIAbwBtACAAdQByAGkAbgBlACAAYQBuAGQAIABmAGEAZQBjAGUAcwAgAGQAZQBwAG8AcwBpAHQAZQBkACAAbwBuACAAcABhAHMAdAB1AHIAZQBcACIAKQA7AFwAbgBcAG4AVgBFAEUAUgBHAF8ANABfADcAXwAxAF8ANQBfAF8AMgBfAE0AYQBzAHMATwBmAE4AaQB0AHIAbwBnAGUAbgBWAG8AbABhAHQAaQBsAGkAcwBlAGQARgByAG8AbQBQAGEAcwB0AHUAcgBlAF8AVgBhAHIAaQBhAGIAbABlAFwAbgAgACAAPQBMAEEATQBCAEQAQQAoAFwAIgBNAF8AdgBvAGwAXAAiACkAOwBcAG4AXABuAFYARQBFAFIARwBfADQAXwA3AF8AMQBfADUAXwBfADIAXwBNAGEAcwBzAE8AZgBOAGkAdAByAG8AZwBlAG4AVgBvAGwAYQB0AGkAbABpAHMAZQBkAEYAcgBvAG0AUABhAHMAdAB1AHIAZQBfAFUAbgBpAHQAXABuACAAIAA9AEwAQQBNAEIARABBACgAXAAiAGsAZwAgAE4AXAAiACkAOwBcAG4AXABuAFYARQBFAFIARwBfADQAXwA3AF8AMQBfADUAXwBfADIAXwBNAGEAcwBzAE8AZgBOAGkAdAByAG8AZwBlAG4AVgBvAGwAYQB0AGkAbABpAHMAZQBkAEYAcgBvAG0AUABhAHMAdAB1AHIAZQBfAFMAbwB1AHIAYwBlAFwAbgAgACAAPQBMAEEATQBCAEQAQQAoAFwAIgBWAEUARQBSAEcAIAAyADAAMgA2ADoAIAA0AC4ANwAuADEALgA1ACwAIABFAHEAdQBhAHQAaQBvAG4AIAAoADIAKQBcACIAKQA7AFwAbgBcAG4AVgBFAEUAUgBHAF8ANABfADcAXwAxAF8ANQBfAF8AMgBfAE0AYQBzAHMATwBmAE4AaQB0AHIAbwBnAGUAbgBWAG8AbABhAHQAaQBsAGkAcwBlAGQARgByAG8AbQBQAGEAcwB0AHUAcgBlAF8ATgBJAFIAUgBlAGYAZQByAGUAbgBjAGUAXABuACAAIAA9AEwAQQBNAEIARABBACgAXAAiAFwAIgApADsAXABuAFwAbgBWAEUARQBSAEcAXwA0AF8ANwBfADEAXwA1AF8AXwAyAF8ATQBhAHMAcwBPAGYATgBpAHQAcgBvAGcAZQBuAFYAbwBsAGEAdABpAGwAaQBzAGUAZABGAHIAbwBtAFAAYQBzAHQAdQByAGUAXwBMAGEAdABlAHgARQBxAHUAYQB0AGkAbwBuAFwAbgAgACAAPQBMAEEATQBCAEQAQQAoAFwAIgBNAF8AewB2AG8AbAB9AD0AQQBFAFwAXAB0AGkAbQBlAHMAIABGAHIAYQBjAEcAQQBTAE0AcwBvAGkAbABcACIAKQA7AFwAbgBcAG4AVgBFAEUAUgBHAF8ANABfADcAXwAxAF8ANQBfAF8AMgBfAE0AYQBzAHMATwBmAE4AaQB0AHIAbwBnAGUAbgBWAG8AbABhAHQAaQBsAGkAcwBlAGQARgByAG8AbQBQAGEAcwB0AHUAcgBlAF8AQQByAGcAdQBtAGUAbgB0AHMAXABuACAAIAA9AEwAQQBNAEIARABBACgAXABuACAAIAAgACAATQBBAEsARQBBAFIAUgBBAFkAKAAyACwAIAA0ACwAXABuACAAIAAgACAAIAAgAEwAQQBNAEIARABBACgAcgAsAGMALABcAG4AIAAgACAAIAAgACAAIAAgAEkATgBEAEUAWAAoAHsAXABuACAAIAAgACAAIAAgACAAIAAgACAAXAAiAEEARQBcACIALAAgAFwAIgBhAG4AbgB1AGEAbAAgAG4AaQB0AHIAbwBnAGUAbgAgAGUAeABjAHIAZQB0AGUAZAAgAGIAeQAgAGUAYQBjAGgAIABsAGkAdgBlAHMAdABvAGMAawAgAHQAeQBwAGUAXAAiACwAIABcACIAawBnACAATgAvAHkAZQBhAHIAXAAiACwAIABcACIAQwBhAGwAYwB1AGwAYQB0AGUAZAAgAGIAeQAgADQALgA3AC4AMQAuADMALAAgACgAMgApAFwAIgA7AFwAbgAgACAAIAAgACAAIAAgACAAIAAgAFwAIgBGAHIAYQBjAEcAQQBTAE0AcwBvAGkAbABcACIALAAgAFwAIgBmAHIAYQBjAHQAaQBvAG4AIABvAGYAIABuAGkAdAByAG8AZwBlAG4AIAB2AG8AbABhAHQAaQBsAGkAcwBlAGQAIABmAHIAbwBtACAAdQByAGkAbgBlACAAYQBuAGQAIABmAGEAZQBjAGUAcwAgAGQAZQBwAG8AcwBpAHQAZQBkACAAbwBuACAAcABhAHMAdAB1AHIAZQBcACIALAAgAFwAIgAoAGsAZwAgAE4ASAAzAC0ATgAgACsAIABOAE8AeAAtAE4AKQAvAGsAZwAgAE4AXAAiACwAIABcACIAQwBvAG4AcwB0AGEAbgB0AFwAIgBcAG4AIAAgACAAIAAgACAAIAAgAH0ALAAgAHIALAAgAGMAKQBcAG4AIAAgACAAIAAgACAAKQBcAG4AIAAgACAAIAApAFwAbgAgACAAKQA7AFwAbgAiAH0ALAB7ACIAcABhAHQAaAAiADoAIgAvAHAAcgBvAGoAZQBjAHQAcwAvAE0ATQBTAF8ATwB0AGgAZQByAEwAaQB2AGUAcwB0AG8AYwBrAF8AUwBvAGkAbABfAEwAZQBhAGMAaABpAG4AZwBBAG4AZABSAHUAbgBvAGYAZgAiACwAIgB0AGUAeAB0ACIAOgAiAC8AKgBcAG4APQA9AD0APQA9AD0APQA9AD0APQA9AD0APQA9AD0APQA9AD0APQA9AD0APQA9AD0APQA9AD0APQA9AD0APQA9AD0APQA9AD0APQA9AD0APQA9AD0APQA9AD0APQA9AD0APQA9AD0APQA9AD0APQA9AD0APQA9AD0APQA9AD0APQA9AD0APQA9AD0APQA9AD0APQA9AD0APQBcAG4ANAAuADcAOgAgAE0AYQBuAHUAcgBlACAATQBhAG4AYQBnAGUAbQBlAG4AdAAgAC0AIABPAHQAaABlAHIAIABMAGkAdgBlAHMAdABvAGMAawBcAG4APQA9AD0APQA9AD0APQA9AD0APQA9AD0APQA9AD0APQA9AD0APQA9AD0APQA9AD0APQA9AD0APQA9AD0APQA9AD0APQA9AD0APQA9AD0APQA9AD0APQA9AD0APQA9AD0APQA9AD0APQA9AD0APQA9AD0APQA9AD0APQA9AD0APQA9AD0APQA9AD0APQA9AD0APQA9AD0APQBcAG4ANAAuADcALgAxAC4ANwAgAE0AZQB0AGgAbwBkACAAMQAgAC0AIABTAG8AaQBsACAATABlAGEAYwBoAGkAbgBnACAAQQBuAGQAIABSAHUAbgBvAGYAZgAgAE4AMgBPACAATwB0AGgAZQByACAATABpAHYAZQBzAHQAbwBjAGsAXABuAD0APQA9AD0APQA9AD0APQA9AD0APQA9AD0APQA9AD0APQA9AD0APQA9AD0APQA9AD0APQA9AD0APQA9AD0APQA9AD0APQA9AD0APQA9AD0APQA9AD0APQA9AD0APQA9AD0APQA9AD0APQA9AD0APQA9AD0APQA9AD0APQA9AD0APQA9AD0APQA9AD0APQA9AD0APQA9AD0AXABuACoALwBcAG4AXABuAC8AKgBcAG4ALQAtAC0ALQAtAC0ALQAtAC0ALQAtAC0ALQAtAC0ALQAtAC0ALQAtAC0ALQAtAC0ALQAtAC0ALQAtAC0ALQAtAC0ALQAtAC0ALQAtAFwAbgBWAEUARQBSAEcAXwA0AF8ANwBfADEAXwA3AF8AXwAxAF8ATABlAGEAYwBoAGkAbgBnAEEAbgBkAFIAdQBuAG8AZgBmAEUAbQBpAHMAcwBpAG8AbgBzAEYAcgBvAG0AUABhAHMAdAB1AHIAZQBcAG4ATABlAGEAYwBoAGkAbgBnACAAYQBuAGQAIAByAHUAbgBvAGYAZgAgAGUAbQBpAHMAcwBpAG8AbgBzACAAZgByAG8AbQAgAHUAcgBpAG4AZQAgAGEAbgBkACAAZAB1AG4AZwAgAGQAZQBwAG8AcwBpAHQAZQBkACAAbwBuACAAcABhAHMAdAB1AHIAZQBcAG4ARQBfAE4AMgBPAGwAZQBhAGMAaABcAG4AdAAgAE4AMgBPAFwAbgBFAF8AewBOADIATwAsAGwAZQBhAGMAaAB9AD0ATQBfAHsAbABlAGEAYwBoAH0AXABcAHQAaQBtAGUAcwAgAEUARgBfAHsAbABlAGEAYwBoAH0AXABcAHQAaQBtAGUAcwAgAEMAXwB7AE4AMgBPAH0AXABcAHQAaQBtAGUAcwAgADEAMABeAHsALQAzAH0AXABuAE0AXwBsAGUAYQBjAGgAIAA9ACAAbQBhAHMAcwAgAG8AZgAgAG4AaQB0AHIAbwBnAGUAbgAgAGwAbwBzAHQAIAB0AG8AIABsAGUAYQBjAGgAaQBuAGcAIABhAG4AZAAgAHIAdQBuAG8AZgBmACAAKABrAGcAIABOACkAXABuAEUARgBfAGwAZQBhAGMAaAAgAD0AIABlAG0AaQBzAHMAaQBvAG4AIABmAGEAYwB0AG8AcgAgAGYAbwByACAAbABlAGEAYwBoAGkAbgBnACAAYQBuAGQAIAByAHUAbgBvAGYAZgAgACgAawBnACAATgAyAE8ALQBOAC8AawBnACAATgApAFwAbgBDAF8ATgAyAE8AIAA9ACAAZgBhAGMAdABvAHIAIAB0AG8AIABjAG8AbgB2AGUAcgB0ACAAZQBsAGUAbQBlAG4AdABhAGwAIABtAGEAcwBzACAAbwBmACAAbgBpAHQAcgBvAHUAcwAgAG8AeABpAGQAZQAgAHQAbwAgAG0AbwBsAGUAYwB1AGwAYQByACAAbQBhAHMAcwBcAG4ALQAtAC0ALQAtAC0ALQAtAC0ALQAtAC0ALQAtAC0ALQAtAC0ALQAtAC0ALQAtAC0ALQAtAC0ALQAtAC0ALQAtAC0ALQAtAC0ALQAtAFwAbgAqAC8AXABuAFwAbgBWAEUARQBSAEcAXwA0AF8ANwBfADEAXwA3AF8AXwAxAF8ATABlAGEAYwBoAGkAbgBnAEEAbgBkAFIAdQBuAG8AZgBmAEUAbQBpAHMAcwBpAG8AbgBzAEYAcgBvAG0AUABhAHMAdAB1AHIAZQBcAG4AIAAgAD0ATABBAE0AQgBEAEEAKABcAG4AIAAgACAAIABNAF8AbABlAGEAYwBoACwAIABFAEYAXwBsAGUAYQBjAGgALAAgAEMAXwBOADIATwAsAFwAbgAgACAAIAAgAE0AXwBsAGUAYQBjAGgAIAAqACAARQBGAF8AbABlAGEAYwBoACAAKgAgAEMAXwBOADIATwAgACoAIAAxADAAIABeACAALQAzAFwAbgAgACAAKQA7AFwAbgBcAG4AVgBFAEUAUgBHAF8ANABfADcAXwAxAF8ANwBfAF8AMQBfAEwAZQBhAGMAaABpAG4AZwBBAG4AZABSAHUAbgBvAGYAZgBFAG0AaQBzAHMAaQBvAG4AcwBGAHIAbwBtAFAAYQBzAHQAdQByAGUAXwBUAGkAdABsAGUAXABuACAAIAA9AEwAQQBNAEIARABBACgAXAAiAEwAZQBhAGMAaABpAG4AZwAgAGEAbgBkACAAcgB1AG4AbwBmAGYAIABlAG0AaQBzAHMAaQBvAG4AcwAgAGYAcgBvAG0AIAB1AHIAaQBuAGUAIABhAG4AZAAgAGQAdQBuAGcAIABkAGUAcABvAHMAaQB0AGUAZAAgAG8AbgAgAHAAYQBzAHQAdQByAGUAXAAiACkAOwBcAG4AXABuAFYARQBFAFIARwBfADQAXwA3AF8AMQBfADcAXwBfADEAXwBMAGUAYQBjAGgAaQBuAGcAQQBuAGQAUgB1AG4AbwBmAGYARQBtAGkAcwBzAGkAbwBuAHMARgByAG8AbQBQAGEAcwB0AHUAcgBlAF8AVgBhAHIAaQBhAGIAbABlAFwAbgAgACAAPQBMAEEATQBCAEQAQQAoAFwAIgBFAF8ATgAyAE8AbABlAGEAYwBoAFwAIgApADsAXABuAFwAbgBWAEUARQBSAEcAXwA0AF8ANwBfADEAXwA3AF8AXwAxAF8ATABlAGEAYwBoAGkAbgBnAEEAbgBkAFIAdQBuAG8AZgBmAEUAbQBpAHMAcwBpAG8AbgBzAEYAcgBvAG0AUABhAHMAdAB1AHIAZQBfAFUAbgBpAHQAXABuACAAIAA9AEwAQQBNAEIARABBACgAXAAiAHQAIABOADIATwBcACIAKQA7AFwAbgBcAG4AVgBFAEUAUgBHAF8ANABfADcAXwAxAF8ANwBfAF8AMQBfAEwAZQBhAGMAaABpAG4AZwBBAG4AZABSAHUAbgBvAGYAZgBFAG0AaQBzAHMAaQBvAG4AcwBGAHIAbwBtAFAAYQBzAHQAdQByAGUAXwBTAG8AdQByAGMAZQBcAG4AIAAgAD0ATABBAE0AQgBEAEEAKABcACIAVgBFAEUAUgBHACAAMgAwADIANgA6ACAANAAuADcALgAxAC4ANwAsACAARQBxAHUAYQB0AGkAbwBuACAAKAAxACkAXAAiACkAOwBcAG4AXABuAFYARQBFAFIARwBfADQAXwA3AF8AMQBfADcAXwBfADEAXwBMAGUAYQBjAGgAaQBuAGcAQQBuAGQAUgB1AG4AbwBmAGYARQBtAGkAcwBzAGkAbwBuAHMARgByAG8AbQBQAGEAcwB0AHUAcgBlAF8ATgBJAFIAUgBlAGYAZQByAGUAbgBjAGUAXABuACAAIAA9AEwAQQBNAEIARABBACgAXAAiAFwAIgApADsAXABuAFwAbgBWAEUARQBSAEcAXwA0AF8ANwBfADEAXwA3AF8AXwAxAF8ATABlAGEAYwBoAGkAbgBnAEEAbgBkAFIAdQBuAG8AZgBmAEUAbQBpAHMAcwBpAG8AbgBzAEYAcgBvAG0AUABhAHMAdAB1AHIAZQBfAEwAYQB0AGUAeABFAHEAdQBhAHQAaQBvAG4AXABuACAAIAA9AEwAQQBNAEIARABBACgAXAAiAEUAXwB7AE4AMgBPACwAbABlAGEAYwBoAH0APQBNAF8AewBsAGUAYQBjAGgAfQBcAFwAdABpAG0AZQBzACAARQBGAF8AewBsAGUAYQBjAGgAfQBcAFwAdABpAG0AZQBzACAAQwBfAHsATgAyAE8AfQBcAFwAdABpAG0AZQBzACAAMQAwAF4AewAtADMAfQBcACIAKQA7AFwAbgBcAG4AVgBFAEUAUgBHAF8ANABfADcAXwAxAF8ANwBfAF8AMQBfAEwAZQBhAGMAaABpAG4AZwBBAG4AZABSAHUAbgBvAGYAZgBFAG0AaQBzAHMAaQBvAG4AcwBGAHIAbwBtAFAAYQBzAHQAdQByAGUAXwBBAHIAZwB1AG0AZQBuAHQAcwBcAG4AIAAgAD0ATABBAE0AQgBEAEEAKABcAG4AIAAgACAAIABNAEEASwBFAEEAUgBSAEEAWQAoADMALAAgADQALABcAG4AIAAgACAAIAAgACAATABBAE0AQgBEAEEAKAByACwAYwAsAFwAbgAgACAAIAAgACAAIAAgACAASQBOAEQARQBYACgAewBcAG4AIAAgACAAIAAgACAAIAAgACAAIABcACIATQBfAGwAZQBhAGMAaABcACIALAAgAFwAIgBtAGEAcwBzACAAbwBmACAAbgBpAHQAcgBvAGcAZQBuACAAbABvAHMAdAAgAHQAbwAgAGwAZQBhAGMAaABpAG4AZwAgAGEAbgBkACAAcgB1AG4AbwBmAGYAXAAiACwAIABcACIAawBnACAATgBcACIALAAgAFwAIgBDAGEAbABjAHUAbABhAHQAZQBkACAAZgByAG8AbQAgADQALgA3AC4AMQAuADcALAAgACgAMgApAFwAIgA7AFwAbgAgACAAIAAgACAAIAAgACAAIAAgAFwAIgBFAEYAXwBsAGUAYQBjAGgAXAAiACwAIABcACIAZQBtAGkAcwBzAGkAbwBuACAAZgBhAGMAdABvAHIAIABmAG8AcgAgAGwAZQBhAGMAaABpAG4AZwAgAGEAbgBkACAAcgB1AG4AbwBmAGYAXAAiACwAIABcACIAawBnACAATgAyAE8ALQBOAC8AawBnACAATgBcACIALAAgAFwAIgBDAG8AbgBzAHQAYQBuAHQAXAAiADsAXABuACAAIAAgACAAIAAgACAAIAAgACAAXAAiAEMAXwBOADIATwBcACIALAAgAFwAIgBmAGEAYwB0AG8AcgAgAHQAbwAgAGMAbwBuAHYAZQByAHQAIABlAGwAZQBtAGUAbgB0AGEAbAAgAG0AYQBzAHMAIABvAGYAIABuAGkAdAByAG8AdQBzACAAbwB4AGkAZABlACAAdABvACAAbQBvAGwAZQBjAHUAbABhAHIAIABtAGEAcwBzAFwAIgAsACAAXAAiAFwAIgAsACAAXAAiAEMAbwBuAHMAdABhAG4AdABcACIAXABuACAAIAAgACAAIAAgACAAIAB9ACwAIAByACwAIABjACkAXABuACAAIAAgACAAIAAgACkAXABuACAAIAAgACAAKQBcAG4AIAAgACkAOwBcAG4AXABuAC8AKgBcAG4ALQAtAC0ALQAtAC0ALQAtAC0ALQAtAC0ALQAtAC0ALQAtAC0ALQAtAC0ALQAtAC0ALQAtAC0ALQAtAC0ALQAtAC0ALQAtAC0ALQAtAFwAbgBWAEUARQBSAEcAXwA0AF8ANwBfADEAXwA3AF8AXwAyAF8ATQBhAHMAcwBPAGYATgBpAHQAcgBvAGcAZQBuAEwAbwBzAHQAVABvAEwAZQBhAGMAaABpAG4AZwBBAG4AZABSAHUAbgBvAGYAZgBcAG4ATQBhAHMAcwAgAG8AZgAgAG4AaQB0AHIAbwBnAGUAbgAgAGwAbwBzAHQAIAB0AG8AIABsAGUAYQBjAGgAaQBuAGcAIABhAG4AZAAgAHIAdQBuAG8AZgBmAFwAbgBNAF8AbABlAGEAYwBoAFwAbgBrAGcAIABOAFwAbgBNAF8AewBsAGUAYQBjAGgAfQA9AEEARQBcAFwAdABpAG0AZQBzACAARgByAGEAYwBXAGUAdABcAFwAdABpAG0AZQBzACAARgByAGEAYwBMAEUAQQBDAEgAXABuAEEARQAgAD0AIABhAG4AbgB1AGEAbAAgAG4AaQB0AHIAbwBnAGUAbgAgAGUAeABjAHIAZQB0AGUAZAAgAGIAeQAgAGUAYQBjAGgAIABsAGkAdgBlAHMAdABvAGMAawAgAHQAeQBwAGUAIAAoAGsAZwAgAE4ALwB5AGUAYQByACkAXABuAEYAcgBhAGMAVwBlAHQAIAA9ACAAZgByAGEAYwB0AGkAbwBuACAAbwBmACAAbgBpAHQAcgBvAGcAZQBuACAAYQB2AGEAaQBsAGEAYgBsAGUAIABmAG8AcgAgAGwAZQBhAGMAaABpAG4AZwAgAGEAbgBkACAAcgB1AG4AbwBmAGYAXABuAEYAcgBhAGMATABFAEEAQwBIACAAPQAgAGYAcgBhAGMAdABpAG8AbgAgAG8AZgAgAGEAbABsACAAbgBpAHQAcgBvAGcAZQBuACAAdABoAGEAdAAgAGkAcwAgAGwAbwBzAHQAIAB0AGgAcgBvAHUAZwBoACAAbABlAGEAYwBoAGkAbgBnACAAYQBuAGQAIAByAHUAbgBvAGYAZgBcAG4ALQAtAC0ALQAtAC0ALQAtAC0ALQAtAC0ALQAtAC0ALQAtAC0ALQAtAC0ALQAtAC0ALQAtAC0ALQAtAC0ALQAtAC0ALQAtAC0ALQAtAFwAbgAqAC8AXABuAFwAbgBWAEUARQBSAEcAXwA0AF8ANwBfADEAXwA3AF8AXwAyAF8ATQBhAHMAcwBPAGYATgBpAHQAcgBvAGcAZQBuAEwAbwBzAHQAVABvAEwAZQBhAGMAaABpAG4AZwBBAG4AZABSAHUAbgBvAGYAZgBcAG4AIAAgAD0ATABBAE0AQgBEAEEAKABcAG4AIAAgACAAIABBAEUALAAgAEYAcgBhAGMAVwBlAHQALAAgAEYAcgBhAGMATABFAEEAQwBIACwAXABuACAAIAAgACAAQQBFACAAKgAgAEYAcgBhAGMAVwBlAHQAIAAqACAARgByAGEAYwBMAEUAQQBDAEgAXABuACAAIAApADsAXABuAFwAbgBWAEUARQBSAEcAXwA0AF8ANwBfADEAXwA3AF8AXwAyAF8ATQBhAHMAcwBPAGYATgBpAHQAcgBvAGcAZQBuAEwAbwBzAHQAVABvAEwAZQBhAGMAaABpAG4AZwBBAG4AZABSAHUAbgBvAGYAZgBfAFQAaQB0AGwAZQBcAG4AIAAgAD0ATABBAE0AQgBEAEEAKABcACIATQBhAHMAcwAgAG8AZgAgAG4AaQB0AHIAbwBnAGUAbgAgAGwAbwBzAHQAIAB0AG8AIABsAGUAYQBjAGgAaQBuAGcAIABhAG4AZAAgAHIAdQBuAG8AZgBmAFwAIgApADsAXABuAFwAbgBWAEUARQBSAEcAXwA0AF8ANwBfADEAXwA3AF8AXwAyAF8ATQBhAHMAcwBPAGYATgBpAHQAcgBvAGcAZQBuAEwAbwBzAHQAVABvAEwAZQBhAGMAaABpAG4AZwBBAG4AZABSAHUAbgBvAGYAZgBfAFYAYQByAGkAYQBiAGwAZQBcAG4AIAAgAD0ATABBAE0AQgBEAEEAKABcACIATQBfAGwAZQBhAGMAaABcACIAKQA7AFwAbgBcAG4AVgBFAEUAUgBHAF8ANABfADcAXwAxAF8ANwBfAF8AMgBfAE0AYQBzAHMATwBmAE4AaQB0AHIAbwBnAGUAbgBMAG8AcwB0AFQAbwBMAGUAYQBjAGgAaQBuAGcAQQBuAGQAUgB1AG4AbwBmAGYAXwBVAG4AaQB0AFwAbgAgACAAPQBMAEEATQBCAEQAQQAoAFwAIgBrAGcAIABOAFwAIgApADsAXABuAFwAbgBWAEUARQBSAEcAXwA0AF8ANwBfADEAXwA3AF8AXwAyAF8ATQBhAHMAcwBPAGYATgBpAHQAcgBvAGcAZQBuAEwAbwBzAHQAVABvAEwAZQBhAGMAaABpAG4AZwBBAG4AZABSAHUAbgBvAGYAZgBfAFMAbwB1AHIAYwBlAFwAbgAgACAAPQBMAEEATQBCAEQAQQAoAFwAIgBWAEUARQBSAEcAIAAyADAAMgA2ADoAIAA0AC4ANwAuADEALgA3ACwAIABFAHEAdQBhAHQAaQBvAG4AIAAoADIAKQBcACIAKQA7AFwAbgBcAG4AVgBFAEUAUgBHAF8ANABfADcAXwAxAF8ANwBfAF8AMgBfAE0AYQBzAHMATwBmAE4AaQB0AHIAbwBnAGUAbgBMAG8AcwB0AFQAbwBMAGUAYQBjAGgAaQBuAGcAQQBuAGQAUgB1AG4AbwBmAGYAXwBOAEkAUgBSAGUAZgBlAHIAZQBuAGMAZQBcAG4AIAAgAD0ATABBAE0AQgBEAEEAKABcACIAXAAiACkAOwBcAG4AXABuAFYARQBFAFIARwBfADQAXwA3AF8AMQBfADcAXwBfADIAXwBNAGEAcwBzAE8AZgBOAGkAdAByAG8AZwBlAG4ATABvAHMAdABUAG8ATABlAGEAYwBoAGkAbgBnAEEAbgBkAFIAdQBuAG8AZgBmAF8ATABhAHQAZQB4AEUAcQB1AGEAdABpAG8AbgBcAG4AIAAgAD0ATABBAE0AQgBEAEEAKABcACIATQBfAHsAbABlAGEAYwBoAH0APQBBAEUAXABcAHQAaQBtAGUAcwAgAEYAcgBhAGMAVwBlAHQAXABcAHQAaQBtAGUAcwAgAEYAcgBhAGMATABFAEEAQwBIAFwAIgApADsAXABuAFwAbgBWAEUARQBSAEcAXwA0AF8ANwBfADEAXwA3AF8AXwAyAF8ATQBhAHMAcwBPAGYATgBpAHQAcgBvAGcAZQBuAEwAbwBzAHQAVABvAEwAZQBhAGMAaABpAG4AZwBBAG4AZABSAHUAbgBvAGYAZgBfAEEAcgBnAHUAbQBlAG4AdABzAFwAbgAgACAAPQBMAEEATQBCAEQAQQAoAFwAbgAgACAAIAAgAE0AQQBLAEUAQQBSAFIAQQBZACgANgAsACAANAAsAFwAbgAgACAAIAAgACAAIABMAEEATQBCAEQAQQAoAHIALABjACwAXABuACAAIAAgACAAIAAgACAAIABJAE4ARABFAFgAKAB7AFwAbgAgACAAIAAgACAAIAAgACAAIAAgAFwAIgBBAEUAXAAiACwAIABcACIAYQBuAG4AdQBhAGwAIABuAGkAdAByAG8AZwBlAG4AIABlAHgAYwByAGUAdABlAGQAIABiAHkAIABlAGEAYwBoACAAbABpAHYAZQBzAHQAbwBjAGsAIAB0AHkAcABlAFwAIgAsACAAXAAiAGsAZwAgAE4ALwB5AGUAYQByAFwAIgAsACAAXAAiAEMAYQBsAGMAdQBsAGEAdABlAGQAIABiAHkAIAA0AC4ANwAuADEALgAzACwAIAAoADIAKQBcACIAOwBcAG4AIAAgACAAIAAgACAAIAAgACAAIABcACIARgByAGEAYwBXAGUAdABcACIALAAgAFwAIgBmAHIAYQBjAHQAaQBvAG4AIABvAGYAIABuAGkAdAByAG8AZwBlAG4AIABhAHYAYQBpAGwAYQBiAGwAZQAgAGYAbwByACAAbABlAGEAYwBoAGkAbgBnACAAYQBuAGQAIAByAHUAbgBvAGYAZgBcACIALAAgAFwAIgBcACIALAAgAFwAIgBDAG8AbgBzAHQAYQBuAHQAXAAiADsAXABuACAAIAAgACAAIAAgACAAIAAgACAAXAAiAEYAcgBhAGMATABFAEEAQwBIAFwAIgAsACAAXAAiAGYAcgBhAGMAdABpAG8AbgAgAG8AZgAgAGEAbABsACAAbgBpAHQAcgBvAGcAZQBuACAAdABoAGEAdAAgAGkAcwAgAGwAbwBzAHQAIAB0AGgAcgBvAHUAZwBoACAAbABlAGEAYwBoAGkAbgBnACAAYQBuAGQAIAByAHUAbgBvAGYAZgBcACIALAAgAFwAIgBcACIALAAgAFwAIgBDAG8AbgBzAHQAYQBuAHQAXAAiADsAXABuACAAIAAgACAAIAAgACAAIAAgACAAXAAiAHoAXAAiACwAIABcACIAbABvAGMAYQB0AGkAbwBuACAAaQBuACAAbABlAGEAYwBoAGkAbgBnACAAegBvAG4AZQBcACIALAAgAFwAIgBcACIALAAgAFwAIgBJAG4AcAB1AHQAXAAiADsAXABuACAAIAAgACAAIAAgACAAIAAgACAAXAAiAGoAXAAiACwAIABcACIAcAByAG8AZAB1AGMAdABpAG8AbgAgAHMAeQBzAHQAZQBtAFwAIgAsACAAXAAiAFwAIgAsACAAXAAiAEkAbgBwAHUAdABcACIAOwBcAG4AIAAgACAAIAAgACAAIAAgACAAIABcACIAaQByAFwAIgAsACAAXAAiAGkAcgByAGkAZwBhAHQAaQBvAG4AIABtAGUAdABoAG8AZABcACIALAAgAFwAIgBcACIALAAgAFwAIgBJAG4AcAB1AHQAXAAiAFwAbgAgACAAIAAgACAAIAAgACAAfQAsACAAcgAsACAAYwApAFwAbgAgACAAIAAgACAAIAApAFwAbgAgACAAIAAgACkAXABuACAAIAApADsAXABuACIAfQBdACwAIgBwAHIAbwBqAGUAYwB0AE4AYQBtAGUAcwAiADoAWwAiAEMAbwBtAG0AbwBuAF8AUwBvAHUAcgBjAGUARABhAHQAYQAuAEMAbwBtAG0AbwBuAF8AUwBvAHUAcgBjAGUARABhAHQAYQBfAEQAZQBuAHMAaQB0AHkATwBmAE0AZQB0AGgAYQBuAGUAXwBUAGkAdABsAGUAIgAsACIAQwBvAG0AbQBvAG4AXwBTAG8AdQByAGMAZQBEAGEAdABhAC4AQwBvAG0AbQBvAG4AXwBTAG8AdQByAGMAZQBEAGEAdABhAF8ARABlAG4AcwBpAHQAeQBPAGYATQBlAHQAaABhAG4AZQBfAFUAbgBpAHQAIgAsACIAQwBvAG0AbQBvAG4AXwBTAG8AdQByAGMAZQBEAGEAdABhAC4AQwBvAG0AbQBvAG4AXwBTAG8AdQByAGMAZQBEAGEAdABhAF8ARABlAG4AcwBpAHQAeQBPAGYATQBlAHQAaABhAG4AZQBfAFMAbwB1AHIAYwBlACIALAAiAEMAbwBtAG0AbwBuAF8AUwBvAHUAcgBjAGUARABhAHQAYQAuAEMAbwBtAG0AbwBuAF8AUwBvAHUAcgBjAGUARABhAHQAYQBfAEQAZQBuAHMAaQB0AHkATwBmAE0AZQB0AGgAYQBuAGUAXwBEAGEAdABhACIALAAiAEMAbwBtAG0AbwBuAF8AUwBvAHUAcgBjAGUARABhAHQAYQAuAEMAbwBtAG0AbwBuAF8AUwBvAHUAcgBjAGUARABhAHQAYQBfAEMAbwBuAHYAZQByAHQATgAyAG8ARQBsAGUAbQBlAG4AdABhAGwAVABvAE0AbwBsAGUAYwB1AGwAYQByAEMAZwBfAFQAaQB0AGwAZQAiACwAIgBDAG8AbQBtAG8AbgBfAFMAbwB1AHIAYwBlAEQAYQB0AGEALgBDAG8AbQBtAG8AbgBfAFMAbwB1AHIAYwBlAEQAYQB0AGEAXwBDAG8AbgB2AGUAcgB0AE4AMgBvAEUAbABlAG0AZQBuAHQAYQBsAFQAbwBNAG8AbABlAGMAdQBsAGEAcgBDAGcAXwBWAGEAcgBpAGEAYgBsAGUAIgAsACIAQwBvAG0AbQBvAG4AXwBTAG8AdQByAGMAZQBEAGEAdABhAC4AQwBvAG0AbQBvAG4AXwBTAG8AdQByAGMAZQBEAGEAdABhAF8AQwBvAG4AdgBlAHIAdABOADIAbwBFAGwAZQBtAGUAbgB0AGEAbABUAG8ATQBvAGwAZQBjAHUAbABhAHIAQwBnAF8AVQBuAGkAdAAiACwAIgBDAG8AbQBtAG8AbgBfAFMAbwB1AHIAYwBlAEQAYQB0AGEALgBDAG8AbQBtAG8AbgBfAFMAbwB1AHIAYwBlAEQAYQB0AGEAXwBDAG8AbgB2AGUAcgB0AE4AMgBvAEUAbABlAG0AZQBuAHQAYQBsAFQAbwBNAG8AbABlAGMAdQBsAGEAcgBDAGcAXwBTAG8AdQByAGMAZQAiACwAIgBDAG8AbQBtAG8AbgBfAFMAbwB1AHIAYwBlAEQAYQB0AGEALgBDAG8AbQBtAG8AbgBfAFMAbwB1AHIAYwBlAEQAYQB0AGEAXwBDAG8AbgB2AGUAcgB0AE4AMgBvAEUAbABlAG0AZQBuAHQAYQBsAFQAbwBNAG8AbABlAGMAdQBsAGEAcgBDAGcAXwBEAGEAdABhACIALAAiAEMAbwBtAG0AbwBuAF8AUwBvAHUAcgBjAGUARABhAHQAYQAuAEMAbwBtAG0AbwBuAF8AUwBvAHUAcgBjAGUARABhAHQAYQBfAEMAbwBuAHYAZQByAHQARwBhAHMARQBsAGUAbQBlAG4AdABhAGwAVABvAE0AbwBsAGUAYwB1AGwAYQByAF8AVABpAHQAbABlACIALAAiAEMAbwBtAG0AbwBuAF8AUwBvAHUAcgBjAGUARABhAHQAYQAuAEMAbwBtAG0AbwBuAF8AUwBvAHUAcgBjAGUARABhAHQAYQBfAEMAbwBuAHYAZQByAHQARwBhAHMARQBsAGUAbQBlAG4AdABhAGwAVABvAE0AbwBsAGUAYwB1AGwAYQByAF8AVgBhAHIAaQBhAGIAbABlACIALAAiAEMAbwBtAG0AbwBuAF8AUwBvAHUAcgBjAGUARABhAHQAYQAuAEMAbwBtAG0AbwBuAF8AUwBvAHUAcgBjAGUARABhAHQAYQBfAEMAbwBuAHYAZQByAHQARwBhAHMARQBsAGUAbQBlAG4AdABhAGwAVABvAE0AbwBsAGUAYwB1AGwAYQByAF8AVQBuAGkAdAAiACwAIgBDAG8AbQBtAG8AbgBfAFMAbwB1AHIAYwBlAEQAYQB0AGEALgBDAG8AbQBtAG8AbgBfAFMAbwB1AHIAYwBlAEQAYQB0AGEAXwBDAG8AbgB2AGUAcgB0AEcAYQBzAEUAbABlAG0AZQBuAHQAYQBsAFQAbwBNAG8AbABlAGMAdQBsAGEAcgBfAFMAbwB1AHIAYwBlACIALAAiAEMAbwBtAG0AbwBuAF8AUwBvAHUAcgBjAGUARABhAHQAYQAuAEMAbwBtAG0AbwBuAF8AUwBvAHUAcgBjAGUARABhAHQAYQBfAEMAbwBuAHYAZQByAHQARwBhAHMARQBsAGUAbQBlAG4AdABhAGwAVABvAE0AbwBsAGUAYwB1AGwAYQByAF8ARABhAHQAYQAiACwAIgBDAG8AbQBtAG8AbgBfAFMAbwB1AHIAYwBlAEQAYQB0AGEALgBDAG8AbQBtAG8AbgBfAFMAbwB1AHIAYwBlAEQAYQB0AGEAXwBHAFcAUABfAFQAaQB0AGwAZQAiACwAIgBDAG8AbQBtAG8AbgBfAFMAbwB1AHIAYwBlAEQAYQB0AGEALgBDAG8AbQBtAG8AbgBfAFMAbwB1AHIAYwBlAEQAYQB0AGEAXwBHAFcAUABfAFYAYQByAGkAYQBiAGwAZQAiACwAIgBDAG8AbQBtAG8AbgBfAFMAbwB1AHIAYwBlAEQAYQB0AGEALgBDAG8AbQBtAG8AbgBfAFMAbwB1AHIAYwBlAEQAYQB0AGEAXwBHAFcAUABfAFUAbgBpAHQAIgAsACIAQwBvAG0AbQBvAG4AXwBTAG8AdQByAGMAZQBEAGEAdABhAC4AQwBvAG0AbQBvAG4AXwBTAG8AdQByAGMAZQBEAGEAdABhAF8ARwBXAFAAXwBTAG8AdQByAGMAZQAiACwAIgBDAG8AbQBtAG8AbgBfAFMAbwB1AHIAYwBlAEQAYQB0AGEALgBDAG8AbQBtAG8AbgBfAFMAbwB1AHIAYwBlAEQAYQB0AGEAXwBHAFcAUABfAEQAYQB0AGEAIgAsACIAQwBvAG0AbQBvAG4AXwBTAG8AdQByAGMAZQBEAGEAdABhAC4AQwBvAG0AbQBvAG4AXwBTAG8AdQByAGMAZQBEAGEAdABhAF8AQQB1AHMAdAByAGEAbABpAGEAbgBTAHQAYQB0AGUAcwBUAGUAcgByAGkAdABvAHIAaQBlAHMAXwBUAGkAdABsAGUAIgAsACIAQwBvAG0AbQBvAG4AXwBTAG8AdQByAGMAZQBEAGEAdABhAC4AQwBvAG0AbQBvAG4AXwBTAG8AdQByAGMAZQBEAGEAdABhAF8AQQB1AHMAdAByAGEAbABpAGEAbgBTAHQAYQB0AGUAcwBUAGUAcgByAGkAdABvAHIAaQBlAHMAXwBWAGEAcgBpAGEAYgBsAGUAIgAsACIAQwBvAG0AbQBvAG4AXwBTAG8AdQByAGMAZQBEAGEAdABhAC4AQwBvAG0AbQBvAG4AXwBTAG8AdQByAGMAZQBEAGEAdABhAF8AQQB1AHMAdAByAGEAbABpAGEAbgBTAHQAYQB0AGUAcwBUAGUAcgByAGkAdABvAHIAaQBlAHMAXwBVAG4AaQB0ACIALAAiAEMAbwBtAG0AbwBuAF8AUwBvAHUAcgBjAGUARABhAHQAYQAuAEMAbwBtAG0AbwBuAF8AUwBvAHUAcgBjAGUARABhAHQAYQBfAEEAdQBzAHQAcgBhAGwAaQBhAG4AUwB0AGEAdABlAHMAVABlAHIAcgBpAHQAbwByAGkAZQBzAF8AUwBvAHUAcgBjAGUAIgAsACIAQwBvAG0AbQBvAG4AXwBTAG8AdQByAGMAZQBEAGEAdABhAC4AQwBvAG0AbQBvAG4AXwBTAG8AdQByAGMAZQBEAGEAdABhAF8AQQB1AHMAdAByAGEAbABpAGEAbgBTAHQAYQB0AGUAcwBUAGUAcgByAGkAdABvAHIAaQBlAHMAXwBEAGEAdABhACIALAAiAEMAbwBtAG0AbwBuAF8AUwBvAHUAcgBjAGUARABhAHQAYQAuAEMAbwBtAG0AbwBuAF8AUwBvAHUAcgBjAGUARABhAHQAYQBfAFcAQQBTAEEANABBAHIAZQBhAHMAXwBUAGkAdABsAGUAIgAsACIAQwBvAG0AbQBvAG4AXwBTAG8AdQByAGMAZQBEAGEAdABhAC4AQwBvAG0AbQBvAG4AXwBTAG8AdQByAGMAZQBEAGEAdABhAF8AVwBBAFMAQQA0AEEAcgBlAGEAcwBfAFYAYQByAGkAYQBiAGwAZQAiACwAIgBDAG8AbQBtAG8AbgBfAFMAbwB1AHIAYwBlAEQAYQB0AGEALgBDAG8AbQBtAG8AbgBfAFMAbwB1AHIAYwBlAEQAYQB0AGEAXwBXAEEAUwBBADQAQQByAGUAYQBzAF8AVQBuAGkAdAAiACwAIgBDAG8AbQBtAG8AbgBfAFMAbwB1AHIAYwBlAEQAYQB0AGEALgBDAG8AbQBtAG8AbgBfAFMAbwB1AHIAYwBlAEQAYQB0AGEAXwBXAEEAUwBBADQAQQByAGUAYQBzAF8AUwBvAHUAcgBjAGUAIgAsACIAQwBvAG0AbQBvAG4AXwBTAG8AdQByAGMAZQBEAGEAdABhAC4AQwBvAG0AbQBvAG4AXwBTAG8AdQByAGMAZQBEAGEAdABhAF8AVwBBAFMAQQA0AEEAcgBlAGEAcwBfAEQAYQB0AGEAIgAsACIAQwBvAG0AbQBvAG4AXwBTAG8AdQByAGMAZQBEAGEAdABhAC4AQwBvAG0AbQBvAG4AXwBTAG8AdQByAGMAZQBEAGEAdABhAF8AVwBlAHQAQQBuAGQARAByAHkAWgBvAG4AZQBzAF8AVABpAHQAbABlACIALAAiAEMAbwBtAG0AbwBuAF8AUwBvAHUAcgBjAGUARABhAHQAYQAuAEMAbwBtAG0AbwBuAF8AUwBvAHUAcgBjAGUARABhAHQAYQBfAFcAZQB0AEEAbgBkAEQAcgB5AFoAbwBuAGUAcwBfAFYAYQByAGkAYQBiAGwAZQAiACwAIgBDAG8AbQBtAG8AbgBfAFMAbwB1AHIAYwBlAEQAYQB0AGEALgBDAG8AbQBtAG8AbgBfAFMAbwB1AHIAYwBlAEQAYQB0AGEAXwBXAGUAdABBAG4AZABEAHIAeQBaAG8AbgBlAHMAXwBVAG4AaQB0ACIALAAiAEMAbwBtAG0AbwBuAF8AUwBvAHUAcgBjAGUARABhAHQAYQAuAEMAbwBtAG0AbwBuAF8AUwBvAHUAcgBjAGUARABhAHQAYQBfAFcAZQB0AEEAbgBkAEQAcgB5AFoAbwBuAGUAcwBfAFMAbwB1AHIAYwBlACIALAAiAEMAbwBtAG0AbwBuAF8AUwBvAHUAcgBjAGUARABhAHQAYQAuAEMAbwBtAG0AbwBuAF8AUwBvAHUAcgBjAGUARABhAHQAYQBfAFcAZQB0AEEAbgBkAEQAcgB5AFoAbwBuAGUAcwBfAFYAYQByAGkAYQB0AGkAbwBuACIALAAiAEMAbwBtAG0AbwBuAF8AUwBvAHUAcgBjAGUARABhAHQAYQAuAEMAbwBtAG0AbwBuAF8AUwBvAHUAcgBjAGUARABhAHQAYQBfAFcAZQB0AEEAbgBkAEQAcgB5AFoAbwBuAGUAcwBfAEQAYQB0AGEAIgAsACIAQwBvAG0AbQBvAG4AXwBTAG8AdQByAGMAZQBEAGEAdABhAC4AQwBvAG0AbQBvAG4AXwBTAG8AdQByAGMAZQBEAGEAdABhAF8AQwBsAGkAbQBhAHQAZQBaAG8AbgBlAHMAXwBUAGkAdABsAGUAIgAsACIAQwBvAG0AbQBvAG4AXwBTAG8AdQByAGMAZQBEAGEAdABhAC4AQwBvAG0AbQBvAG4AXwBTAG8AdQByAGMAZQBEAGEAdABhAF8AQwBsAGkAbQBhAHQAZQBaAG8AbgBlAHMAXwBWAGEAcgBpAGEAYgBsAGUAIgAsACIAQwBvAG0AbQBvAG4AXwBTAG8AdQByAGMAZQBEAGEAdABhAC4AQwBvAG0AbQBvAG4AXwBTAG8AdQByAGMAZQBEAGEAdABhAF8AQwBsAGkAbQBhAHQAZQBaAG8AbgBlAHMAXwBVAG4AaQB0ACIALAAiAEMAbwBtAG0AbwBuAF8AUwBvAHUAcgBjAGUARABhAHQAYQAuAEMAbwBtAG0AbwBuAF8AUwBvAHUAcgBjAGUARABhAHQAYQBfAEMAbABpAG0AYQB0AGUAWgBvAG4AZQBzAF8AUwBvAHUAcgBjAGUAIgAsACIAQwBvAG0AbQBvAG4AXwBTAG8AdQByAGMAZQBEAGEAdABhAC4AQwBvAG0AbQBvAG4AXwBTAG8AdQByAGMAZQBEAGEAdABhAF8AQwBsAGkAbQBhAHQAZQBaAG8AbgBlAHMAXwBWAGEAcgBpAGEAdABpAG8AbgAiACwAIgBDAG8AbQBtAG8AbgBfAFMAbwB1AHIAYwBlAEQAYQB0AGEALgBDAG8AbQBtAG8AbgBfAFMAbwB1AHIAYwBlAEQAYQB0AGEAXwBDAGwAaQBtAGEAdABlAFoAbwBuAGUAcwBfAEQAYQB0AGEAIgAsACIAQwBvAG0AbQBvAG4AXwBTAG8AdQByAGMAZQBEAGEAdABhAC4AQwBvAG0AbQBvAG4AXwBTAG8AdQByAGMAZQBEAGEAdABhAF8AQwBsAGkAbQBhAHQAZQBaAG8AbgBlAHMAXwBBAHAAcABlAG4AZABpAGMAZQBzACIALAAiAEMAbwBtAG0AbwBuAF8AUwBvAHUAcgBjAGUARABhAHQAYQAuAEMAbwBtAG0AbwBuAF8AUwBvAHUAcgBjAGUARABhAHQAYQBfAFQAZQBtAHAAZQByAGEAdAB1AHIAZQBaAG8AbgBlAHMAXwBUAGkAdABsAGUAIgAsACIAQwBvAG0AbQBvAG4AXwBTAG8AdQByAGMAZQBEAGEAdABhAC4AQwBvAG0AbQBvAG4AXwBTAG8AdQByAGMAZQBEAGEAdABhAF8AVABlAG0AcABlAHIAYQB0AHUAcgBlAFoAbwBuAGUAcwBfAFYAYQByAGkAYQBiAGwAZQAiACwAIgBDAG8AbQBtAG8AbgBfAFMAbwB1AHIAYwBlAEQAYQB0AGEALgBDAG8AbQBtAG8AbgBfAFMAbwB1AHIAYwBlAEQAYQB0AGEAXwBUAGUAbQBwAGUAcgBhAHQAdQByAGUAWgBvAG4AZQBzAF8AVQBuAGkAdAAiACwAIgBDAG8AbQBtAG8AbgBfAFMAbwB1AHIAYwBlAEQAYQB0AGEALgBDAG8AbQBtAG8AbgBfAFMAbwB1AHIAYwBlAEQAYQB0AGEAXwBUAGUAbQBwAGUAcgBhAHQAdQByAGUAWgBvAG4AZQBzAF8AUwBvAHUAcgBjAGUAIgAsACIAQwBvAG0AbQBvAG4AXwBTAG8AdQByAGMAZQBEAGEAdABhAC4AQwBvAG0AbQBvAG4AXwBTAG8AdQByAGMAZQBEAGEAdABhAF8AVABlAG0AcABlAHIAYQB0AHUAcgBlAFoAbwBuAGUAcwBfAFYAYQByAGkAYQB0AGkAbwBuACIALAAiAEMAbwBtAG0AbwBuAF8AUwBvAHUAcgBjAGUARABhAHQAYQAuAEMAbwBtAG0AbwBuAF8AUwBvAHUAcgBjAGUARABhAHQAYQBfAFQAZQBtAHAAZQByAGEAdAB1AHIAZQBaAG8AbgBlAHMAXwBEAGEAdABhACIALAAiAEMAbwBtAG0AbwBuAF8AUwBvAHUAcgBjAGUARABhAHQAYQAuAEMAbwBtAG0AbwBuAF8AUwBvAHUAcgBjAGUARABhAHQAYQBfAFIAYQBpAG4AZgBhAGwAbABaAG8AbgBlAHMAXwBUAGkAdABsAGUAIgAsACIAQwBvAG0AbQBvAG4AXwBTAG8AdQByAGMAZQBEAGEAdABhAC4AQwBvAG0AbQBvAG4AXwBTAG8AdQByAGMAZQBEAGEAdABhAF8AUgBhAGkAbgBmAGEAbABsAFoAbwBuAGUAcwBfAFYAYQByAGkAYQBiAGwAZQAiACwAIgBDAG8AbQBtAG8AbgBfAFMAbwB1AHIAYwBlAEQAYQB0AGEALgBDAG8AbQBtAG8AbgBfAFMAbwB1AHIAYwBlAEQAYQB0AGEAXwBSAGEAaQBuAGYAYQBsAGwAWgBvAG4AZQBzAF8AVQBuAGkAdAAiACwAIgBDAG8AbQBtAG8AbgBfAFMAbwB1AHIAYwBlAEQAYQB0AGEALgBDAG8AbQBtAG8AbgBfAFMAbwB1AHIAYwBlAEQAYQB0AGEAXwBSAGEAaQBuAGYAYQBsAGwAWgBvAG4AZQBzAF8AUwBvAHUAcgBjAGUAIgAsACIAQwBvAG0AbQBvAG4AXwBTAG8AdQByAGMAZQBEAGEAdABhAC4AQwBvAG0AbQBvAG4AXwBTAG8AdQByAGMAZQBEAGEAdABhAF8AUgBhAGkAbgBmAGEAbABsAFoAbwBuAGUAcwBfAFYAYQByAGkAYQB0AGkAbwBuACIALAAiAEMAbwBtAG0AbwBuAF8AUwBvAHUAcgBjAGUARABhAHQAYQAuAEMAbwBtAG0AbwBuAF8AUwBvAHUAcgBjAGUARABhAHQAYQBfAFIAYQBpAG4AZgBhAGwAbABaAG8AbgBlAHMAXwBEAGEAdABhACIALAAiAEMAbwBtAG0AbwBuAF8AUwBvAHUAcgBjAGUARABhAHQAYQAuAEMAbwBtAG0AbwBuAF8AUwBvAHUAcgBjAGUARABhAHQAYQBfAEwAZQBhAGMAaABpAG4AZwBaAG8AbgBlAHMAXwBUAGkAdABsAGUAIgAsACIAQwBvAG0AbQBvAG4AXwBTAG8AdQByAGMAZQBEAGEAdABhAC4AQwBvAG0AbQBvAG4AXwBTAG8AdQByAGMAZQBEAGEAdABhAF8ATABlAGEAYwBoAGkAbgBnAFoAbwBuAGUAcwBfAFYAYQByAGkAYQBiAGwAZQAiACwAIgBDAG8AbQBtAG8AbgBfAFMAbwB1AHIAYwBlAEQAYQB0AGEALgBDAG8AbQBtAG8AbgBfAFMAbwB1AHIAYwBlAEQAYQB0AGEAXwBMAGUAYQBjAGgAaQBuAGcAWgBvAG4AZQBzAF8AVQBuAGkAdAAiACwAIgBDAG8AbQBtAG8AbgBfAFMAbwB1AHIAYwBlAEQAYQB0AGEALgBDAG8AbQBtAG8AbgBfAFMAbwB1AHIAYwBlAEQAYQB0AGEAXwBMAGUAYQBjAGgAaQBuAGcAWgBvAG4AZQBzAF8AUwBvAHUAcgBjAGUAIgAsACIAQwBvAG0AbQBvAG4AXwBTAG8AdQByAGMAZQBEAGEAdABhAC4AQwBvAG0AbQBvAG4AXwBTAG8AdQByAGMAZQBEAGEAdABhAF8ATABlAGEAYwBoAGkAbgBnAFoAbwBuAGUAcwBfAFYAYQByAGkAYQB0AGkAbwBuACIALAAiAEMAbwBtAG0AbwBuAF8AUwBvAHUAcgBjAGUARABhAHQAYQAuAEMAbwBtAG0AbwBuAF8AUwBvAHUAcgBjAGUARABhAHQAYQBfAEwAZQBhAGMAaABpAG4AZwBaAG8AbgBlAHMAXwBEAGEAdABhACIALAAiAEMAbwBtAG0AbwBuAF8AUwBvAHUAcgBjAGUARABhAHQAYQAuAEMAbwBtAG0AbwBuAF8AUwBvAHUAcgBjAGUARABhAHQAYQBfAEYAcgBhAGMAVwBFAFQAXwBUAGkAdABsAGUAIgAsACIAQwBvAG0AbQBvAG4AXwBTAG8AdQByAGMAZQBEAGEAdABhAC4AQwBvAG0AbQBvAG4AXwBTAG8AdQByAGMAZQBEAGEAdABhAF8ARgByAGEAYwBXAEUAVABfAFUAbgBpAHQAIgAsACIAQwBvAG0AbQBvAG4AXwBTAG8AdQByAGMAZQBEAGEAdABhAC4AQwBvAG0AbQBvAG4AXwBTAG8AdQByAGMAZQBEAGEAdABhAF8ARgByAGEAYwBXAEUAVABfAFMAbwB1AHIAYwBlACIALAAiAEMAbwBtAG0AbwBuAF8AUwBvAHUAcgBjAGUARABhAHQAYQAuAEMAbwBtAG0AbwBuAF8AUwBvAHUAcgBjAGUARABhAHQAYQBfAEYAcgBhAGMAVwBFAFQAXwBOAEkAUgBSAGUAZgBlAHIAZQBuAGMAZQAiACwAIgBDAG8AbQBtAG8AbgBfAFMAbwB1AHIAYwBlAEQAYQB0AGEALgBDAG8AbQBtAG8AbgBfAFMAbwB1AHIAYwBlAEQAYQB0AGEAXwBGAHIAYQBjAFcARQBUAF8ARABhAHQAYQAiACwAIgBDAG8AbQBtAG8AbgBfAFMAbwB1AHIAYwBlAEQAYQB0AGEALgBDAG8AbQBtAG8AbgBfAFMAbwB1AHIAYwBlAEQAYQB0AGEAXwBGAHIAYQBjAFcARQBUAF8AVgBhAHIAaQBhAHQAaQBvAG4AIgAsACIAQwBvAG0AbQBvAG4AXwBTAG8AdQByAGMAZQBEAGEAdABhAC4AQwBvAG0AbQBvAG4AXwBTAG8AdQByAGMAZQBEAGEAdABhAF8ARABhAHQAYQBTAGMAbwByAGUAcwBfAFMAYwBvAHAAZQAzAF8AVABpAHQAbABlACIALAAiAEMAbwBtAG0AbwBuAF8AUwBvAHUAcgBjAGUARABhAHQAYQAuAEMAbwBtAG0AbwBuAF8AUwBvAHUAcgBjAGUARABhAHQAYQBfAEQAYQB0AGEAUwBjAG8AcgBlAHMAXwBTAGMAbwBwAGUAMwBfAFYAYQByAGkAYQBiAGwAZQAiACwAIgBDAG8AbQBtAG8AbgBfAFMAbwB1AHIAYwBlAEQAYQB0AGEALgBDAG8AbQBtAG8AbgBfAFMAbwB1AHIAYwBlAEQAYQB0AGEAXwBEAGEAdABhAFMAYwBvAHIAZQBzAF8AUwBjAG8AcABlADMAXwBVAG4AaQB0ACIALAAiAEMAbwBtAG0AbwBuAF8AUwBvAHUAcgBjAGUARABhAHQAYQAuAEMAbwBtAG0AbwBuAF8AUwBvAHUAcgBjAGUARABhAHQAYQBfAEQAYQB0AGEAUwBjAG8AcgBlAHMAXwBTAGMAbwBwAGUAMwBfAFMAbwB1AHIAYwBlACIALAAiAEMAbwBtAG0AbwBuAF8AUwBvAHUAcgBjAGUARABhAHQAYQAuAEMAbwBtAG0AbwBuAF8AUwBvAHUAcgBjAGUARABhAHQAYQBfAEQAYQB0AGEAUwBjAG8AcgBlAHMAXwBTAGMAbwBwAGUAMwBfAFYAYQByAGkAYQB0AGkAbwBuACIALAAiAEMAbwBtAG0AbwBuAF8AUwBvAHUAcgBjAGUARABhAHQAYQAuAEMAbwBtAG0AbwBuAF8AUwBvAHUAcgBjAGUARABhAHQAYQBfAEQAYQB0AGEAUwBjAG8AcgBlAHMAXwBTAGMAbwBwAGUAMwBfAEQAYQB0AGEAIgAsACIAQwBvAG0AbQBvAG4AXwBTAG8AdQByAGMAZQBEAGEAdABhAC4AQwBvAG0AbQBvAG4AXwBTAG8AdQByAGMAZQBEAGEAdABhAF8ARgByAGEAYwBMAEUAQQBDAEgAXwBUAGkAdABsAGUAIgAsACIAQwBvAG0AbQBvAG4AXwBTAG8AdQByAGMAZQBEAGEAdABhAC4AQwBvAG0AbQBvAG4AXwBTAG8AdQByAGMAZQBEAGEAdABhAF8ARgByAGEAYwBMAEUAQQBDAEgAXwBVAG4AaQB0ACIALAAiAEMAbwBtAG0AbwBuAF8AUwBvAHUAcgBjAGUARABhAHQAYQAuAEMAbwBtAG0AbwBuAF8AUwBvAHUAcgBjAGUARABhAHQAYQBfAEYAcgBhAGMATABFAEEAQwBIAF8AUwBvAHUAcgBjAGUAIgAsACIAQwBvAG0AbQBvAG4AXwBTAG8AdQByAGMAZQBEAGEAdABhAC4AQwBvAG0AbQBvAG4AXwBTAG8AdQByAGMAZQBEAGEAdABhAF8ARgByAGEAYwBMAEUAQQBDAEgAXwBOAEkAUgBSAGUAZgBlAHIAZQBuAGMAZQAiACwAIgBDAG8AbQBtAG8AbgBfAFMAbwB1AHIAYwBlAEQAYQB0AGEALgBDAG8AbQBtAG8AbgBfAFMAbwB1AHIAYwBlAEQAYQB0AGEAXwBGAHIAYQBjAEwARQBBAEMASABfAEQAYQB0AGEAIgAsACIAQwBvAG0AbQBvAG4AXwBTAG8AdQByAGMAZQBEAGEAdABhAC4AQwBvAG0AbQBvAG4AXwBTAG8AdQByAGMAZQBEAGEAdABhAF8ARgByAGEAYwBMAEUAQQBDAEgAXwBWAGEAcgBpAGEAdABpAG8AbgAiACwAIgBDAG8AbQBtAG8AbgBfAFMAbwB1AHIAYwBlAEQAYQB0AGEALgBDAG8AbQBtAG8AbgBfAFMAbwB1AHIAYwBlAEQAYQB0AGEAXwBFAEYAbABlAGEAYwBoAF8AVABpAHQAbABlACIALAAiAEMAbwBtAG0AbwBuAF8AUwBvAHUAcgBjAGUARABhAHQAYQAuAEMAbwBtAG0AbwBuAF8AUwBvAHUAcgBjAGUARABhAHQAYQBfAEUARgBsAGUAYQBjAGgAXwBVAG4AaQB0ACIALAAiAEMAbwBtAG0AbwBuAF8AUwBvAHUAcgBjAGUARABhAHQAYQAuAEMAbwBtAG0AbwBuAF8AUwBvAHUAcgBjAGUARABhAHQAYQBfAEUARgBsAGUAYQBjAGgAXwBTAG8AdQByAGMAZQAiACwAIgBDAG8AbQBtAG8AbgBfAFMAbwB1AHIAYwBlAEQAYQB0AGEALgBDAG8AbQBtAG8AbgBfAFMAbwB1AHIAYwBlAEQAYQB0AGEAXwBFAEYAbABlAGEAYwBoAF8ATgBJAFIAUgBlAGYAZQByAGUAbgBjAGUAIgAsACIAQwBvAG0AbQBvAG4AXwBTAG8AdQByAGMAZQBEAGEAdABhAC4AQwBvAG0AbQBvAG4AXwBTAG8AdQByAGMAZQBEAGEAdABhAF8ARQBGAGwAZQBhAGMAaABfAEQAYQB0AGEAIgAsACIAQwBvAG0AbQBvAG4AXwBTAG8AdQByAGMAZQBEAGEAdABhAC4AQwBvAG0AbQBvAG4AXwBTAG8AdQByAGMAZQBEAGEAdABhAF8ARQBGAGwAZQBhAGMAaABfAFYAYQByAGkAYQB0AGkAbwBuACIALAAiAEMAbwBtAG0AbwBuAF8AUwBvAHUAcgBjAGUARABhAHQAYQAuAEMAbwBtAG0AbwBuAF8AUwBvAHUAcgBjAGUARABhAHQAYQBfAEUARgBOADIATwBfAFQAaQB0AGwAZQAiACwAIgBDAG8AbQBtAG8AbgBfAFMAbwB1AHIAYwBlAEQAYQB0AGEALgBDAG8AbQBtAG8AbgBfAFMAbwB1AHIAYwBlAEQAYQB0AGEAXwBFAEYATgAyAE8AXwBVAG4AaQB0ACIALAAiAEMAbwBtAG0AbwBuAF8AUwBvAHUAcgBjAGUARABhAHQAYQAuAEMAbwBtAG0AbwBuAF8AUwBvAHUAcgBjAGUARABhAHQAYQBfAEUARgBOADIATwBfAFMAbwB1AHIAYwBlACIALAAiAEMAbwBtAG0AbwBuAF8AUwBvAHUAcgBjAGUARABhAHQAYQAuAEMAbwBtAG0AbwBuAF8AUwBvAHUAcgBjAGUARABhAHQAYQBfAEUARgBOADIATwBfAE4ASQBSAFIAZQBmAGUAcgBlAG4AYwBlACIALAAiAEMAbwBtAG0AbwBuAF8AUwBvAHUAcgBjAGUARABhAHQAYQAuAEMAbwBtAG0AbwBuAF8AUwBvAHUAcgBjAGUARABhAHQAYQBfAEUARgBOADIATwBfAEQAYQB0AGEAIgAsACIAQwBvAG0AbQBvAG4AXwBTAG8AdQByAGMAZQBEAGEAdABhAC4AQwBvAG0AbQBvAG4AXwBTAG8AdQByAGMAZQBEAGEAdABhAF8ARQBGAE4AMgBPAF8AVgBhAHIAaQBhAHQAaQBvAG4AIgAsACIAQwBvAG0AbQBvAG4AXwBTAG8AdQByAGMAZQBEAGEAdABhAC4AQwBvAG0AbQBvAG4AXwBTAG8AdQByAGMAZQBEAGEAdABhAF8ARgByAGEAYwBXAEUAVABJAHIAcgBpAGcAYQB0AGkAbwBuAF8AVABpAHQAbABlACIALAAiAEMAbwBtAG0AbwBuAF8AUwBvAHUAcgBjAGUARABhAHQAYQAuAEMAbwBtAG0AbwBuAF8AUwBvAHUAcgBjAGUARABhAHQAYQBfAEYAcgBhAGMAVwBFAFQASQByAHIAaQBnAGEAdABpAG8AbgBfAFUAbgBpAHQAIgAsACIAQwBvAG0AbQBvAG4AXwBTAG8AdQByAGMAZQBEAGEAdABhAC4AQwBvAG0AbQBvAG4AXwBTAG8AdQByAGMAZQBEAGEAdABhAF8ARgByAGEAYwBXAEUAVABJAHIAcgBpAGcAYQB0AGkAbwBuAF8AUwBvAHUAcgBjAGUAIgAsACIAQwBvAG0AbQBvAG4AXwBTAG8AdQByAGMAZQBEAGEAdABhAC4AQwBvAG0AbQBvAG4AXwBTAG8AdQByAGMAZQBEAGEAdABhAF8ARgByAGEAYwBXAEUAVABJAHIAcgBpAGcAYQB0AGkAbwBuAF8ATgBJAFIAUgBlAGYAZQByAGUAbgBjAGUAIgAsACIAQwBvAG0AbQBvAG4AXwBTAG8AdQByAGMAZQBEAGEAdABhAC4AQwBvAG0AbQBvAG4AXwBTAG8AdQByAGMAZQBEAGEAdABhAF8ARgByAGEAYwBXAEUAVABJAHIAcgBpAGcAYQB0AGkAbwBuAF8ARABhAHQAYQAiACwAIgBDAG8AbQBtAG8AbgBfAFMAbwB1AHIAYwBlAEQAYQB0AGEALgBDAG8AbQBtAG8AbgBfAFMAbwB1AHIAYwBlAEQAYQB0AGEAXwBGAHIAYQBjAFcARQBUAEkAcgByAGkAZwBhAHQAaQBvAG4AXwBWAGEAcgBpAGEAdABpAG8AbgAiACwAIgBDAG8AbQBtAG8AbgBfAFMAbwB1AHIAYwBlAEQAYQB0AGEALgBDAG8AbQBtAG8AbgBfAFMAbwB1AHIAYwBlAEQAYQB0AGEAXwBFAEYAUABhAHMAdAB1AHIAZQBSAGEAbgBnAGUAQQBuAGQAUABhAGQAZABvAGMAawBfAFQAaQB0AGwAZQAiACwAIgBDAG8AbQBtAG8AbgBfAFMAbwB1AHIAYwBlAEQAYQB0AGEALgBDAG8AbQBtAG8AbgBfAFMAbwB1AHIAYwBlAEQAYQB0AGEAXwBFAEYAUABhAHMAdAB1AHIAZQBSAGEAbgBnAGUAQQBuAGQAUABhAGQAZABvAGMAawBfAFUAbgBpAHQAIgAsACIAQwBvAG0AbQBvAG4AXwBTAG8AdQByAGMAZQBEAGEAdABhAC4AQwBvAG0AbQBvAG4AXwBTAG8AdQByAGMAZQBEAGEAdABhAF8ARQBGAFAAYQBzAHQAdQByAGUAUgBhAG4AZwBlAEEAbgBkAFAAYQBkAGQAbwBjAGsAXwBTAG8AdQByAGMAZQAiACwAIgBDAG8AbQBtAG8AbgBfAFMAbwB1AHIAYwBlAEQAYQB0AGEALgBDAG8AbQBtAG8AbgBfAFMAbwB1AHIAYwBlAEQAYQB0AGEAXwBFAEYAUABhAHMAdAB1AHIAZQBSAGEAbgBnAGUAQQBuAGQAUABhAGQAZABvAGMAawBfAE4ASQBSAFIAZQBmAGUAcgBlAG4AYwBlACIALAAiAEMAbwBtAG0AbwBuAF8AUwBvAHUAcgBjAGUARABhAHQAYQAuAEMAbwBtAG0AbwBuAF8AUwBvAHUAcgBjAGUARABhAHQAYQBfAEUARgBQAGEAcwB0AHUAcgBlAFIAYQBuAGcAZQBBAG4AZABQAGEAZABkAG8AYwBrAF8ARABhAHQAYQAiACwAIgBDAG8AbQBtAG8AbgBfAFMAbwB1AHIAYwBlAEQAYQB0AGEALgBDAG8AbQBtAG8AbgBfAFMAbwB1AHIAYwBlAEQAYQB0AGEAXwBFAEYAUABhAHMAdAB1AHIAZQBSAGEAbgBnAGUAQQBuAGQAUABhAGQAZABvAGMAawBfAFYAYQByAGkAYQB0AGkAbwBuACIALAAiAEMAbwBtAG0AbwBuAF8ARQBxAHUAYQB0AGkAbwBuAHMALgBDAG8AbQBtAG8AbgBfAEMAbwBuAHYAZQByAHQATgAyAE8AVABvAEMATwAyAGUAIgAsACIAQwBvAG0AbQBvAG4AXwBFAHEAdQBhAHQAaQBvAG4AcwAuAEMAbwBtAG0AbwBuAF8AQwBvAG4AdgBlAHIAdABOADIATwBUAG8AQwBPADIAZQBfAFQAaQB0AGwAZQAiACwAIgBDAG8AbQBtAG8AbgBfAEUAcQB1AGEAdABpAG8AbgBzAC4AQwBvAG0AbQBvAG4AXwBDAG8AbgB2AGUAcgB0AE4AMgBPAFQAbwBDAE8AMgBlAF8AVgBhAHIAaQBhAGIAbABlACIALAAiAEMAbwBtAG0AbwBuAF8ARQBxAHUAYQB0AGkAbwBuAHMALgBDAG8AbQBtAG8AbgBfAEMAbwBuAHYAZQByAHQATgAyAE8AVABvAEMATwAyAGUAXwBVAG4AaQB0ACIALAAiAEMAbwBtAG0AbwBuAF8ARQBxAHUAYQB0AGkAbwBuAHMALgBDAG8AbQBtAG8AbgBfAEMAbwBuAHYAZQByAHQATgAyAE8AVABvAEMATwAyAGUAXwBOAEkAUgBSAGUAZgBlAHIAZQBuAGMAZQAiACwAIgBDAG8AbQBtAG8AbgBfAEUAcQB1AGEAdABpAG8AbgBzAC4AQwBvAG0AbQBvAG4AXwBDAG8AbgB2AGUAcgB0AE4AMgBPAFQAbwBDAE8AMgBlAF8ATABhAHQAZQB4AEUAcQB1AGEAdABpAG8AbgAiACwAIgBDAG8AbQBtAG8AbgBfAEUAcQB1AGEAdABpAG8AbgBzAC4AQwBvAG0AbQBvAG4AXwBDAG8AbgB2AGUAcgB0AE4AMgBPAFQAbwBDAE8AMgBlAF8AQQByAGcAdQBtAGUAbgB0AHMAIgAsACIAQwBvAG0AbQBvAG4AXwBFAHEAdQBhAHQAaQBvAG4AcwAuAEMAbwBtAG0AbwBuAF8AQwBvAG4AdgBlAHIAdABDAEgANABUAG8AQwBPADIAZQAiACwAIgBDAG8AbQBtAG8AbgBfAEUAcQB1AGEAdABpAG8AbgBzAC4AQwBvAG0AbQBvAG4AXwBDAG8AbgB2AGUAcgB0AEMASAA0AFQAbwBDAE8AMgBlAF8AVABpAHQAbABlACIALAAiAEMAbwBtAG0AbwBuAF8ARQBxAHUAYQB0AGkAbwBuAHMALgBDAG8AbQBtAG8AbgBfAEMAbwBuAHYAZQByAHQAQwBIADQAVABvAEMATwAyAGUAXwBWAGEAcgBpAGEAYgBsAGUAIgAsACIAQwBvAG0AbQBvAG4AXwBFAHEAdQBhAHQAaQBvAG4AcwAuAEMAbwBtAG0AbwBuAF8AQwBvAG4AdgBlAHIAdABDAEgANABUAG8AQwBPADIAZQBfAFUAbgBpAHQAIgAsACIAQwBvAG0AbQBvAG4AXwBFAHEAdQBhAHQAaQBvAG4AcwAuAEMAbwBtAG0AbwBuAF8AQwBvAG4AdgBlAHIAdABDAEgANABUAG8AQwBPADIAZQBfAE4ASQBSAFIAZQBmAGUAcgBlAG4AYwBlACIALAAiAEMAbwBtAG0AbwBuAF8ARQBxAHUAYQB0AGkAbwBuAHMALgBDAG8AbQBtAG8AbgBfAEMAbwBuAHYAZQByAHQAQwBIADQAVABvAEMATwAyAGUAXwBMAGEAdABlAHgARQBxAHUAYQB0AGkAbwBuACIALAAiAEMAbwBtAG0AbwBuAF8ARQBxAHUAYQB0AGkAbwBuAHMALgBDAG8AbQBtAG8AbgBfAEMAbwBuAHYAZQByAHQAQwBIADQAVABvAEMATwAyAGUAXwBBAHIAZwB1AG0AZQBuAHQAcwAiACwAIgBDAG8AbQBtAG8AbgBMAGkAdgBlAHMAdABvAGMAawBfAFMAbwB1AHIAYwBlAEQAYQB0AGEALgBTAG8AdQByAGMAZQBEAGEAdABhAF8ATABpAHYAZQBzAHQAbwBjAGsAXwBDAG8AbQBtAG8AbgBfAEYAcgBhAGMAVwBFAFQATQBNAFMAXwBUAGkAdABsAGUAIgAsACIAQwBvAG0AbQBvAG4ATABpAHYAZQBzAHQAbwBjAGsAXwBTAG8AdQByAGMAZQBEAGEAdABhAC4AUwBvAHUAcgBjAGUARABhAHQAYQBfAEwAaQB2AGUAcwB0AG8AYwBrAF8AQwBvAG0AbQBvAG4AXwBGAHIAYQBjAFcARQBUAE0ATQBTAF8AVQBuAGkAdAAiACwAIgBDAG8AbQBtAG8AbgBMAGkAdgBlAHMAdABvAGMAawBfAFMAbwB1AHIAYwBlAEQAYQB0AGEALgBTAG8AdQByAGMAZQBEAGEAdABhAF8ATABpAHYAZQBzAHQAbwBjAGsAXwBDAG8AbQBtAG8AbgBfAEYAcgBhAGMAVwBFAFQATQBNAFMAXwBTAG8AdQByAGMAZQAiACwAIgBDAG8AbQBtAG8AbgBMAGkAdgBlAHMAdABvAGMAawBfAFMAbwB1AHIAYwBlAEQAYQB0AGEALgBTAG8AdQByAGMAZQBEAGEAdABhAF8ATABpAHYAZQBzAHQAbwBjAGsAXwBDAG8AbQBtAG8AbgBfAEYAcgBhAGMAVwBFAFQATQBNAFMAXwBEAGEAdABhACIALAAiAEMAbwBtAG0AbwBuAEwAaQB2AGUAcwB0AG8AYwBrAF8AUwBvAHUAcgBjAGUARABhAHQAYQAuAFMAbwB1AHIAYwBlAEQAYQB0AGEAXwBMAGkAdgBlAHMAdABvAGMAawBfAEMAbwBtAG0AbwBuAF8ARgByAGEAYwBMAEUAQQBDAEgAXwBNAFMAXwBUAGkAdABsAGUAIgAsACIAQwBvAG0AbQBvAG4ATABpAHYAZQBzAHQAbwBjAGsAXwBTAG8AdQByAGMAZQBEAGEAdABhAC4AUwBvAHUAcgBjAGUARABhAHQAYQBfAEwAaQB2AGUAcwB0AG8AYwBrAF8AQwBvAG0AbQBvAG4AXwBGAHIAYQBjAEwARQBBAEMASABfAE0AUwBfAFUAbgBpAHQAIgAsACIAQwBvAG0AbQBvAG4ATABpAHYAZQBzAHQAbwBjAGsAXwBTAG8AdQByAGMAZQBEAGEAdABhAC4AUwBvAHUAcgBjAGUARABhAHQAYQBfAEwAaQB2AGUAcwB0AG8AYwBrAF8AQwBvAG0AbQBvAG4AXwBGAHIAYQBjAEwARQBBAEMASABfAE0AUwBfAFMAbwB1AHIAYwBlACIALAAiAEMAbwBtAG0AbwBuAEwAaQB2AGUAcwB0AG8AYwBrAF8AUwBvAHUAcgBjAGUARABhAHQAYQAuAFMAbwB1AHIAYwBlAEQAYQB0AGEAXwBMAGkAdgBlAHMAdABvAGMAawBfAEMAbwBtAG0AbwBuAF8ARgByAGEAYwBMAEUAQQBDAEgAXwBNAFMAXwBEAGEAdABhACIALAAiAEMAbwBtAG0AbwBuAEwAaQB2AGUAcwB0AG8AYwBrAF8AUwBvAHUAcgBjAGUARABhAHQAYQAuAFMAbwB1AHIAYwBlAEQAYQB0AGEAXwBMAGkAdgBlAHMAdABvAGMAawBfAEMAbwBtAG0AbwBuAF8AUwB5AG0AYgBvAGwAcwBNAE0AUwBfAFQAaQB0AGwAZQAiACwAIgBDAG8AbQBtAG8AbgBMAGkAdgBlAHMAdABvAGMAawBfAFMAbwB1AHIAYwBlAEQAYQB0AGEALgBTAG8AdQByAGMAZQBEAGEAdABhAF8ATABpAHYAZQBzAHQAbwBjAGsAXwBDAG8AbQBtAG8AbgBfAFMAeQBtAGIAbwBsAHMATQBNAFMAXwBWAGEAaQByAGEAYgBsAGUAIgAsACIAQwBvAG0AbQBvAG4ATABpAHYAZQBzAHQAbwBjAGsAXwBTAG8AdQByAGMAZQBEAGEAdABhAC4AUwBvAHUAcgBjAGUARABhAHQAYQBfAEwAaQB2AGUAcwB0AG8AYwBrAF8AQwBvAG0AbQBvAG4AXwBTAHkAbQBiAG8AbABzAE0ATQBTAF8AVQBuAGkAdAAiACwAIgBDAG8AbQBtAG8AbgBMAGkAdgBlAHMAdABvAGMAawBfAFMAbwB1AHIAYwBlAEQAYQB0AGEALgBTAG8AdQByAGMAZQBEAGEAdABhAF8ATABpAHYAZQBzAHQAbwBjAGsAXwBDAG8AbQBtAG8AbgBfAFMAeQBtAGIAbwBsAHMATQBNAFMAXwBTAG8AdQByAGMAZQAiACwAIgBDAG8AbQBtAG8AbgBMAGkAdgBlAHMAdABvAGMAawBfAFMAbwB1AHIAYwBlAEQAYQB0AGEALgBTAG8AdQByAGMAZQBEAGEAdABhAF8ATABpAHYAZQBzAHQAbwBjAGsAXwBDAG8AbQBtAG8AbgBfAFMAeQBtAGIAbwBsAHMATQBNAFMAXwBEAGEAdABhACIALAAiAEMAbwBtAG0AbwBuAF8ASQBuAHAAdQB0AEYAdQBuAGMAdABpAG8AbgBzAC4AVQB0AGkAbABpAHQAeQBfAEcAZQB0AEEAcgByAGEAeQBUAGEAYgBsAGUAUgBvAHcAUwB0AGEAcgB0AE4AdQBtAGIAZQByACIALAAiAEMAbwBtAG0AbwBuAF8ASQBuAHAAdQB0AEYAdQBuAGMAdABpAG8AbgBzAC4AVQB0AGkAbABpAHQAeQBfAEcAZQB0AEEAcgByAGEAeQBUAGEAYgBsAGUAQwBvAGwAdQBtAG4AUwB0AGEAcgB0AE4AdQBtAGIAZQByACIALAAiAEMAbwBtAG0AbwBuAF8ASQBuAHAAdQB0AEYAdQBuAGMAdABpAG8AbgBzAC4AVQB0AGkAbABpAHQAeQBfAEQAaQBzAHAAbABhAHkAQQByAHIAYQB5AEkAbgBUAGEAYgBsAGUAIgAsACIAQwBvAG0AbQBvAG4AXwBJAG4AcAB1AHQARgB1AG4AYwB0AGkAbwBuAHMALgBVAHQAaQBsAGkAdAB5AF8ATABvAG8AawB1AHAAVgBhAGwAdQBlAEkAbgBUAGEAYgBsAGUAIgAsACIAQwBvAG0AbQBvAG4AXwBJAG4AcAB1AHQARgB1AG4AYwB0AGkAbwBuAHMALgBVAHQAaQBsAGkAdAB5AF8ATABvAG8AawB1AHAAVgBhAGwAdQBlAEkAbgBUAGEAYgBsAGUATgB1AG0AYgBlAHIAIgAsACIAQwBvAG0AbQBvAG4AXwBJAG4AcAB1AHQARgB1AG4AYwB0AGkAbwBuAHMALgBVAHQAaQBsAGkAdAB5AF8ATABvAG8AawB1AHAAVgBhAGwAdQBlAEkAbgBUAGEAYgBsAGUAVAB3AG8AQwBvAGwAdQBtAG4AcwAiACwAIgBDAG8AbQBtAG8AbgBfAEkAbgBwAHUAdABGAHUAbgBjAHQAaQBvAG4AcwAuAFUAdABpAGwAaQB0AHkAXwBMAG8AbwBrAHUAcABWAGEAbAB1AGUASQBuAFQAYQBiAGwAZQBPAG4AZQBDAG8AbAB1AG0AbgBBAG4AZABIAGUAYQBkAGUAcgAiACwAIgBDAG8AbQBtAG8AbgBfAEkAbgBwAHUAdABGAHUAbgBjAHQAaQBvAG4AcwAuAFUAdABpAGwAaQB0AHkAXwBTAHAAbABpAHQAUwB0AHIAaQBuAGcASQBuAHQAbwBBAHIAcgBhAHkAIgAsACIAQwBvAG0AbQBvAG4AXwBJAG4AcAB1AHQARgB1AG4AYwB0AGkAbwBuAHMALgBVAHQAaQBsAGkAdAB5AF8ARwBlAHQAQwBsAGkAbQBhAHQAZQBaAG8AbgBlACIALAAiAEMAbwBtAG0AbwBuAF8ASQBuAHAAdQB0AEYAdQBuAGMAdABpAG8AbgBzAC4AVQB0AGkAbABpAHQAeQBfAEwAbwBvAGsAdQBwAEkAdABlAG0ARgByAG8AbQBNAGkAbgBNAGEAeAAiACwAIgBDAG8AbQBtAG8AbgBfAEkAbgBwAHUAdABGAHUAbgBjAHQAaQBvAG4AcwAuAFUAdABpAGwAaQB0AHkAXwBTAHUAbQBRAHUAYQBuAHQAaQB0AHkARgByAG8AbQBDAHIAaQB0AGUAcgBpAGEAIgAsACIAQwBvAG0AbQBvAG4AXwBJAG4AcAB1AHQARgB1AG4AYwB0AGkAbwBuAHMALgBnAGUAdABPAHYAZQByAGwAYQBwAHAAaQBuAGcAUgBlAHAAbwByAHQAaQBuAGcAQwB5AGMAbABlAHMAIgAsACIAQwBvAG0AbQBvAG4AXwBJAG4AcAB1AHQARgB1AG4AYwB0AGkAbwBuAHMALgBnAGUAdABPAHYAZQByAGwAYQBwAHAAaQBuAGcAUgBlAHAAbwByAHQAaQBuAGcAUABlAHIAaQBvAGQAcwAiACwAIgBDAG8AbQBtAG8AbgBfAEkAbgBwAHUAdABGAHUAbgBjAHQAaQBvAG4AcwAuAFUAdABpAGwAaQB0AHkAXwBEAGkAcwBwAGwAYQB5AEYAdQBuAGMAdABpAG8AbgBOAGEAbQBlACIALAAiAEMAbwBtAG0AbwBuAF8ASQBuAHAAdQB0AEYAdQBuAGMAdABpAG8AbgBzAC4AVQB0AGkAbABpAHQAeQBfAEwAbwBvAGsAdQBwAE4AMgBPAEUARgBGAHIAbwBtAFAAcgBvAGQASQByAHIAaQBnAGEAdABpAG8AbgBSAGEAaQBuAGYAYQBsAGwAIgAsACIAQwBvAG0AbQBvAG4AXwBJAG4AcAB1AHQARgB1AG4AYwB0AGkAbwBuAHMALgBDAG8AbQBtAG8AbgBDAHIAbwBwAHAAaQBuAGcAXwBHAGUAdABGAHIAYQBjAFcARQBUACIALAAiAEMAbwBtAG0AbwBuAF8ASQBuAHAAdQB0AEYAdQBuAGMAdABpAG8AbgBzAC4AVQB0AGkAbABpAHQAeQBfAEMAbwBuAHYAZQByAHQAUwB0AGEAdABlAEMAbwBtAG0AbwBuAE4AYQBtAGUAVABvAEEAYgBiAHIAZQB2AGkAYQB0AGkAbwBuACIALAAiAEMAbwBtAG0AbwBuAF8ASQBuAHAAdQB0AEYAdQBuAGMAdABpAG8AbgBzAC4AVQB0AGkAbABpAHQAeQBfAFMAbwB1AHIAYwBlAEgAeQBwAGUAcgBsAGkAbgBrACIALAAiAEMAbwBtAG0AbwBuAF8ASQBuAHAAdQB0AEYAdQBuAGMAdABpAG8AbgBzAC4AVQB0AGkAbABpAHQAeQBfAEQAaQBzAHAAbABhAHkAQQByAGcAdQBtAGUAbgB0AHMAXwAxAF8AMgAiACwAIgBDAG8AbQBtAG8AbgBfAEkAbgBwAHUAdABGAHUAbgBjAHQAaQBvAG4AcwAuAFUAdABpAGwAaQB0AHkAXwBEAGkAcwBwAGwAYQB5AEEAcgBnAHUAbQBlAG4AdABzAF8AMwBfADQAIgAsACIAQwBvAG0AbQBvAG4AXwBJAG4AcAB1AHQARgB1AG4AYwB0AGkAbwBuAHMALgBDAG8AbQBtAG8AbgBfAEcAZQB0AE0AQwBGAFQAZQBtAHAAZQByAGEAdAB1AHIAZQBaAG8AbgBlACIALAAiAEMAbwBtAG0AbwBuAEMAcgBvAHAAcABpAG4AZwBfAEkAbgBwAHUAdABGAHUAbgBjAHQAaQBvAG4AcwAuAEMAbwBtAG0AbwBuAEMAcgBvAHAAcABpAG4AZwBfAEcAZQB0AEYAcgBhAGMAVwBFAFQAIgAsACIAQwBvAG0AbQBvAG4AQwByAG8AcABwAGkAbgBnAF8ASQBuAHAAdQB0AEYAdQBuAGMAdABpAG8AbgBzAC4AQwBvAG0AbQBvAG4AQwByAG8AcABwAGkAbgBnAF8AQwBhAGwAYwB1AGwAYQB0AGUASABhAHIAdgBlAHMAdABJAG4AZABlAHgAIgAsACIAQwBvAG0AbQBvAG4AQwByAG8AcABwAGkAbgBnAF8ASQBuAHAAdQB0AEYAdQBuAGMAdABpAG8AbgBzAC4AQwBvAG0AbQBvAG4AQwByAG8AcABwAGkAbgBnAF8AQwBhAGwAYwB1AGwAYQB0AGUAUgBlAHMAaQBkAHUAZQBDAHIAbwBwAFIAYQB0AGkAbwAiACwAIgBDAG8AbQBtAG8AbgBDAHIAbwBwAHAAaQBuAGcAXwBJAG4AcAB1AHQARgB1AG4AYwB0AGkAbwBuAHMALgBDAG8AbQBtAG8AbgBDAHIAbwBwAHAAaQBuAGcAXwBDAGEAbABjAHUAbABhAHQAZQBGAHIAYQBjAHQAaQBvAG4AUgBlAHMAaQBkAHUAZQBSAGUAbQBvAHYAZQBkACIALAAiAFMAbwB1AHIAYwBlAEQAYQB0AGEAXwBPAHQAaABlAHIATABpAHYAZQBzAHQAbwBjAGsALgBTAG8AdQByAGMAZQBEAGEAdABhAF8ATwB0AGgAZQByAEwAaQB2AGUAcwB0AG8AYwBrAF8ARQBuAHQAZQByAGkAYwBGAGUAcgBtAGUAbgB0AGEAdABpAG8AbgBFAG0AaQBzAHMAaQBvAG4ARgBhAGMAdABvAHIAXwBUAGkAdABsAGUAIgAsACIAUwBvAHUAcgBjAGUARABhAHQAYQBfAE8AdABoAGUAcgBMAGkAdgBlAHMAdABvAGMAawAuAFMAbwB1AHIAYwBlAEQAYQB0AGEAXwBPAHQAaABlAHIATABpAHYAZQBzAHQAbwBjAGsAXwBFAG4AdABlAHIAaQBjAEYAZQByAG0AZQBuAHQAYQB0AGkAbwBuAEUAbQBpAHMAcwBpAG8AbgBGAGEAYwB0AG8AcgBfAFYAYQByAGkAYQBiAGwAZQAiACwAIgBTAG8AdQByAGMAZQBEAGEAdABhAF8ATwB0AGgAZQByAEwAaQB2AGUAcwB0AG8AYwBrAC4AUwBvAHUAcgBjAGUARABhAHQAYQBfAE8AdABoAGUAcgBMAGkAdgBlAHMAdABvAGMAawBfAEUAbgB0AGUAcgBpAGMARgBlAHIAbQBlAG4AdABhAHQAaQBvAG4ARQBtAGkAcwBzAGkAbwBuAEYAYQBjAHQAbwByAF8AVQBuAGkAdAAiACwAIgBTAG8AdQByAGMAZQBEAGEAdABhAF8ATwB0AGgAZQByAEwAaQB2AGUAcwB0AG8AYwBrAC4AUwBvAHUAcgBjAGUARABhAHQAYQBfAE8AdABoAGUAcgBMAGkAdgBlAHMAdABvAGMAawBfAEUAbgB0AGUAcgBpAGMARgBlAHIAbQBlAG4AdABhAHQAaQBvAG4ARQBtAGkAcwBzAGkAbwBuAEYAYQBjAHQAbwByAF8AUwBvAHUAcgBjAGUAIgAsACIAUwBvAHUAcgBjAGUARABhAHQAYQBfAE8AdABoAGUAcgBMAGkAdgBlAHMAdABvAGMAawAuAFMAbwB1AHIAYwBlAEQAYQB0AGEAXwBPAHQAaABlAHIATABpAHYAZQBzAHQAbwBjAGsAXwBFAG4AdABlAHIAaQBjAEYAZQByAG0AZQBuAHQAYQB0AGkAbwBuAEUAbQBpAHMAcwBpAG8AbgBGAGEAYwB0AG8AcgBfAFYAYQByAGkAYQB0AGkAbwBuACIALAAiAFMAbwB1AHIAYwBlAEQAYQB0AGEAXwBPAHQAaABlAHIATABpAHYAZQBzAHQAbwBjAGsALgBTAG8AdQByAGMAZQBEAGEAdABhAF8ATwB0AGgAZQByAEwAaQB2AGUAcwB0AG8AYwBrAF8ARQBuAHQAZQByAGkAYwBGAGUAcgBtAGUAbgB0AGEAdABpAG8AbgBFAG0AaQBzAHMAaQBvAG4ARgBhAGMAdABvAHIAXwBEAGEAdABhACIALAAiAFMAbwB1AHIAYwBlAEQAYQB0AGEAXwBPAHQAaABlAHIATABpAHYAZQBzAHQAbwBjAGsALgBTAG8AdQByAGMAZQBEAGEAdABhAF8ATwB0AGgAZQByAEwAaQB2AGUAcwB0AG8AYwBrAF8AVgBvAGwAYQB0AGkAbABlAFMAbwBsAGkAZABzAFAAcgBvAGQAdQBjAGUAZABfAFQAaQB0AGwAZQAiACwAIgBTAG8AdQByAGMAZQBEAGEAdABhAF8ATwB0AGgAZQByAEwAaQB2AGUAcwB0AG8AYwBrAC4AUwBvAHUAcgBjAGUARABhAHQAYQBfAE8AdABoAGUAcgBMAGkAdgBlAHMAdABvAGMAawBfAFYAbwBsAGEAdABpAGwAZQBTAG8AbABpAGQAcwBQAHIAbwBkAHUAYwBlAGQAXwBWAGEAcgBpAGEAYgBsAGUAIgAsACIAUwBvAHUAcgBjAGUARABhAHQAYQBfAE8AdABoAGUAcgBMAGkAdgBlAHMAdABvAGMAawAuAFMAbwB1AHIAYwBlAEQAYQB0AGEAXwBPAHQAaABlAHIATABpAHYAZQBzAHQAbwBjAGsAXwBWAG8AbABhAHQAaQBsAGUAUwBvAGwAaQBkAHMAUAByAG8AZAB1AGMAZQBkAF8AVQBuAGkAdAAiACwAIgBTAG8AdQByAGMAZQBEAGEAdABhAF8ATwB0AGgAZQByAEwAaQB2AGUAcwB0AG8AYwBrAC4AUwBvAHUAcgBjAGUARABhAHQAYQBfAE8AdABoAGUAcgBMAGkAdgBlAHMAdABvAGMAawBfAFYAbwBsAGEAdABpAGwAZQBTAG8AbABpAGQAcwBQAHIAbwBkAHUAYwBlAGQAXwBTAG8AdQByAGMAZQAiACwAIgBTAG8AdQByAGMAZQBEAGEAdABhAF8ATwB0AGgAZQByAEwAaQB2AGUAcwB0AG8AYwBrAC4AUwBvAHUAcgBjAGUARABhAHQAYQBfAE8AdABoAGUAcgBMAGkAdgBlAHMAdABvAGMAawBfAFYAbwBsAGEAdABpAGwAZQBTAG8AbABpAGQAcwBQAHIAbwBkAHUAYwBlAGQAXwBWAGEAcgBpAGEAdABpAG8AbgAiACwAIgBTAG8AdQByAGMAZQBEAGEAdABhAF8ATwB0AGgAZQByAEwAaQB2AGUAcwB0AG8AYwBrAC4AUwBvAHUAcgBjAGUARABhAHQAYQBfAE8AdABoAGUAcgBMAGkAdgBlAHMAdABvAGMAawBfAFYAbwBsAGEAdABpAGwAZQBTAG8AbABpAGQAcwBQAHIAbwBkAHUAYwBlAGQAXwBEAGEAdABhACIALAAiAFMAbwB1AHIAYwBlAEQAYQB0AGEAXwBPAHQAaABlAHIATABpAHYAZQBzAHQAbwBjAGsALgBTAG8AdQByAGMAZQBEAGEAdABhAF8ATwB0AGgAZQByAEwAaQB2AGUAcwB0AG8AYwBrAF8ATgBpAHQAcgBvAGcAZQBuAEUAeABjAHIAZQB0AGUAZABfAFQAaQB0AGwAZQAiACwAIgBTAG8AdQByAGMAZQBEAGEAdABhAF8ATwB0AGgAZQByAEwAaQB2AGUAcwB0AG8AYwBrAC4AUwBvAHUAcgBjAGUARABhAHQAYQBfAE8AdABoAGUAcgBMAGkAdgBlAHMAdABvAGMAawBfAE4AaQB0AHIAbwBnAGUAbgBFAHgAYwByAGUAdABlAGQAXwBWAGEAcgBpAGEAYgBsAGUAIgAsACIAUwBvAHUAcgBjAGUARABhAHQAYQBfAE8AdABoAGUAcgBMAGkAdgBlAHMAdABvAGMAawAuAFMAbwB1AHIAYwBlAEQAYQB0AGEAXwBPAHQAaABlAHIATABpAHYAZQBzAHQAbwBjAGsAXwBOAGkAdAByAG8AZwBlAG4ARQB4AGMAcgBlAHQAZQBkAF8AVQBuAGkAdAAiACwAIgBTAG8AdQByAGMAZQBEAGEAdABhAF8ATwB0AGgAZQByAEwAaQB2AGUAcwB0AG8AYwBrAC4AUwBvAHUAcgBjAGUARABhAHQAYQBfAE8AdABoAGUAcgBMAGkAdgBlAHMAdABvAGMAawBfAE4AaQB0AHIAbwBnAGUAbgBFAHgAYwByAGUAdABlAGQAXwBTAG8AdQByAGMAZQAiACwAIgBTAG8AdQByAGMAZQBEAGEAdABhAF8ATwB0AGgAZQByAEwAaQB2AGUAcwB0AG8AYwBrAC4AUwBvAHUAcgBjAGUARABhAHQAYQBfAE8AdABoAGUAcgBMAGkAdgBlAHMAdABvAGMAawBfAE4AaQB0AHIAbwBnAGUAbgBFAHgAYwByAGUAdABlAGQAXwBWAGEAcgBpAGEAdABpAG8AbgAiACwAIgBTAG8AdQByAGMAZQBEAGEAdABhAF8ATwB0AGgAZQByAEwAaQB2AGUAcwB0AG8AYwBrAC4AUwBvAHUAcgBjAGUARABhAHQAYQBfAE8AdABoAGUAcgBMAGkAdgBlAHMAdABvAGMAawBfAE4AaQB0AHIAbwBnAGUAbgBFAHgAYwByAGUAdABlAGQAXwBEAGEAdABhACIALAAiAFMAbwB1AHIAYwBlAEQAYQB0AGEAXwBPAHQAaABlAHIATABpAHYAZQBzAHQAbwBjAGsALgBTAG8AdQByAGMAZQBEAGEAdABhAF8ATwB0AGgAZQByAEwAaQB2AGUAcwB0AG8AYwBrAF8AQQB2AGUAcgBhAGcAZQBMAGkAdgBlAHcAZQBpAGcAaAB0AF8AVABpAHQAbABlACIALAAiAFMAbwB1AHIAYwBlAEQAYQB0AGEAXwBPAHQAaABlAHIATABpAHYAZQBzAHQAbwBjAGsALgBTAG8AdQByAGMAZQBEAGEAdABhAF8ATwB0AGgAZQByAEwAaQB2AGUAcwB0AG8AYwBrAF8AQQB2AGUAcgBhAGcAZQBMAGkAdgBlAHcAZQBpAGcAaAB0AF8AVgBhAHIAaQBhAGIAbABlACIALAAiAFMAbwB1AHIAYwBlAEQAYQB0AGEAXwBPAHQAaABlAHIATABpAHYAZQBzAHQAbwBjAGsALgBTAG8AdQByAGMAZQBEAGEAdABhAF8ATwB0AGgAZQByAEwAaQB2AGUAcwB0AG8AYwBrAF8AQQB2AGUAcgBhAGcAZQBMAGkAdgBlAHcAZQBpAGcAaAB0AF8AVQBuAGkAdAAiACwAIgBTAG8AdQByAGMAZQBEAGEAdABhAF8ATwB0AGgAZQByAEwAaQB2AGUAcwB0AG8AYwBrAC4AUwBvAHUAcgBjAGUARABhAHQAYQBfAE8AdABoAGUAcgBMAGkAdgBlAHMAdABvAGMAawBfAEEAdgBlAHIAYQBnAGUATABpAHYAZQB3AGUAaQBnAGgAdABfAFMAbwB1AHIAYwBlACIALAAiAFMAbwB1AHIAYwBlAEQAYQB0AGEAXwBPAHQAaABlAHIATABpAHYAZQBzAHQAbwBjAGsALgBTAG8AdQByAGMAZQBEAGEAdABhAF8ATwB0AGgAZQByAEwAaQB2AGUAcwB0AG8AYwBrAF8AQQB2AGUAcgBhAGcAZQBMAGkAdgBlAHcAZQBpAGcAaAB0AF8AVgBhAHIAaQBhAHQAaQBvAG4AIgAsACIAUwBvAHUAcgBjAGUARABhAHQAYQBfAE8AdABoAGUAcgBMAGkAdgBlAHMAdABvAGMAawAuAFMAbwB1AHIAYwBlAEQAYQB0AGEAXwBPAHQAaABlAHIATABpAHYAZQBzAHQAbwBjAGsAXwBBAHYAZQByAGEAZwBlAEwAaQB2AGUAdwBlAGkAZwBoAHQAXwBEAGEAdABhACIALAAiAFMAbwB1AHIAYwBlAEQAYQB0AGEAXwBPAHQAaABlAHIATABpAHYAZQBzAHQAbwBjAGsALgBTAG8AdQByAGMAZQBEAGEAdABhAF8ATwB0AGgAZQByAEwAaQB2AGUAcwB0AG8AYwBrAF8ARgByAGEAYwB0AGkAbwBuAFcAYQBzAHQAZQBJAG4ATQBNAFMAXwBUAGkAdABsAGUAIgAsACIAUwBvAHUAcgBjAGUARABhAHQAYQBfAE8AdABoAGUAcgBMAGkAdgBlAHMAdABvAGMAawAuAFMAbwB1AHIAYwBlAEQAYQB0AGEAXwBPAHQAaABlAHIATABpAHYAZQBzAHQAbwBjAGsAXwBGAHIAYQBjAHQAaQBvAG4AVwBhAHMAdABlAEkAbgBNAE0AUwBfAFYAYQByAGkAYQBiAGwAZQAiACwAIgBTAG8AdQByAGMAZQBEAGEAdABhAF8ATwB0AGgAZQByAEwAaQB2AGUAcwB0AG8AYwBrAC4AUwBvAHUAcgBjAGUARABhAHQAYQBfAE8AdABoAGUAcgBMAGkAdgBlAHMAdABvAGMAawBfAEYAcgBhAGMAdABpAG8AbgBXAGEAcwB0AGUASQBuAE0ATQBTAF8AVQBuAGkAdAAiACwAIgBTAG8AdQByAGMAZQBEAGEAdABhAF8ATwB0AGgAZQByAEwAaQB2AGUAcwB0AG8AYwBrAC4AUwBvAHUAcgBjAGUARABhAHQAYQBfAE8AdABoAGUAcgBMAGkAdgBlAHMAdABvAGMAawBfAEYAcgBhAGMAdABpAG8AbgBXAGEAcwB0AGUASQBuAE0ATQBTAF8AUwBvAHUAcgBjAGUAIgAsACIAUwBvAHUAcgBjAGUARABhAHQAYQBfAE8AdABoAGUAcgBMAGkAdgBlAHMAdABvAGMAawAuAFMAbwB1AHIAYwBlAEQAYQB0AGEAXwBPAHQAaABlAHIATABpAHYAZQBzAHQAbwBjAGsAXwBGAHIAYQBjAHQAaQBvAG4AVwBhAHMAdABlAEkAbgBNAE0AUwBfAFYAYQByAGkAYQB0AGkAbwBuACIALAAiAFMAbwB1AHIAYwBlAEQAYQB0AGEAXwBPAHQAaABlAHIATABpAHYAZQBzAHQAbwBjAGsALgBTAG8AdQByAGMAZQBEAGEAdABhAF8ATwB0AGgAZQByAEwAaQB2AGUAcwB0AG8AYwBrAF8ARgByAGEAYwB0AGkAbwBuAFcAYQBzAHQAZQBJAG4ATQBNAFMAXwBEAGEAdABhACIALAAiAFMAbwB1AHIAYwBlAEQAYQB0AGEAXwBPAHQAaABlAHIATABpAHYAZQBzAHQAbwBjAGsALgBTAG8AdQByAGMAZQBEAGEAdABhAF8ATwB0AGgAZQByAEwAaQB2AGUAcwB0AG8AYwBrAF8ATQBlAHQAaABhAG4AZQBDAG8AbgB2AGUAcgBzAGkAbwBuAEYAYQBjAHQAbwByAF8AVABpAHQAbABlACIALAAiAFMAbwB1AHIAYwBlAEQAYQB0AGEAXwBPAHQAaABlAHIATABpAHYAZQBzAHQAbwBjAGsALgBTAG8AdQByAGMAZQBEAGEAdABhAF8ATwB0AGgAZQByAEwAaQB2AGUAcwB0AG8AYwBrAF8ATQBlAHQAaABhAG4AZQBDAG8AbgB2AGUAcgBzAGkAbwBuAEYAYQBjAHQAbwByAF8AVgBhAHIAaQBhAGIAbABlACIALAAiAFMAbwB1AHIAYwBlAEQAYQB0AGEAXwBPAHQAaABlAHIATABpAHYAZQBzAHQAbwBjAGsALgBTAG8AdQByAGMAZQBEAGEAdABhAF8ATwB0AGgAZQByAEwAaQB2AGUAcwB0AG8AYwBrAF8ATQBlAHQAaABhAG4AZQBDAG8AbgB2AGUAcgBzAGkAbwBuAEYAYQBjAHQAbwByAF8AVQBuAGkAdAAiACwAIgBTAG8AdQByAGMAZQBEAGEAdABhAF8ATwB0AGgAZQByAEwAaQB2AGUAcwB0AG8AYwBrAC4AUwBvAHUAcgBjAGUARABhAHQAYQBfAE8AdABoAGUAcgBMAGkAdgBlAHMAdABvAGMAawBfAE0AZQB0AGgAYQBuAGUAQwBvAG4AdgBlAHIAcwBpAG8AbgBGAGEAYwB0AG8AcgBfAFMAbwB1AHIAYwBlACIALAAiAFMAbwB1AHIAYwBlAEQAYQB0AGEAXwBPAHQAaABlAHIATABpAHYAZQBzAHQAbwBjAGsALgBTAG8AdQByAGMAZQBEAGEAdABhAF8ATwB0AGgAZQByAEwAaQB2AGUAcwB0AG8AYwBrAF8ATQBlAHQAaABhAG4AZQBDAG8AbgB2AGUAcgBzAGkAbwBuAEYAYQBjAHQAbwByAF8AVgBhAHIAaQBhAHQAaQBvAG4AIgAsACIAUwBvAHUAcgBjAGUARABhAHQAYQBfAE8AdABoAGUAcgBMAGkAdgBlAHMAdABvAGMAawAuAFMAbwB1AHIAYwBlAEQAYQB0AGEAXwBPAHQAaABlAHIATABpAHYAZQBzAHQAbwBjAGsAXwBNAGUAdABoAGEAbgBlAEMAbwBuAHYAZQByAHMAaQBvAG4ARgBhAGMAdABvAHIAXwBEAGEAdABhACIALAAiAFMAbwB1AHIAYwBlAEQAYQB0AGEAXwBPAHQAaABlAHIATABpAHYAZQBzAHQAbwBjAGsALgBTAG8AdQByAGMAZQBEAGEAdABhAF8ATwB0AGgAZQByAEwAaQB2AGUAcwB0AG8AYwBrAF8ATQBlAHQAaABhAG4AZQBFAG0AaQBzAHMAaQBvAG4AcwBQAG8AdABlAG4AdABpAGEAbABfAFQAaQB0AGwAZQAiACwAIgBTAG8AdQByAGMAZQBEAGEAdABhAF8ATwB0AGgAZQByAEwAaQB2AGUAcwB0AG8AYwBrAC4AUwBvAHUAcgBjAGUARABhAHQAYQBfAE8AdABoAGUAcgBMAGkAdgBlAHMAdABvAGMAawBfAE0AZQB0AGgAYQBuAGUARQBtAGkAcwBzAGkAbwBuAHMAUABvAHQAZQBuAHQAaQBhAGwAXwBWAGEAcgBpAGEAYgBsAGUAIgAsACIAUwBvAHUAcgBjAGUARABhAHQAYQBfAE8AdABoAGUAcgBMAGkAdgBlAHMAdABvAGMAawAuAFMAbwB1AHIAYwBlAEQAYQB0AGEAXwBPAHQAaABlAHIATABpAHYAZQBzAHQAbwBjAGsAXwBNAGUAdABoAGEAbgBlAEUAbQBpAHMAcwBpAG8AbgBzAFAAbwB0AGUAbgB0AGkAYQBsAF8AVQBuAGkAdAAiACwAIgBTAG8AdQByAGMAZQBEAGEAdABhAF8ATwB0AGgAZQByAEwAaQB2AGUAcwB0AG8AYwBrAC4AUwBvAHUAcgBjAGUARABhAHQAYQBfAE8AdABoAGUAcgBMAGkAdgBlAHMAdABvAGMAawBfAE0AZQB0AGgAYQBuAGUARQBtAGkAcwBzAGkAbwBuAHMAUABvAHQAZQBuAHQAaQBhAGwAXwBTAG8AdQByAGMAZQAiACwAIgBTAG8AdQByAGMAZQBEAGEAdABhAF8ATwB0AGgAZQByAEwAaQB2AGUAcwB0AG8AYwBrAC4AUwBvAHUAcgBjAGUARABhAHQAYQBfAE8AdABoAGUAcgBMAGkAdgBlAHMAdABvAGMAawBfAE0AZQB0AGgAYQBuAGUARQBtAGkAcwBzAGkAbwBuAHMAUABvAHQAZQBuAHQAaQBhAGwAXwBWAGEAcgBpAGEAdABpAG8AbgAiACwAIgBTAG8AdQByAGMAZQBEAGEAdABhAF8ATwB0AGgAZQByAEwAaQB2AGUAcwB0AG8AYwBrAC4AUwBvAHUAcgBjAGUARABhAHQAYQBfAE8AdABoAGUAcgBMAGkAdgBlAHMAdABvAGMAawBfAE0AZQB0AGgAYQBuAGUARQBtAGkAcwBzAGkAbwBuAHMAUABvAHQAZQBuAHQAaQBhAGwAXwBEAGEAdABhACIALAAiAFMAbwB1AHIAYwBlAEQAYQB0AGEAXwBPAHQAaABlAHIATABpAHYAZQBzAHQAbwBjAGsALgBTAG8AdQByAGMAZQBEAGEAdABhAF8ATwB0AGgAZQByAEwAaQB2AGUAcwB0AG8AYwBrAF8ARgByAGEAYwBHAEEAUwBNAFMAbwBpAGwAXwBUAGkAdABsAGUAIgAsACIAUwBvAHUAcgBjAGUARABhAHQAYQBfAE8AdABoAGUAcgBMAGkAdgBlAHMAdABvAGMAawAuAFMAbwB1AHIAYwBlAEQAYQB0AGEAXwBPAHQAaABlAHIATABpAHYAZQBzAHQAbwBjAGsAXwBGAHIAYQBjAEcAQQBTAE0AUwBvAGkAbABfAFYAYQByAGkAYQBiAGwAZQAiACwAIgBTAG8AdQByAGMAZQBEAGEAdABhAF8ATwB0AGgAZQByAEwAaQB2AGUAcwB0AG8AYwBrAC4AUwBvAHUAcgBjAGUARABhAHQAYQBfAE8AdABoAGUAcgBMAGkAdgBlAHMAdABvAGMAawBfAEYAcgBhAGMARwBBAFMATQBTAG8AaQBsAF8AVQBuAGkAdAAiACwAIgBTAG8AdQByAGMAZQBEAGEAdABhAF8ATwB0AGgAZQByAEwAaQB2AGUAcwB0AG8AYwBrAC4AUwBvAHUAcgBjAGUARABhAHQAYQBfAE8AdABoAGUAcgBMAGkAdgBlAHMAdABvAGMAawBfAEYAcgBhAGMARwBBAFMATQBTAG8AaQBsAF8AUwBvAHUAcgBjAGUAIgAsACIAUwBvAHUAcgBjAGUARABhAHQAYQBfAE8AdABoAGUAcgBMAGkAdgBlAHMAdABvAGMAawAuAFMAbwB1AHIAYwBlAEQAYQB0AGEAXwBPAHQAaABlAHIATABpAHYAZQBzAHQAbwBjAGsAXwBGAHIAYQBjAEcAQQBTAE0AUwBvAGkAbABfAFYAYQByAGkAYQB0AGkAbwBuACIALAAiAFMAbwB1AHIAYwBlAEQAYQB0AGEAXwBPAHQAaABlAHIATABpAHYAZQBzAHQAbwBjAGsALgBTAG8AdQByAGMAZQBEAGEAdABhAF8ATwB0AGgAZQByAEwAaQB2AGUAcwB0AG8AYwBrAF8ARgByAGEAYwBHAEEAUwBNAFMAbwBpAGwAXwBEAGEAdABh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UAGkAdABs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VgBhAHIAaQBhAGIAbABlACIALAAiAE0ATQBTAF8ATwB0AGgAZQByAEwAaQB2AGUAcwB0AG8AYwBrAF8ATQBlAHQAaABhAG4AZQBfAEUAcQB1AGEAdABpAG8AbgBzAC4AVgBFAEUAUgBHAF8ANABfADcAXwAxAF8AMQBfAF8AMQBfAFQAbwB0AGEAbABBAG4AbgB1AGEAbABNAGUAdABoAGEAbgBlAFAAcgBvAGQAdQBjAHQAaQBvAG4ARgByAG8AbQBNAGEAbgB1AHIAZQBNAGEAbgBhAGcAZQBtAGUAbgB0AE8AdABoAGUAcgBMAGkAdgBlAHMAdABvAGMAawBfAFUAbgBpAHQ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UwBvAHUAcgBj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TgBJAFIAUgBlAGYAZQByAGUAbgBjAGUAIgAsACIATQBNAFMAXwBPAHQAaABlAHIATABpAHYAZQBzAHQAbwBjAGsAXwBNAGUAdABoAGEAbgBlAF8ARQBxAHUAYQB0AGkAbwBuAHMALgBWAEUARQBSAEcAXwA0AF8ANwBfADEAXwAxAF8AXwAxAF8AVABvAHQAYQBsAEEAbgBuAHUAYQBsAE0AZQB0AGgAYQBuAGUAUAByAG8AZAB1AGMAdABpAG8AbgBGAHIAbwBtAE0AYQBuAHUAcgBlAE0AYQBuAGEAZwBlAG0AZQBuAHQATwB0AGgAZQByAEwAaQB2AGUAcwB0AG8AYwBrAF8ATABhAHQAZQB4AEUAcQB1AGEAdABpAG8AbgAiACwAIgBNAE0AUwBfAE8AdABoAGUAcgBMAGkAdgBlAHMAdABvAGMAawBfAE0AZQB0AGgAYQBuAGUAXwBFAHEAdQBhAHQAaQBvAG4AcwAuAFYARQBFAFIARwBfADQAXwA3AF8AMQBfADEAXwBfADEAXwBUAG8AdABhAGwAQQBuAG4AdQBhAGwATQBlAHQAaABhAG4AZQBQAHIAbwBkAHUAYwB0AGkAbwBuAEYAcgBvAG0ATQBhAG4AdQByAGUATQBhAG4AYQBnAGUAbQBlAG4AdABPAHQAaABlAHIATABpAHYAZQBzAHQAbwBjAGsAXwBBAHIAZwB1AG0AZQBuAHQAcwAiACwAIgBNAE0AUwBfAE8AdABoAGUAcgBMAGkAdgBlAHMAdABvAGMAawBfAE0AZQB0AGgAYQBuAGUAXwBFAHEAdQBhAHQAaQBvAG4AcwAuAFYARQBFAFIARwBfADQAXwA3AF8AMQBfADEAXwBfADIAXwBBAG4AbgB1AGEAbABNAGUAdABoAGEAbgBlAFAAcgBvAGQAdQBjAHQAaQBvAG4ARgByAG8AbQBNAGEAbgB1AHIAZQBNAGEAbgBhAGcAZQBtAGUAbgB0ACIALAAiAE0ATQBTAF8ATwB0AGgAZQByAEwAaQB2AGUAcwB0AG8AYwBrAF8ATQBlAHQAaABhAG4AZQBfAEUAcQB1AGEAdABpAG8AbgBzAC4AVgBFAEUAUgBHAF8ANABfADcAXwAxAF8AMQBfAF8AMgBfAEEAbgBuAHUAYQBsAE0AZQB0AGgAYQBuAGUAUAByAG8AZAB1AGMAdABpAG8AbgBGAHIAbwBtAE0AYQBuAHUAcgBlAE0AYQBuAGEAZwBlAG0AZQBuAHQAXwBUAGkAdABsAGUAIgAsACIATQBNAFMAXwBPAHQAaABlAHIATABpAHYAZQBzAHQAbwBjAGsAXwBNAGUAdABoAGEAbgBlAF8ARQBxAHUAYQB0AGkAbwBuAHMALgBWAEUARQBSAEcAXwA0AF8ANwBfADEAXwAxAF8AXwAyAF8AQQBuAG4AdQBhAGwATQBlAHQAaABhAG4AZQBQAHIAbwBkAHUAYwB0AGkAbwBuAEYAcgBvAG0ATQBhAG4AdQByAGUATQBhAG4AYQBnAGUAbQBlAG4AdABfAFYAYQByAGkAYQBiAGwAZQAiACwAIgBNAE0AUwBfAE8AdABoAGUAcgBMAGkAdgBlAHMAdABvAGMAawBfAE0AZQB0AGgAYQBuAGUAXwBFAHEAdQBhAHQAaQBvAG4AcwAuAFYARQBFAFIARwBfADQAXwA3AF8AMQBfADEAXwBfADIAXwBBAG4AbgB1AGEAbABNAGUAdABoAGEAbgBlAFAAcgBvAGQAdQBjAHQAaQBvAG4ARgByAG8AbQBNAGEAbgB1AHIAZQBNAGEAbgBhAGcAZQBtAGUAbgB0AF8AVQBuAGkAdAAiACwAIgBNAE0AUwBfAE8AdABoAGUAcgBMAGkAdgBlAHMAdABvAGMAawBfAE0AZQB0AGgAYQBuAGUAXwBFAHEAdQBhAHQAaQBvAG4AcwAuAFYARQBFAFIARwBfADQAXwA3AF8AMQBfADEAXwBfADIAXwBBAG4AbgB1AGEAbABNAGUAdABoAGEAbgBlAFAAcgBvAGQAdQBjAHQAaQBvAG4ARgByAG8AbQBNAGEAbgB1AHIAZQBNAGEAbgBhAGcAZQBtAGUAbgB0AF8AUwBvAHUAcgBjAGUAIgAsACIATQBNAFMAXwBPAHQAaABlAHIATABpAHYAZQBzAHQAbwBjAGsAXwBNAGUAdABoAGEAbgBlAF8ARQBxAHUAYQB0AGkAbwBuAHMALgBWAEUARQBSAEcAXwA0AF8ANwBfADEAXwAxAF8AXwAyAF8AQQBuAG4AdQBhAGwATQBlAHQAaABhAG4AZQBQAHIAbwBkAHUAYwB0AGkAbwBuAEYAcgBvAG0ATQBhAG4AdQByAGUATQBhAG4AYQBnAGUAbQBlAG4AdABfAE4ASQBSAFIAZQBmAGUAcgBlAG4AYwBlACIALAAiAE0ATQBTAF8ATwB0AGgAZQByAEwAaQB2AGUAcwB0AG8AYwBrAF8ATQBlAHQAaABhAG4AZQBfAEUAcQB1AGEAdABpAG8AbgBzAC4AVgBFAEUAUgBHAF8ANABfADcAXwAxAF8AMQBfAF8AMgBfAEEAbgBuAHUAYQBsAE0AZQB0AGgAYQBuAGUAUAByAG8AZAB1AGMAdABpAG8AbgBGAHIAbwBtAE0AYQBuAHUAcgBlAE0AYQBuAGEAZwBlAG0AZQBuAHQAXwBMAGEAdABlAHgARQBxAHUAYQB0AGkAbwBuACIALAAiAE0ATQBTAF8ATwB0AGgAZQByAEwAaQB2AGUAcwB0AG8AYwBrAF8ATQBlAHQAaABhAG4AZQBfAEUAcQB1AGEAdABpAG8AbgBzAC4AVgBFAEUAUgBHAF8ANABfADcAXwAxAF8AMQBfAF8AMgBfAEEAbgBuAHUAYQBsAE0AZQB0AGgAYQBuAGUAUAByAG8AZAB1AGMAdABpAG8AbgBGAHIAbwBtAE0AYQBuAHUAcgBlAE0AYQBuAGEAZwBlAG0AZQBuAHQAXwBBAHIAZwB1AG0AZQBuAHQAcwAiACwAIgBNAE0AUwBfAE8AdABoAGUAcgBMAGkAdgBlAHMAdABvAGMAawBfAE0AZQB0AGgAYQBuAGUAXwBFAHEAdQBhAHQAaQBvAG4AcwAuAFYARQBFAFIARwBfADQAXwA3AF8AMQBfADEAXwBfADIAXwBBAG4AbgB1AGEAbABNAGUAdABoAGEAbgBlAFAAcgBvAGQAdQBjAHQAaQBvAG4ARgByAG8AbQBNAGEAbgB1AHIAZQBNAGEAbgBhAGcAZQBtAGUAbgB0AF8AQQByAGcAdQBtAGUAbgB0AHMAXwBNAGUAdABoAG8AZAAyACIALAAiAE0ATQBTAF8ATwB0AGgAZQByAEwAaQB2AGUAcwB0AG8AYwBrAF8AUwBvAGkAbABfAE4AMgBPAEQAaQByAGUAYwB0AC4AVgBFAEUAUgBHAF8ANABfADcAXwAxAF8AMwBfAF8AMQBfAEQAaQByAGUAYwB0AE4AaQB0AHIAbwB1AHMATwB4AGkAZABlAEUAbQBpAHMAcwBpAG8AbgBzAEYAcgBvAG0AUwBvAGkAbAAiACwAIgBNAE0AUwBfAE8AdABoAGUAcgBMAGkAdgBlAHMAdABvAGMAawBfAFMAbwBpAGwAXwBOADIATwBEAGkAcgBlAGMAdAAuAFYARQBFAFIARwBfADQAXwA3AF8AMQBfADMAXwBfADEAXwBEAGkAcgBlAGMAdABOAGkAdAByAG8AdQBzAE8AeABpAGQAZQBFAG0AaQBzAHMAaQBvAG4AcwBGAHIAbwBtAFMAbwBpAGwAXwBUAGkAdABsAGUAIgAsACIATQBNAFMAXwBPAHQAaABlAHIATABpAHYAZQBzAHQAbwBjAGsAXwBTAG8AaQBsAF8ATgAyAE8ARABpAHIAZQBjAHQALgBWAEUARQBSAEcAXwA0AF8ANwBfADEAXwAzAF8AXwAxAF8ARABpAHIAZQBjAHQATgBpAHQAcgBvAHUAcwBPAHgAaQBkAGUARQBtAGkAcwBzAGkAbwBuAHMARgByAG8AbQBTAG8AaQBsAF8AVgBhAHIAaQBhAGIAbABlACIALAAiAE0ATQBTAF8ATwB0AGgAZQByAEwAaQB2AGUAcwB0AG8AYwBrAF8AUwBvAGkAbABfAE4AMgBPAEQAaQByAGUAYwB0AC4AVgBFAEUAUgBHAF8ANABfADcAXwAxAF8AMwBfAF8AMQBfAEQAaQByAGUAYwB0AE4AaQB0AHIAbwB1AHMATwB4AGkAZABlAEUAbQBpAHMAcwBpAG8AbgBzAEYAcgBvAG0AUwBvAGkAbABfAFUAbgBpAHQAIgAsACIATQBNAFMAXwBPAHQAaABlAHIATABpAHYAZQBzAHQAbwBjAGsAXwBTAG8AaQBsAF8ATgAyAE8ARABpAHIAZQBjAHQALgBWAEUARQBSAEcAXwA0AF8ANwBfADEAXwAzAF8AXwAxAF8ARABpAHIAZQBjAHQATgBpAHQAcgBvAHUAcwBPAHgAaQBkAGUARQBtAGkAcwBzAGkAbwBuAHMARgByAG8AbQBTAG8AaQBsAF8AUwBvAHUAcgBjAGUAIgAsACIATQBNAFMAXwBPAHQAaABlAHIATABpAHYAZQBzAHQAbwBjAGsAXwBTAG8AaQBsAF8ATgAyAE8ARABpAHIAZQBjAHQALgBWAEUARQBSAEcAXwA0AF8ANwBfADEAXwAzAF8AXwAxAF8ARABpAHIAZQBjAHQATgBpAHQAcgBvAHUAcwBPAHgAaQBkAGUARQBtAGkAcwBzAGkAbwBuAHMARgByAG8AbQBTAG8AaQBsAF8ATgBJAFIAUgBlAGYAZQByAGUAbgBjAGUAIgAsACIATQBNAFMAXwBPAHQAaABlAHIATABpAHYAZQBzAHQAbwBjAGsAXwBTAG8AaQBsAF8ATgAyAE8ARABpAHIAZQBjAHQALgBWAEUARQBSAEcAXwA0AF8ANwBfADEAXwAzAF8AXwAxAF8ARABpAHIAZQBjAHQATgBpAHQAcgBvAHUAcwBPAHgAaQBkAGUARQBtAGkAcwBzAGkAbwBuAHMARgByAG8AbQBTAG8AaQBsAF8ATABhAHQAZQB4AEUAcQB1AGEAdABpAG8AbgAiACwAIgBNAE0AUwBfAE8AdABoAGUAcgBMAGkAdgBlAHMAdABvAGMAawBfAFMAbwBpAGwAXwBOADIATwBEAGkAcgBlAGMAdAAuAFYARQBFAFIARwBfADQAXwA3AF8AMQBfADMAXwBfADEAXwBEAGkAcgBlAGMAdABOAGkAdAByAG8AdQBzAE8AeABpAGQAZQBFAG0AaQBzAHMAaQBvAG4AcwBGAHIAbwBtAFMAbwBpAGwAXwBBAHIAZwB1AG0AZQBuAHQAcwAiACwAIgBNAE0AUwBfAE8AdABoAGUAcgBMAGkAdgBlAHMAdABvAGMAawBfAFMAbwBpAGwAXwBOADIATwBEAGkAcgBlAGMAdAAuAFYARQBFAFIARwBfADQAXwA3AF8AMQBfADMAXwBfADIAXwBBAG4AbgB1AGEAbABOAGkAdAByAG8AZwBlAG4ARQB4AGMAcgBlAHQAZQBkAFQAbwBQAGEAcwB0AHUAcgBlACIALAAiAE0ATQBTAF8ATwB0AGgAZQByAEwAaQB2AGUAcwB0AG8AYwBrAF8AUwBvAGkAbABfAE4AMgBPAEQAaQByAGUAYwB0AC4AVgBFAEUAUgBHAF8ANABfADcAXwAxAF8AMwBfAF8AMgBfAEEAbgBuAHUAYQBsAE4AaQB0AHIAbwBnAGUAbgBFAHgAYwByAGUAdABlAGQAVABvAFAAYQBzAHQAdQByAGUAXwBUAGkAdABsAGUAIgAsACIATQBNAFMAXwBPAHQAaABlAHIATABpAHYAZQBzAHQAbwBjAGsAXwBTAG8AaQBsAF8ATgAyAE8ARABpAHIAZQBjAHQALgBWAEUARQBSAEcAXwA0AF8ANwBfADEAXwAzAF8AXwAyAF8AQQBuAG4AdQBhAGwATgBpAHQAcgBvAGcAZQBuAEUAeABjAHIAZQB0AGUAZABUAG8AUABhAHMAdAB1AHIAZQBfAFYAYQByAGkAYQBiAGwAZQAiACwAIgBNAE0AUwBfAE8AdABoAGUAcgBMAGkAdgBlAHMAdABvAGMAawBfAFMAbwBpAGwAXwBOADIATwBEAGkAcgBlAGMAdAAuAFYARQBFAFIARwBfADQAXwA3AF8AMQBfADMAXwBfADIAXwBBAG4AbgB1AGEAbABOAGkAdAByAG8AZwBlAG4ARQB4AGMAcgBlAHQAZQBkAFQAbwBQAGEAcwB0AHUAcgBlAF8AVQBuAGkAdAAiACwAIgBNAE0AUwBfAE8AdABoAGUAcgBMAGkAdgBlAHMAdABvAGMAawBfAFMAbwBpAGwAXwBOADIATwBEAGkAcgBlAGMAdAAuAFYARQBFAFIARwBfADQAXwA3AF8AMQBfADMAXwBfADIAXwBBAG4AbgB1AGEAbABOAGkAdAByAG8AZwBlAG4ARQB4AGMAcgBlAHQAZQBkAFQAbwBQAGEAcwB0AHUAcgBlAF8AUwBvAHUAcgBjAGUAIgAsACIATQBNAFMAXwBPAHQAaABlAHIATABpAHYAZQBzAHQAbwBjAGsAXwBTAG8AaQBsAF8ATgAyAE8ARABpAHIAZQBjAHQALgBWAEUARQBSAEcAXwA0AF8ANwBfADEAXwAzAF8AXwAyAF8AQQBuAG4AdQBhAGwATgBpAHQAcgBvAGcAZQBuAEUAeABjAHIAZQB0AGUAZABUAG8AUABhAHMAdAB1AHIAZQBfAE4ASQBSAFIAZQBmAGUAcgBlAG4AYwBlACIALAAiAE0ATQBTAF8ATwB0AGgAZQByAEwAaQB2AGUAcwB0AG8AYwBrAF8AUwBvAGkAbABfAE4AMgBPAEQAaQByAGUAYwB0AC4AVgBFAEUAUgBHAF8ANABfADcAXwAxAF8AMwBfAF8AMgBfAEEAbgBuAHUAYQBsAE4AaQB0AHIAbwBnAGUAbgBFAHgAYwByAGUAdABlAGQAVABvAFAAYQBzAHQAdQByAGUAXwBMAGEAdABlAHgARQBxAHUAYQB0AGkAbwBuACIALAAiAE0ATQBTAF8ATwB0AGgAZQByAEwAaQB2AGUAcwB0AG8AYwBrAF8AUwBvAGkAbABfAE4AMgBPAEQAaQByAGUAYwB0AC4AVgBFAEUAUgBHAF8ANABfADcAXwAxAF8AMwBfAF8AMgBfAEEAbgBuAHUAYQBsAE4AaQB0AHIAbwBnAGUAbgBFAHgAYwByAGUAdABlAGQAVABvAFAAYQBzAHQAdQByAGUAXwBBAHIAZwB1AG0AZQBuAHQAcw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VABpAHQAbA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YAYQByAGkAYQBiAGwAZQAiACwAIgBNAE0AUwBfAE8AdABoAGUAcgBMAGkAdgBlAHMAdABvAGMAawBfAFMAbwBpAGwAXwBBAHQAbQBvAHMAcABoAGUAcgBpAGMARABlAHAAbwBzAGkAdABpAG8AbgAuAFYARQBFAFIARwBfADQAXwA3AF8AMQBfADUAXwBfADEAXwBBAHQAbQBvAHMAcABoAGUAcgBpAGMARABlAHAAbwBzAGkAdABpAG8AbgBFAG0AaQBzAHMAaQBvAG4AcwBGAHIAbwBtAFAAYQBzAHQAdQByAGUAXwBVAG4AaQB0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FMAbwB1AHIAYw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E4ASQBSAFIAZQBmAGUAcgBlAG4AYwBlACIALAAiAE0ATQBTAF8ATwB0AGgAZQByAEwAaQB2AGUAcwB0AG8AYwBrAF8AUwBvAGkAbABfAEEAdABtAG8AcwBwAGgAZQByAGkAYwBEAGUAcABvAHMAaQB0AGkAbwBuAC4AVgBFAEUAUgBHAF8ANABfADcAXwAxAF8ANQBfAF8AMQBfAEEAdABtAG8AcwBwAGgAZQByAGkAYwBEAGUAcABvAHMAaQB0AGkAbwBuAEUAbQBpAHMAcwBpAG8AbgBzAEYAcgBvAG0AUABhAHMAdAB1AHIAZQBfAEwAYQB0AGUAeABFAHEAdQBhAHQAaQBvAG4AIgAsACIATQBNAFMAXwBPAHQAaABlAHIATABpAHYAZQBzAHQAbwBjAGsAXwBTAG8AaQBsAF8AQQB0AG0AbwBzAHAAaABlAHIAaQBjAEQAZQBwAG8AcwBpAHQAaQBvAG4ALgBWAEUARQBSAEcAXwA0AF8ANwBfADEAXwA1AF8AXwAxAF8AQQB0AG0AbwBzAHAAaABlAHIAaQBjAEQAZQBwAG8AcwBpAHQAaQBvAG4ARQBtAGkAcwBzAGkAbwBuAHMARgByAG8AbQBQAGEAcwB0AHUAcgBlAF8AQQByAGcAdQBtAGUAbgB0AHMAIgAsACIATQBNAFMAXwBPAHQAaABlAHIATABpAHYAZQBzAHQAbwBjAGsAXwBTAG8AaQBsAF8AQQB0AG0AbwBzAHAAaABlAHIAaQBjAEQAZQBwAG8AcwBpAHQAaQBvAG4ALgBWAEUARQBSAEcAXwA0AF8ANwBfADEAXwA1AF8AXwAyAF8ATQBhAHMAcwBPAGYATgBpAHQAcgBvAGcAZQBuAFYAbwBsAGEAdABpAGwAaQBzAGUAZABGAHIAbwBtAFAAYQBzAHQAdQByAGUAIgAsACIATQBNAFMAXwBPAHQAaABlAHIATABpAHYAZQBzAHQAbwBjAGsAXwBTAG8AaQBsAF8AQQB0AG0AbwBzAHAAaABlAHIAaQBjAEQAZQBwAG8AcwBpAHQAaQBvAG4ALgBWAEUARQBSAEcAXwA0AF8ANwBfADEAXwA1AF8AXwAyAF8ATQBhAHMAcwBPAGYATgBpAHQAcgBvAGcAZQBuAFYAbwBsAGEAdABpAGwAaQBzAGUAZABGAHIAbwBtAFAAYQBzAHQAdQByAGUAXwBUAGkAdABsAGUAIgAsACIATQBNAFMAXwBPAHQAaABlAHIATABpAHYAZQBzAHQAbwBjAGsAXwBTAG8AaQBsAF8AQQB0AG0AbwBzAHAAaABlAHIAaQBjAEQAZQBwAG8AcwBpAHQAaQBvAG4ALgBWAEUARQBSAEcAXwA0AF8ANwBfADEAXwA1AF8AXwAyAF8ATQBhAHMAcwBPAGYATgBpAHQAcgBvAGcAZQBuAFYAbwBsAGEAdABpAGwAaQBzAGUAZABGAHIAbwBtAFAAYQBzAHQAdQByAGUAXwBWAGEAcgBpAGEAYgBsAGUAIgAsACIATQBNAFMAXwBPAHQAaABlAHIATABpAHYAZQBzAHQAbwBjAGsAXwBTAG8AaQBsAF8AQQB0AG0AbwBzAHAAaABlAHIAaQBjAEQAZQBwAG8AcwBpAHQAaQBvAG4ALgBWAEUARQBSAEcAXwA0AF8ANwBfADEAXwA1AF8AXwAyAF8ATQBhAHMAcwBPAGYATgBpAHQAcgBvAGcAZQBuAFYAbwBsAGEAdABpAGwAaQBzAGUAZABGAHIAbwBtAFAAYQBzAHQAdQByAGUAXwBVAG4AaQB0ACIALAAiAE0ATQBTAF8ATwB0AGgAZQByAEwAaQB2AGUAcwB0AG8AYwBrAF8AUwBvAGkAbABfAEEAdABtAG8AcwBwAGgAZQByAGkAYwBEAGUAcABvAHMAaQB0AGkAbwBuAC4AVgBFAEUAUgBHAF8ANABfADcAXwAxAF8ANQBfAF8AMgBfAE0AYQBzAHMATwBmAE4AaQB0AHIAbwBnAGUAbgBWAG8AbABhAHQAaQBsAGkAcwBlAGQARgByAG8AbQBQAGEAcwB0AHUAcgBlAF8AUwBvAHUAcgBjAGUAIgAsACIATQBNAFMAXwBPAHQAaABlAHIATABpAHYAZQBzAHQAbwBjAGsAXwBTAG8AaQBsAF8AQQB0AG0AbwBzAHAAaABlAHIAaQBjAEQAZQBwAG8AcwBpAHQAaQBvAG4ALgBWAEUARQBSAEcAXwA0AF8ANwBfADEAXwA1AF8AXwAyAF8ATQBhAHMAcwBPAGYATgBpAHQAcgBvAGcAZQBuAFYAbwBsAGEAdABpAGwAaQBzAGUAZABGAHIAbwBtAFAAYQBzAHQAdQByAGUAXwBOAEkAUgBSAGUAZgBlAHIAZQBuAGMAZQAiACwAIgBNAE0AUwBfAE8AdABoAGUAcgBMAGkAdgBlAHMAdABvAGMAawBfAFMAbwBpAGwAXwBBAHQAbQBvAHMAcABoAGUAcgBpAGMARABlAHAAbwBzAGkAdABpAG8AbgAuAFYARQBFAFIARwBfADQAXwA3AF8AMQBfADUAXwBfADIAXwBNAGEAcwBzAE8AZgBOAGkAdAByAG8AZwBlAG4AVgBvAGwAYQB0AGkAbABpAHMAZQBkAEYAcgBvAG0AUABhAHMAdAB1AHIAZQBfAEwAYQB0AGUAeABFAHEAdQBhAHQAaQBvAG4AIgAsACIATQBNAFMAXwBPAHQAaABlAHIATABpAHYAZQBzAHQAbwBjAGsAXwBTAG8AaQBsAF8AQQB0AG0AbwBzAHAAaABlAHIAaQBjAEQAZQBwAG8AcwBpAHQAaQBvAG4ALgBWAEUARQBSAEcAXwA0AF8ANwBfADEAXwA1AF8AXwAyAF8ATQBhAHMAcwBPAGYATgBpAHQAcgBvAGcAZQBuAFYAbwBsAGEAdABpAGwAaQBzAGUAZABGAHIAbwBtAFAAYQBzAHQAdQByAGUAXwBBAHIAZwB1AG0AZQBuAHQAcwAiACwAIgBNAE0AUwBfAE8AdABoAGUAcgBMAGkAdgBlAHMAdABvAGMAawBfAFMAbwBpAGwAXwBMAGUAYQBjAGgAaQBuAGcAQQBuAGQAUgB1AG4AbwBmAGYALgBWAEUARQBSAEcAXwA0AF8ANwBfADEAXwA3AF8AXwAxAF8ATABlAGEAYwBoAGkAbgBnAEEAbgBkAFIAdQBuAG8AZgBmAEUAbQBpAHMAcwBpAG8AbgBzAEYAcgBvAG0AUABhAHMAdAB1AHIAZQAiACwAIgBNAE0AUwBfAE8AdABoAGUAcgBMAGkAdgBlAHMAdABvAGMAawBfAFMAbwBpAGwAXwBMAGUAYQBjAGgAaQBuAGcAQQBuAGQAUgB1AG4AbwBmAGYALgBWAEUARQBSAEcAXwA0AF8ANwBfADEAXwA3AF8AXwAxAF8ATABlAGEAYwBoAGkAbgBnAEEAbgBkAFIAdQBuAG8AZgBmAEUAbQBpAHMAcwBpAG8AbgBzAEYAcgBvAG0AUABhAHMAdAB1AHIAZQBfAFQAaQB0AGwAZQAiACwAIgBNAE0AUwBfAE8AdABoAGUAcgBMAGkAdgBlAHMAdABvAGMAawBfAFMAbwBpAGwAXwBMAGUAYQBjAGgAaQBuAGcAQQBuAGQAUgB1AG4AbwBmAGYALgBWAEUARQBSAEcAXwA0AF8ANwBfADEAXwA3AF8AXwAxAF8ATABlAGEAYwBoAGkAbgBnAEEAbgBkAFIAdQBuAG8AZgBmAEUAbQBpAHMAcwBpAG8AbgBzAEYAcgBvAG0AUABhAHMAdAB1AHIAZQBfAFYAYQByAGkAYQBiAGwAZQAiACwAIgBNAE0AUwBfAE8AdABoAGUAcgBMAGkAdgBlAHMAdABvAGMAawBfAFMAbwBpAGwAXwBMAGUAYQBjAGgAaQBuAGcAQQBuAGQAUgB1AG4AbwBmAGYALgBWAEUARQBSAEcAXwA0AF8ANwBfADEAXwA3AF8AXwAxAF8ATABlAGEAYwBoAGkAbgBnAEEAbgBkAFIAdQBuAG8AZgBmAEUAbQBpAHMAcwBpAG8AbgBzAEYAcgBvAG0AUABhAHMAdAB1AHIAZQBfAFUAbgBpAHQAIgAsACIATQBNAFMAXwBPAHQAaABlAHIATABpAHYAZQBzAHQAbwBjAGsAXwBTAG8AaQBsAF8ATABlAGEAYwBoAGkAbgBnAEEAbgBkAFIAdQBuAG8AZgBmAC4AVgBFAEUAUgBHAF8ANABfADcAXwAxAF8ANwBfAF8AMQBfAEwAZQBhAGMAaABpAG4AZwBBAG4AZABSAHUAbgBvAGYAZgBFAG0AaQBzAHMAaQBvAG4AcwBGAHIAbwBtAFAAYQBzAHQAdQByAGUAXwBTAG8AdQByAGMAZQAiACwAIgBNAE0AUwBfAE8AdABoAGUAcgBMAGkAdgBlAHMAdABvAGMAawBfAFMAbwBpAGwAXwBMAGUAYQBjAGgAaQBuAGcAQQBuAGQAUgB1AG4AbwBmAGYALgBWAEUARQBSAEcAXwA0AF8ANwBfADEAXwA3AF8AXwAxAF8ATABlAGEAYwBoAGkAbgBnAEEAbgBkAFIAdQBuAG8AZgBmAEUAbQBpAHMAcwBpAG8AbgBzAEYAcgBvAG0AUABhAHMAdAB1AHIAZQBfAE4ASQBSAFIAZQBmAGUAcgBlAG4AYwBlACIALAAiAE0ATQBTAF8ATwB0AGgAZQByAEwAaQB2AGUAcwB0AG8AYwBrAF8AUwBvAGkAbABfAEwAZQBhAGMAaABpAG4AZwBBAG4AZABSAHUAbgBvAGYAZgAuAFYARQBFAFIARwBfADQAXwA3AF8AMQBfADcAXwBfADEAXwBMAGUAYQBjAGgAaQBuAGcAQQBuAGQAUgB1AG4AbwBmAGYARQBtAGkAcwBzAGkAbwBuAHMARgByAG8AbQBQAGEAcwB0AHUAcgBlAF8ATABhAHQAZQB4AEUAcQB1AGEAdABpAG8AbgAiACwAIgBNAE0AUwBfAE8AdABoAGUAcgBMAGkAdgBlAHMAdABvAGMAawBfAFMAbwBpAGwAXwBMAGUAYQBjAGgAaQBuAGcAQQBuAGQAUgB1AG4AbwBmAGYALgBWAEUARQBSAEcAXwA0AF8ANwBfADEAXwA3AF8AXwAxAF8ATABlAGEAYwBoAGkAbgBnAEEAbgBkAFIAdQBuAG8AZgBmAEUAbQBpAHMAcwBpAG8AbgBzAEYAcgBvAG0AUABhAHMAdAB1AHIAZQBfAEEAcgBnAHUAbQBlAG4AdABzACIALAAiAE0ATQBTAF8ATwB0AGgAZQByAEwAaQB2AGUAcwB0AG8AYwBrAF8AUwBvAGkAbABfAEwAZQBhAGMAaABpAG4AZwBBAG4AZABSAHUAbgBvAGYAZgAuAFYARQBFAFIARwBfADQAXwA3AF8AMQBfADcAXwBfADIAXwBNAGEAcwBzAE8AZgBOAGkAdAByAG8AZwBlAG4ATABvAHMAdABUAG8ATABlAGEAYwBoAGkAbgBnAEEAbgBkAFIAdQBuAG8AZgBmACIALAAiAE0ATQBTAF8ATwB0AGgAZQByAEwAaQB2AGUAcwB0AG8AYwBrAF8AUwBvAGkAbABfAEwAZQBhAGMAaABpAG4AZwBBAG4AZABSAHUAbgBvAGYAZgAuAFYARQBFAFIARwBfADQAXwA3AF8AMQBfADcAXwBfADIAXwBNAGEAcwBzAE8AZgBOAGkAdAByAG8AZwBlAG4ATABvAHMAdABUAG8ATABlAGEAYwBoAGkAbgBnAEEAbgBkAFIAdQBuAG8AZgBmAF8AVABpAHQAbABlACIALAAiAE0ATQBTAF8ATwB0AGgAZQByAEwAaQB2AGUAcwB0AG8AYwBrAF8AUwBvAGkAbABfAEwAZQBhAGMAaABpAG4AZwBBAG4AZABSAHUAbgBvAGYAZgAuAFYARQBFAFIARwBfADQAXwA3AF8AMQBfADcAXwBfADIAXwBNAGEAcwBzAE8AZgBOAGkAdAByAG8AZwBlAG4ATABvAHMAdABUAG8ATABlAGEAYwBoAGkAbgBnAEEAbgBkAFIAdQBuAG8AZgBmAF8AVgBhAHIAaQBhAGIAbABlACIALAAiAE0ATQBTAF8ATwB0AGgAZQByAEwAaQB2AGUAcwB0AG8AYwBrAF8AUwBvAGkAbABfAEwAZQBhAGMAaABpAG4AZwBBAG4AZABSAHUAbgBvAGYAZgAuAFYARQBFAFIARwBfADQAXwA3AF8AMQBfADcAXwBfADIAXwBNAGEAcwBzAE8AZgBOAGkAdAByAG8AZwBlAG4ATABvAHMAdABUAG8ATABlAGEAYwBoAGkAbgBnAEEAbgBkAFIAdQBuAG8AZgBmAF8AVQBuAGkAdAAiACwAIgBNAE0AUwBfAE8AdABoAGUAcgBMAGkAdgBlAHMAdABvAGMAawBfAFMAbwBpAGwAXwBMAGUAYQBjAGgAaQBuAGcAQQBuAGQAUgB1AG4AbwBmAGYALgBWAEUARQBSAEcAXwA0AF8ANwBfADEAXwA3AF8AXwAyAF8ATQBhAHMAcwBPAGYATgBpAHQAcgBvAGcAZQBuAEwAbwBzAHQAVABvAEwAZQBhAGMAaABpAG4AZwBBAG4AZABSAHUAbgBvAGYAZgBfAFMAbwB1AHIAYwBlACIALAAiAE0ATQBTAF8ATwB0AGgAZQByAEwAaQB2AGUAcwB0AG8AYwBrAF8AUwBvAGkAbABfAEwAZQBhAGMAaABpAG4AZwBBAG4AZABSAHUAbgBvAGYAZgAuAFYARQBFAFIARwBfADQAXwA3AF8AMQBfADcAXwBfADIAXwBNAGEAcwBzAE8AZgBOAGkAdAByAG8AZwBlAG4ATABvAHMAdABUAG8ATABlAGEAYwBoAGkAbgBnAEEAbgBkAFIAdQBuAG8AZgBmAF8ATgBJAFIAUgBlAGYAZQByAGUAbgBjAGUAIgAsACIATQBNAFMAXwBPAHQAaABlAHIATABpAHYAZQBzAHQAbwBjAGsAXwBTAG8AaQBsAF8ATABlAGEAYwBoAGkAbgBnAEEAbgBkAFIAdQBuAG8AZgBmAC4AVgBFAEUAUgBHAF8ANABfADcAXwAxAF8ANwBfAF8AMgBfAE0AYQBzAHMATwBmAE4AaQB0AHIAbwBnAGUAbgBMAG8AcwB0AFQAbwBMAGUAYQBjAGgAaQBuAGcAQQBuAGQAUgB1AG4AbwBmAGYAXwBMAGEAdABlAHgARQBxAHUAYQB0AGkAbwBuACIALAAiAE0ATQBTAF8ATwB0AGgAZQByAEwAaQB2AGUAcwB0AG8AYwBrAF8AUwBvAGkAbABfAEwAZQBhAGMAaABpAG4AZwBBAG4AZABSAHUAbgBvAGYAZgAuAFYARQBFAFIARwBfADQAXwA3AF8AMQBfADcAXwBfADIAXwBNAGEAcwBzAE8AZgBOAGkAdAByAG8AZwBlAG4ATABvAHMAdABUAG8ATABlAGEAYwBoAGkAbgBnAEEAbgBkAFIAdQBuAG8AZgBmAF8AQQByAGcAdQBtAGUAbgB0AHMAIgBdACwAIgBsAG8AYwBhAGwAZQAiADoAewAiAGwAaQBzAHQAUwBlAHAAYQByAGEAdABvAHIAIgA6ACIALAAiACwAIgByAG8AdwBTAGUAcABhAHIAYQB0AG8AcgAiADoAIgA7ACIALAAiAGMAbwBsAHUAbQBuAFMAZQBwAGEAcgBhAHQAbwByACIAOgAiACwAIgAsACIAdABoAG8AdQBzAGEAbgBkAHMAUwBlAHAAYQByAGEAdABvAHIAIgA6ACIALAAiACwAIgB0AGgAbwB1AHMAYQBuAGQAcwBQAG8AcwBpAHQAaQBvAG4AcwAiADoAWwAzAF0ALAAiAGQAZQBjAGkAbQBhAGwAUwBlAHAAYQByAGEAdABvAHIAIgA6ACIALgAiACwAIgBkAGEAdABlAE8AcgBkAGUAcgAiADoAIgBEAE0AWQAiACwAIgBjAHUAcgByAGUAbgBjAHkAUwB5AG0AYgBvAGwAIgA6ACIAJAAiACwAIgBpAHMAQwB1AHIAcgBlAG4AYwB5AFMAeQBtAGIAbwBsAEwAZQBhAGQAIgA6AHQAcgB1AGUALAAiAGkAcwBDAHUAcgByAGUAbgBjAHkAUwBlAHAAQgB5AFMAcABhAGMAZQAiADoAZgBhAGwAcwBlACwAIgByAG8AdwBMAGUAdAB0AGUAcgAiADoAIgBSACIALAAiAGMAbwBsAHUAbQBuAEwAZQB0AHQAZQByACIAOgAiAEMAIgAsACIAcgBjAEwAZQBmAHQAQgByAGEAYwBrAGUAdAAiADoAIgBbACIALAAiAHIAYwBSAGkAZwBoAHQAQgByAGEAYwBrAGUAdAAiADoAIgBdACIALAAiAHMAdABhAHQAZQBtAGUAbgB0AFMAZQBwAGEAcgBhAHQAbwByACIAOgAiADsAIgAsACIAbABvAGMAYQBsAGUATgBhAG0AZQAiADoAIgBlAG4ALQB1AHMAIgB9AH0A</AFEJSONBlob>
</file>

<file path=customXml/item4.xml><?xml version="1.0" encoding="utf-8"?>
<ct:contentTypeSchema xmlns:ct="http://schemas.microsoft.com/office/2006/metadata/contentType" xmlns:ma="http://schemas.microsoft.com/office/2006/metadata/properties/metaAttributes" ct:_="" ma:_="" ma:contentTypeName="Document" ma:contentTypeID="0x010100ACB660BB23738846A00119B5826AC974" ma:contentTypeVersion="11" ma:contentTypeDescription="Create a new document." ma:contentTypeScope="" ma:versionID="3e3613359d4ae7f6bda6c57be713f101">
  <xsd:schema xmlns:xsd="http://www.w3.org/2001/XMLSchema" xmlns:xs="http://www.w3.org/2001/XMLSchema" xmlns:p="http://schemas.microsoft.com/office/2006/metadata/properties" xmlns:ns2="7291119c-fce9-4911-96ae-b800be5dccd8" xmlns:ns3="09eef6d6-daa8-4301-8f9f-b1ec38079286" targetNamespace="http://schemas.microsoft.com/office/2006/metadata/properties" ma:root="true" ma:fieldsID="87491bfad7f11426ad96486e70428b3e" ns2:_="" ns3:_="">
    <xsd:import namespace="7291119c-fce9-4911-96ae-b800be5dccd8"/>
    <xsd:import namespace="09eef6d6-daa8-4301-8f9f-b1ec38079286"/>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291119c-fce9-4911-96ae-b800be5dccd8"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db163b37-248a-4bdb-8038-6e8df1cc47ab"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9eef6d6-daa8-4301-8f9f-b1ec38079286"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152b9829-e58f-4759-907b-e4bc75f6ae89}" ma:internalName="TaxCatchAll" ma:showField="CatchAllData" ma:web="09eef6d6-daa8-4301-8f9f-b1ec38079286">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D460F9D-420A-4723-B323-396E4D19EC9B}">
  <ds:schemaRefs>
    <ds:schemaRef ds:uri="http://schemas.microsoft.com/office/2006/metadata/properties"/>
    <ds:schemaRef ds:uri="http://schemas.microsoft.com/office/infopath/2007/PartnerControls"/>
    <ds:schemaRef ds:uri="09eef6d6-daa8-4301-8f9f-b1ec38079286"/>
    <ds:schemaRef ds:uri="7291119c-fce9-4911-96ae-b800be5dccd8"/>
  </ds:schemaRefs>
</ds:datastoreItem>
</file>

<file path=customXml/itemProps2.xml><?xml version="1.0" encoding="utf-8"?>
<ds:datastoreItem xmlns:ds="http://schemas.openxmlformats.org/officeDocument/2006/customXml" ds:itemID="{9A9CF321-0D35-4044-BC72-33748FE2B865}">
  <ds:schemaRefs>
    <ds:schemaRef ds:uri="http://schemas.microsoft.com/sharepoint/v3/contenttype/forms"/>
  </ds:schemaRefs>
</ds:datastoreItem>
</file>

<file path=customXml/itemProps3.xml><?xml version="1.0" encoding="utf-8"?>
<ds:datastoreItem xmlns:ds="http://schemas.openxmlformats.org/officeDocument/2006/customXml" ds:itemID="{B6BE249C-20B1-4A62-BBCD-F2A46D88BCAB}">
  <ds:schemaRefs>
    <ds:schemaRef ds:uri="http://schemas.advancedformulaenvironment.officeapps.live.com/afejsonblob/1.0"/>
  </ds:schemaRefs>
</ds:datastoreItem>
</file>

<file path=customXml/itemProps4.xml><?xml version="1.0" encoding="utf-8"?>
<ds:datastoreItem xmlns:ds="http://schemas.openxmlformats.org/officeDocument/2006/customXml" ds:itemID="{809E3D44-A88D-4EBF-A307-6B8CE77A336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291119c-fce9-4911-96ae-b800be5dccd8"/>
    <ds:schemaRef ds:uri="09eef6d6-daa8-4301-8f9f-b1ec3807928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13</vt:i4>
      </vt:variant>
      <vt:variant>
        <vt:lpstr>Named Ranges</vt:lpstr>
      </vt:variant>
      <vt:variant>
        <vt:i4>85</vt:i4>
      </vt:variant>
    </vt:vector>
  </HeadingPairs>
  <TitlesOfParts>
    <vt:vector size="98" baseType="lpstr">
      <vt:lpstr>Home</vt:lpstr>
      <vt:lpstr>Overview</vt:lpstr>
      <vt:lpstr>Results</vt:lpstr>
      <vt:lpstr>Input - Site</vt:lpstr>
      <vt:lpstr>Input - Other Livestock</vt:lpstr>
      <vt:lpstr>4.7.1.1-2 Manure Methane</vt:lpstr>
      <vt:lpstr>4.7.1.3-4 Soil Direct N2O</vt:lpstr>
      <vt:lpstr>4.7.1.5-6 Soil Atmos Deposition</vt:lpstr>
      <vt:lpstr>4.7.1.7-8 Soil Leaching Runoff</vt:lpstr>
      <vt:lpstr>Constants - Other Livestock</vt:lpstr>
      <vt:lpstr>Constants - Livestock</vt:lpstr>
      <vt:lpstr>Constants - Common</vt:lpstr>
      <vt:lpstr>Acknowledgements</vt:lpstr>
      <vt:lpstr>M1_Table_E_CH4</vt:lpstr>
      <vt:lpstr>M1_Table_E_CH4_Consumer_1</vt:lpstr>
      <vt:lpstr>M1_Table_M_j_m</vt:lpstr>
      <vt:lpstr>M1_Table_MCF_i_m</vt:lpstr>
      <vt:lpstr>M2_Table_M_j_m</vt:lpstr>
      <vt:lpstr>M2_Table_MCF_i_m</vt:lpstr>
      <vt:lpstr>Table_AEj</vt:lpstr>
      <vt:lpstr>Table_AEj_Consumer_1</vt:lpstr>
      <vt:lpstr>Table_AEj_Consumer_2</vt:lpstr>
      <vt:lpstr>Table_B_O</vt:lpstr>
      <vt:lpstr>Table_E_N2O_ad</vt:lpstr>
      <vt:lpstr>Table_EF_N2O</vt:lpstr>
      <vt:lpstr>Table_Frac_Wet</vt:lpstr>
      <vt:lpstr>Table_M_leach</vt:lpstr>
      <vt:lpstr>Table_M_vol</vt:lpstr>
      <vt:lpstr>Table_MMS_m</vt:lpstr>
      <vt:lpstr>Table_N_j</vt:lpstr>
      <vt:lpstr>Table_N_j_Consumer_1</vt:lpstr>
      <vt:lpstr>Table_NE_j</vt:lpstr>
      <vt:lpstr>Table_VS_j</vt:lpstr>
      <vt:lpstr>X_Cell_OtherLivestock_Buffalo_CalculatedMMSAnaerobicLagoon</vt:lpstr>
      <vt:lpstr>X_Cell_OtherLivestock_Buffalo_CalculatedMMSPastureRangeAndPaddock</vt:lpstr>
      <vt:lpstr>X_Cell_OtherLivestock_Buffalo_FencedWater</vt:lpstr>
      <vt:lpstr>X_Cell_OtherLivestock_Buffalo_GrazingIrrigationMethod</vt:lpstr>
      <vt:lpstr>X_Cell_OtherLivestock_Buffalo_GrazingProductionSystem</vt:lpstr>
      <vt:lpstr>X_Cell_OtherLivestock_Deer_CalculatedMMSAnaerobicLagoon</vt:lpstr>
      <vt:lpstr>X_Cell_OtherLivestock_Deer_CalculatedMMSPastureRangeAndPaddock</vt:lpstr>
      <vt:lpstr>X_Cell_OtherLivestock_Deer_FencedWater</vt:lpstr>
      <vt:lpstr>X_Cell_OtherLivestock_Deer_GrazingIrrigationMethod</vt:lpstr>
      <vt:lpstr>X_Cell_OtherLivestock_Deer_GrazingProductionSystem</vt:lpstr>
      <vt:lpstr>X_Cell_OtherLivestock_Goats_CalculatedMMSAnaerobicLagoon</vt:lpstr>
      <vt:lpstr>X_Cell_OtherLivestock_Goats_CalculatedMMSPastureRangeAndPaddock</vt:lpstr>
      <vt:lpstr>X_Cell_OtherLivestock_Goats_FencedWater</vt:lpstr>
      <vt:lpstr>X_Cell_OtherLivestock_Goats_GrazingIrrigationMethod</vt:lpstr>
      <vt:lpstr>X_Cell_OtherLivestock_Goats_GrazingProductionSystem</vt:lpstr>
      <vt:lpstr>X_Cell_OtherLivestock_Others_Alpacas_CalculatedMMSAnaerobicLagoon</vt:lpstr>
      <vt:lpstr>X_Cell_OtherLivestock_Others_Alpacas_CalculatedMMSPastureRangeAndPaddock</vt:lpstr>
      <vt:lpstr>X_Cell_OtherLivestock_Others_Alpacas_FencedWater</vt:lpstr>
      <vt:lpstr>X_Cell_OtherLivestock_Others_Alpacas_GrazingIrrigationMethod</vt:lpstr>
      <vt:lpstr>X_Cell_OtherLivestock_Others_Alpacas_GrazingProductionSystem</vt:lpstr>
      <vt:lpstr>X_Cell_OtherLivestock_Others_Alpacas_Head</vt:lpstr>
      <vt:lpstr>X_Cell_OtherLivestock_Others_Camels_CalculatedMMSAnaerobicLagoon</vt:lpstr>
      <vt:lpstr>X_Cell_OtherLivestock_Others_Camels_CalculatedMMSPastureRangeAndPaddock</vt:lpstr>
      <vt:lpstr>X_Cell_OtherLivestock_Others_Camels_FencedWater</vt:lpstr>
      <vt:lpstr>X_Cell_OtherLivestock_Others_Camels_GrazingIrrigationMethod</vt:lpstr>
      <vt:lpstr>X_Cell_OtherLivestock_Others_Camels_GrazingProductionSystem</vt:lpstr>
      <vt:lpstr>X_Cell_OtherLivestock_Others_Camels_Head</vt:lpstr>
      <vt:lpstr>X_Cell_OtherLivestock_Others_Emus_CalculatedMMSAnaerobicLagoon</vt:lpstr>
      <vt:lpstr>X_Cell_OtherLivestock_Others_Emus_CalculatedMMSPastureRangeAndPaddock</vt:lpstr>
      <vt:lpstr>X_Cell_OtherLivestock_Others_Emus_FencedWater</vt:lpstr>
      <vt:lpstr>X_Cell_OtherLivestock_Others_Emus_GrazingIrrigationMethod</vt:lpstr>
      <vt:lpstr>X_Cell_OtherLivestock_Others_Emus_GrazingProductionSystem</vt:lpstr>
      <vt:lpstr>X_Cell_OtherLivestock_Others_Emus_Head</vt:lpstr>
      <vt:lpstr>X_Cell_OtherLivestock_Others_Horses_CalculatedMMSAnaerobicLagoon</vt:lpstr>
      <vt:lpstr>X_Cell_OtherLivestock_Others_Horses_CalculatedMMSPastureRangeAndPaddock</vt:lpstr>
      <vt:lpstr>X_Cell_OtherLivestock_Others_Horses_FencedWater</vt:lpstr>
      <vt:lpstr>X_Cell_OtherLivestock_Others_Horses_GrazingIrrigationMethod</vt:lpstr>
      <vt:lpstr>X_Cell_OtherLivestock_Others_Horses_GrazingProductionSystem</vt:lpstr>
      <vt:lpstr>X_Cell_OtherLivestock_Others_Horses_Head</vt:lpstr>
      <vt:lpstr>X_Cell_OtherLivestock_Others_Mules_CalculatedMMSAnaerobicLagoon</vt:lpstr>
      <vt:lpstr>X_Cell_OtherLivestock_Others_Mules_CalculatedMMSPastureRangeAndPaddock</vt:lpstr>
      <vt:lpstr>X_Cell_OtherLivestock_Others_Mules_FencedWater</vt:lpstr>
      <vt:lpstr>X_Cell_OtherLivestock_Others_Mules_GrazingIrrigationMethod</vt:lpstr>
      <vt:lpstr>X_Cell_OtherLivestock_Others_Mules_GrazingProductionSystem</vt:lpstr>
      <vt:lpstr>X_Cell_OtherLivestock_Others_Mules_Head</vt:lpstr>
      <vt:lpstr>X_Cell_Site_AverageTemperature</vt:lpstr>
      <vt:lpstr>X_Cell_Site_ClimateZone</vt:lpstr>
      <vt:lpstr>X_Cell_Site_Elevation</vt:lpstr>
      <vt:lpstr>X_Cell_Site_EndDate</vt:lpstr>
      <vt:lpstr>X_Cell_Site_FarmName</vt:lpstr>
      <vt:lpstr>X_Cell_Site_FrostDays</vt:lpstr>
      <vt:lpstr>X_Cell_Site_LeachingZone</vt:lpstr>
      <vt:lpstr>X_Cell_Site_MapPetRatio</vt:lpstr>
      <vt:lpstr>X_Cell_Site_PotentialEvapotranspiration</vt:lpstr>
      <vt:lpstr>X_Cell_Site_RainfallZone</vt:lpstr>
      <vt:lpstr>X_Cell_Site_Region</vt:lpstr>
      <vt:lpstr>X_Cell_Site_ReportingEntityName</vt:lpstr>
      <vt:lpstr>X_Cell_Site_StartDate</vt:lpstr>
      <vt:lpstr>X_Cell_Site_State</vt:lpstr>
      <vt:lpstr>X_Cell_Site_TemperatureZone</vt:lpstr>
      <vt:lpstr>X_Cell_Site_TotalRainfall</vt:lpstr>
      <vt:lpstr>X_Cell_Site_WetOrDryClimateZone</vt:lpstr>
      <vt:lpstr>X_Table_OtherLivestock_Buffalo_Head</vt:lpstr>
      <vt:lpstr>X_Table_OtherLivestock_Deer_Head</vt:lpstr>
      <vt:lpstr>X_Table_OtherLivestock_Goats_Head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Paul Kotz</dc:creator>
  <cp:lastModifiedBy>Paul Kotz</cp:lastModifiedBy>
  <dcterms:created xsi:type="dcterms:W3CDTF">2025-11-17T03:37:23Z</dcterms:created>
  <dcterms:modified xsi:type="dcterms:W3CDTF">2026-07-22T00:54:10Z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0x010100ACB660BB23738846A00119B5826AC974</vt:lpwstr>
  </property>
  <property fmtid="{D5CDD505-2E9C-101B-9397-08002B2CF9AE}" pid="3" name="MediaServiceImageTags">
    <vt:lpwstr/>
  </property>
</Properties>
</file>