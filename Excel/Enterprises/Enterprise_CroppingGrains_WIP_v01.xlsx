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drawings/drawing16.xml" ContentType="application/vnd.openxmlformats-officedocument.drawing+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drawings/drawing17.xml" ContentType="application/vnd.openxmlformats-officedocument.drawing+xml"/>
  <Override PartName="/xl/tables/table10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D2BB1D41-3099-4F52-9512-5FC9FFAEFBAD}" xr6:coauthVersionLast="47" xr6:coauthVersionMax="47" xr10:uidLastSave="{00000000-0000-0000-0000-000000000000}"/>
  <bookViews>
    <workbookView xWindow="4680" yWindow="4680" windowWidth="28800" windowHeight="15345" firstSheet="33" activeTab="38" xr2:uid="{992023F3-CAB7-4E5B-A348-08D563A0EF40}"/>
  </bookViews>
  <sheets>
    <sheet name="Home" sheetId="71" r:id="rId1"/>
    <sheet name="Results" sheetId="13" r:id="rId2"/>
    <sheet name="Input - Enterprise" sheetId="72" r:id="rId3"/>
    <sheet name="Input - Site" sheetId="75" r:id="rId4"/>
    <sheet name="Input - Crop" sheetId="97" r:id="rId5"/>
    <sheet name="Input - Fert Prod System" sheetId="76" r:id="rId6"/>
    <sheet name="Input - Fertiliser" sheetId="79" r:id="rId7"/>
    <sheet name="Input - Fuel" sheetId="90" r:id="rId8"/>
    <sheet name="Input - Electricity" sheetId="87" r:id="rId9"/>
    <sheet name="Input - Common farm inputs" sheetId="102" r:id="rId10"/>
    <sheet name="Input - Crop pasture farm input" sheetId="103" r:id="rId11"/>
    <sheet name="Input - Freight" sheetId="104" r:id="rId12"/>
    <sheet name="Input - Manure sent off-site" sheetId="105" r:id="rId13"/>
    <sheet name="5.1.1.1-2 Inorganic fert N2O" sheetId="80" r:id="rId14"/>
    <sheet name="5.1.1.3-4 Inorganic fert CO2" sheetId="81" r:id="rId15"/>
    <sheet name="5.2.1.1-2 Organic Fert N2O" sheetId="82" r:id="rId16"/>
    <sheet name="5.3.1.1-2 Lime CO2" sheetId="83" r:id="rId17"/>
    <sheet name="5.4.1.1-4 Atmos deposition" sheetId="84" r:id="rId18"/>
    <sheet name="5.5.1.1-2 Leaching and runoff" sheetId="85" r:id="rId19"/>
    <sheet name="6.1.1.1-2 Crop residue N2O" sheetId="98" r:id="rId20"/>
    <sheet name="6.3.1.1-2 Leach runoff crop" sheetId="99" r:id="rId21"/>
    <sheet name="6.4.1.1-2 Residue burning" sheetId="100" r:id="rId22"/>
    <sheet name="8.1.1.1-2 Transport fuel" sheetId="91" r:id="rId23"/>
    <sheet name="8.2.1.1-2 Stationary fuel" sheetId="92" r:id="rId24"/>
    <sheet name="14.1.1-2 Purchased electricity" sheetId="88" r:id="rId25"/>
    <sheet name="15 Scope 3" sheetId="106" r:id="rId26"/>
    <sheet name="Calcs - Manure sent off-site" sheetId="107" r:id="rId27"/>
    <sheet name="Constants - Ag Residue" sheetId="101" r:id="rId28"/>
    <sheet name="Constants - Common Livestock" sheetId="109" r:id="rId29"/>
    <sheet name="Constants - Electricity" sheetId="89" r:id="rId30"/>
    <sheet name="Constants - Fertiliser" sheetId="86" r:id="rId31"/>
    <sheet name="Constants - Fuel" sheetId="93" r:id="rId32"/>
    <sheet name="Constants - Scope 3" sheetId="108" r:id="rId33"/>
    <sheet name="Constants - Common" sheetId="74" r:id="rId34"/>
    <sheet name="Input - Solid waste" sheetId="94" r:id="rId35"/>
    <sheet name="10.1.1-2 Solid waste treatment" sheetId="95" r:id="rId36"/>
    <sheet name="Constants - Solid Waste" sheetId="96" r:id="rId37"/>
    <sheet name="Overview" sheetId="110" r:id="rId38"/>
    <sheet name="Input - Data quality" sheetId="78" r:id="rId39"/>
  </sheets>
  <definedNames>
    <definedName name="_Toc225350871" localSheetId="17">'5.4.1.1-4 Atmos deposition'!$C$1</definedName>
    <definedName name="_Toc225350871" localSheetId="18">'5.5.1.1-2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_xlfn.LAMBDA("fraction")</definedName>
    <definedName name="AgResidue_Equations_CropResidue.VEERG_6_1_1_2__1__FractionOfCropResidueRemovedBaled_Variable">_xlfn.LAMBDA("FFOD_c")</definedName>
    <definedName name="AgResidue_Equations_CropResidue.VEERG_6_1_1_2__1__FractionOfCropResidueRemovedBaled_Variation">_xlfn.LAMBDA("")</definedName>
    <definedName name="AgResidue_Equations_FieldBurning.VEERG_6_4_1_1__1__MethaneEmissionsFromBurningOfCropResidues" localSheetId="25">_xlfn.LAMBDA(_xlpm.Mburnc,_xlpm.CCc,_xlpm.EFCH4,_xlpm.C_CH4, _xlpm.Mburnc * _xlpm.CCc * _xlpm.EFCH4 * _xlpm.C_CH4 * 10 ^ (-3))</definedName>
    <definedName name="AgResidue_Equations_FieldBurning.VEERG_6_4_1_1__1__MethaneEmissionsFromBurningOfCropResidues" localSheetId="26">_xlfn.LAMBDA(_xlpm.Mburnc,_xlpm.CCc,_xlpm.EFCH4,_xlpm.C_CH4, _xlpm.Mburnc * _xlpm.CCc * _xlpm.EFCH4 * _xlpm.C_CH4 * 10 ^ (-3))</definedName>
    <definedName name="AgResidue_Equations_FieldBurning.VEERG_6_4_1_1__1__MethaneEmissionsFromBurningOfCropResidues" localSheetId="28">_xlfn.LAMBDA(_xlpm.Mburnc,_xlpm.CCc,_xlpm.EFCH4,_xlpm.C_CH4, _xlpm.Mburnc * _xlpm.CCc * _xlpm.EFCH4 * _xlpm.C_CH4 * 10 ^ (-3))</definedName>
    <definedName name="AgResidue_Equations_FieldBurning.VEERG_6_4_1_1__1__MethaneEmissionsFromBurningOfCropResidues" localSheetId="32">_xlfn.LAMBDA(_xlpm.Mburnc,_xlpm.CCc,_xlpm.EFCH4,_xlpm.C_CH4, _xlpm.Mburnc * _xlpm.CCc * _xlpm.EFCH4 * _xlpm.C_CH4 * 10 ^ (-3))</definedName>
    <definedName name="AgResidue_Equations_FieldBurning.VEERG_6_4_1_1__1__MethaneEmissionsFromBurningOfCropResidues" localSheetId="9">_xlfn.LAMBDA(_xlpm.Mburnc,_xlpm.CCc,_xlpm.EFCH4,_xlpm.C_CH4, _xlpm.Mburnc * _xlpm.CCc * _xlpm.EFCH4 * _xlpm.C_CH4 * 10 ^ (-3))</definedName>
    <definedName name="AgResidue_Equations_FieldBurning.VEERG_6_4_1_1__1__MethaneEmissionsFromBurningOfCropResidues" localSheetId="10">_xlfn.LAMBDA(_xlpm.Mburnc,_xlpm.CCc,_xlpm.EFCH4,_xlpm.C_CH4, _xlpm.Mburnc * _xlpm.CCc * _xlpm.EFCH4 * _xlpm.C_CH4 * 10 ^ (-3))</definedName>
    <definedName name="AgResidue_Equations_FieldBurning.VEERG_6_4_1_1__1__MethaneEmissionsFromBurningOfCropResidues" localSheetId="11">_xlfn.LAMBDA(_xlpm.Mburnc,_xlpm.CCc,_xlpm.EFCH4,_xlpm.C_CH4, _xlpm.Mburnc * _xlpm.CCc * _xlpm.EFCH4 * _xlpm.C_CH4 * 10 ^ (-3))</definedName>
    <definedName name="AgResidue_Equations_FieldBurning.VEERG_6_4_1_1__1__MethaneEmissionsFromBurningOfCropResidues" localSheetId="12">_xlfn.LAMBDA(_xlpm.Mburnc,_xlpm.CCc,_xlpm.EFCH4,_xlpm.C_CH4, _xlpm.Mburnc * _xlpm.CCc * _xlpm.EFCH4 * _xlpm.C_CH4 * 10 ^ (-3))</definedName>
    <definedName name="AgResidue_Equations_FieldBurning.VEERG_6_4_1_1__1__MethaneEmissionsFromBurningOfCropResidues">_xlfn.LAMBDA(_xlpm.M_burnc,_xlpm.CC_c,_xlpm.EF_CH4,_xlpm.C_CH4, (_xlpm.M_burnc * _xlpm.CC_c) * _xlpm.EF_CH4 * _xlpm.C_CH4 * 10 ^ (-3))</definedName>
    <definedName name="AgResidue_Equations_FieldBurning.VEERG_6_4_1_1__1__MethaneEmissionsFromBurningOfCropResidues_Arguments" localSheetId="25">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26">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28">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32">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9">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0">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1">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2">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 localSheetId="25">_xlfn.LAMBDA("E_{CH4}=\sum_{c}(M_{burn,c}\times CC_{c}\times EF_{CH4}\times C_{CH4}\times 10^{-3})")</definedName>
    <definedName name="AgResidue_Equations_FieldBurning.VEERG_6_4_1_1__1__MethaneEmissionsFromBurningOfCropResidues_LatexEquation" localSheetId="26">_xlfn.LAMBDA("E_{CH4}=\sum_{c}(M_{burn,c}\times CC_{c}\times EF_{CH4}\times C_{CH4}\times 10^{-3})")</definedName>
    <definedName name="AgResidue_Equations_FieldBurning.VEERG_6_4_1_1__1__MethaneEmissionsFromBurningOfCropResidues_LatexEquation" localSheetId="28">_xlfn.LAMBDA("E_{CH4}=\sum_{c}(M_{burn,c}\times CC_{c}\times EF_{CH4}\times C_{CH4}\times 10^{-3})")</definedName>
    <definedName name="AgResidue_Equations_FieldBurning.VEERG_6_4_1_1__1__MethaneEmissionsFromBurningOfCropResidues_LatexEquation" localSheetId="32">_xlfn.LAMBDA("E_{CH4}=\sum_{c}(M_{burn,c}\times CC_{c}\times EF_{CH4}\times C_{CH4}\times 10^{-3})")</definedName>
    <definedName name="AgResidue_Equations_FieldBurning.VEERG_6_4_1_1__1__MethaneEmissionsFromBurningOfCropResidues_LatexEquation" localSheetId="9">_xlfn.LAMBDA("E_{CH4}=\sum_{c}(M_{burn,c}\times CC_{c}\times EF_{CH4}\times C_{CH4}\times 10^{-3})")</definedName>
    <definedName name="AgResidue_Equations_FieldBurning.VEERG_6_4_1_1__1__MethaneEmissionsFromBurningOfCropResidues_LatexEquation" localSheetId="10">_xlfn.LAMBDA("E_{CH4}=\sum_{c}(M_{burn,c}\times CC_{c}\times EF_{CH4}\times C_{CH4}\times 10^{-3})")</definedName>
    <definedName name="AgResidue_Equations_FieldBurning.VEERG_6_4_1_1__1__MethaneEmissionsFromBurningOfCropResidues_LatexEquation" localSheetId="11">_xlfn.LAMBDA("E_{CH4}=\sum_{c}(M_{burn,c}\times CC_{c}\times EF_{CH4}\times C_{CH4}\times 10^{-3})")</definedName>
    <definedName name="AgResidue_Equations_FieldBurning.VEERG_6_4_1_1__1__MethaneEmissionsFromBurningOfCropResidues_LatexEquation" localSheetId="12">_xlfn.LAMBDA("E_{CH4}=\sum_{c}(M_{burn,c}\times CC_{c}\times EF_{CH4}\times C_{CH4}\times 10^{-3})")</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 localSheetId="25">_xlfn.LAMBDA(_xlpm.Mburnc,_xlpm.NCAGc,_xlpm.EFN2O,_xlpm.CN2O, _xlpm.Mburnc * _xlpm.NCAGc * _xlpm.EFN2O * _xlpm.CN2O * 10 ^ (-3))</definedName>
    <definedName name="AgResidue_Equations_FieldBurning.VEERG_6_4_1_1__2__NitrousOxideEmissionsFromBurningOfCropResidues" localSheetId="26">_xlfn.LAMBDA(_xlpm.Mburnc,_xlpm.NCAGc,_xlpm.EFN2O,_xlpm.CN2O, _xlpm.Mburnc * _xlpm.NCAGc * _xlpm.EFN2O * _xlpm.CN2O * 10 ^ (-3))</definedName>
    <definedName name="AgResidue_Equations_FieldBurning.VEERG_6_4_1_1__2__NitrousOxideEmissionsFromBurningOfCropResidues" localSheetId="28">_xlfn.LAMBDA(_xlpm.Mburnc,_xlpm.NCAGc,_xlpm.EFN2O,_xlpm.CN2O, _xlpm.Mburnc * _xlpm.NCAGc * _xlpm.EFN2O * _xlpm.CN2O * 10 ^ (-3))</definedName>
    <definedName name="AgResidue_Equations_FieldBurning.VEERG_6_4_1_1__2__NitrousOxideEmissionsFromBurningOfCropResidues" localSheetId="32">_xlfn.LAMBDA(_xlpm.Mburnc,_xlpm.NCAGc,_xlpm.EFN2O,_xlpm.CN2O, _xlpm.Mburnc * _xlpm.NCAGc * _xlpm.EFN2O * _xlpm.CN2O * 10 ^ (-3))</definedName>
    <definedName name="AgResidue_Equations_FieldBurning.VEERG_6_4_1_1__2__NitrousOxideEmissionsFromBurningOfCropResidues" localSheetId="9">_xlfn.LAMBDA(_xlpm.Mburnc,_xlpm.NCAGc,_xlpm.EFN2O,_xlpm.CN2O, _xlpm.Mburnc * _xlpm.NCAGc * _xlpm.EFN2O * _xlpm.CN2O * 10 ^ (-3))</definedName>
    <definedName name="AgResidue_Equations_FieldBurning.VEERG_6_4_1_1__2__NitrousOxideEmissionsFromBurningOfCropResidues" localSheetId="10">_xlfn.LAMBDA(_xlpm.Mburnc,_xlpm.NCAGc,_xlpm.EFN2O,_xlpm.CN2O, _xlpm.Mburnc * _xlpm.NCAGc * _xlpm.EFN2O * _xlpm.CN2O * 10 ^ (-3))</definedName>
    <definedName name="AgResidue_Equations_FieldBurning.VEERG_6_4_1_1__2__NitrousOxideEmissionsFromBurningOfCropResidues" localSheetId="11">_xlfn.LAMBDA(_xlpm.Mburnc,_xlpm.NCAGc,_xlpm.EFN2O,_xlpm.CN2O, _xlpm.Mburnc * _xlpm.NCAGc * _xlpm.EFN2O * _xlpm.CN2O * 10 ^ (-3))</definedName>
    <definedName name="AgResidue_Equations_FieldBurning.VEERG_6_4_1_1__2__NitrousOxideEmissionsFromBurningOfCropResidues" localSheetId="12">_xlfn.LAMBDA(_xlpm.Mburnc,_xlpm.NCAGc,_xlpm.EFN2O,_xlpm.CN2O, _xlpm.Mburnc * _xlpm.NCAGc * _xlpm.EFN2O * _xlpm.CN2O * 10 ^ (-3))</definedName>
    <definedName name="AgResidue_Equations_FieldBurning.VEERG_6_4_1_1__2__NitrousOxideEmissionsFromBurningOfCropResidues">_xlfn.LAMBDA(_xlpm.M_burnc,_xlpm.NC_AGc,_xlpm.EF_N2O,_xlpm.C_N2O, (_xlpm.M_burnc * _xlpm.NC_AGc) * _xlpm.EF_N2O * _xlpm.C_N2O * 10 ^ (-3))</definedName>
    <definedName name="AgResidue_Equations_FieldBurning.VEERG_6_4_1_1__2__NitrousOxideEmissionsFromBurningOfCropResidues_Arguments" localSheetId="25">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26">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28">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32">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9">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0">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1">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2">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 localSheetId="25">_xlfn.LAMBDA("E_{N2O}=\sum_{c}(M_{burn,c}\times NC_{AGc}\times EF_{N2O}\times C_{N2O}\times 10^{-3})")</definedName>
    <definedName name="AgResidue_Equations_FieldBurning.VEERG_6_4_1_1__2__NitrousOxideEmissionsFromBurningOfCropResidues_LatexEquation" localSheetId="26">_xlfn.LAMBDA("E_{N2O}=\sum_{c}(M_{burn,c}\times NC_{AGc}\times EF_{N2O}\times C_{N2O}\times 10^{-3})")</definedName>
    <definedName name="AgResidue_Equations_FieldBurning.VEERG_6_4_1_1__2__NitrousOxideEmissionsFromBurningOfCropResidues_LatexEquation" localSheetId="28">_xlfn.LAMBDA("E_{N2O}=\sum_{c}(M_{burn,c}\times NC_{AGc}\times EF_{N2O}\times C_{N2O}\times 10^{-3})")</definedName>
    <definedName name="AgResidue_Equations_FieldBurning.VEERG_6_4_1_1__2__NitrousOxideEmissionsFromBurningOfCropResidues_LatexEquation" localSheetId="32">_xlfn.LAMBDA("E_{N2O}=\sum_{c}(M_{burn,c}\times NC_{AGc}\times EF_{N2O}\times C_{N2O}\times 10^{-3})")</definedName>
    <definedName name="AgResidue_Equations_FieldBurning.VEERG_6_4_1_1__2__NitrousOxideEmissionsFromBurningOfCropResidues_LatexEquation" localSheetId="9">_xlfn.LAMBDA("E_{N2O}=\sum_{c}(M_{burn,c}\times NC_{AGc}\times EF_{N2O}\times C_{N2O}\times 10^{-3})")</definedName>
    <definedName name="AgResidue_Equations_FieldBurning.VEERG_6_4_1_1__2__NitrousOxideEmissionsFromBurningOfCropResidues_LatexEquation" localSheetId="10">_xlfn.LAMBDA("E_{N2O}=\sum_{c}(M_{burn,c}\times NC_{AGc}\times EF_{N2O}\times C_{N2O}\times 10^{-3})")</definedName>
    <definedName name="AgResidue_Equations_FieldBurning.VEERG_6_4_1_1__2__NitrousOxideEmissionsFromBurningOfCropResidues_LatexEquation" localSheetId="11">_xlfn.LAMBDA("E_{N2O}=\sum_{c}(M_{burn,c}\times NC_{AGc}\times EF_{N2O}\times C_{N2O}\times 10^{-3})")</definedName>
    <definedName name="AgResidue_Equations_FieldBurning.VEERG_6_4_1_1__2__NitrousOxideEmissionsFromBurningOfCropResidues_LatexEquation" localSheetId="12">_xlfn.LAMBDA("E_{N2O}=\sum_{c}(M_{burn,c}\times NC_{AGc}\times EF_{N2O}\times C_{N2O}\times 10^{-3})")</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 localSheetId="25">_xlfn.LAMBDA(_xlpm.Pc,_xlpm.RAGc,_xlpm.Sc,_xlpm.DMc,_xlpm.Zc,_xlpm.Fc, _xlpm.Pc * _xlpm.RAGc * _xlpm.Sc * _xlpm.DMc * _xlpm.Zc * _xlpm.Fc)</definedName>
    <definedName name="AgResidue_Equations_FieldBurning.VEERG_6_4_1_1__3__MassOfCropResidueBurnt" localSheetId="26">_xlfn.LAMBDA(_xlpm.Pc,_xlpm.RAGc,_xlpm.Sc,_xlpm.DMc,_xlpm.Zc,_xlpm.Fc, _xlpm.Pc * _xlpm.RAGc * _xlpm.Sc * _xlpm.DMc * _xlpm.Zc * _xlpm.Fc)</definedName>
    <definedName name="AgResidue_Equations_FieldBurning.VEERG_6_4_1_1__3__MassOfCropResidueBurnt" localSheetId="28">_xlfn.LAMBDA(_xlpm.Pc,_xlpm.RAGc,_xlpm.Sc,_xlpm.DMc,_xlpm.Zc,_xlpm.Fc, _xlpm.Pc * _xlpm.RAGc * _xlpm.Sc * _xlpm.DMc * _xlpm.Zc * _xlpm.Fc)</definedName>
    <definedName name="AgResidue_Equations_FieldBurning.VEERG_6_4_1_1__3__MassOfCropResidueBurnt" localSheetId="32">_xlfn.LAMBDA(_xlpm.Pc,_xlpm.RAGc,_xlpm.Sc,_xlpm.DMc,_xlpm.Zc,_xlpm.Fc, _xlpm.Pc * _xlpm.RAGc * _xlpm.Sc * _xlpm.DMc * _xlpm.Zc * _xlpm.Fc)</definedName>
    <definedName name="AgResidue_Equations_FieldBurning.VEERG_6_4_1_1__3__MassOfCropResidueBurnt" localSheetId="9">_xlfn.LAMBDA(_xlpm.Pc,_xlpm.RAGc,_xlpm.Sc,_xlpm.DMc,_xlpm.Zc,_xlpm.Fc, _xlpm.Pc * _xlpm.RAGc * _xlpm.Sc * _xlpm.DMc * _xlpm.Zc * _xlpm.Fc)</definedName>
    <definedName name="AgResidue_Equations_FieldBurning.VEERG_6_4_1_1__3__MassOfCropResidueBurnt" localSheetId="10">_xlfn.LAMBDA(_xlpm.Pc,_xlpm.RAGc,_xlpm.Sc,_xlpm.DMc,_xlpm.Zc,_xlpm.Fc, _xlpm.Pc * _xlpm.RAGc * _xlpm.Sc * _xlpm.DMc * _xlpm.Zc * _xlpm.Fc)</definedName>
    <definedName name="AgResidue_Equations_FieldBurning.VEERG_6_4_1_1__3__MassOfCropResidueBurnt" localSheetId="11">_xlfn.LAMBDA(_xlpm.Pc,_xlpm.RAGc,_xlpm.Sc,_xlpm.DMc,_xlpm.Zc,_xlpm.Fc, _xlpm.Pc * _xlpm.RAGc * _xlpm.Sc * _xlpm.DMc * _xlpm.Zc * _xlpm.Fc)</definedName>
    <definedName name="AgResidue_Equations_FieldBurning.VEERG_6_4_1_1__3__MassOfCropResidueBurnt" localSheetId="12">_xlfn.LAMBDA(_xlpm.Pc,_xlpm.RAGc,_xlpm.Sc,_xlpm.DMc,_xlpm.Zc,_xlpm.Fc, _xlpm.Pc * _xlpm.RAGc * _xlpm.Sc * _xlpm.DMc * _xlpm.Zc * _xlpm.Fc)</definedName>
    <definedName name="AgResidue_Equations_FieldBurning.VEERG_6_4_1_1__3__MassOfCropResidueBurnt">_xlfn.LAMBDA(_xlpm.P_c,_xlpm.R_AGc,_xlpm.S_c,_xlpm.DM_c,_xlpm.Z_c,_xlpm.F_c, _xlpm.P_c * _xlpm.R_AGc * _xlpm.S_c * _xlpm.DM_c * _xlpm.Z_c * _xlpm.F_c)</definedName>
    <definedName name="AgResidue_Equations_FieldBurning.VEERG_6_4_1_1__3__MassOfCropResidueBurnt_Arguments" localSheetId="25">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26">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28">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32">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9">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0">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1">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2">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 localSheetId="25">_xlfn.LAMBDA("Mburnc")</definedName>
    <definedName name="AgResidue_Equations_FieldBurning.VEERG_6_4_1_1__3__MassOfCropResidueBurnt_Variable" localSheetId="26">_xlfn.LAMBDA("Mburnc")</definedName>
    <definedName name="AgResidue_Equations_FieldBurning.VEERG_6_4_1_1__3__MassOfCropResidueBurnt_Variable" localSheetId="28">_xlfn.LAMBDA("Mburnc")</definedName>
    <definedName name="AgResidue_Equations_FieldBurning.VEERG_6_4_1_1__3__MassOfCropResidueBurnt_Variable" localSheetId="32">_xlfn.LAMBDA("Mburnc")</definedName>
    <definedName name="AgResidue_Equations_FieldBurning.VEERG_6_4_1_1__3__MassOfCropResidueBurnt_Variable" localSheetId="9">_xlfn.LAMBDA("Mburnc")</definedName>
    <definedName name="AgResidue_Equations_FieldBurning.VEERG_6_4_1_1__3__MassOfCropResidueBurnt_Variable" localSheetId="10">_xlfn.LAMBDA("Mburnc")</definedName>
    <definedName name="AgResidue_Equations_FieldBurning.VEERG_6_4_1_1__3__MassOfCropResidueBurnt_Variable" localSheetId="11">_xlfn.LAMBDA("Mburnc")</definedName>
    <definedName name="AgResidue_Equations_FieldBurning.VEERG_6_4_1_1__3__MassOfCropResidueBurnt_Variable" localSheetId="12">_xlfn.LAMBDA("Mburnc")</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_xlfn.MAKEARRAY(17,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1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_xlfn.LAMBDA(_xlpm.CropType,_xlpm.CropTypeArray,_xlpm.ResidueCropRatioArray,
    1/(1+Common_InputFunctions.Utility_LookupValueInTableNumber(_xlpm.CropType, _xlpm.CropTypeArray, _xlpm.ResidueCropRatioArray))
)</definedName>
    <definedName name="CommonCropping_InputFunctions.CommonCropping_CalculateResidueCropRatio">_xlfn.LAMBDA(_xlpm.HarvestIndex, (1 - _xlpm.HarvestIndex) / _xlpm.HarvestIndex)</definedName>
    <definedName name="CommonCropping_InputFunctions.CommonCropping_GetFracWET" localSheetId="1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 localSheetId="22">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23">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31">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7">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 localSheetId="22">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23">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31">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7">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2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9">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0">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1">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6">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2">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9">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0">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1">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2">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 localSheetId="2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definedName>
    <definedName name="Fertiliser_InputFunctions.Fertiliser_TotalActiveIngredientAppliedAllIngredients" localSheetId="1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'6.1.1.1-2 Crop residue N2O'!Fertiliser_InputFunctions.Fertiliser_SumProductApplied(_xlpm.ChemicalCompound, _xlpm.ProductIngredient1, _xlpm.calculatedAmount1) + IFERROR('6.1.1.1-2 Crop residue N2O'!Fertiliser_InputFunctions.Fertiliser_SumProductApplied(_xlpm.ChemicalCompound, _xlpm.ProductIngredient2, _xlpm.calculatedAmount2), 0) + IFERROR('6.1.1.1-2 Crop residue N2O'!Fertiliser_InputFunctions.Fertiliser_SumProductApplied(_xlpm.ChemicalCompound, _xlpm.ProductIngredient3, _xlpm.calculatedAmount3), 0)))</definedName>
    <definedName name="Fertiliser_InputFunctions.Fertiliser_TotalActiveIngredientAppliedAllIngredients" localSheetId="2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'6.3.1.1-2 Leach runoff crop'!Fertiliser_InputFunctions.Fertiliser_SumProductApplied(_xlpm.ChemicalCompound, _xlpm.ProductIngredient1, _xlpm.calculatedAmount1) + IFERROR('6.3.1.1-2 Leach runoff crop'!Fertiliser_InputFunctions.Fertiliser_SumProductApplied(_xlpm.ChemicalCompound, _xlpm.ProductIngredient2, _xlpm.calculatedAmount2), 0) + IFERROR('6.3.1.1-2 Leach runoff crop'!Fertiliser_InputFunctions.Fertiliser_SumProductApplied(_xlpm.ChemicalCompound, _xlpm.ProductIngredient3, _xlpm.calculatedAmount3), 0)))</definedName>
    <definedName name="Fertiliser_InputFunctions.Fertiliser_TotalActiveIngredientAppliedAllIngredients" localSheetId="2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'6.4.1.1-2 Residue burning'!Fertiliser_InputFunctions.Fertiliser_SumProductApplied(_xlpm.ChemicalCompound, _xlpm.ProductIngredient1, _xlpm.calculatedAmount1) + IFERROR('6.4.1.1-2 Residue burning'!Fertiliser_InputFunctions.Fertiliser_SumProductApplied(_xlpm.ChemicalCompound, _xlpm.ProductIngredient2, _xlpm.calculatedAmount2), 0) + IFERROR('6.4.1.1-2 Residue burning'!Fertiliser_InputFunctions.Fertiliser_SumProductApplied(_xlpm.ChemicalCompound, _xlpm.ProductIngredient3, _xlpm.calculatedAmount3), 0)))</definedName>
    <definedName name="Fertiliser_InputFunctions.Fertiliser_TotalActiveIngredientAppliedAllIngredients" localSheetId="2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definedName>
    <definedName name="Fertiliser_InputFunctions.Fertiliser_TotalActiveIngredientAppliedAllIngredients" localSheetId="2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Ag Residue'!Fertiliser_InputFunctions.Fertiliser_SumProductApplied(_xlpm.ChemicalCompound, _xlpm.ProductIngredient1, _xlpm.calculatedAmount1) + IFERROR('Constants - Ag Residue'!Fertiliser_InputFunctions.Fertiliser_SumProductApplied(_xlpm.ChemicalCompound, _xlpm.ProductIngredient2, _xlpm.calculatedAmount2), 0) + IFERROR('Constants - Ag Residue'!Fertiliser_InputFunctions.Fertiliser_SumProductApplied(_xlpm.ChemicalCompound, _xlpm.ProductIngredient3, _xlpm.calculatedAmount3), 0)))</definedName>
    <definedName name="Fertiliser_InputFunctions.Fertiliser_TotalActiveIngredientAppliedAllIngredients" localSheetId="2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Common Livestock'!Fertiliser_InputFunctions.Fertiliser_SumProductApplied(_xlpm.ChemicalCompound, _xlpm.ProductIngredient1, _xlpm.calculatedAmount1) + IFERROR('Constants - Common Livestock'!Fertiliser_InputFunctions.Fertiliser_SumProductApplied(_xlpm.ChemicalCompound, _xlpm.ProductIngredient2, _xlpm.calculatedAmount2), 0) + IFERROR('Constants - Common Livestock'!Fertiliser_InputFunctions.Fertiliser_SumProductApplied(_xlpm.ChemicalCompound, _xlpm.ProductIngredient3, _xlpm.calculatedAmount3), 0)))</definedName>
    <definedName name="Fertiliser_InputFunctions.Fertiliser_TotalActiveIngredientAppliedAllIngredients" localSheetId="3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definedName>
    <definedName name="Fertiliser_InputFunctions.Fertiliser_TotalActiveIngredientAppliedAllIngredients" localSheetId="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Common farm inputs'!Fertiliser_InputFunctions.Fertiliser_SumProductApplied(_xlpm.ChemicalCompound, _xlpm.ProductIngredient1, _xlpm.calculatedAmount1) + IFERROR('Input - Common farm inputs'!Fertiliser_InputFunctions.Fertiliser_SumProductApplied(_xlpm.ChemicalCompound, _xlpm.ProductIngredient2, _xlpm.calculatedAmount2), 0) + IFERROR('Input - Common farm inputs'!Fertiliser_InputFunctions.Fertiliser_SumProductApplied(_xlpm.ChemicalCompound, _xlpm.ProductIngredient3, _xlpm.calculatedAmount3), 0)))</definedName>
    <definedName name="Fertiliser_InputFunctions.Fertiliser_TotalActiveIngredientAppliedAllIngredients" localSheetId="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Crop'!Fertiliser_InputFunctions.Fertiliser_SumProductApplied(_xlpm.ChemicalCompound, _xlpm.ProductIngredient1, _xlpm.calculatedAmount1) + IFERROR('Input - Crop'!Fertiliser_InputFunctions.Fertiliser_SumProductApplied(_xlpm.ChemicalCompound, _xlpm.ProductIngredient2, _xlpm.calculatedAmount2), 0) + IFERROR('Input - Crop'!Fertiliser_InputFunctions.Fertiliser_SumProductApplied(_xlpm.ChemicalCompound, _xlpm.ProductIngredient3, _xlpm.calculatedAmount3), 0)))</definedName>
    <definedName name="Fertiliser_InputFunctions.Fertiliser_TotalActiveIngredientAppliedAllIngredients" localSheetId="1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Crop pasture farm input'!Fertiliser_InputFunctions.Fertiliser_SumProductApplied(_xlpm.ChemicalCompound, _xlpm.ProductIngredient1, _xlpm.calculatedAmount1) + IFERROR('Input - Crop pasture farm input'!Fertiliser_InputFunctions.Fertiliser_SumProductApplied(_xlpm.ChemicalCompound, _xlpm.ProductIngredient2, _xlpm.calculatedAmount2), 0) + IFERROR('Input - Crop pasture farm input'!Fertiliser_InputFunctions.Fertiliser_SumProductApplied(_xlpm.ChemicalCompound, _xlpm.ProductIngredient3, _xlpm.calculatedAmount3), 0)))</definedName>
    <definedName name="Fertiliser_InputFunctions.Fertiliser_TotalActiveIngredientAppliedAllIngredients" localSheetId="1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definedName>
    <definedName name="Fertiliser_InputFunctions.Fertiliser_TotalActiveIngredientAppliedAllIngredients" localSheetId="1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definedName>
    <definedName name="Fertiliser_InputFunctions.Fertiliser_TotalActiveIngredientAppliedAllIngredients" localSheetId="3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2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 + IFERROR('15 Scope 3'!Fertiliser_InputFunctions.Fertiliser_SumProductApplied(_xlpm.ChemicalCompound, _xlpm.ProductIngredient4, _xlpm.calculatedAmount4), 0) + IFERROR('15 Scope 3'!Fertiliser_InputFunctions.Fertiliser_SumProductApplied(_xlpm.ChemicalCompound, _xlpm.ProductIngredient5, _xlpm.calculatedAmount5), 0) + IFERROR('15 Scope 3'!Fertiliser_InputFunctions.Fertiliser_SumProductApplied(_xlpm.ChemicalCompound, _xlpm.ProductIngredient6, _xlpm.calculatedAmount6), 0)))</definedName>
    <definedName name="Fertiliser_InputFunctions.Fertiliser_TotalChemicalCompoundAppliedAllIngredients" localSheetId="1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'6.1.1.1-2 Crop residue N2O'!Fertiliser_InputFunctions.Fertiliser_SumProductApplied(
      _xlpm.ChemicalCompound,
      _xlpm.ProductIngredient1,
      _xlpm.calculatedAmount1
    ) + IFERROR(
      '6.1.1.1-2 Crop residue N2O'!Fertiliser_InputFunctions.Fertiliser_SumProductApplied(
        _xlpm.ChemicalCompound,
        _xlpm.ProductIngredient2,
        _xlpm.calculatedAmount2
      ),
      0
    ) + IFERROR(
      '6.1.1.1-2 Crop residue N2O'!Fertiliser_InputFunctions.Fertiliser_SumProductApplied(
        _xlpm.ChemicalCompound,
        _xlpm.ProductIngredient3,
        _xlpm.calculatedAmount3
      ),
      0
    ) + IFERROR(
      '6.1.1.1-2 Crop residue N2O'!Fertiliser_InputFunctions.Fertiliser_SumProductApplied(
        _xlpm.ChemicalCompound,
        _xlpm.ProductIngredient4,
        _xlpm.calculatedAmount4
      ),
      0
    ) + IFERROR(
      '6.1.1.1-2 Crop residue N2O'!Fertiliser_InputFunctions.Fertiliser_SumProductApplied(
        _xlpm.ChemicalCompound,
        _xlpm.ProductIngredient5,
        _xlpm.calculatedAmount5
      ),
      0
    ) + IFERROR(
      '6.1.1.1-2 Crop residue N2O'!Fertiliser_InputFunctions.Fertiliser_SumProductApplied(
        _xlpm.ChemicalCompound,
        _xlpm.ProductIngredient6,
        _xlpm.calculatedAmount6
      ),
      0
    )
  )
)</definedName>
    <definedName name="Fertiliser_InputFunctions.Fertiliser_TotalChemicalCompoundAppliedAllIngredients" localSheetId="2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'6.3.1.1-2 Leach runoff crop'!Fertiliser_InputFunctions.Fertiliser_SumProductApplied(
      _xlpm.ChemicalCompound,
      _xlpm.ProductIngredient1,
      _xlpm.calculatedAmount1
    ) + IFERROR(
      '6.3.1.1-2 Leach runoff crop'!Fertiliser_InputFunctions.Fertiliser_SumProductApplied(
        _xlpm.ChemicalCompound,
        _xlpm.ProductIngredient2,
        _xlpm.calculatedAmount2
      ),
      0
    ) + IFERROR(
      '6.3.1.1-2 Leach runoff crop'!Fertiliser_InputFunctions.Fertiliser_SumProductApplied(
        _xlpm.ChemicalCompound,
        _xlpm.ProductIngredient3,
        _xlpm.calculatedAmount3
      ),
      0
    ) + IFERROR(
      '6.3.1.1-2 Leach runoff crop'!Fertiliser_InputFunctions.Fertiliser_SumProductApplied(
        _xlpm.ChemicalCompound,
        _xlpm.ProductIngredient4,
        _xlpm.calculatedAmount4
      ),
      0
    ) + IFERROR(
      '6.3.1.1-2 Leach runoff crop'!Fertiliser_InputFunctions.Fertiliser_SumProductApplied(
        _xlpm.ChemicalCompound,
        _xlpm.ProductIngredient5,
        _xlpm.calculatedAmount5
      ),
      0
    ) + IFERROR(
      '6.3.1.1-2 Leach runoff crop'!Fertiliser_InputFunctions.Fertiliser_SumProductApplied(
        _xlpm.ChemicalCompound,
        _xlpm.ProductIngredient6,
        _xlpm.calculatedAmount6
      ),
      0
    )
  )
)</definedName>
    <definedName name="Fertiliser_InputFunctions.Fertiliser_TotalChemicalCompoundAppliedAllIngredients" localSheetId="2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'6.4.1.1-2 Residue burning'!Fertiliser_InputFunctions.Fertiliser_SumProductApplied(
      _xlpm.ChemicalCompound,
      _xlpm.ProductIngredient1,
      _xlpm.calculatedAmount1
    ) + IFERROR(
      '6.4.1.1-2 Residue burning'!Fertiliser_InputFunctions.Fertiliser_SumProductApplied(
        _xlpm.ChemicalCompound,
        _xlpm.ProductIngredient2,
        _xlpm.calculatedAmount2
      ),
      0
    ) + IFERROR(
      '6.4.1.1-2 Residue burning'!Fertiliser_InputFunctions.Fertiliser_SumProductApplied(
        _xlpm.ChemicalCompound,
        _xlpm.ProductIngredient3,
        _xlpm.calculatedAmount3
      ),
      0
    ) + IFERROR(
      '6.4.1.1-2 Residue burning'!Fertiliser_InputFunctions.Fertiliser_SumProductApplied(
        _xlpm.ChemicalCompound,
        _xlpm.ProductIngredient4,
        _xlpm.calculatedAmount4
      ),
      0
    ) + IFERROR(
      '6.4.1.1-2 Residue burning'!Fertiliser_InputFunctions.Fertiliser_SumProductApplied(
        _xlpm.ChemicalCompound,
        _xlpm.ProductIngredient5,
        _xlpm.calculatedAmount5
      ),
      0
    ) + IFERROR(
      '6.4.1.1-2 Residue burning'!Fertiliser_InputFunctions.Fertiliser_SumProductApplied(
        _xlpm.ChemicalCompound,
        _xlpm.ProductIngredient6,
        _xlpm.calculatedAmount6
      ),
      0
    )
  )
)</definedName>
    <definedName name="Fertiliser_InputFunctions.Fertiliser_TotalChemicalCompoundAppliedAllIngredients" localSheetId="2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 + IFERROR('Calcs - Manure sent off-site'!Fertiliser_InputFunctions.Fertiliser_SumProductApplied(_xlpm.ChemicalCompound, _xlpm.ProductIngredient4, _xlpm.calculatedAmount4), 0) + IFERROR('Calcs - Manure sent off-site'!Fertiliser_InputFunctions.Fertiliser_SumProductApplied(_xlpm.ChemicalCompound, _xlpm.ProductIngredient5, _xlpm.calculatedAmount5), 0) + IFERROR('Calcs - Manure sent off-site'!Fertiliser_InputFunctions.Fertiliser_SumProductApplied(_xlpm.ChemicalCompound, _xlpm.ProductIngredient6, _xlpm.calculatedAmount6), 0)))</definedName>
    <definedName name="Fertiliser_InputFunctions.Fertiliser_TotalChemicalCompoundAppliedAllIngredients" localSheetId="2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'Constants - Ag Residue'!Fertiliser_InputFunctions.Fertiliser_SumProductApplied(
      _xlpm.ChemicalCompound,
      _xlpm.ProductIngredient1,
      _xlpm.calculatedAmount1
    ) + IFERROR(
      'Constants - Ag Residue'!Fertiliser_InputFunctions.Fertiliser_SumProductApplied(
        _xlpm.ChemicalCompound,
        _xlpm.ProductIngredient2,
        _xlpm.calculatedAmount2
      ),
      0
    ) + IFERROR(
      'Constants - Ag Residue'!Fertiliser_InputFunctions.Fertiliser_SumProductApplied(
        _xlpm.ChemicalCompound,
        _xlpm.ProductIngredient3,
        _xlpm.calculatedAmount3
      ),
      0
    ) + IFERROR(
      'Constants - Ag Residue'!Fertiliser_InputFunctions.Fertiliser_SumProductApplied(
        _xlpm.ChemicalCompound,
        _xlpm.ProductIngredient4,
        _xlpm.calculatedAmount4
      ),
      0
    ) + IFERROR(
      'Constants - Ag Residue'!Fertiliser_InputFunctions.Fertiliser_SumProductApplied(
        _xlpm.ChemicalCompound,
        _xlpm.ProductIngredient5,
        _xlpm.calculatedAmount5
      ),
      0
    ) + IFERROR(
      'Constants - Ag Residue'!Fertiliser_InputFunctions.Fertiliser_SumProductApplied(
        _xlpm.ChemicalCompound,
        _xlpm.ProductIngredient6,
        _xlpm.calculatedAmount6
      ),
      0
    )
  )
)</definedName>
    <definedName name="Fertiliser_InputFunctions.Fertiliser_TotalChemicalCompoundAppliedAllIngredients" localSheetId="2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Common Livestock'!Fertiliser_InputFunctions.Fertiliser_SumProductApplied(_xlpm.ChemicalCompound, _xlpm.ProductIngredient1, _xlpm.calculatedAmount1) + IFERROR('Constants - Common Livestock'!Fertiliser_InputFunctions.Fertiliser_SumProductApplied(_xlpm.ChemicalCompound, _xlpm.ProductIngredient2, _xlpm.calculatedAmount2), 0) + IFERROR('Constants - Common Livestock'!Fertiliser_InputFunctions.Fertiliser_SumProductApplied(_xlpm.ChemicalCompound, _xlpm.ProductIngredient3, _xlpm.calculatedAmount3), 0) + IFERROR('Constants - Common Livestock'!Fertiliser_InputFunctions.Fertiliser_SumProductApplied(_xlpm.ChemicalCompound, _xlpm.ProductIngredient4, _xlpm.calculatedAmount4), 0) + IFERROR('Constants - Common Livestock'!Fertiliser_InputFunctions.Fertiliser_SumProductApplied(_xlpm.ChemicalCompound, _xlpm.ProductIngredient5, _xlpm.calculatedAmount5), 0) + IFERROR('Constants - Common Livestock'!Fertiliser_InputFunctions.Fertiliser_SumProductApplied(_xlpm.ChemicalCompound, _xlpm.ProductIngredient6, _xlpm.calculatedAmount6), 0)))</definedName>
    <definedName name="Fertiliser_InputFunctions.Fertiliser_TotalChemicalCompoundAppliedAllIngredients" localSheetId="3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 + IFERROR('Constants - Scope 3'!Fertiliser_InputFunctions.Fertiliser_SumProductApplied(_xlpm.ChemicalCompound, _xlpm.ProductIngredient4, _xlpm.calculatedAmount4), 0) + IFERROR('Constants - Scope 3'!Fertiliser_InputFunctions.Fertiliser_SumProductApplied(_xlpm.ChemicalCompound, _xlpm.ProductIngredient5, _xlpm.calculatedAmount5), 0) + IFERROR('Constants - Scope 3'!Fertiliser_InputFunctions.Fertiliser_SumProductApplied(_xlpm.ChemicalCompound, _xlpm.ProductIngredient6, _xlpm.calculatedAmount6), 0)))</definedName>
    <definedName name="Fertiliser_InputFunctions.Fertiliser_TotalChemicalCompoundAppliedAllIngredients" localSheetId="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Common farm inputs'!Fertiliser_InputFunctions.Fertiliser_SumProductApplied(_xlpm.ChemicalCompound, _xlpm.ProductIngredient1, _xlpm.calculatedAmount1) + IFERROR('Input - Common farm inputs'!Fertiliser_InputFunctions.Fertiliser_SumProductApplied(_xlpm.ChemicalCompound, _xlpm.ProductIngredient2, _xlpm.calculatedAmount2), 0) + IFERROR('Input - Common farm inputs'!Fertiliser_InputFunctions.Fertiliser_SumProductApplied(_xlpm.ChemicalCompound, _xlpm.ProductIngredient3, _xlpm.calculatedAmount3), 0) + IFERROR('Input - Common farm inputs'!Fertiliser_InputFunctions.Fertiliser_SumProductApplied(_xlpm.ChemicalCompound, _xlpm.ProductIngredient4, _xlpm.calculatedAmount4), 0) + IFERROR('Input - Common farm inputs'!Fertiliser_InputFunctions.Fertiliser_SumProductApplied(_xlpm.ChemicalCompound, _xlpm.ProductIngredient5, _xlpm.calculatedAmount5), 0) + IFERROR('Input - Common farm inputs'!Fertiliser_InputFunctions.Fertiliser_SumProductApplied(_xlpm.ChemicalCompound, _xlpm.ProductIngredient6, _xlpm.calculatedAmount6), 0)))</definedName>
    <definedName name="Fertiliser_InputFunctions.Fertiliser_TotalChemicalCompoundAppliedAllIngredients" localSheetId="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'Input - Crop'!Fertiliser_InputFunctions.Fertiliser_SumProductApplied(
      _xlpm.ChemicalCompound,
      _xlpm.ProductIngredient1,
      _xlpm.calculatedAmount1
    ) + IFERROR(
      'Input - Crop'!Fertiliser_InputFunctions.Fertiliser_SumProductApplied(
        _xlpm.ChemicalCompound,
        _xlpm.ProductIngredient2,
        _xlpm.calculatedAmount2
      ),
      0
    ) + IFERROR(
      'Input - Crop'!Fertiliser_InputFunctions.Fertiliser_SumProductApplied(
        _xlpm.ChemicalCompound,
        _xlpm.ProductIngredient3,
        _xlpm.calculatedAmount3
      ),
      0
    ) + IFERROR(
      'Input - Crop'!Fertiliser_InputFunctions.Fertiliser_SumProductApplied(
        _xlpm.ChemicalCompound,
        _xlpm.ProductIngredient4,
        _xlpm.calculatedAmount4
      ),
      0
    ) + IFERROR(
      'Input - Crop'!Fertiliser_InputFunctions.Fertiliser_SumProductApplied(
        _xlpm.ChemicalCompound,
        _xlpm.ProductIngredient5,
        _xlpm.calculatedAmount5
      ),
      0
    ) + IFERROR(
      'Input - Crop'!Fertiliser_InputFunctions.Fertiliser_SumProductApplied(
        _xlpm.ChemicalCompound,
        _xlpm.ProductIngredient6,
        _xlpm.calculatedAmount6
      ),
      0
    )
  )
)</definedName>
    <definedName name="Fertiliser_InputFunctions.Fertiliser_TotalChemicalCompoundAppliedAllIngredients" localSheetId="1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Crop pasture farm input'!Fertiliser_InputFunctions.Fertiliser_SumProductApplied(_xlpm.ChemicalCompound, _xlpm.ProductIngredient1, _xlpm.calculatedAmount1) + IFERROR('Input - Crop pasture farm input'!Fertiliser_InputFunctions.Fertiliser_SumProductApplied(_xlpm.ChemicalCompound, _xlpm.ProductIngredient2, _xlpm.calculatedAmount2), 0) + IFERROR('Input - Crop pasture farm input'!Fertiliser_InputFunctions.Fertiliser_SumProductApplied(_xlpm.ChemicalCompound, _xlpm.ProductIngredient3, _xlpm.calculatedAmount3), 0) + IFERROR('Input - Crop pasture farm input'!Fertiliser_InputFunctions.Fertiliser_SumProductApplied(_xlpm.ChemicalCompound, _xlpm.ProductIngredient4, _xlpm.calculatedAmount4), 0) + IFERROR('Input - Crop pasture farm input'!Fertiliser_InputFunctions.Fertiliser_SumProductApplied(_xlpm.ChemicalCompound, _xlpm.ProductIngredient5, _xlpm.calculatedAmount5), 0) + IFERROR('Input - Crop pasture farm input'!Fertiliser_InputFunctions.Fertiliser_SumProductApplied(_xlpm.ChemicalCompound, _xlpm.ProductIngredient6, _xlpm.calculatedAmount6), 0)))</definedName>
    <definedName name="Fertiliser_InputFunctions.Fertiliser_TotalChemicalCompoundAppliedAllIngredients" localSheetId="1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 + IFERROR('Input - Freight'!Fertiliser_InputFunctions.Fertiliser_SumProductApplied(_xlpm.ChemicalCompound, _xlpm.ProductIngredient4, _xlpm.calculatedAmount4), 0) + IFERROR('Input - Freight'!Fertiliser_InputFunctions.Fertiliser_SumProductApplied(_xlpm.ChemicalCompound, _xlpm.ProductIngredient5, _xlpm.calculatedAmount5), 0) + IFERROR('Input - Freight'!Fertiliser_InputFunctions.Fertiliser_SumProductApplied(_xlpm.ChemicalCompound, _xlpm.ProductIngredient6, _xlpm.calculatedAmount6), 0)))</definedName>
    <definedName name="Fertiliser_InputFunctions.Fertiliser_TotalChemicalCompoundAppliedAllIngredients" localSheetId="1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 + IFERROR('Input - Manure sent off-site'!Fertiliser_InputFunctions.Fertiliser_SumProductApplied(_xlpm.ChemicalCompound, _xlpm.ProductIngredient4, _xlpm.calculatedAmount4), 0) + IFERROR('Input - Manure sent off-site'!Fertiliser_InputFunctions.Fertiliser_SumProductApplied(_xlpm.ChemicalCompound, _xlpm.ProductIngredient5, _xlpm.calculatedAmount5), 0) + IFERROR('Input - Manure sent off-site'!Fertiliser_InputFunctions.Fertiliser_SumProductApplied(_xlpm.ChemicalCompound, _xlpm.ProductIngredient6, _xlpm.calculatedAmount6), 0)))</definedName>
    <definedName name="Fertiliser_InputFunctions.Fertiliser_TotalChemicalCompoundAppliedAllIngredients" localSheetId="3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2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'15 Scope 3'!Fertiliser_InputFunctions.Fertiliser_SumProductApplied(_xlpm.ChemicalCompound, _xlpm.ProductIngredient1, _xlpm.calculatedAmount1, _xlpm.Source, _xlpm.ProductIngredientSource) + IFERROR('15 Scope 3'!Fertiliser_InputFunctions.Fertiliser_SumProductApplied(_xlpm.ChemicalCompound, _xlpm.ProductIngredient2, _xlpm.calculatedAmount2, _xlpm.Source, _xlpm.ProductIngredientSource), 0) + IFERROR('15 Scope 3'!Fertiliser_InputFunctions.Fertiliser_SumProductApplied(_xlpm.ChemicalCompound, _xlpm.ProductIngredient3, _xlpm.calculatedAmount3, _xlpm.Source, _xlpm.ProductIngredientSource), 0) + IFERROR('15 Scope 3'!Fertiliser_InputFunctions.Fertiliser_SumProductApplied(_xlpm.ChemicalCompound, _xlpm.ProductIngredient4, _xlpm.calculatedAmount4, _xlpm.Source, _xlpm.ProductIngredientSource), 0) + IFERROR('15 Scope 3'!Fertiliser_InputFunctions.Fertiliser_SumProductApplied(_xlpm.ChemicalCompound, _xlpm.ProductIngredient5, _xlpm.calculatedAmount5, _xlpm.Source, _xlpm.ProductIngredientSource), 0) + IFERROR('15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'6.1.1.1-2 Crop residue N2O'!Fertiliser_InputFunctions.Fertiliser_SumProductApplied(
      _xlpm.ChemicalCompound,
      _xlpm.ProductIngredient1,
      _xlpm.calculatedAmount1,
      _xlpm.Source,
      _xlpm.ProductIngredientSource
    ) + IFERROR(
      '6.1.1.1-2 Crop residue N2O'!Fertiliser_InputFunctions.Fertiliser_SumProductApplied(
        _xlpm.ChemicalCompound,
        _xlpm.ProductIngredient2,
        _xlpm.calculatedAmount2,
        _xlpm.Source,
        _xlpm.ProductIngredientSource
      ),
      0
    ) + IFERROR(
      '6.1.1.1-2 Crop residue N2O'!Fertiliser_InputFunctions.Fertiliser_SumProductApplied(
        _xlpm.ChemicalCompound,
        _xlpm.ProductIngredient3,
        _xlpm.calculatedAmount3,
        _xlpm.Source,
        _xlpm.ProductIngredientSource
      ),
      0
    ) + IFERROR(
      '6.1.1.1-2 Crop residue N2O'!Fertiliser_InputFunctions.Fertiliser_SumProductApplied(
        _xlpm.ChemicalCompound,
        _xlpm.ProductIngredient4,
        _xlpm.calculatedAmount4,
        _xlpm.Source,
        _xlpm.ProductIngredientSource
      ),
      0
    ) + IFERROR(
      '6.1.1.1-2 Crop residue N2O'!Fertiliser_InputFunctions.Fertiliser_SumProductApplied(
        _xlpm.ChemicalCompound,
        _xlpm.ProductIngredient5,
        _xlpm.calculatedAmount5,
        _xlpm.Source,
        _xlpm.ProductIngredientSource
      ),
      0
    ) + IFERROR(
      '6.1.1.1-2 Crop residue N2O'!Fertiliser_InputFunctions.Fertiliser_SumProductApplied(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'6.3.1.1-2 Leach runoff crop'!Fertiliser_InputFunctions.Fertiliser_SumProductApplied(
      _xlpm.ChemicalCompound,
      _xlpm.ProductIngredient1,
      _xlpm.calculatedAmount1,
      _xlpm.Source,
      _xlpm.ProductIngredientSource
    ) + IFERROR(
      '6.3.1.1-2 Leach runoff crop'!Fertiliser_InputFunctions.Fertiliser_SumProductApplied(
        _xlpm.ChemicalCompound,
        _xlpm.ProductIngredient2,
        _xlpm.calculatedAmount2,
        _xlpm.Source,
        _xlpm.ProductIngredientSource
      ),
      0
    ) + IFERROR(
      '6.3.1.1-2 Leach runoff crop'!Fertiliser_InputFunctions.Fertiliser_SumProductApplied(
        _xlpm.ChemicalCompound,
        _xlpm.ProductIngredient3,
        _xlpm.calculatedAmount3,
        _xlpm.Source,
        _xlpm.ProductIngredientSource
      ),
      0
    ) + IFERROR(
      '6.3.1.1-2 Leach runoff crop'!Fertiliser_InputFunctions.Fertiliser_SumProductApplied(
        _xlpm.ChemicalCompound,
        _xlpm.ProductIngredient4,
        _xlpm.calculatedAmount4,
        _xlpm.Source,
        _xlpm.ProductIngredientSource
      ),
      0
    ) + IFERROR(
      '6.3.1.1-2 Leach runoff crop'!Fertiliser_InputFunctions.Fertiliser_SumProductApplied(
        _xlpm.ChemicalCompound,
        _xlpm.ProductIngredient5,
        _xlpm.calculatedAmount5,
        _xlpm.Source,
        _xlpm.ProductIngredientSource
      ),
      0
    ) + IFERROR(
      '6.3.1.1-2 Leach runoff crop'!Fertiliser_InputFunctions.Fertiliser_SumProductApplied(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'6.4.1.1-2 Residue burning'!Fertiliser_InputFunctions.Fertiliser_SumProductApplied(
      _xlpm.ChemicalCompound,
      _xlpm.ProductIngredient1,
      _xlpm.calculatedAmount1,
      _xlpm.Source,
      _xlpm.ProductIngredientSource
    ) + IFERROR(
      '6.4.1.1-2 Residue burning'!Fertiliser_InputFunctions.Fertiliser_SumProductApplied(
        _xlpm.ChemicalCompound,
        _xlpm.ProductIngredient2,
        _xlpm.calculatedAmount2,
        _xlpm.Source,
        _xlpm.ProductIngredientSource
      ),
      0
    ) + IFERROR(
      '6.4.1.1-2 Residue burning'!Fertiliser_InputFunctions.Fertiliser_SumProductApplied(
        _xlpm.ChemicalCompound,
        _xlpm.ProductIngredient3,
        _xlpm.calculatedAmount3,
        _xlpm.Source,
        _xlpm.ProductIngredientSource
      ),
      0
    ) + IFERROR(
      '6.4.1.1-2 Residue burning'!Fertiliser_InputFunctions.Fertiliser_SumProductApplied(
        _xlpm.ChemicalCompound,
        _xlpm.ProductIngredient4,
        _xlpm.calculatedAmount4,
        _xlpm.Source,
        _xlpm.ProductIngredientSource
      ),
      0
    ) + IFERROR(
      '6.4.1.1-2 Residue burning'!Fertiliser_InputFunctions.Fertiliser_SumProductApplied(
        _xlpm.ChemicalCompound,
        _xlpm.ProductIngredient5,
        _xlpm.calculatedAmount5,
        _xlpm.Source,
        _xlpm.ProductIngredientSource
      ),
      0
    ) + IFERROR(
      '6.4.1.1-2 Residue burning'!Fertiliser_InputFunctions.Fertiliser_SumProductApplied(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'Calcs - Manure sent off-site'!Fertiliser_InputFunctions.Fertiliser_SumProductApplied(_xlpm.ChemicalCompound, _xlpm.ProductIngredient1, _xlpm.calculatedAmount1, _xlpm.Source, _xlpm.ProductIngredientSource) + IFERROR('Calcs - Manure sent off-site'!Fertiliser_InputFunctions.Fertiliser_SumProductApplied(_xlpm.ChemicalCompound, _xlpm.ProductIngredient2, _xlpm.calculatedAmount2, _xlpm.Source, _xlpm.ProductIngredientSource), 0) + IFERROR('Calcs - Manure sent off-site'!Fertiliser_InputFunctions.Fertiliser_SumProductApplied(_xlpm.ChemicalCompound, _xlpm.ProductIngredient3, _xlpm.calculatedAmount3, _xlpm.Source, _xlpm.ProductIngredientSource), 0) + IFERROR('Calcs - Manure sent off-site'!Fertiliser_InputFunctions.Fertiliser_SumProductApplied(_xlpm.ChemicalCompound, _xlpm.ProductIngredient4, _xlpm.calculatedAmount4, _xlpm.Source, _xlpm.ProductIngredientSource), 0) + IFERROR('Calcs - Manure sent off-site'!Fertiliser_InputFunctions.Fertiliser_SumProductApplied(_xlpm.ChemicalCompound, _xlpm.ProductIngredient5, _xlpm.calculatedAmount5, _xlpm.Source, _xlpm.ProductIngredientSource), 0) + IFERROR('Calcs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'Constants - Ag Residue'!Fertiliser_InputFunctions.Fertiliser_SumProductApplied(
      _xlpm.ChemicalCompound,
      _xlpm.ProductIngredient1,
      _xlpm.calculatedAmount1,
      _xlpm.Source,
      _xlpm.ProductIngredientSource
    ) + IFERROR(
      'Constants - Ag Residue'!Fertiliser_InputFunctions.Fertiliser_SumProductApplied(
        _xlpm.ChemicalCompound,
        _xlpm.ProductIngredient2,
        _xlpm.calculatedAmount2,
        _xlpm.Source,
        _xlpm.ProductIngredientSource
      ),
      0
    ) + IFERROR(
      'Constants - Ag Residue'!Fertiliser_InputFunctions.Fertiliser_SumProductApplied(
        _xlpm.ChemicalCompound,
        _xlpm.ProductIngredient3,
        _xlpm.calculatedAmount3,
        _xlpm.Source,
        _xlpm.ProductIngredientSource
      ),
      0
    ) + IFERROR(
      'Constants - Ag Residue'!Fertiliser_InputFunctions.Fertiliser_SumProductApplied(
        _xlpm.ChemicalCompound,
        _xlpm.ProductIngredient4,
        _xlpm.calculatedAmount4,
        _xlpm.Source,
        _xlpm.ProductIngredientSource
      ),
      0
    ) + IFERROR(
      'Constants - Ag Residue'!Fertiliser_InputFunctions.Fertiliser_SumProductApplied(
        _xlpm.ChemicalCompound,
        _xlpm.ProductIngredient5,
        _xlpm.calculatedAmount5,
        _xlpm.Source,
        _xlpm.ProductIngredientSource
      ),
      0
    ) + IFERROR(
      'Constants - Ag Residue'!Fertiliser_InputFunctions.Fertiliser_SumProductApplied(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Common Livestock'!Fertiliser_InputFunctions.Fertiliser_SumProductApplied(_xlpm.ChemicalCompound, _xlpm.ProductIngredient1, _xlpm.calculatedAmount1, _xlpm.Source, _xlpm.ProductIngredientSource) + IFERROR('Constants - Common Livestock'!Fertiliser_InputFunctions.Fertiliser_SumProductApplied(_xlpm.ChemicalCompound, _xlpm.ProductIngredient2, _xlpm.calculatedAmount2, _xlpm.Source, _xlpm.ProductIngredientSource), 0) + IFERROR('Constants - Common Livestock'!Fertiliser_InputFunctions.Fertiliser_SumProductApplied(_xlpm.ChemicalCompound, _xlpm.ProductIngredient3, _xlpm.calculatedAmount3, _xlpm.Source, _xlpm.ProductIngredientSource), 0) + IFERROR('Constants - Common Livestock'!Fertiliser_InputFunctions.Fertiliser_SumProductApplied(_xlpm.ChemicalCompound, _xlpm.ProductIngredient4, _xlpm.calculatedAmount4, _xlpm.Source, _xlpm.ProductIngredientSource), 0) + IFERROR('Constants - Common Livestock'!Fertiliser_InputFunctions.Fertiliser_SumProductApplied(_xlpm.ChemicalCompound, _xlpm.ProductIngredient5, _xlpm.calculatedAmount5, _xlpm.Source, _xlpm.ProductIngredientSource), 0) + IFERROR('Constants - Common Livestock'!Fertiliser_InputFunctions.Fertiliser_SumProductApplied(_xlpm.ChemicalCompound,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Scope 3'!Fertiliser_InputFunctions.Fertiliser_SumProductApplied(_xlpm.ChemicalCompound, _xlpm.ProductIngredient1, _xlpm.calculatedAmount1, _xlpm.Source, _xlpm.ProductIngredientSource) + IFERROR('Constants - Scope 3'!Fertiliser_InputFunctions.Fertiliser_SumProductApplied(_xlpm.ChemicalCompound, _xlpm.ProductIngredient2, _xlpm.calculatedAmount2, _xlpm.Source, _xlpm.ProductIngredientSource), 0) + IFERROR('Constants - Scope 3'!Fertiliser_InputFunctions.Fertiliser_SumProductApplied(_xlpm.ChemicalCompound, _xlpm.ProductIngredient3, _xlpm.calculatedAmount3, _xlpm.Source, _xlpm.ProductIngredientSource), 0) + IFERROR('Constants - Scope 3'!Fertiliser_InputFunctions.Fertiliser_SumProductApplied(_xlpm.ChemicalCompound, _xlpm.ProductIngredient4, _xlpm.calculatedAmount4, _xlpm.Source, _xlpm.ProductIngredientSource), 0) + IFERROR('Constants - Scope 3'!Fertiliser_InputFunctions.Fertiliser_SumProductApplied(_xlpm.ChemicalCompound, _xlpm.ProductIngredient5, _xlpm.calculatedAmount5, _xlpm.Source, _xlpm.ProductIngredientSource), 0) + IFERROR('Constants -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Common farm inputs'!Fertiliser_InputFunctions.Fertiliser_SumProductApplied(_xlpm.ChemicalCompound, _xlpm.ProductIngredient1, _xlpm.calculatedAmount1, _xlpm.Source, _xlpm.ProductIngredientSource) + IFERROR('Input - Common farm inputs'!Fertiliser_InputFunctions.Fertiliser_SumProductApplied(_xlpm.ChemicalCompound, _xlpm.ProductIngredient2, _xlpm.calculatedAmount2, _xlpm.Source, _xlpm.ProductIngredientSource), 0) + IFERROR('Input - Common farm inputs'!Fertiliser_InputFunctions.Fertiliser_SumProductApplied(_xlpm.ChemicalCompound, _xlpm.ProductIngredient3, _xlpm.calculatedAmount3, _xlpm.Source, _xlpm.ProductIngredientSource), 0) + IFERROR('Input - Common farm inputs'!Fertiliser_InputFunctions.Fertiliser_SumProductApplied(_xlpm.ChemicalCompound, _xlpm.ProductIngredient4, _xlpm.calculatedAmount4, _xlpm.Source, _xlpm.ProductIngredientSource), 0) + IFERROR('Input - Common farm inputs'!Fertiliser_InputFunctions.Fertiliser_SumProductApplied(_xlpm.ChemicalCompound, _xlpm.ProductIngredient5, _xlpm.calculatedAmount5, _xlpm.Source, _xlpm.ProductIngredientSource), 0) + IFERROR('Input - Common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'Input - Crop'!Fertiliser_InputFunctions.Fertiliser_SumProductApplied(
      _xlpm.ChemicalCompound,
      _xlpm.ProductIngredient1,
      _xlpm.calculatedAmount1,
      _xlpm.Source,
      _xlpm.ProductIngredientSource
    ) + IFERROR(
      'Input - Crop'!Fertiliser_InputFunctions.Fertiliser_SumProductApplied(
        _xlpm.ChemicalCompound,
        _xlpm.ProductIngredient2,
        _xlpm.calculatedAmount2,
        _xlpm.Source,
        _xlpm.ProductIngredientSource
      ),
      0
    ) + IFERROR(
      'Input - Crop'!Fertiliser_InputFunctions.Fertiliser_SumProductApplied(
        _xlpm.ChemicalCompound,
        _xlpm.ProductIngredient3,
        _xlpm.calculatedAmount3,
        _xlpm.Source,
        _xlpm.ProductIngredientSource
      ),
      0
    ) + IFERROR(
      'Input - Crop'!Fertiliser_InputFunctions.Fertiliser_SumProductApplied(
        _xlpm.ChemicalCompound,
        _xlpm.ProductIngredient4,
        _xlpm.calculatedAmount4,
        _xlpm.Source,
        _xlpm.ProductIngredientSource
      ),
      0
    ) + IFERROR(
      'Input - Crop'!Fertiliser_InputFunctions.Fertiliser_SumProductApplied(
        _xlpm.ChemicalCompound,
        _xlpm.ProductIngredient5,
        _xlpm.calculatedAmount5,
        _xlpm.Source,
        _xlpm.ProductIngredientSource
      ),
      0
    ) + IFERROR(
      'Input - Crop'!Fertiliser_InputFunctions.Fertiliser_SumProductApplied(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1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Crop pasture farm input'!Fertiliser_InputFunctions.Fertiliser_SumProductApplied(_xlpm.ChemicalCompound, _xlpm.ProductIngredient1, _xlpm.calculatedAmount1, _xlpm.Source, _xlpm.ProductIngredientSource) + IFERROR('Input - Crop pasture farm input'!Fertiliser_InputFunctions.Fertiliser_SumProductApplied(_xlpm.ChemicalCompound, _xlpm.ProductIngredient2, _xlpm.calculatedAmount2, _xlpm.Source, _xlpm.ProductIngredientSource), 0) + IFERROR('Input - Crop pasture farm input'!Fertiliser_InputFunctions.Fertiliser_SumProductApplied(_xlpm.ChemicalCompound, _xlpm.ProductIngredient3, _xlpm.calculatedAmount3, _xlpm.Source, _xlpm.ProductIngredientSource), 0) + IFERROR('Input - Crop pasture farm input'!Fertiliser_InputFunctions.Fertiliser_SumProductApplied(_xlpm.ChemicalCompound, _xlpm.ProductIngredient4, _xlpm.calculatedAmount4, _xlpm.Source, _xlpm.ProductIngredientSource), 0) + IFERROR('Input - Crop pasture farm input'!Fertiliser_InputFunctions.Fertiliser_SumProductApplied(_xlpm.ChemicalCompound, _xlpm.ProductIngredient5, _xlpm.calculatedAmount5, _xlpm.Source, _xlpm.ProductIngredientSource), 0) + IFERROR('Input - Crop pasture farm input'!Fertiliser_InputFunctions.Fertiliser_SumProductApplied(_xlpm.ChemicalCompound,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Freight'!Fertiliser_InputFunctions.Fertiliser_SumProductApplied(_xlpm.ChemicalCompound, _xlpm.ProductIngredient1, _xlpm.calculatedAmount1, _xlpm.Source, _xlpm.ProductIngredientSource) + IFERROR('Input - Freight'!Fertiliser_InputFunctions.Fertiliser_SumProductApplied(_xlpm.ChemicalCompound, _xlpm.ProductIngredient2, _xlpm.calculatedAmount2, _xlpm.Source, _xlpm.ProductIngredientSource), 0) + IFERROR('Input - Freight'!Fertiliser_InputFunctions.Fertiliser_SumProductApplied(_xlpm.ChemicalCompound, _xlpm.ProductIngredient3, _xlpm.calculatedAmount3, _xlpm.Source, _xlpm.ProductIngredientSource), 0) + IFERROR('Input - Freight'!Fertiliser_InputFunctions.Fertiliser_SumProductApplied(_xlpm.ChemicalCompound, _xlpm.ProductIngredient4, _xlpm.calculatedAmount4, _xlpm.Source, _xlpm.ProductIngredientSource), 0) + IFERROR('Input - Freight'!Fertiliser_InputFunctions.Fertiliser_SumProductApplied(_xlpm.ChemicalCompound, _xlpm.ProductIngredient5, _xlpm.calculatedAmount5, _xlpm.Source, _xlpm.ProductIngredientSource), 0) + IFERROR('Input - Freight'!Fertiliser_InputFunctions.Fertiliser_SumProductApplied(_xlpm.ChemicalCompound,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Manure sent off-site'!Fertiliser_InputFunctions.Fertiliser_SumProductApplied(_xlpm.ChemicalCompound, _xlpm.ProductIngredient1, _xlpm.calculatedAmount1, _xlpm.Source, _xlpm.ProductIngredientSource) + IFERROR('Input - Manure sent off-site'!Fertiliser_InputFunctions.Fertiliser_SumProductApplied(_xlpm.ChemicalCompound, _xlpm.ProductIngredient2, _xlpm.calculatedAmount2, _xlpm.Source, _xlpm.ProductIngredientSource), 0) + IFERROR('Input - Manure sent off-site'!Fertiliser_InputFunctions.Fertiliser_SumProductApplied(_xlpm.ChemicalCompound, _xlpm.ProductIngredient3, _xlpm.calculatedAmount3, _xlpm.Source, _xlpm.ProductIngredientSource), 0) + IFERROR('Input - Manure sent off-site'!Fertiliser_InputFunctions.Fertiliser_SumProductApplied(_xlpm.ChemicalCompound, _xlpm.ProductIngredient4, _xlpm.calculatedAmount4, _xlpm.Source, _xlpm.ProductIngredientSource), 0) + IFERROR('Input - Manure sent off-site'!Fertiliser_InputFunctions.Fertiliser_SumProductApplied(_xlpm.ChemicalCompound, _xlpm.ProductIngredient5, _xlpm.calculatedAmount5, _xlpm.Source, _xlpm.ProductIngredientSource), 0) + IFERROR('Input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 localSheetId="25">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26">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28">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32">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9">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0">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1">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2">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 localSheetId="25">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26">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28">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32">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9">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0">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1">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2">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 localSheetId="25">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26">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28">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32">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9">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0">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1">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2">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2" localSheetId="25">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2" localSheetId="26">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2" localSheetId="28">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2" localSheetId="3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2" localSheetId="9">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2" localSheetId="10">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2" localSheetId="11">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2" localSheetId="1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2">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3" localSheetId="25">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3" localSheetId="26">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3" localSheetId="28">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3" localSheetId="3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3" localSheetId="9">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3" localSheetId="10">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3" localSheetId="11">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3" localSheetId="1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3" localSheetId="37">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4" localSheetId="25">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ata4" localSheetId="26">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ata4" localSheetId="28">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ata4" localSheetId="32">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ata4" localSheetId="9">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ata4" localSheetId="10">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ata4" localSheetId="11">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ata4" localSheetId="12">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ata4">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25">_xlfn.LAMBDA(_xlpm.Q_Transtq,_xlpm.EC_Transq,_xlpm.EF_Trans1tqg, [0]!Fuel_Equations.VEERG_8_FuelCombustion(_xlpm.Q_Transtq, _xlpm.EC_Transq, _xlpm.EF_Trans1tqg))</definedName>
    <definedName name="Fuel_Equations.VEERG_8_1_1_1__1_FuelCombustionTransport" localSheetId="22">_xlfn.LAMBDA(_xlpm.Q_Transtq,_xlpm.EC_Transq,_xlpm.EF_Trans1tqg, [0]!Fuel_Equations.VEERG_8_FuelCombustion(_xlpm.Q_Transtq, _xlpm.EC_Transq, _xlpm.EF_Trans1tqg))</definedName>
    <definedName name="Fuel_Equations.VEERG_8_1_1_1__1_FuelCombustionTransport" localSheetId="23">_xlfn.LAMBDA(_xlpm.Q_Transtq,_xlpm.EC_Transq,_xlpm.EF_Trans1tqg, [0]!Fuel_Equations.VEERG_8_FuelCombustion(_xlpm.Q_Transtq, _xlpm.EC_Transq, _xlpm.EF_Trans1tqg))</definedName>
    <definedName name="Fuel_Equations.VEERG_8_1_1_1__1_FuelCombustionTransport" localSheetId="26">_xlfn.LAMBDA(_xlpm.Q_Transtq,_xlpm.EC_Transq,_xlpm.EF_Trans1tqg, [0]!Fuel_Equations.VEERG_8_FuelCombustion(_xlpm.Q_Transtq, _xlpm.EC_Transq, _xlpm.EF_Trans1tqg))</definedName>
    <definedName name="Fuel_Equations.VEERG_8_1_1_1__1_FuelCombustionTransport" localSheetId="28">_xlfn.LAMBDA(_xlpm.Q_Transtq,_xlpm.EC_Transq,_xlpm.EF_Trans1tqg, [0]!Fuel_Equations.VEERG_8_FuelCombustion(_xlpm.Q_Transtq, _xlpm.EC_Transq, _xlpm.EF_Trans1tqg))</definedName>
    <definedName name="Fuel_Equations.VEERG_8_1_1_1__1_FuelCombustionTransport" localSheetId="31">_xlfn.LAMBDA(_xlpm.Q_Transtq,_xlpm.EC_Transq,_xlpm.EF_Trans1tqg, [0]!Fuel_Equations.VEERG_8_FuelCombustion(_xlpm.Q_Transtq, _xlpm.EC_Transq, _xlpm.EF_Trans1tqg))</definedName>
    <definedName name="Fuel_Equations.VEERG_8_1_1_1__1_FuelCombustionTransport" localSheetId="32">_xlfn.LAMBDA(_xlpm.Q_Transtq,_xlpm.EC_Transq,_xlpm.EF_Trans1tqg, [0]!Fuel_Equations.VEERG_8_FuelCombustion(_xlpm.Q_Transtq, _xlpm.EC_Transq, _xlpm.EF_Trans1tqg))</definedName>
    <definedName name="Fuel_Equations.VEERG_8_1_1_1__1_FuelCombustionTransport" localSheetId="9">_xlfn.LAMBDA(_xlpm.Q_Transtq,_xlpm.EC_Transq,_xlpm.EF_Trans1tqg, [0]!Fuel_Equations.VEERG_8_FuelCombustion(_xlpm.Q_Transtq, _xlpm.EC_Transq, _xlpm.EF_Trans1tqg))</definedName>
    <definedName name="Fuel_Equations.VEERG_8_1_1_1__1_FuelCombustionTransport" localSheetId="10">_xlfn.LAMBDA(_xlpm.Q_Transtq,_xlpm.EC_Transq,_xlpm.EF_Trans1tqg, [0]!Fuel_Equations.VEERG_8_FuelCombustion(_xlpm.Q_Transtq, _xlpm.EC_Transq, _xlpm.EF_Trans1tqg))</definedName>
    <definedName name="Fuel_Equations.VEERG_8_1_1_1__1_FuelCombustionTransport" localSheetId="11">_xlfn.LAMBDA(_xlpm.Q_Transtq,_xlpm.EC_Transq,_xlpm.EF_Trans1tqg, [0]!Fuel_Equations.VEERG_8_FuelCombustion(_xlpm.Q_Transtq, _xlpm.EC_Transq, _xlpm.EF_Trans1tqg))</definedName>
    <definedName name="Fuel_Equations.VEERG_8_1_1_1__1_FuelCombustionTransport" localSheetId="12">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25">_xlfn.LAMBDA(_xlpm.Q_SCq,_xlpm.EC_SCq,_xlpm.EF_SC1qg, [0]!Fuel_Equations.VEERG_8_FuelCombustion(_xlpm.Q_SCq, _xlpm.EC_SCq, _xlpm.EF_SC1qg))</definedName>
    <definedName name="Fuel_Equations.VEERG_8_2_1_1__1_FuelCombustionStationary" localSheetId="22">_xlfn.LAMBDA(_xlpm.Q_SCq,_xlpm.EC_SCq,_xlpm.EF_SC1qg, [0]!Fuel_Equations.VEERG_8_FuelCombustion(_xlpm.Q_SCq, _xlpm.EC_SCq, _xlpm.EF_SC1qg))</definedName>
    <definedName name="Fuel_Equations.VEERG_8_2_1_1__1_FuelCombustionStationary" localSheetId="23">_xlfn.LAMBDA(_xlpm.Q_SCq,_xlpm.EC_SCq,_xlpm.EF_SC1qg, [0]!Fuel_Equations.VEERG_8_FuelCombustion(_xlpm.Q_SCq, _xlpm.EC_SCq, _xlpm.EF_SC1qg))</definedName>
    <definedName name="Fuel_Equations.VEERG_8_2_1_1__1_FuelCombustionStationary" localSheetId="26">_xlfn.LAMBDA(_xlpm.Q_SCq,_xlpm.EC_SCq,_xlpm.EF_SC1qg, [0]!Fuel_Equations.VEERG_8_FuelCombustion(_xlpm.Q_SCq, _xlpm.EC_SCq, _xlpm.EF_SC1qg))</definedName>
    <definedName name="Fuel_Equations.VEERG_8_2_1_1__1_FuelCombustionStationary" localSheetId="28">_xlfn.LAMBDA(_xlpm.Q_SCq,_xlpm.EC_SCq,_xlpm.EF_SC1qg, [0]!Fuel_Equations.VEERG_8_FuelCombustion(_xlpm.Q_SCq, _xlpm.EC_SCq, _xlpm.EF_SC1qg))</definedName>
    <definedName name="Fuel_Equations.VEERG_8_2_1_1__1_FuelCombustionStationary" localSheetId="31">_xlfn.LAMBDA(_xlpm.Q_SCq,_xlpm.EC_SCq,_xlpm.EF_SC1qg, [0]!Fuel_Equations.VEERG_8_FuelCombustion(_xlpm.Q_SCq, _xlpm.EC_SCq, _xlpm.EF_SC1qg))</definedName>
    <definedName name="Fuel_Equations.VEERG_8_2_1_1__1_FuelCombustionStationary" localSheetId="32">_xlfn.LAMBDA(_xlpm.Q_SCq,_xlpm.EC_SCq,_xlpm.EF_SC1qg, [0]!Fuel_Equations.VEERG_8_FuelCombustion(_xlpm.Q_SCq, _xlpm.EC_SCq, _xlpm.EF_SC1qg))</definedName>
    <definedName name="Fuel_Equations.VEERG_8_2_1_1__1_FuelCombustionStationary" localSheetId="9">_xlfn.LAMBDA(_xlpm.Q_SCq,_xlpm.EC_SCq,_xlpm.EF_SC1qg, [0]!Fuel_Equations.VEERG_8_FuelCombustion(_xlpm.Q_SCq, _xlpm.EC_SCq, _xlpm.EF_SC1qg))</definedName>
    <definedName name="Fuel_Equations.VEERG_8_2_1_1__1_FuelCombustionStationary" localSheetId="10">_xlfn.LAMBDA(_xlpm.Q_SCq,_xlpm.EC_SCq,_xlpm.EF_SC1qg, [0]!Fuel_Equations.VEERG_8_FuelCombustion(_xlpm.Q_SCq, _xlpm.EC_SCq, _xlpm.EF_SC1qg))</definedName>
    <definedName name="Fuel_Equations.VEERG_8_2_1_1__1_FuelCombustionStationary" localSheetId="11">_xlfn.LAMBDA(_xlpm.Q_SCq,_xlpm.EC_SCq,_xlpm.EF_SC1qg, [0]!Fuel_Equations.VEERG_8_FuelCombustion(_xlpm.Q_SCq, _xlpm.EC_SCq, _xlpm.EF_SC1qg))</definedName>
    <definedName name="Fuel_Equations.VEERG_8_2_1_1__1_FuelCombustionStationary" localSheetId="12">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 localSheetId="25">_xlfn.LAMBDA(_xlpm.Cell, RIGHT(_xlpm.Cell, LEN(_xlpm.Cell) - FIND(", ", _xlpm.Cell)))</definedName>
    <definedName name="Fuel_InputFunctions.Fuel_GetStationaryFuelString" localSheetId="26">_xlfn.LAMBDA(_xlpm.Cell, RIGHT(_xlpm.Cell, LEN(_xlpm.Cell) - FIND(", ", _xlpm.Cell)))</definedName>
    <definedName name="Fuel_InputFunctions.Fuel_GetStationaryFuelString" localSheetId="28">_xlfn.LAMBDA(_xlpm.Cell, RIGHT(_xlpm.Cell, LEN(_xlpm.Cell) - FIND(", ", _xlpm.Cell)))</definedName>
    <definedName name="Fuel_InputFunctions.Fuel_GetStationaryFuelString" localSheetId="32">_xlfn.LAMBDA(_xlpm.Cell, RIGHT(_xlpm.Cell, LEN(_xlpm.Cell) - FIND(", ", _xlpm.Cell)))</definedName>
    <definedName name="Fuel_InputFunctions.Fuel_GetStationaryFuelString" localSheetId="9">_xlfn.LAMBDA(_xlpm.Cell, RIGHT(_xlpm.Cell, LEN(_xlpm.Cell) - FIND(", ", _xlpm.Cell)))</definedName>
    <definedName name="Fuel_InputFunctions.Fuel_GetStationaryFuelString" localSheetId="10">_xlfn.LAMBDA(_xlpm.Cell, RIGHT(_xlpm.Cell, LEN(_xlpm.Cell) - FIND(", ", _xlpm.Cell)))</definedName>
    <definedName name="Fuel_InputFunctions.Fuel_GetStationaryFuelString" localSheetId="11">_xlfn.LAMBDA(_xlpm.Cell, RIGHT(_xlpm.Cell, LEN(_xlpm.Cell) - FIND(", ", _xlpm.Cell)))</definedName>
    <definedName name="Fuel_InputFunctions.Fuel_GetStationaryFuelString" localSheetId="12">_xlfn.LAMBDA(_xlpm.Cell, RIGHT(_xlpm.Cell, LEN(_xlpm.Cell) - FIND(", ", _xlpm.Cell)))</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E_CO2">'5.1.1.3-4 Inorganic fert CO2'!$D$57:$E$76</definedName>
    <definedName name="M1_Table_E_N2O" localSheetId="20">'6.3.1.1-2 Leach runoff crop'!$N$44:$O$46</definedName>
    <definedName name="M1_Table_E_N2O">'5.1.1.1-2 Inorganic fert N2O'!$D$59:$E$78</definedName>
    <definedName name="M1_Table_E_N2O_Consumer_1" localSheetId="20">'6.3.1.1-2 Leach runoff crop'!$D$44:$E$46</definedName>
    <definedName name="M1_Table_M_leach_cp" localSheetId="20">'6.3.1.1-2 Leach runoff crop'!$D$23:$I$25</definedName>
    <definedName name="M2_Table_FertApplications">'5.1.1.1-2 Inorganic fert N2O'!$M$44:$W$59</definedName>
    <definedName name="M2_Table_M_leach_cp" localSheetId="20">'6.3.1.1-2 Leach runoff crop'!$N$23:$S$23</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esult_CarbonRemovalsFromPlantings">Results!$E$50</definedName>
    <definedName name="Result_EmissionsForWholeProductionCycle_Method1">Results!$E$39</definedName>
    <definedName name="Result_EmissionsForWholeProductionCycle_Method2">Results!$F$39</definedName>
    <definedName name="Result_Enterprise_Method1">Results!$H$25</definedName>
    <definedName name="Result_Enterprise_Method2">Results!$I$25</definedName>
    <definedName name="Result_NetEmissions_Method1">Results!$E$56</definedName>
    <definedName name="Result_NetEmissions_Method2">Results!$F$56</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25">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26">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28">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32">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9">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0">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1">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2">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25">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26">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28">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32">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9">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0">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1">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2">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 localSheetId="25">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26">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28">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32">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9">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0">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1">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2">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 localSheetId="25">_xlfn.LAMBDA(_xlpm.E_N2O,_xlpm.E_ad,_xlpm.E_leach, _xlpm.E_N2O + _xlpm.E_ad + _xlpm.E_leach)</definedName>
    <definedName name="Scope3_Equations.VEERG_15_13_1_3__1_EmissionsFromSolidWasteTreatmentFacility" localSheetId="26">_xlfn.LAMBDA(_xlpm.E_N2O,_xlpm.E_ad,_xlpm.E_leach, _xlpm.E_N2O + _xlpm.E_ad + _xlpm.E_leach)</definedName>
    <definedName name="Scope3_Equations.VEERG_15_13_1_3__1_EmissionsFromSolidWasteTreatmentFacility" localSheetId="28">_xlfn.LAMBDA(_xlpm.E_N2O,_xlpm.E_ad,_xlpm.E_leach, _xlpm.E_N2O + _xlpm.E_ad + _xlpm.E_leach)</definedName>
    <definedName name="Scope3_Equations.VEERG_15_13_1_3__1_EmissionsFromSolidWasteTreatmentFacility" localSheetId="32">_xlfn.LAMBDA(_xlpm.E_N2O,_xlpm.E_ad,_xlpm.E_leach, _xlpm.E_N2O + _xlpm.E_ad + _xlpm.E_leach)</definedName>
    <definedName name="Scope3_Equations.VEERG_15_13_1_3__1_EmissionsFromSolidWasteTreatmentFacility" localSheetId="9">_xlfn.LAMBDA(_xlpm.E_N2O,_xlpm.E_ad,_xlpm.E_leach, _xlpm.E_N2O + _xlpm.E_ad + _xlpm.E_leach)</definedName>
    <definedName name="Scope3_Equations.VEERG_15_13_1_3__1_EmissionsFromSolidWasteTreatmentFacility" localSheetId="10">_xlfn.LAMBDA(_xlpm.E_N2O,_xlpm.E_ad,_xlpm.E_leach, _xlpm.E_N2O + _xlpm.E_ad + _xlpm.E_leach)</definedName>
    <definedName name="Scope3_Equations.VEERG_15_13_1_3__1_EmissionsFromSolidWasteTreatmentFacility" localSheetId="11">_xlfn.LAMBDA(_xlpm.E_N2O,_xlpm.E_ad,_xlpm.E_leach, _xlpm.E_N2O + _xlpm.E_ad + _xlpm.E_leach)</definedName>
    <definedName name="Scope3_Equations.VEERG_15_13_1_3__1_EmissionsFromSolidWasteTreatmentFacility" localSheetId="12">_xlfn.LAMBDA(_xlpm.E_N2O,_xlpm.E_ad,_xlpm.E_leach, _xlpm.E_N2O + _xlpm.E_ad + _xlpm.E_leach)</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
    _xlfn.MAKEARRAY(5, 2,
      _xlfn.LAMBDA(_xlpm.r,_xlpm.c,
        INDEX({"Livestock Class j","Average Liveweight (kg)";"Chicken",1.3;"Hen &gt;/=1 yr",2;"Pullets",1.4;"Broilers",1.2}, _xlpm.r, _xlpm.c)
      )
    )
  )</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U_j_f">'5.1.1.3-4 Inorganic fert CO2'!$D$18:$G$37</definedName>
    <definedName name="Table_V_w_t_offsite">'10.1.1-2 Solid waste treatment'!$D$58:$E$92</definedName>
    <definedName name="Table_V_w_t_onsite">'10.1.1-2 Solid waste treatment'!$D$20:$E$54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5_1_1_1__1_InorganicFertiliserApplicationN2OEmissions_Result_Method1">'5.1.1.1-2 Inorganic fert N2O'!$E$80</definedName>
    <definedName name="VEERG_5_1_1_1__1_InorganicFertiliserApplicationN2OEmissions_Result_Method2">'5.1.1.1-2 Inorganic fert N2O'!$N$108</definedName>
    <definedName name="VEERG_5_1_1_3__1_InorganicFertiliserApplicationCO2Emissions_Result_Method1">'5.1.1.3-4 Inorganic fert CO2'!$E$78</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 localSheetId="25">'Calcs - Manure sent off-site'!$E$55</definedName>
    <definedName name="VEERG_5_4_1_3__1_OrganicFertiliserAtmosphericDepositionN2OEmissions_Result_Method1" localSheetId="26">'Calcs - Manure sent off-site'!$E$55</definedName>
    <definedName name="VEERG_5_4_1_3__1_OrganicFertiliserAtmosphericDepositionN2OEmissions_Result_Method1" localSheetId="28">'Calcs - Manure sent off-site'!$E$55</definedName>
    <definedName name="VEERG_5_4_1_3__1_OrganicFertiliserAtmosphericDepositionN2OEmissions_Result_Method1" localSheetId="32">'Calcs - Manure sent off-site'!$E$55</definedName>
    <definedName name="VEERG_5_4_1_3__1_OrganicFertiliserAtmosphericDepositionN2OEmissions_Result_Method1" localSheetId="9">'Calcs - Manure sent off-site'!$E$55</definedName>
    <definedName name="VEERG_5_4_1_3__1_OrganicFertiliserAtmosphericDepositionN2OEmissions_Result_Method1" localSheetId="10">'Calcs - Manure sent off-site'!$E$55</definedName>
    <definedName name="VEERG_5_4_1_3__1_OrganicFertiliserAtmosphericDepositionN2OEmissions_Result_Method1" localSheetId="11">'Calcs - Manure sent off-site'!$E$55</definedName>
    <definedName name="VEERG_5_4_1_3__1_OrganicFertiliserAtmosphericDepositionN2OEmissions_Result_Method1" localSheetId="12">'Calcs - Manure sent off-site'!$E$55</definedName>
    <definedName name="VEERG_5_4_1_3__1_OrganicFertiliserAtmosphericDepositionN2OEmissions_Result_Method1">'5.4.1.1-4 Atmos deposition'!$E$146</definedName>
    <definedName name="VEERG_5_4_1_3__1_OrganicFertiliserAtmosphericDepositionN2OEmissions_Result_Method2">'Calcs - Manure sent off-site'!$O$55</definedName>
    <definedName name="VEERG_5_5_1_1__1_FertiliserLeachingAndRunoffN2OEmissions_Result_Method1" localSheetId="25">'Calcs - Manure sent off-site'!$E$90</definedName>
    <definedName name="VEERG_5_5_1_1__1_FertiliserLeachingAndRunoffN2OEmissions_Result_Method1" localSheetId="26">'Calcs - Manure sent off-site'!$E$90</definedName>
    <definedName name="VEERG_5_5_1_1__1_FertiliserLeachingAndRunoffN2OEmissions_Result_Method1" localSheetId="28">'Calcs - Manure sent off-site'!$E$90</definedName>
    <definedName name="VEERG_5_5_1_1__1_FertiliserLeachingAndRunoffN2OEmissions_Result_Method1" localSheetId="32">'Calcs - Manure sent off-site'!$E$90</definedName>
    <definedName name="VEERG_5_5_1_1__1_FertiliserLeachingAndRunoffN2OEmissions_Result_Method1" localSheetId="9">'Calcs - Manure sent off-site'!$E$90</definedName>
    <definedName name="VEERG_5_5_1_1__1_FertiliserLeachingAndRunoffN2OEmissions_Result_Method1" localSheetId="10">'Calcs - Manure sent off-site'!$E$90</definedName>
    <definedName name="VEERG_5_5_1_1__1_FertiliserLeachingAndRunoffN2OEmissions_Result_Method1" localSheetId="11">'Calcs - Manure sent off-site'!$E$90</definedName>
    <definedName name="VEERG_5_5_1_1__1_FertiliserLeachingAndRunoffN2OEmissions_Result_Method1" localSheetId="12">'Calcs - Manure sent off-site'!$E$90</definedName>
    <definedName name="VEERG_5_5_1_1__1_FertiliserLeachingAndRunoffN2OEmissions_result_Method1">'5.5.1.1-2 Leaching and runoff'!$E$94</definedName>
    <definedName name="VEERG_5_5_1_1__1_FertiliserLeachingAndRunoffN2OEmissions_Result_Method2">'Calcs - Manure sent off-site'!$O$90</definedName>
    <definedName name="VEERG_6_1_1_1__1__NitrousOxideEmissionsFromCropResidues_Result_Method1">'6.1.1.1-2 Crop residue N2O'!$E$42</definedName>
    <definedName name="VEERG_6_1_1_1__1__NitrousOxideEmissionsFromCropResidues_Result_Method2">'6.1.1.1-2 Crop residue N2O'!$N$61</definedName>
    <definedName name="VEERG_6_1_1_1__2__MassOfNitrogenInCropResidues_Result_Method1">'6.1.1.1-2 Crop residue N2O'!$E$24</definedName>
    <definedName name="VEERG_6_1_1_1__2__MassOfNitrogenInCropResidues_Result_Method2">'6.1.1.1-2 Crop residue N2O'!$N$43</definedName>
    <definedName name="VEERG_6_1_1_2__1__FractionOfCropResidueRemovedBaled_Result">'6.1.1.1-2 Crop residue N2O'!$N$20</definedName>
    <definedName name="VEERG_6_3_1_1__1__LeachingAndRunoffEmissionsCropAndPastureResidue_CropOnly_Result_Method1">'6.3.1.1-2 Leach runoff crop'!$E$48</definedName>
    <definedName name="VEERG_6_3_1_1__1__LeachingAndRunoffEmissionsCropAndPastureResidue_CropOnly_Result_Method2">'6.3.1.1-2 Leach runoff crop'!$O$48</definedName>
    <definedName name="VEERG_6_3_1_1__1__LeachingAndRunoffEmissionsCropAndPastureResidue_Result_Method1" localSheetId="20">'6.3.1.1-2 Leach runoff crop'!$E$48</definedName>
    <definedName name="VEERG_6_3_1_1__1__LeachingAndRunoffEmissionsCropAndPastureResidue_Result_Method2" localSheetId="20">'6.3.1.1-2 Leach runoff crop'!$O$48</definedName>
    <definedName name="VEERG_6_4_1_1__1__MethaneEmissionsFromBurningOfCropResidues_Result_Method1">'6.4.1.1-2 Residue burning'!$E$62</definedName>
    <definedName name="VEERG_6_4_1_1__2__NitrousOxideEmissionsFromBurningOfCropResidues_Result_Method1">'6.4.1.1-2 Residue burning'!$E$39</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Crop_AreaUnderCropping">'Input - Crop'!$E$13</definedName>
    <definedName name="X_Cell_Crop_AverageWeightPerBale">'Input - Crop'!$E$34</definedName>
    <definedName name="X_Cell_Crop_CropPurpose">'Input - Crop'!$E$10</definedName>
    <definedName name="X_Cell_Crop_CropType">'Input - Crop'!$E$9</definedName>
    <definedName name="X_Cell_Crop_IrrigationMethod">'Input - Crop'!$E$11</definedName>
    <definedName name="X_Cell_Crop_NumberOfBales">'Input - Crop'!$E$35</definedName>
    <definedName name="X_Cell_Crop_PercentResidueBaled">'Input - Crop'!$E$33</definedName>
    <definedName name="X_Cell_Crop_PercentResidueBurned">'Input - Crop'!$E$39</definedName>
    <definedName name="X_Cell_Crop_TotalProductionOfCrop">'Input - Crop'!$E$22</definedName>
    <definedName name="X_Cell_Crop_TotalResidueBaled">'Input - Crop'!$E$36</definedName>
    <definedName name="X_Cell_Crop_YieldPerHectare">'Input - Crop'!$E$17</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PercentIncomeFromBaledHaySilage">'Input - Enterprise'!$E$33</definedName>
    <definedName name="X_Cell_Enterprise_PercentIncomeFromGrain">'Input - Enterprise'!$E$32</definedName>
    <definedName name="X_Cell_Enterprise_ProductionTimeframeEnd">'Input - Enterprise'!$E$19</definedName>
    <definedName name="X_Cell_Enterprise_ProductionTimeframeStart">'Input - Enterprise'!$E$18</definedName>
    <definedName name="X_Cell_FarmInputs_Seed_BarleyGrain">'Input - Crop pasture farm input'!$E$23</definedName>
    <definedName name="X_Cell_FarmInputs_Seed_MaizeGrain">'Input - Crop pasture farm input'!$E$24</definedName>
    <definedName name="X_Cell_FarmInputs_Seed_OatGrain">'Input - Crop pasture farm input'!$E$25</definedName>
    <definedName name="X_Cell_FarmInputs_Seed_SorghumGrain">'Input - Crop pasture farm input'!$E$26</definedName>
    <definedName name="X_Cell_FarmInputs_Seed_WheatGrain">'Input - Crop pasture farm input'!$E$27</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Result_ActivityPeriodEmissions_RowsToCols">Results!$D$33:$F$38</definedName>
    <definedName name="X_Table_Result_CarbonRemovalsFromPlantings_RowsToCols">Results!$D$44:$E$49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0" i="78" l="1"/>
  <c r="A49" i="78"/>
  <c r="A48" i="78"/>
  <c r="A47" i="78"/>
  <c r="A46" i="78"/>
  <c r="A45" i="78"/>
  <c r="A44" i="78"/>
  <c r="A43" i="78"/>
  <c r="A39" i="78"/>
  <c r="A38" i="78"/>
  <c r="A37" i="78"/>
  <c r="A36" i="78"/>
  <c r="A35" i="78"/>
  <c r="A34" i="78"/>
  <c r="A33" i="78"/>
  <c r="A32" i="78"/>
  <c r="A31" i="78"/>
  <c r="A30" i="78"/>
  <c r="A29" i="78"/>
  <c r="A28" i="78"/>
  <c r="A27" i="78"/>
  <c r="A26" i="78"/>
  <c r="A25" i="78"/>
  <c r="A21" i="78"/>
  <c r="A20" i="78"/>
  <c r="A19" i="78"/>
  <c r="A18" i="78"/>
  <c r="A17" i="78"/>
  <c r="A16" i="78"/>
  <c r="A15" i="78"/>
  <c r="A14" i="78"/>
  <c r="A13" i="78"/>
  <c r="A12" i="78"/>
  <c r="A11" i="78"/>
  <c r="A10" i="78"/>
  <c r="A9" i="78"/>
  <c r="A5" i="78"/>
  <c r="A4" i="78"/>
  <c r="A3" i="78"/>
  <c r="A50" i="110"/>
  <c r="A49" i="110"/>
  <c r="A48" i="110"/>
  <c r="A47" i="110"/>
  <c r="A46" i="110"/>
  <c r="A45" i="110"/>
  <c r="A44" i="110"/>
  <c r="A43" i="110"/>
  <c r="A39" i="110"/>
  <c r="A38" i="110"/>
  <c r="A37" i="110"/>
  <c r="A36" i="110"/>
  <c r="A35" i="110"/>
  <c r="A34" i="110"/>
  <c r="A33" i="110"/>
  <c r="A32" i="110"/>
  <c r="A31" i="110"/>
  <c r="A30" i="110"/>
  <c r="A29" i="110"/>
  <c r="A28" i="110"/>
  <c r="A27" i="110"/>
  <c r="A26" i="110"/>
  <c r="A25" i="110"/>
  <c r="A21" i="110"/>
  <c r="A20" i="110"/>
  <c r="A19" i="110"/>
  <c r="A18" i="110"/>
  <c r="A17" i="110"/>
  <c r="A16" i="110"/>
  <c r="A15" i="110"/>
  <c r="A14" i="110"/>
  <c r="A13" i="110"/>
  <c r="A12" i="110"/>
  <c r="A11" i="110"/>
  <c r="A10" i="110"/>
  <c r="A9" i="110"/>
  <c r="A5" i="110"/>
  <c r="A4" i="110"/>
  <c r="A3" i="110"/>
  <c r="A50" i="96"/>
  <c r="A49" i="96"/>
  <c r="A48" i="96"/>
  <c r="A47" i="96"/>
  <c r="A46" i="96"/>
  <c r="A45" i="96"/>
  <c r="A44" i="96"/>
  <c r="A43" i="96"/>
  <c r="A39" i="96"/>
  <c r="A38" i="96"/>
  <c r="A37" i="96"/>
  <c r="A36" i="96"/>
  <c r="A35" i="96"/>
  <c r="A34" i="96"/>
  <c r="A33" i="96"/>
  <c r="A32" i="96"/>
  <c r="A31" i="96"/>
  <c r="A30" i="96"/>
  <c r="A29" i="96"/>
  <c r="A28" i="96"/>
  <c r="A27" i="96"/>
  <c r="A26" i="96"/>
  <c r="A25" i="96"/>
  <c r="A21" i="96"/>
  <c r="A20" i="96"/>
  <c r="A19" i="96"/>
  <c r="A18" i="96"/>
  <c r="A17" i="96"/>
  <c r="A16" i="96"/>
  <c r="A15" i="96"/>
  <c r="A14" i="96"/>
  <c r="A13" i="96"/>
  <c r="A12" i="96"/>
  <c r="A11" i="96"/>
  <c r="A10" i="96"/>
  <c r="A9" i="96"/>
  <c r="A5" i="96"/>
  <c r="A4" i="96"/>
  <c r="A3" i="96"/>
  <c r="A50" i="95"/>
  <c r="A49" i="95"/>
  <c r="A48" i="95"/>
  <c r="A47" i="95"/>
  <c r="A46" i="95"/>
  <c r="A45" i="95"/>
  <c r="A44" i="95"/>
  <c r="A43" i="95"/>
  <c r="A39" i="95"/>
  <c r="A38" i="95"/>
  <c r="A37" i="95"/>
  <c r="A36" i="95"/>
  <c r="A35" i="95"/>
  <c r="A34" i="95"/>
  <c r="A33" i="95"/>
  <c r="A32" i="95"/>
  <c r="A31" i="95"/>
  <c r="A30" i="95"/>
  <c r="A29" i="95"/>
  <c r="A28" i="95"/>
  <c r="A27" i="95"/>
  <c r="A26" i="95"/>
  <c r="A25" i="95"/>
  <c r="A21" i="95"/>
  <c r="A20" i="95"/>
  <c r="A19" i="95"/>
  <c r="A18" i="95"/>
  <c r="A17" i="95"/>
  <c r="A16" i="95"/>
  <c r="A15" i="95"/>
  <c r="A14" i="95"/>
  <c r="A13" i="95"/>
  <c r="A12" i="95"/>
  <c r="A11" i="95"/>
  <c r="A10" i="95"/>
  <c r="A9" i="95"/>
  <c r="A5" i="95"/>
  <c r="A4" i="95"/>
  <c r="A3" i="95"/>
  <c r="A50" i="94"/>
  <c r="A49" i="94"/>
  <c r="A48" i="94"/>
  <c r="A47" i="94"/>
  <c r="A46" i="94"/>
  <c r="A45" i="94"/>
  <c r="A44" i="94"/>
  <c r="A43" i="94"/>
  <c r="A39" i="94"/>
  <c r="A38" i="94"/>
  <c r="A37" i="94"/>
  <c r="A36" i="94"/>
  <c r="A35" i="94"/>
  <c r="A34" i="94"/>
  <c r="A33" i="94"/>
  <c r="A32" i="94"/>
  <c r="A31" i="94"/>
  <c r="A30" i="94"/>
  <c r="A29" i="94"/>
  <c r="A28" i="94"/>
  <c r="A27" i="94"/>
  <c r="A26" i="94"/>
  <c r="A25" i="94"/>
  <c r="A21" i="94"/>
  <c r="A20" i="94"/>
  <c r="A19" i="94"/>
  <c r="A18" i="94"/>
  <c r="A17" i="94"/>
  <c r="A16" i="94"/>
  <c r="A15" i="94"/>
  <c r="A14" i="94"/>
  <c r="A13" i="94"/>
  <c r="A12" i="94"/>
  <c r="A11" i="94"/>
  <c r="A10" i="94"/>
  <c r="A9" i="94"/>
  <c r="A5" i="94"/>
  <c r="A4" i="94"/>
  <c r="A3" i="94"/>
  <c r="A50" i="74"/>
  <c r="A49" i="74"/>
  <c r="A48" i="74"/>
  <c r="A47" i="74"/>
  <c r="A46" i="74"/>
  <c r="A45" i="74"/>
  <c r="A44" i="74"/>
  <c r="A43" i="74"/>
  <c r="A39" i="74"/>
  <c r="A38" i="74"/>
  <c r="A37" i="74"/>
  <c r="A36" i="74"/>
  <c r="A35" i="74"/>
  <c r="A34" i="74"/>
  <c r="A33" i="74"/>
  <c r="A32" i="74"/>
  <c r="A31" i="74"/>
  <c r="A30" i="74"/>
  <c r="A29" i="74"/>
  <c r="A28" i="74"/>
  <c r="A27" i="74"/>
  <c r="A26" i="74"/>
  <c r="A25" i="74"/>
  <c r="A21" i="74"/>
  <c r="A20" i="74"/>
  <c r="A19" i="74"/>
  <c r="A18" i="74"/>
  <c r="A17" i="74"/>
  <c r="A16" i="74"/>
  <c r="A15" i="74"/>
  <c r="A14" i="74"/>
  <c r="A13" i="74"/>
  <c r="A12" i="74"/>
  <c r="A11" i="74"/>
  <c r="A10" i="74"/>
  <c r="A9" i="74"/>
  <c r="A5" i="74"/>
  <c r="A4" i="74"/>
  <c r="A3" i="74"/>
  <c r="A50" i="108"/>
  <c r="A49" i="108"/>
  <c r="A48" i="108"/>
  <c r="A47" i="108"/>
  <c r="A46" i="108"/>
  <c r="A45" i="108"/>
  <c r="A44" i="108"/>
  <c r="A43" i="108"/>
  <c r="A39" i="108"/>
  <c r="A38" i="108"/>
  <c r="A37" i="108"/>
  <c r="A36" i="108"/>
  <c r="A35" i="108"/>
  <c r="A34" i="108"/>
  <c r="A33" i="108"/>
  <c r="A32" i="108"/>
  <c r="A31" i="108"/>
  <c r="A30" i="108"/>
  <c r="A29" i="108"/>
  <c r="A28" i="108"/>
  <c r="A27" i="108"/>
  <c r="A26" i="108"/>
  <c r="A25" i="108"/>
  <c r="A21" i="108"/>
  <c r="A20" i="108"/>
  <c r="A19" i="108"/>
  <c r="A18" i="108"/>
  <c r="A17" i="108"/>
  <c r="A16" i="108"/>
  <c r="A15" i="108"/>
  <c r="A14" i="108"/>
  <c r="A13" i="108"/>
  <c r="A12" i="108"/>
  <c r="A11" i="108"/>
  <c r="A10" i="108"/>
  <c r="A9" i="108"/>
  <c r="A5" i="108"/>
  <c r="A4" i="108"/>
  <c r="A3" i="108"/>
  <c r="A50" i="93"/>
  <c r="A49" i="93"/>
  <c r="A48" i="93"/>
  <c r="A47" i="93"/>
  <c r="A46" i="93"/>
  <c r="A45" i="93"/>
  <c r="A44" i="93"/>
  <c r="A43" i="93"/>
  <c r="A39" i="93"/>
  <c r="A38" i="93"/>
  <c r="A37" i="93"/>
  <c r="A36" i="93"/>
  <c r="A35" i="93"/>
  <c r="A34" i="93"/>
  <c r="A33" i="93"/>
  <c r="A32" i="93"/>
  <c r="A31" i="93"/>
  <c r="A30" i="93"/>
  <c r="A29" i="93"/>
  <c r="A28" i="93"/>
  <c r="A27" i="93"/>
  <c r="A26" i="93"/>
  <c r="A25" i="93"/>
  <c r="A21" i="93"/>
  <c r="A20" i="93"/>
  <c r="A19" i="93"/>
  <c r="A18" i="93"/>
  <c r="A17" i="93"/>
  <c r="A16" i="93"/>
  <c r="A15" i="93"/>
  <c r="A14" i="93"/>
  <c r="A13" i="93"/>
  <c r="A12" i="93"/>
  <c r="A11" i="93"/>
  <c r="A10" i="93"/>
  <c r="A9" i="93"/>
  <c r="A5" i="93"/>
  <c r="A4" i="93"/>
  <c r="A3" i="93"/>
  <c r="A50" i="86"/>
  <c r="A49" i="86"/>
  <c r="A48" i="86"/>
  <c r="A47" i="86"/>
  <c r="A46" i="86"/>
  <c r="A45" i="86"/>
  <c r="A44" i="86"/>
  <c r="A43" i="86"/>
  <c r="A39" i="86"/>
  <c r="A38" i="86"/>
  <c r="A37" i="86"/>
  <c r="A36" i="86"/>
  <c r="A35" i="86"/>
  <c r="A34" i="86"/>
  <c r="A33" i="86"/>
  <c r="A32" i="86"/>
  <c r="A31" i="86"/>
  <c r="A30" i="86"/>
  <c r="A29" i="86"/>
  <c r="A28" i="86"/>
  <c r="A27" i="86"/>
  <c r="A26" i="86"/>
  <c r="A25" i="86"/>
  <c r="A21" i="86"/>
  <c r="A20" i="86"/>
  <c r="A19" i="86"/>
  <c r="A18" i="86"/>
  <c r="A17" i="86"/>
  <c r="A16" i="86"/>
  <c r="A15" i="86"/>
  <c r="A14" i="86"/>
  <c r="A13" i="86"/>
  <c r="A12" i="86"/>
  <c r="A11" i="86"/>
  <c r="A10" i="86"/>
  <c r="A9" i="86"/>
  <c r="A5" i="86"/>
  <c r="A4" i="86"/>
  <c r="A3" i="86"/>
  <c r="A50" i="89"/>
  <c r="A49" i="89"/>
  <c r="A48" i="89"/>
  <c r="A47" i="89"/>
  <c r="A46" i="89"/>
  <c r="A45" i="89"/>
  <c r="A44" i="89"/>
  <c r="A43" i="89"/>
  <c r="A39" i="89"/>
  <c r="A38" i="89"/>
  <c r="A37" i="89"/>
  <c r="A36" i="89"/>
  <c r="A35" i="89"/>
  <c r="A34" i="89"/>
  <c r="A33" i="89"/>
  <c r="A32" i="89"/>
  <c r="A31" i="89"/>
  <c r="A30" i="89"/>
  <c r="A29" i="89"/>
  <c r="A28" i="89"/>
  <c r="A27" i="89"/>
  <c r="A26" i="89"/>
  <c r="A25" i="89"/>
  <c r="A21" i="89"/>
  <c r="A20" i="89"/>
  <c r="A19" i="89"/>
  <c r="A18" i="89"/>
  <c r="A17" i="89"/>
  <c r="A16" i="89"/>
  <c r="A15" i="89"/>
  <c r="A14" i="89"/>
  <c r="A13" i="89"/>
  <c r="A12" i="89"/>
  <c r="A11" i="89"/>
  <c r="A10" i="89"/>
  <c r="A9" i="89"/>
  <c r="A5" i="89"/>
  <c r="A4" i="89"/>
  <c r="A3" i="89"/>
  <c r="A50" i="109"/>
  <c r="A49" i="109"/>
  <c r="A48" i="109"/>
  <c r="A47" i="109"/>
  <c r="A46" i="109"/>
  <c r="A45" i="109"/>
  <c r="A44" i="109"/>
  <c r="A43" i="109"/>
  <c r="A39" i="109"/>
  <c r="A38" i="109"/>
  <c r="A37" i="109"/>
  <c r="A36" i="109"/>
  <c r="A35" i="109"/>
  <c r="A34" i="109"/>
  <c r="A33" i="109"/>
  <c r="A32" i="109"/>
  <c r="A31" i="109"/>
  <c r="A30" i="109"/>
  <c r="A29" i="109"/>
  <c r="A28" i="109"/>
  <c r="A27" i="109"/>
  <c r="A26" i="109"/>
  <c r="A25" i="109"/>
  <c r="A21" i="109"/>
  <c r="A20" i="109"/>
  <c r="A19" i="109"/>
  <c r="A18" i="109"/>
  <c r="A17" i="109"/>
  <c r="A16" i="109"/>
  <c r="A15" i="109"/>
  <c r="A14" i="109"/>
  <c r="A13" i="109"/>
  <c r="A12" i="109"/>
  <c r="A11" i="109"/>
  <c r="A10" i="109"/>
  <c r="A9" i="109"/>
  <c r="A5" i="109"/>
  <c r="A4" i="109"/>
  <c r="A3" i="109"/>
  <c r="A50" i="101"/>
  <c r="A49" i="101"/>
  <c r="A48" i="101"/>
  <c r="A47" i="101"/>
  <c r="A46" i="101"/>
  <c r="A45" i="101"/>
  <c r="A44" i="101"/>
  <c r="A43" i="101"/>
  <c r="A39" i="101"/>
  <c r="A38" i="101"/>
  <c r="A37" i="101"/>
  <c r="A36" i="101"/>
  <c r="A35" i="101"/>
  <c r="A34" i="101"/>
  <c r="A33" i="101"/>
  <c r="A32" i="101"/>
  <c r="A31" i="101"/>
  <c r="A30" i="101"/>
  <c r="A29" i="101"/>
  <c r="A28" i="101"/>
  <c r="A27" i="101"/>
  <c r="A26" i="101"/>
  <c r="A25" i="101"/>
  <c r="A21" i="101"/>
  <c r="A20" i="101"/>
  <c r="A19" i="101"/>
  <c r="A18" i="101"/>
  <c r="A17" i="101"/>
  <c r="A16" i="101"/>
  <c r="A15" i="101"/>
  <c r="A14" i="101"/>
  <c r="A13" i="101"/>
  <c r="A12" i="101"/>
  <c r="A11" i="101"/>
  <c r="A10" i="101"/>
  <c r="A9" i="101"/>
  <c r="A5" i="101"/>
  <c r="A4" i="101"/>
  <c r="A3" i="101"/>
  <c r="A50" i="107"/>
  <c r="A49" i="107"/>
  <c r="A48" i="107"/>
  <c r="A47" i="107"/>
  <c r="A46" i="107"/>
  <c r="A45" i="107"/>
  <c r="A44" i="107"/>
  <c r="A43" i="107"/>
  <c r="A39" i="107"/>
  <c r="A38" i="107"/>
  <c r="A37" i="107"/>
  <c r="A36" i="107"/>
  <c r="A35" i="107"/>
  <c r="A34" i="107"/>
  <c r="A33" i="107"/>
  <c r="A32" i="107"/>
  <c r="A31" i="107"/>
  <c r="A30" i="107"/>
  <c r="A29" i="107"/>
  <c r="A28" i="107"/>
  <c r="A27" i="107"/>
  <c r="A26" i="107"/>
  <c r="A25" i="107"/>
  <c r="A21" i="107"/>
  <c r="A20" i="107"/>
  <c r="A19" i="107"/>
  <c r="A18" i="107"/>
  <c r="A17" i="107"/>
  <c r="A16" i="107"/>
  <c r="A15" i="107"/>
  <c r="A14" i="107"/>
  <c r="A13" i="107"/>
  <c r="A12" i="107"/>
  <c r="A11" i="107"/>
  <c r="A10" i="107"/>
  <c r="A9" i="107"/>
  <c r="A5" i="107"/>
  <c r="A4" i="107"/>
  <c r="A3" i="107"/>
  <c r="A50" i="106"/>
  <c r="A49" i="106"/>
  <c r="A48" i="106"/>
  <c r="A47" i="106"/>
  <c r="A46" i="106"/>
  <c r="A45" i="106"/>
  <c r="A44" i="106"/>
  <c r="A43" i="106"/>
  <c r="A39" i="106"/>
  <c r="A38" i="106"/>
  <c r="A37" i="106"/>
  <c r="A36" i="106"/>
  <c r="A35" i="106"/>
  <c r="A34" i="106"/>
  <c r="A33" i="106"/>
  <c r="A32" i="106"/>
  <c r="A31" i="106"/>
  <c r="A30" i="106"/>
  <c r="A29" i="106"/>
  <c r="A28" i="106"/>
  <c r="A27" i="106"/>
  <c r="A26" i="106"/>
  <c r="A25" i="106"/>
  <c r="A21" i="106"/>
  <c r="A20" i="106"/>
  <c r="A19" i="106"/>
  <c r="A18" i="106"/>
  <c r="A17" i="106"/>
  <c r="A16" i="106"/>
  <c r="A15" i="106"/>
  <c r="A14" i="106"/>
  <c r="A13" i="106"/>
  <c r="A12" i="106"/>
  <c r="A11" i="106"/>
  <c r="A10" i="106"/>
  <c r="A9" i="106"/>
  <c r="A5" i="106"/>
  <c r="A4" i="106"/>
  <c r="A3" i="106"/>
  <c r="A50" i="88"/>
  <c r="A49" i="88"/>
  <c r="A48" i="88"/>
  <c r="A47" i="88"/>
  <c r="A46" i="88"/>
  <c r="A45" i="88"/>
  <c r="A44" i="88"/>
  <c r="A43" i="88"/>
  <c r="A39" i="88"/>
  <c r="A38" i="88"/>
  <c r="A37" i="88"/>
  <c r="A36" i="88"/>
  <c r="A35" i="88"/>
  <c r="A34" i="88"/>
  <c r="A33" i="88"/>
  <c r="A32" i="88"/>
  <c r="A31" i="88"/>
  <c r="A30" i="88"/>
  <c r="A29" i="88"/>
  <c r="A28" i="88"/>
  <c r="A27" i="88"/>
  <c r="A26" i="88"/>
  <c r="A25" i="88"/>
  <c r="A21" i="88"/>
  <c r="A20" i="88"/>
  <c r="A19" i="88"/>
  <c r="A18" i="88"/>
  <c r="A17" i="88"/>
  <c r="A16" i="88"/>
  <c r="A15" i="88"/>
  <c r="A14" i="88"/>
  <c r="A13" i="88"/>
  <c r="A12" i="88"/>
  <c r="A11" i="88"/>
  <c r="A10" i="88"/>
  <c r="A9" i="88"/>
  <c r="A5" i="88"/>
  <c r="A4" i="88"/>
  <c r="A3" i="88"/>
  <c r="A50" i="92"/>
  <c r="A49" i="92"/>
  <c r="A48" i="92"/>
  <c r="A47" i="92"/>
  <c r="A46" i="92"/>
  <c r="A45" i="92"/>
  <c r="A44" i="92"/>
  <c r="A43" i="92"/>
  <c r="A39" i="92"/>
  <c r="A38" i="92"/>
  <c r="A37" i="92"/>
  <c r="A36" i="92"/>
  <c r="A35" i="92"/>
  <c r="A34" i="92"/>
  <c r="A33" i="92"/>
  <c r="A32" i="92"/>
  <c r="A31" i="92"/>
  <c r="A30" i="92"/>
  <c r="A29" i="92"/>
  <c r="A28" i="92"/>
  <c r="A27" i="92"/>
  <c r="A26" i="92"/>
  <c r="A25" i="92"/>
  <c r="A21" i="92"/>
  <c r="A20" i="92"/>
  <c r="A19" i="92"/>
  <c r="A18" i="92"/>
  <c r="A17" i="92"/>
  <c r="A16" i="92"/>
  <c r="A15" i="92"/>
  <c r="A14" i="92"/>
  <c r="A13" i="92"/>
  <c r="A12" i="92"/>
  <c r="A11" i="92"/>
  <c r="A10" i="92"/>
  <c r="A9" i="92"/>
  <c r="A5" i="92"/>
  <c r="A4" i="92"/>
  <c r="A3" i="92"/>
  <c r="A50" i="91"/>
  <c r="A49" i="91"/>
  <c r="A48" i="91"/>
  <c r="A47" i="91"/>
  <c r="A46" i="91"/>
  <c r="A45" i="91"/>
  <c r="A44" i="91"/>
  <c r="A43" i="91"/>
  <c r="A39" i="91"/>
  <c r="A38" i="91"/>
  <c r="A37" i="91"/>
  <c r="A36" i="91"/>
  <c r="A35" i="91"/>
  <c r="A34" i="91"/>
  <c r="A33" i="91"/>
  <c r="A32" i="91"/>
  <c r="A31" i="91"/>
  <c r="A30" i="91"/>
  <c r="A29" i="91"/>
  <c r="A28" i="91"/>
  <c r="A27" i="91"/>
  <c r="A26" i="91"/>
  <c r="A25" i="91"/>
  <c r="A21" i="91"/>
  <c r="A20" i="91"/>
  <c r="A19" i="91"/>
  <c r="A18" i="91"/>
  <c r="A17" i="91"/>
  <c r="A16" i="91"/>
  <c r="A15" i="91"/>
  <c r="A14" i="91"/>
  <c r="A13" i="91"/>
  <c r="A12" i="91"/>
  <c r="A11" i="91"/>
  <c r="A10" i="91"/>
  <c r="A9" i="91"/>
  <c r="A5" i="91"/>
  <c r="A4" i="91"/>
  <c r="A3" i="91"/>
  <c r="A50" i="100"/>
  <c r="A49" i="100"/>
  <c r="A48" i="100"/>
  <c r="A47" i="100"/>
  <c r="A46" i="100"/>
  <c r="A45" i="100"/>
  <c r="A44" i="100"/>
  <c r="A43" i="100"/>
  <c r="A39" i="100"/>
  <c r="A38" i="100"/>
  <c r="A37" i="100"/>
  <c r="A36" i="100"/>
  <c r="A35" i="100"/>
  <c r="A34" i="100"/>
  <c r="A33" i="100"/>
  <c r="A32" i="100"/>
  <c r="A31" i="100"/>
  <c r="A30" i="100"/>
  <c r="A29" i="100"/>
  <c r="A28" i="100"/>
  <c r="A27" i="100"/>
  <c r="A26" i="100"/>
  <c r="A25" i="100"/>
  <c r="A21" i="100"/>
  <c r="A20" i="100"/>
  <c r="A19" i="100"/>
  <c r="A18" i="100"/>
  <c r="A17" i="100"/>
  <c r="A16" i="100"/>
  <c r="A15" i="100"/>
  <c r="A14" i="100"/>
  <c r="A13" i="100"/>
  <c r="A12" i="100"/>
  <c r="A11" i="100"/>
  <c r="A10" i="100"/>
  <c r="A9" i="100"/>
  <c r="A5" i="100"/>
  <c r="A4" i="100"/>
  <c r="A3" i="100"/>
  <c r="A50" i="99"/>
  <c r="A49" i="99"/>
  <c r="A48" i="99"/>
  <c r="A47" i="99"/>
  <c r="A46" i="99"/>
  <c r="A45" i="99"/>
  <c r="A44" i="99"/>
  <c r="A43" i="99"/>
  <c r="A39" i="99"/>
  <c r="A38" i="99"/>
  <c r="A37" i="99"/>
  <c r="A36" i="99"/>
  <c r="A35" i="99"/>
  <c r="A34" i="99"/>
  <c r="A33" i="99"/>
  <c r="A32" i="99"/>
  <c r="A31" i="99"/>
  <c r="A30" i="99"/>
  <c r="A29" i="99"/>
  <c r="A28" i="99"/>
  <c r="A27" i="99"/>
  <c r="A26" i="99"/>
  <c r="A25" i="99"/>
  <c r="A21" i="99"/>
  <c r="A20" i="99"/>
  <c r="A19" i="99"/>
  <c r="A18" i="99"/>
  <c r="A17" i="99"/>
  <c r="A16" i="99"/>
  <c r="A15" i="99"/>
  <c r="A14" i="99"/>
  <c r="A13" i="99"/>
  <c r="A12" i="99"/>
  <c r="A11" i="99"/>
  <c r="A10" i="99"/>
  <c r="A9" i="99"/>
  <c r="A5" i="99"/>
  <c r="A4" i="99"/>
  <c r="A3" i="99"/>
  <c r="A50" i="98"/>
  <c r="A49" i="98"/>
  <c r="A48" i="98"/>
  <c r="A47" i="98"/>
  <c r="A46" i="98"/>
  <c r="A45" i="98"/>
  <c r="A44" i="98"/>
  <c r="A43" i="98"/>
  <c r="A39" i="98"/>
  <c r="A38" i="98"/>
  <c r="A37" i="98"/>
  <c r="A36" i="98"/>
  <c r="A35" i="98"/>
  <c r="A34" i="98"/>
  <c r="A33" i="98"/>
  <c r="A32" i="98"/>
  <c r="A31" i="98"/>
  <c r="A30" i="98"/>
  <c r="A29" i="98"/>
  <c r="A28" i="98"/>
  <c r="A27" i="98"/>
  <c r="A26" i="98"/>
  <c r="A25" i="98"/>
  <c r="A21" i="98"/>
  <c r="A20" i="98"/>
  <c r="A19" i="98"/>
  <c r="A18" i="98"/>
  <c r="A17" i="98"/>
  <c r="A16" i="98"/>
  <c r="A15" i="98"/>
  <c r="A14" i="98"/>
  <c r="A13" i="98"/>
  <c r="A12" i="98"/>
  <c r="A11" i="98"/>
  <c r="A10" i="98"/>
  <c r="A9" i="98"/>
  <c r="A5" i="98"/>
  <c r="A4" i="98"/>
  <c r="A3" i="98"/>
  <c r="A50" i="85"/>
  <c r="A49" i="85"/>
  <c r="A48" i="85"/>
  <c r="A47" i="85"/>
  <c r="A46" i="85"/>
  <c r="A45" i="85"/>
  <c r="A44" i="85"/>
  <c r="A43" i="85"/>
  <c r="A39" i="85"/>
  <c r="A38" i="85"/>
  <c r="A37" i="85"/>
  <c r="A36" i="85"/>
  <c r="A35" i="85"/>
  <c r="A34" i="85"/>
  <c r="A33" i="85"/>
  <c r="A32" i="85"/>
  <c r="A31" i="85"/>
  <c r="A30" i="85"/>
  <c r="A29" i="85"/>
  <c r="A28" i="85"/>
  <c r="A27" i="85"/>
  <c r="A26" i="85"/>
  <c r="A25" i="85"/>
  <c r="A21" i="85"/>
  <c r="A20" i="85"/>
  <c r="A19" i="85"/>
  <c r="A18" i="85"/>
  <c r="A17" i="85"/>
  <c r="A16" i="85"/>
  <c r="A15" i="85"/>
  <c r="A14" i="85"/>
  <c r="A13" i="85"/>
  <c r="A12" i="85"/>
  <c r="A11" i="85"/>
  <c r="A10" i="85"/>
  <c r="A9" i="85"/>
  <c r="A5" i="85"/>
  <c r="A4" i="85"/>
  <c r="A3" i="85"/>
  <c r="A50" i="84"/>
  <c r="A49" i="84"/>
  <c r="A48" i="84"/>
  <c r="A47" i="84"/>
  <c r="A46" i="84"/>
  <c r="A45" i="84"/>
  <c r="A44" i="84"/>
  <c r="A43" i="84"/>
  <c r="A39" i="84"/>
  <c r="A38" i="84"/>
  <c r="A37" i="84"/>
  <c r="A36" i="84"/>
  <c r="A35" i="84"/>
  <c r="A34" i="84"/>
  <c r="A33" i="84"/>
  <c r="A32" i="84"/>
  <c r="A31" i="84"/>
  <c r="A30" i="84"/>
  <c r="A29" i="84"/>
  <c r="A28" i="84"/>
  <c r="A27" i="84"/>
  <c r="A26" i="84"/>
  <c r="A25" i="84"/>
  <c r="A21" i="84"/>
  <c r="A20" i="84"/>
  <c r="A19" i="84"/>
  <c r="A18" i="84"/>
  <c r="A17" i="84"/>
  <c r="A16" i="84"/>
  <c r="A15" i="84"/>
  <c r="A14" i="84"/>
  <c r="A13" i="84"/>
  <c r="A12" i="84"/>
  <c r="A11" i="84"/>
  <c r="A10" i="84"/>
  <c r="A9" i="84"/>
  <c r="A5" i="84"/>
  <c r="A4" i="84"/>
  <c r="A3" i="84"/>
  <c r="A50" i="83"/>
  <c r="A49" i="83"/>
  <c r="A48" i="83"/>
  <c r="A47" i="83"/>
  <c r="A46" i="83"/>
  <c r="A45" i="83"/>
  <c r="A44" i="83"/>
  <c r="A43" i="83"/>
  <c r="A39" i="83"/>
  <c r="A38" i="83"/>
  <c r="A37" i="83"/>
  <c r="A36" i="83"/>
  <c r="A35" i="83"/>
  <c r="A34" i="83"/>
  <c r="A33" i="83"/>
  <c r="A32" i="83"/>
  <c r="A31" i="83"/>
  <c r="A30" i="83"/>
  <c r="A29" i="83"/>
  <c r="A28" i="83"/>
  <c r="A27" i="83"/>
  <c r="A26" i="83"/>
  <c r="A25" i="83"/>
  <c r="A21" i="83"/>
  <c r="A20" i="83"/>
  <c r="A19" i="83"/>
  <c r="A18" i="83"/>
  <c r="A17" i="83"/>
  <c r="A16" i="83"/>
  <c r="A15" i="83"/>
  <c r="A14" i="83"/>
  <c r="A13" i="83"/>
  <c r="A12" i="83"/>
  <c r="A11" i="83"/>
  <c r="A10" i="83"/>
  <c r="A9" i="83"/>
  <c r="A5" i="83"/>
  <c r="A4" i="83"/>
  <c r="A3" i="83"/>
  <c r="A50" i="82"/>
  <c r="A49" i="82"/>
  <c r="A48" i="82"/>
  <c r="A47" i="82"/>
  <c r="A46" i="82"/>
  <c r="A45" i="82"/>
  <c r="A44" i="82"/>
  <c r="A43" i="82"/>
  <c r="A39" i="82"/>
  <c r="A38" i="82"/>
  <c r="A37" i="82"/>
  <c r="A36" i="82"/>
  <c r="A35" i="82"/>
  <c r="A34" i="82"/>
  <c r="A33" i="82"/>
  <c r="A32" i="82"/>
  <c r="A31" i="82"/>
  <c r="A30" i="82"/>
  <c r="A29" i="82"/>
  <c r="A28" i="82"/>
  <c r="A27" i="82"/>
  <c r="A26" i="82"/>
  <c r="A25" i="82"/>
  <c r="A21" i="82"/>
  <c r="A20" i="82"/>
  <c r="A19" i="82"/>
  <c r="A18" i="82"/>
  <c r="A17" i="82"/>
  <c r="A16" i="82"/>
  <c r="A15" i="82"/>
  <c r="A14" i="82"/>
  <c r="A13" i="82"/>
  <c r="A12" i="82"/>
  <c r="A11" i="82"/>
  <c r="A10" i="82"/>
  <c r="A9" i="82"/>
  <c r="A5" i="82"/>
  <c r="A4" i="82"/>
  <c r="A3" i="82"/>
  <c r="A50" i="81"/>
  <c r="A49" i="81"/>
  <c r="A48" i="81"/>
  <c r="A47" i="81"/>
  <c r="A46" i="81"/>
  <c r="A45" i="81"/>
  <c r="A44" i="81"/>
  <c r="A43" i="81"/>
  <c r="A39" i="81"/>
  <c r="A38" i="81"/>
  <c r="A37" i="81"/>
  <c r="A36" i="81"/>
  <c r="A35" i="81"/>
  <c r="A34" i="81"/>
  <c r="A33" i="81"/>
  <c r="A32" i="81"/>
  <c r="A31" i="81"/>
  <c r="A30" i="81"/>
  <c r="A29" i="81"/>
  <c r="A28" i="81"/>
  <c r="A27" i="81"/>
  <c r="A26" i="81"/>
  <c r="A25" i="81"/>
  <c r="A21" i="81"/>
  <c r="A20" i="81"/>
  <c r="A19" i="81"/>
  <c r="A18" i="81"/>
  <c r="A17" i="81"/>
  <c r="A16" i="81"/>
  <c r="A15" i="81"/>
  <c r="A14" i="81"/>
  <c r="A13" i="81"/>
  <c r="A12" i="81"/>
  <c r="A11" i="81"/>
  <c r="A10" i="81"/>
  <c r="A9" i="81"/>
  <c r="A5" i="81"/>
  <c r="A4" i="81"/>
  <c r="A3" i="81"/>
  <c r="A50" i="80"/>
  <c r="A49" i="80"/>
  <c r="A48" i="80"/>
  <c r="A47" i="80"/>
  <c r="A46" i="80"/>
  <c r="A45" i="80"/>
  <c r="A44" i="80"/>
  <c r="A43" i="80"/>
  <c r="A39" i="80"/>
  <c r="A38" i="80"/>
  <c r="A37" i="80"/>
  <c r="A36" i="80"/>
  <c r="A35" i="80"/>
  <c r="A34" i="80"/>
  <c r="A33" i="80"/>
  <c r="A32" i="80"/>
  <c r="A31" i="80"/>
  <c r="A30" i="80"/>
  <c r="A29" i="80"/>
  <c r="A28" i="80"/>
  <c r="A27" i="80"/>
  <c r="A26" i="80"/>
  <c r="A25" i="80"/>
  <c r="A21" i="80"/>
  <c r="A20" i="80"/>
  <c r="A19" i="80"/>
  <c r="A18" i="80"/>
  <c r="A17" i="80"/>
  <c r="A16" i="80"/>
  <c r="A15" i="80"/>
  <c r="A14" i="80"/>
  <c r="A13" i="80"/>
  <c r="A12" i="80"/>
  <c r="A11" i="80"/>
  <c r="A10" i="80"/>
  <c r="A9" i="80"/>
  <c r="A5" i="80"/>
  <c r="A4" i="80"/>
  <c r="A3" i="80"/>
  <c r="A50" i="105"/>
  <c r="A49" i="105"/>
  <c r="A48" i="105"/>
  <c r="A47" i="105"/>
  <c r="A46" i="105"/>
  <c r="A45" i="105"/>
  <c r="A44" i="105"/>
  <c r="A43" i="105"/>
  <c r="A39" i="105"/>
  <c r="A38" i="105"/>
  <c r="A37" i="105"/>
  <c r="A36" i="105"/>
  <c r="A35" i="105"/>
  <c r="A34" i="105"/>
  <c r="A33" i="105"/>
  <c r="A32" i="105"/>
  <c r="A31" i="105"/>
  <c r="A30" i="105"/>
  <c r="A29" i="105"/>
  <c r="A28" i="105"/>
  <c r="A27" i="105"/>
  <c r="A26" i="105"/>
  <c r="A25" i="105"/>
  <c r="A21" i="105"/>
  <c r="A20" i="105"/>
  <c r="A19" i="105"/>
  <c r="A18" i="105"/>
  <c r="A17" i="105"/>
  <c r="A16" i="105"/>
  <c r="A15" i="105"/>
  <c r="A14" i="105"/>
  <c r="A13" i="105"/>
  <c r="A12" i="105"/>
  <c r="A11" i="105"/>
  <c r="A10" i="105"/>
  <c r="A9" i="105"/>
  <c r="A5" i="105"/>
  <c r="A4" i="105"/>
  <c r="A3" i="105"/>
  <c r="A50" i="104"/>
  <c r="A49" i="104"/>
  <c r="A48" i="104"/>
  <c r="A47" i="104"/>
  <c r="A46" i="104"/>
  <c r="A45" i="104"/>
  <c r="A44" i="104"/>
  <c r="A43" i="104"/>
  <c r="A39" i="104"/>
  <c r="A38" i="104"/>
  <c r="A37" i="104"/>
  <c r="A36" i="104"/>
  <c r="A35" i="104"/>
  <c r="A34" i="104"/>
  <c r="A33" i="104"/>
  <c r="A32" i="104"/>
  <c r="A31" i="104"/>
  <c r="A30" i="104"/>
  <c r="A29" i="104"/>
  <c r="A28" i="104"/>
  <c r="A27" i="104"/>
  <c r="A26" i="104"/>
  <c r="A25" i="104"/>
  <c r="A21" i="104"/>
  <c r="A20" i="104"/>
  <c r="A19" i="104"/>
  <c r="A18" i="104"/>
  <c r="A17" i="104"/>
  <c r="A16" i="104"/>
  <c r="A15" i="104"/>
  <c r="A14" i="104"/>
  <c r="A13" i="104"/>
  <c r="A12" i="104"/>
  <c r="A11" i="104"/>
  <c r="A10" i="104"/>
  <c r="A9" i="104"/>
  <c r="A5" i="104"/>
  <c r="A4" i="104"/>
  <c r="A3" i="104"/>
  <c r="A50" i="103"/>
  <c r="A49" i="103"/>
  <c r="A48" i="103"/>
  <c r="A47" i="103"/>
  <c r="A46" i="103"/>
  <c r="A45" i="103"/>
  <c r="A44" i="103"/>
  <c r="A43" i="103"/>
  <c r="A39" i="103"/>
  <c r="A38" i="103"/>
  <c r="A37" i="103"/>
  <c r="A36" i="103"/>
  <c r="A35" i="103"/>
  <c r="A34" i="103"/>
  <c r="A33" i="103"/>
  <c r="A32" i="103"/>
  <c r="A31" i="103"/>
  <c r="A30" i="103"/>
  <c r="A29" i="103"/>
  <c r="A28" i="103"/>
  <c r="A27" i="103"/>
  <c r="A26" i="103"/>
  <c r="A25" i="103"/>
  <c r="A21" i="103"/>
  <c r="A20" i="103"/>
  <c r="A19" i="103"/>
  <c r="A18" i="103"/>
  <c r="A17" i="103"/>
  <c r="A16" i="103"/>
  <c r="A15" i="103"/>
  <c r="A14" i="103"/>
  <c r="A13" i="103"/>
  <c r="A12" i="103"/>
  <c r="A11" i="103"/>
  <c r="A10" i="103"/>
  <c r="A9" i="103"/>
  <c r="A5" i="103"/>
  <c r="A4" i="103"/>
  <c r="A3" i="103"/>
  <c r="A50" i="102"/>
  <c r="A49" i="102"/>
  <c r="A48" i="102"/>
  <c r="A47" i="102"/>
  <c r="A46" i="102"/>
  <c r="A45" i="102"/>
  <c r="A44" i="102"/>
  <c r="A43" i="102"/>
  <c r="A39" i="102"/>
  <c r="A38" i="102"/>
  <c r="A37" i="102"/>
  <c r="A36" i="102"/>
  <c r="A35" i="102"/>
  <c r="A34" i="102"/>
  <c r="A33" i="102"/>
  <c r="A32" i="102"/>
  <c r="A31" i="102"/>
  <c r="A30" i="102"/>
  <c r="A29" i="102"/>
  <c r="A28" i="102"/>
  <c r="A27" i="102"/>
  <c r="A26" i="102"/>
  <c r="A25" i="102"/>
  <c r="A21" i="102"/>
  <c r="A20" i="102"/>
  <c r="A19" i="102"/>
  <c r="A18" i="102"/>
  <c r="A17" i="102"/>
  <c r="A16" i="102"/>
  <c r="A15" i="102"/>
  <c r="A14" i="102"/>
  <c r="A13" i="102"/>
  <c r="A12" i="102"/>
  <c r="A11" i="102"/>
  <c r="A10" i="102"/>
  <c r="A9" i="102"/>
  <c r="A5" i="102"/>
  <c r="A4" i="102"/>
  <c r="A3" i="102"/>
  <c r="A50" i="87"/>
  <c r="A49" i="87"/>
  <c r="A48" i="87"/>
  <c r="A47" i="87"/>
  <c r="A46" i="87"/>
  <c r="A45" i="87"/>
  <c r="A44" i="87"/>
  <c r="A43" i="87"/>
  <c r="A39" i="87"/>
  <c r="A38" i="87"/>
  <c r="A37" i="87"/>
  <c r="A36" i="87"/>
  <c r="A35" i="87"/>
  <c r="A34" i="87"/>
  <c r="A33" i="87"/>
  <c r="A32" i="87"/>
  <c r="A31" i="87"/>
  <c r="A30" i="87"/>
  <c r="A29" i="87"/>
  <c r="A28" i="87"/>
  <c r="A27" i="87"/>
  <c r="A26" i="87"/>
  <c r="A25" i="87"/>
  <c r="A21" i="87"/>
  <c r="A20" i="87"/>
  <c r="A19" i="87"/>
  <c r="A18" i="87"/>
  <c r="A17" i="87"/>
  <c r="A16" i="87"/>
  <c r="A15" i="87"/>
  <c r="A14" i="87"/>
  <c r="A13" i="87"/>
  <c r="A12" i="87"/>
  <c r="A11" i="87"/>
  <c r="A10" i="87"/>
  <c r="A9" i="87"/>
  <c r="A5" i="87"/>
  <c r="A4" i="87"/>
  <c r="A3" i="87"/>
  <c r="A50" i="90"/>
  <c r="A49" i="90"/>
  <c r="A48" i="90"/>
  <c r="A47" i="90"/>
  <c r="A46" i="90"/>
  <c r="A45" i="90"/>
  <c r="A44" i="90"/>
  <c r="A43" i="90"/>
  <c r="A39" i="90"/>
  <c r="A38" i="90"/>
  <c r="A37" i="90"/>
  <c r="A36" i="90"/>
  <c r="A35" i="90"/>
  <c r="A34" i="90"/>
  <c r="A33" i="90"/>
  <c r="A32" i="90"/>
  <c r="A31" i="90"/>
  <c r="A30" i="90"/>
  <c r="A29" i="90"/>
  <c r="A28" i="90"/>
  <c r="A27" i="90"/>
  <c r="A26" i="90"/>
  <c r="A25" i="90"/>
  <c r="A21" i="90"/>
  <c r="A20" i="90"/>
  <c r="A19" i="90"/>
  <c r="A18" i="90"/>
  <c r="A17" i="90"/>
  <c r="A16" i="90"/>
  <c r="A15" i="90"/>
  <c r="A14" i="90"/>
  <c r="A13" i="90"/>
  <c r="A12" i="90"/>
  <c r="A11" i="90"/>
  <c r="A10" i="90"/>
  <c r="A9" i="90"/>
  <c r="A5" i="90"/>
  <c r="A4" i="90"/>
  <c r="A3" i="90"/>
  <c r="A50" i="79"/>
  <c r="A49" i="79"/>
  <c r="A48" i="79"/>
  <c r="A47" i="79"/>
  <c r="A46" i="79"/>
  <c r="A45" i="79"/>
  <c r="A44" i="79"/>
  <c r="A43" i="79"/>
  <c r="A39" i="79"/>
  <c r="A38" i="79"/>
  <c r="A37" i="79"/>
  <c r="A36" i="79"/>
  <c r="A35" i="79"/>
  <c r="A34" i="79"/>
  <c r="A33" i="79"/>
  <c r="A32" i="79"/>
  <c r="A31" i="79"/>
  <c r="A30" i="79"/>
  <c r="A29" i="79"/>
  <c r="A28" i="79"/>
  <c r="A27" i="79"/>
  <c r="A26" i="79"/>
  <c r="A25" i="79"/>
  <c r="A21" i="79"/>
  <c r="A20" i="79"/>
  <c r="A19" i="79"/>
  <c r="A18" i="79"/>
  <c r="A17" i="79"/>
  <c r="A16" i="79"/>
  <c r="A15" i="79"/>
  <c r="A14" i="79"/>
  <c r="A13" i="79"/>
  <c r="A12" i="79"/>
  <c r="A11" i="79"/>
  <c r="A10" i="79"/>
  <c r="A9" i="79"/>
  <c r="A5" i="79"/>
  <c r="A4" i="79"/>
  <c r="A3" i="79"/>
  <c r="A50" i="76"/>
  <c r="A49" i="76"/>
  <c r="A48" i="76"/>
  <c r="A47" i="76"/>
  <c r="A46" i="76"/>
  <c r="A45" i="76"/>
  <c r="A44" i="76"/>
  <c r="A43" i="76"/>
  <c r="A39" i="76"/>
  <c r="A38" i="76"/>
  <c r="A37" i="76"/>
  <c r="A36" i="76"/>
  <c r="A35" i="76"/>
  <c r="A34" i="76"/>
  <c r="A33" i="76"/>
  <c r="A32" i="76"/>
  <c r="A31" i="76"/>
  <c r="A30" i="76"/>
  <c r="A29" i="76"/>
  <c r="A28" i="76"/>
  <c r="A27" i="76"/>
  <c r="A26" i="76"/>
  <c r="A25" i="76"/>
  <c r="A21" i="76"/>
  <c r="A20" i="76"/>
  <c r="A19" i="76"/>
  <c r="A18" i="76"/>
  <c r="A17" i="76"/>
  <c r="A16" i="76"/>
  <c r="A15" i="76"/>
  <c r="A14" i="76"/>
  <c r="A13" i="76"/>
  <c r="A12" i="76"/>
  <c r="A11" i="76"/>
  <c r="A10" i="76"/>
  <c r="A9" i="76"/>
  <c r="A5" i="76"/>
  <c r="A4" i="76"/>
  <c r="A3" i="76"/>
  <c r="A50" i="97"/>
  <c r="A49" i="97"/>
  <c r="A48" i="97"/>
  <c r="A47" i="97"/>
  <c r="A46" i="97"/>
  <c r="A45" i="97"/>
  <c r="A44" i="97"/>
  <c r="A43" i="97"/>
  <c r="A39" i="97"/>
  <c r="A38" i="97"/>
  <c r="A37" i="97"/>
  <c r="A36" i="97"/>
  <c r="A35" i="97"/>
  <c r="A34" i="97"/>
  <c r="A33" i="97"/>
  <c r="A32" i="97"/>
  <c r="A31" i="97"/>
  <c r="A30" i="97"/>
  <c r="A29" i="97"/>
  <c r="A28" i="97"/>
  <c r="A27" i="97"/>
  <c r="A26" i="97"/>
  <c r="A25" i="97"/>
  <c r="A21" i="97"/>
  <c r="A20" i="97"/>
  <c r="A19" i="97"/>
  <c r="A18" i="97"/>
  <c r="A17" i="97"/>
  <c r="A16" i="97"/>
  <c r="A15" i="97"/>
  <c r="A14" i="97"/>
  <c r="A13" i="97"/>
  <c r="A12" i="97"/>
  <c r="A11" i="97"/>
  <c r="A10" i="97"/>
  <c r="A9" i="97"/>
  <c r="A5" i="97"/>
  <c r="A4" i="97"/>
  <c r="A3" i="97"/>
  <c r="A50" i="75"/>
  <c r="A49" i="75"/>
  <c r="A48" i="75"/>
  <c r="A47" i="75"/>
  <c r="A46" i="75"/>
  <c r="A45" i="75"/>
  <c r="A44" i="75"/>
  <c r="A43" i="75"/>
  <c r="A39" i="75"/>
  <c r="A38" i="75"/>
  <c r="A37" i="75"/>
  <c r="A36" i="75"/>
  <c r="A35" i="75"/>
  <c r="A34" i="75"/>
  <c r="A33" i="75"/>
  <c r="A32" i="75"/>
  <c r="A31" i="75"/>
  <c r="A30" i="75"/>
  <c r="A29" i="75"/>
  <c r="A28" i="75"/>
  <c r="A27" i="75"/>
  <c r="A26" i="75"/>
  <c r="A25" i="75"/>
  <c r="A21" i="75"/>
  <c r="A20" i="75"/>
  <c r="A19" i="75"/>
  <c r="A18" i="75"/>
  <c r="A17" i="75"/>
  <c r="A16" i="75"/>
  <c r="A15" i="75"/>
  <c r="A14" i="75"/>
  <c r="A13" i="75"/>
  <c r="A12" i="75"/>
  <c r="A11" i="75"/>
  <c r="A10" i="75"/>
  <c r="A9" i="75"/>
  <c r="A5" i="75"/>
  <c r="A4" i="75"/>
  <c r="A3" i="75"/>
  <c r="A50" i="72"/>
  <c r="A49" i="72"/>
  <c r="A48" i="72"/>
  <c r="A47" i="72"/>
  <c r="A46" i="72"/>
  <c r="A45" i="72"/>
  <c r="A44" i="72"/>
  <c r="A43" i="72"/>
  <c r="A39" i="72"/>
  <c r="A38" i="72"/>
  <c r="A37" i="72"/>
  <c r="A36" i="72"/>
  <c r="A35" i="72"/>
  <c r="A34" i="72"/>
  <c r="A33" i="72"/>
  <c r="A32" i="72"/>
  <c r="A31" i="72"/>
  <c r="A30" i="72"/>
  <c r="A29" i="72"/>
  <c r="A28" i="72"/>
  <c r="A27" i="72"/>
  <c r="A26" i="72"/>
  <c r="A25" i="72"/>
  <c r="A21" i="72"/>
  <c r="A20" i="72"/>
  <c r="A19" i="72"/>
  <c r="A18" i="72"/>
  <c r="A17" i="72"/>
  <c r="A16" i="72"/>
  <c r="A15" i="72"/>
  <c r="A14" i="72"/>
  <c r="A13" i="72"/>
  <c r="A12" i="72"/>
  <c r="A11" i="72"/>
  <c r="A10" i="72"/>
  <c r="A9" i="72"/>
  <c r="A5" i="72"/>
  <c r="A4" i="72"/>
  <c r="A3" i="72"/>
  <c r="A50" i="13"/>
  <c r="A49" i="13"/>
  <c r="A48" i="13"/>
  <c r="A47" i="13"/>
  <c r="A46" i="13"/>
  <c r="A45" i="13"/>
  <c r="A44" i="13"/>
  <c r="A43" i="13"/>
  <c r="A39" i="13"/>
  <c r="A38" i="13"/>
  <c r="A37" i="13"/>
  <c r="A36" i="13"/>
  <c r="A35" i="13"/>
  <c r="A34" i="13"/>
  <c r="A33" i="13"/>
  <c r="A32" i="13"/>
  <c r="A31" i="13"/>
  <c r="A30" i="13"/>
  <c r="A29" i="13"/>
  <c r="A28" i="13"/>
  <c r="A27" i="13"/>
  <c r="A26" i="13"/>
  <c r="A25" i="13"/>
  <c r="A21" i="13"/>
  <c r="A20" i="13"/>
  <c r="A19" i="13"/>
  <c r="A18" i="13"/>
  <c r="A17" i="13"/>
  <c r="A16" i="13"/>
  <c r="A15" i="13"/>
  <c r="A14" i="13"/>
  <c r="A13" i="13"/>
  <c r="A12" i="13"/>
  <c r="A11" i="13"/>
  <c r="A10" i="13"/>
  <c r="A9" i="13"/>
  <c r="A5" i="13"/>
  <c r="A4" i="13"/>
  <c r="A3" i="13"/>
  <c r="A50" i="71"/>
  <c r="A49" i="71"/>
  <c r="A48" i="71"/>
  <c r="A47" i="71"/>
  <c r="A46" i="71"/>
  <c r="A45" i="71"/>
  <c r="A44" i="71"/>
  <c r="A43" i="71"/>
  <c r="A39" i="71"/>
  <c r="A38" i="71"/>
  <c r="A37" i="71"/>
  <c r="A36" i="71"/>
  <c r="A35" i="71"/>
  <c r="A34" i="71"/>
  <c r="A33" i="71"/>
  <c r="A32" i="71"/>
  <c r="A31" i="71"/>
  <c r="A30" i="71"/>
  <c r="A29" i="71"/>
  <c r="A28" i="71"/>
  <c r="A27" i="71"/>
  <c r="A26" i="71"/>
  <c r="A25" i="71"/>
  <c r="A21" i="71"/>
  <c r="A20" i="71"/>
  <c r="A19" i="71"/>
  <c r="A18" i="71"/>
  <c r="A17" i="71"/>
  <c r="A16" i="71"/>
  <c r="A15" i="71"/>
  <c r="A14" i="71"/>
  <c r="A13" i="71"/>
  <c r="A12" i="71"/>
  <c r="A11" i="71"/>
  <c r="A10" i="71"/>
  <c r="A9" i="71"/>
  <c r="A5" i="71"/>
  <c r="A4" i="71"/>
  <c r="A3" i="71"/>
  <c r="F627" i="106" a="1"/>
  <c r="F627" i="106" s="1"/>
  <c r="E627" i="106" a="1"/>
  <c r="E627" i="106" s="1"/>
  <c r="D627" i="106" a="1"/>
  <c r="D627" i="106" s="1"/>
  <c r="F609" i="106" a="1"/>
  <c r="F609" i="106" s="1"/>
  <c r="E609" i="106" a="1"/>
  <c r="E609" i="106" s="1"/>
  <c r="D609" i="106" a="1"/>
  <c r="D609" i="106" s="1"/>
  <c r="F490" i="106" a="1"/>
  <c r="F490" i="106" s="1"/>
  <c r="E490" i="106" a="1"/>
  <c r="E490" i="106" s="1"/>
  <c r="K490" i="106" s="1" a="1"/>
  <c r="K490" i="106" s="1"/>
  <c r="D490" i="106" a="1"/>
  <c r="D490" i="106" s="1"/>
  <c r="F448" i="106" a="1"/>
  <c r="F448" i="106" s="1"/>
  <c r="J448" i="106" s="1" a="1"/>
  <c r="J448" i="106" s="1"/>
  <c r="F430" i="106" a="1"/>
  <c r="F430" i="106" s="1"/>
  <c r="J430" i="106" s="1" a="1"/>
  <c r="J430" i="106" s="1"/>
  <c r="E430" i="106" a="1"/>
  <c r="E430" i="106" s="1"/>
  <c r="D430" i="106" a="1"/>
  <c r="D430" i="106" s="1"/>
  <c r="G336" i="106" a="1"/>
  <c r="G336" i="106" s="1"/>
  <c r="L336" i="106" s="1"/>
  <c r="F336" i="106" a="1"/>
  <c r="F336" i="106" s="1"/>
  <c r="E336" i="106" a="1"/>
  <c r="E336" i="106" s="1"/>
  <c r="D336" i="106" a="1"/>
  <c r="D336" i="106" s="1"/>
  <c r="D305" i="106" a="1"/>
  <c r="D305" i="106" s="1"/>
  <c r="AD237" i="106" a="1"/>
  <c r="AD237" i="106" s="1"/>
  <c r="AC237" i="106" a="1"/>
  <c r="AC237" i="106" s="1"/>
  <c r="Z237" i="106" a="1"/>
  <c r="Z237" i="106" s="1"/>
  <c r="Y237" i="106" a="1"/>
  <c r="Y237" i="106" s="1"/>
  <c r="V237" i="106" a="1"/>
  <c r="V237" i="106" s="1"/>
  <c r="U237" i="106" a="1"/>
  <c r="U237" i="106" s="1"/>
  <c r="R237" i="106" a="1"/>
  <c r="R237" i="106" s="1"/>
  <c r="Q237" i="106" a="1"/>
  <c r="Q237" i="106" s="1"/>
  <c r="P237" i="106" a="1"/>
  <c r="P237" i="106" s="1"/>
  <c r="O237" i="106" a="1"/>
  <c r="O237" i="106" s="1"/>
  <c r="D237" i="106" a="1"/>
  <c r="D237" i="106" s="1"/>
  <c r="D221" i="106" a="1"/>
  <c r="D221" i="106" s="1"/>
  <c r="D32" i="92"/>
  <c r="D25" i="92"/>
  <c r="M39" i="91" a="1"/>
  <c r="M39" i="91" s="1"/>
  <c r="F39" i="91"/>
  <c r="D37" i="91"/>
  <c r="D34" i="91"/>
  <c r="D33" i="91"/>
  <c r="D25" i="91"/>
  <c r="D75" i="85"/>
  <c r="D74" i="85"/>
  <c r="D73" i="85"/>
  <c r="D72" i="85"/>
  <c r="D71" i="85"/>
  <c r="D70" i="85"/>
  <c r="D69" i="85"/>
  <c r="D68" i="85"/>
  <c r="D134" i="84" a="1"/>
  <c r="D134" i="84" s="1"/>
  <c r="D102" i="84" a="1"/>
  <c r="D102" i="84" s="1"/>
  <c r="G25" i="83" a="1"/>
  <c r="G25" i="83" s="1"/>
  <c r="F25" i="83" a="1"/>
  <c r="F25" i="83" s="1"/>
  <c r="D25" i="83" a="1"/>
  <c r="D25" i="83" s="1"/>
  <c r="H20" i="82" a="1"/>
  <c r="H20" i="82" s="1"/>
  <c r="E20" i="82" a="1"/>
  <c r="E20" i="82" s="1"/>
  <c r="D20" i="82" a="1"/>
  <c r="D20" i="82" s="1"/>
  <c r="N97" i="80" a="1"/>
  <c r="N97" i="80" s="1"/>
  <c r="N87" i="80" a="1"/>
  <c r="N87" i="80" s="1"/>
  <c r="N55" i="80" a="1"/>
  <c r="N55" i="80" s="1"/>
  <c r="N45" i="80" a="1"/>
  <c r="N45" i="80" s="1"/>
  <c r="J21" i="90" a="1"/>
  <c r="J21" i="90" s="1"/>
  <c r="G21" i="90" a="1"/>
  <c r="G21" i="90" s="1"/>
  <c r="J20" i="90" a="1"/>
  <c r="J20" i="90" s="1"/>
  <c r="G20" i="90" a="1"/>
  <c r="G20" i="90" s="1"/>
  <c r="J19" i="90" a="1"/>
  <c r="J19" i="90" s="1"/>
  <c r="G19" i="90" a="1"/>
  <c r="G19" i="90" s="1"/>
  <c r="J18" i="90" a="1"/>
  <c r="J18" i="90" s="1"/>
  <c r="G18" i="90" a="1"/>
  <c r="G18" i="90" s="1"/>
  <c r="J17" i="90" a="1"/>
  <c r="J17" i="90" s="1"/>
  <c r="G17" i="90" a="1"/>
  <c r="G17" i="90" s="1"/>
  <c r="E65" i="109" a="1"/>
  <c r="E65" i="109" s="1"/>
  <c r="D65" i="109" a="1"/>
  <c r="D65" i="109" s="1"/>
  <c r="D63" i="109" a="1"/>
  <c r="D63" i="109" s="1"/>
  <c r="D62" i="109" a="1"/>
  <c r="D62" i="109" s="1"/>
  <c r="E60" i="109" a="1"/>
  <c r="E60" i="109" s="1"/>
  <c r="D60" i="109" a="1"/>
  <c r="D60" i="109" s="1"/>
  <c r="D58" i="109" a="1"/>
  <c r="D58" i="109" s="1"/>
  <c r="D57" i="109" a="1"/>
  <c r="D57" i="109" s="1"/>
  <c r="E55" i="109" a="1"/>
  <c r="E55" i="109" s="1"/>
  <c r="D55" i="109" a="1"/>
  <c r="D55" i="109" s="1"/>
  <c r="D53" i="109" a="1"/>
  <c r="D53" i="109" s="1"/>
  <c r="D52" i="109" a="1"/>
  <c r="D52" i="109" s="1"/>
  <c r="E50" i="109" a="1"/>
  <c r="E50" i="109" s="1"/>
  <c r="D50" i="109" a="1"/>
  <c r="D50" i="109" s="1"/>
  <c r="E49" i="109" a="1"/>
  <c r="E49" i="109" s="1"/>
  <c r="D49" i="109" a="1"/>
  <c r="D49" i="109" s="1"/>
  <c r="E48" i="109" a="1"/>
  <c r="E48" i="109" s="1"/>
  <c r="D48" i="109" a="1"/>
  <c r="D48" i="109" s="1"/>
  <c r="E47" i="109" a="1"/>
  <c r="E47" i="109" s="1"/>
  <c r="D47" i="109" a="1"/>
  <c r="D47" i="109" s="1"/>
  <c r="E46" i="109" a="1"/>
  <c r="E46" i="109" s="1"/>
  <c r="D46" i="109" a="1"/>
  <c r="D46" i="109" s="1"/>
  <c r="E45" i="109" a="1"/>
  <c r="E45" i="109" s="1"/>
  <c r="D45" i="109" a="1"/>
  <c r="D45" i="109" s="1"/>
  <c r="E44" i="109" a="1"/>
  <c r="E44" i="109" s="1"/>
  <c r="D44" i="109" a="1"/>
  <c r="D44" i="109" s="1"/>
  <c r="D42" i="109" a="1"/>
  <c r="D42" i="109" s="1"/>
  <c r="D41" i="109" a="1"/>
  <c r="D41" i="109" s="1"/>
  <c r="E39" i="109" a="1"/>
  <c r="E39" i="109" s="1"/>
  <c r="D39" i="109" a="1"/>
  <c r="D39" i="109" s="1"/>
  <c r="E38" i="109" a="1"/>
  <c r="E38" i="109" s="1"/>
  <c r="D38" i="109" a="1"/>
  <c r="D38" i="109" s="1"/>
  <c r="E37" i="109" a="1"/>
  <c r="E37" i="109" s="1"/>
  <c r="D37" i="109" a="1"/>
  <c r="D37" i="109" s="1"/>
  <c r="E36" i="109" a="1"/>
  <c r="E36" i="109" s="1"/>
  <c r="D36" i="109" a="1"/>
  <c r="D36" i="109" s="1"/>
  <c r="E35" i="109" a="1"/>
  <c r="E35" i="109" s="1"/>
  <c r="D35" i="109" a="1"/>
  <c r="D35" i="109" s="1"/>
  <c r="E34" i="109" a="1"/>
  <c r="E34" i="109" s="1"/>
  <c r="D34" i="109" a="1"/>
  <c r="D34" i="109" s="1"/>
  <c r="E33" i="109" a="1"/>
  <c r="E33" i="109" s="1"/>
  <c r="D33" i="109" a="1"/>
  <c r="D33" i="109" s="1"/>
  <c r="E32" i="109" a="1"/>
  <c r="E32" i="109" s="1"/>
  <c r="D32" i="109" a="1"/>
  <c r="D32" i="109" s="1"/>
  <c r="D30" i="109" a="1"/>
  <c r="D30" i="109" s="1"/>
  <c r="D29" i="109" a="1"/>
  <c r="D29" i="109" s="1"/>
  <c r="F27" i="109" a="1"/>
  <c r="F27" i="109" s="1"/>
  <c r="E27" i="109" a="1"/>
  <c r="E27" i="109" s="1"/>
  <c r="D27" i="109" a="1"/>
  <c r="D27" i="109" s="1"/>
  <c r="F26" i="109" a="1"/>
  <c r="F26" i="109" s="1"/>
  <c r="E26" i="109" a="1"/>
  <c r="E26" i="109" s="1"/>
  <c r="D26" i="109" a="1"/>
  <c r="D26" i="109" s="1"/>
  <c r="F25" i="109" a="1"/>
  <c r="F25" i="109" s="1"/>
  <c r="E25" i="109" a="1"/>
  <c r="E25" i="109" s="1"/>
  <c r="D25" i="109" a="1"/>
  <c r="D25" i="109" s="1"/>
  <c r="F24" i="109" a="1"/>
  <c r="F24" i="109" s="1"/>
  <c r="E24" i="109" a="1"/>
  <c r="E24" i="109" s="1"/>
  <c r="D24" i="109" a="1"/>
  <c r="D24" i="109" s="1"/>
  <c r="F23" i="109" a="1"/>
  <c r="F23" i="109" s="1"/>
  <c r="E23" i="109" a="1"/>
  <c r="E23" i="109" s="1"/>
  <c r="D23" i="109" a="1"/>
  <c r="D23" i="109" s="1"/>
  <c r="F22" i="109" a="1"/>
  <c r="F22" i="109" s="1"/>
  <c r="E22" i="109" a="1"/>
  <c r="E22" i="109" s="1"/>
  <c r="D22" i="109" a="1"/>
  <c r="D22" i="109" s="1"/>
  <c r="F21" i="109" a="1"/>
  <c r="F21" i="109" s="1"/>
  <c r="E21" i="109" a="1"/>
  <c r="E21" i="109" s="1"/>
  <c r="D21" i="109" a="1"/>
  <c r="D21" i="109" s="1"/>
  <c r="F20" i="109" a="1"/>
  <c r="F20" i="109" s="1"/>
  <c r="E20" i="109" a="1"/>
  <c r="E20" i="109" s="1"/>
  <c r="D20" i="109" a="1"/>
  <c r="D20" i="109" s="1"/>
  <c r="F19" i="109" a="1"/>
  <c r="F19" i="109" s="1"/>
  <c r="E19" i="109" a="1"/>
  <c r="E19" i="109" s="1"/>
  <c r="D19" i="109" a="1"/>
  <c r="D19" i="109" s="1"/>
  <c r="F18" i="109" a="1"/>
  <c r="F18" i="109" s="1"/>
  <c r="E18" i="109" a="1"/>
  <c r="E18" i="109" s="1"/>
  <c r="D18" i="109" a="1"/>
  <c r="D18" i="109" s="1"/>
  <c r="F17" i="109" a="1"/>
  <c r="F17" i="109" s="1"/>
  <c r="E17" i="109" a="1"/>
  <c r="E17" i="109" s="1"/>
  <c r="D17" i="109" a="1"/>
  <c r="D17" i="109" s="1"/>
  <c r="F16" i="109" a="1"/>
  <c r="F16" i="109" s="1"/>
  <c r="E16" i="109" a="1"/>
  <c r="E16" i="109" s="1"/>
  <c r="D16" i="109" a="1"/>
  <c r="D16" i="109" s="1"/>
  <c r="F15" i="109" a="1"/>
  <c r="F15" i="109" s="1"/>
  <c r="E15" i="109" a="1"/>
  <c r="E15" i="109" s="1"/>
  <c r="D15" i="109" a="1"/>
  <c r="D15" i="109" s="1"/>
  <c r="F14" i="109" a="1"/>
  <c r="F14" i="109" s="1"/>
  <c r="E14" i="109" a="1"/>
  <c r="E14" i="109" s="1"/>
  <c r="D14" i="109" a="1"/>
  <c r="D14" i="109" s="1"/>
  <c r="F13" i="109" a="1"/>
  <c r="F13" i="109" s="1"/>
  <c r="E13" i="109" a="1"/>
  <c r="E13" i="109" s="1"/>
  <c r="D13" i="109" a="1"/>
  <c r="D13" i="109" s="1"/>
  <c r="F12" i="109" a="1"/>
  <c r="F12" i="109" s="1"/>
  <c r="E12" i="109" a="1"/>
  <c r="E12" i="109" s="1"/>
  <c r="D12" i="109" a="1"/>
  <c r="D12" i="109" s="1"/>
  <c r="F11" i="109" a="1"/>
  <c r="F11" i="109" s="1"/>
  <c r="E11" i="109" a="1"/>
  <c r="E11" i="109" s="1"/>
  <c r="D11" i="109" a="1"/>
  <c r="D11" i="109" s="1"/>
  <c r="F10" i="109" a="1"/>
  <c r="F10" i="109" s="1"/>
  <c r="E10" i="109" a="1"/>
  <c r="E10" i="109" s="1"/>
  <c r="D10" i="109" a="1"/>
  <c r="D10" i="109" s="1"/>
  <c r="D8" i="109" a="1"/>
  <c r="D8" i="109" s="1"/>
  <c r="D7" i="109" a="1"/>
  <c r="D7" i="109" s="1"/>
  <c r="D6" i="109" a="1"/>
  <c r="D6" i="109" s="1"/>
  <c r="I237" i="108" a="1"/>
  <c r="I237" i="108" s="1"/>
  <c r="H237" i="108" a="1"/>
  <c r="H237" i="108" s="1"/>
  <c r="G237" i="108" a="1"/>
  <c r="G237" i="108" s="1"/>
  <c r="F237" i="108" a="1"/>
  <c r="F237" i="108" s="1"/>
  <c r="E237" i="108" a="1"/>
  <c r="E237" i="108" s="1"/>
  <c r="D237" i="108" a="1"/>
  <c r="D237" i="108" s="1"/>
  <c r="I236" i="108" a="1"/>
  <c r="I236" i="108" s="1"/>
  <c r="H236" i="108" a="1"/>
  <c r="H236" i="108" s="1"/>
  <c r="G236" i="108" a="1"/>
  <c r="G236" i="108" s="1"/>
  <c r="F236" i="108" a="1"/>
  <c r="F236" i="108" s="1"/>
  <c r="E236" i="108" a="1"/>
  <c r="E236" i="108" s="1"/>
  <c r="D236" i="108" a="1"/>
  <c r="D236" i="108" s="1"/>
  <c r="I235" i="108" a="1"/>
  <c r="I235" i="108" s="1"/>
  <c r="H235" i="108" a="1"/>
  <c r="H235" i="108" s="1"/>
  <c r="G235" i="108" a="1"/>
  <c r="G235" i="108" s="1"/>
  <c r="F235" i="108" a="1"/>
  <c r="F235" i="108" s="1"/>
  <c r="E235" i="108" a="1"/>
  <c r="E235" i="108" s="1"/>
  <c r="D235" i="108" a="1"/>
  <c r="D235" i="108" s="1"/>
  <c r="I231" i="108" a="1"/>
  <c r="I231" i="108" s="1"/>
  <c r="H231" i="108" a="1"/>
  <c r="H231" i="108" s="1"/>
  <c r="G231" i="108" a="1"/>
  <c r="G231" i="108" s="1"/>
  <c r="F231" i="108" a="1"/>
  <c r="F231" i="108" s="1"/>
  <c r="E231" i="108" a="1"/>
  <c r="E231" i="108" s="1"/>
  <c r="D231" i="108" a="1"/>
  <c r="D231" i="108" s="1"/>
  <c r="I230" i="108" a="1"/>
  <c r="I230" i="108" s="1"/>
  <c r="H230" i="108" a="1"/>
  <c r="H230" i="108" s="1"/>
  <c r="G230" i="108" a="1"/>
  <c r="G230" i="108" s="1"/>
  <c r="F230" i="108" a="1"/>
  <c r="F230" i="108" s="1"/>
  <c r="E230" i="108" a="1"/>
  <c r="E230" i="108" s="1"/>
  <c r="D230" i="108" a="1"/>
  <c r="D230" i="108" s="1"/>
  <c r="I229" i="108" a="1"/>
  <c r="I229" i="108" s="1"/>
  <c r="H229" i="108" a="1"/>
  <c r="H229" i="108" s="1"/>
  <c r="G229" i="108" a="1"/>
  <c r="G229" i="108" s="1"/>
  <c r="F229" i="108" a="1"/>
  <c r="F229" i="108" s="1"/>
  <c r="E229" i="108" a="1"/>
  <c r="E229" i="108" s="1"/>
  <c r="D229" i="108" a="1"/>
  <c r="D229" i="108" s="1"/>
  <c r="I228" i="108" a="1"/>
  <c r="I228" i="108" s="1"/>
  <c r="H228" i="108" a="1"/>
  <c r="H228" i="108" s="1"/>
  <c r="G228" i="108" a="1"/>
  <c r="G228" i="108" s="1"/>
  <c r="F228" i="108" a="1"/>
  <c r="F228" i="108" s="1"/>
  <c r="E228" i="108" a="1"/>
  <c r="E228" i="108" s="1"/>
  <c r="D228" i="108" a="1"/>
  <c r="D228" i="108" s="1"/>
  <c r="I227" i="108" a="1"/>
  <c r="I227" i="108" s="1"/>
  <c r="H227" i="108" a="1"/>
  <c r="H227" i="108" s="1"/>
  <c r="G227" i="108" a="1"/>
  <c r="G227" i="108" s="1"/>
  <c r="F227" i="108" a="1"/>
  <c r="F227" i="108" s="1"/>
  <c r="E227" i="108" a="1"/>
  <c r="E227" i="108" s="1"/>
  <c r="D227" i="108" a="1"/>
  <c r="D227" i="108" s="1"/>
  <c r="I226" i="108" a="1"/>
  <c r="I226" i="108" s="1"/>
  <c r="H226" i="108" a="1"/>
  <c r="H226" i="108" s="1"/>
  <c r="G226" i="108" a="1"/>
  <c r="G226" i="108" s="1"/>
  <c r="F226" i="108" a="1"/>
  <c r="F226" i="108" s="1"/>
  <c r="E226" i="108" a="1"/>
  <c r="E226" i="108" s="1"/>
  <c r="D226" i="108" a="1"/>
  <c r="D226" i="108" s="1"/>
  <c r="I225" i="108" a="1"/>
  <c r="I225" i="108" s="1"/>
  <c r="H225" i="108" a="1"/>
  <c r="H225" i="108" s="1"/>
  <c r="G225" i="108" a="1"/>
  <c r="G225" i="108" s="1"/>
  <c r="F225" i="108" a="1"/>
  <c r="F225" i="108" s="1"/>
  <c r="E225" i="108" a="1"/>
  <c r="E225" i="108" s="1"/>
  <c r="D225" i="108" a="1"/>
  <c r="D225" i="108" s="1"/>
  <c r="I224" i="108" a="1"/>
  <c r="I224" i="108" s="1"/>
  <c r="H224" i="108" a="1"/>
  <c r="H224" i="108" s="1"/>
  <c r="G224" i="108" a="1"/>
  <c r="G224" i="108" s="1"/>
  <c r="F224" i="108" a="1"/>
  <c r="F224" i="108" s="1"/>
  <c r="E224" i="108" a="1"/>
  <c r="E224" i="108" s="1"/>
  <c r="D224" i="108" a="1"/>
  <c r="D224" i="108" s="1"/>
  <c r="I223" i="108" a="1"/>
  <c r="I223" i="108" s="1"/>
  <c r="H223" i="108" a="1"/>
  <c r="H223" i="108" s="1"/>
  <c r="G223" i="108" a="1"/>
  <c r="G223" i="108" s="1"/>
  <c r="F223" i="108" a="1"/>
  <c r="F223" i="108" s="1"/>
  <c r="E223" i="108" a="1"/>
  <c r="E223" i="108" s="1"/>
  <c r="D223" i="108" a="1"/>
  <c r="D223" i="108" s="1"/>
  <c r="I222" i="108" a="1"/>
  <c r="I222" i="108" s="1"/>
  <c r="H222" i="108" a="1"/>
  <c r="H222" i="108" s="1"/>
  <c r="G222" i="108" a="1"/>
  <c r="G222" i="108" s="1"/>
  <c r="F222" i="108" a="1"/>
  <c r="F222" i="108" s="1"/>
  <c r="E222" i="108" a="1"/>
  <c r="E222" i="108" s="1"/>
  <c r="D222" i="108" a="1"/>
  <c r="D222" i="108" s="1"/>
  <c r="I221" i="108" a="1"/>
  <c r="I221" i="108" s="1"/>
  <c r="H221" i="108" a="1"/>
  <c r="H221" i="108" s="1"/>
  <c r="G221" i="108" a="1"/>
  <c r="G221" i="108" s="1"/>
  <c r="F221" i="108" a="1"/>
  <c r="F221" i="108" s="1"/>
  <c r="E221" i="108" a="1"/>
  <c r="E221" i="108" s="1"/>
  <c r="D221" i="108" a="1"/>
  <c r="D221" i="108" s="1"/>
  <c r="I220" i="108" a="1"/>
  <c r="I220" i="108" s="1"/>
  <c r="H220" i="108" a="1"/>
  <c r="H220" i="108" s="1"/>
  <c r="G220" i="108" a="1"/>
  <c r="G220" i="108" s="1"/>
  <c r="F220" i="108" a="1"/>
  <c r="F220" i="108" s="1"/>
  <c r="E220" i="108" a="1"/>
  <c r="E220" i="108" s="1"/>
  <c r="D220" i="108" a="1"/>
  <c r="D220" i="108" s="1"/>
  <c r="I216" i="108" a="1"/>
  <c r="I216" i="108" s="1"/>
  <c r="H216" i="108" a="1"/>
  <c r="H216" i="108" s="1"/>
  <c r="G216" i="108" a="1"/>
  <c r="G216" i="108" s="1"/>
  <c r="F216" i="108" a="1"/>
  <c r="F216" i="108" s="1"/>
  <c r="E216" i="108" a="1"/>
  <c r="E216" i="108" s="1"/>
  <c r="D216" i="108" a="1"/>
  <c r="D216" i="108" s="1"/>
  <c r="I215" i="108" a="1"/>
  <c r="I215" i="108" s="1"/>
  <c r="H215" i="108" a="1"/>
  <c r="H215" i="108" s="1"/>
  <c r="G215" i="108" a="1"/>
  <c r="G215" i="108" s="1"/>
  <c r="F215" i="108" a="1"/>
  <c r="F215" i="108" s="1"/>
  <c r="E215" i="108" a="1"/>
  <c r="E215" i="108" s="1"/>
  <c r="D215" i="108" a="1"/>
  <c r="D215" i="108" s="1"/>
  <c r="I214" i="108" a="1"/>
  <c r="I214" i="108" s="1"/>
  <c r="H214" i="108" a="1"/>
  <c r="H214" i="108" s="1"/>
  <c r="G214" i="108" a="1"/>
  <c r="G214" i="108" s="1"/>
  <c r="F214" i="108" a="1"/>
  <c r="F214" i="108" s="1"/>
  <c r="E214" i="108" a="1"/>
  <c r="E214" i="108" s="1"/>
  <c r="D214" i="108" a="1"/>
  <c r="D214" i="108" s="1"/>
  <c r="I213" i="108" a="1"/>
  <c r="I213" i="108" s="1"/>
  <c r="H213" i="108" a="1"/>
  <c r="H213" i="108" s="1"/>
  <c r="G213" i="108" a="1"/>
  <c r="G213" i="108" s="1"/>
  <c r="F213" i="108" a="1"/>
  <c r="F213" i="108" s="1"/>
  <c r="E213" i="108" a="1"/>
  <c r="E213" i="108" s="1"/>
  <c r="D213" i="108" a="1"/>
  <c r="D213" i="108" s="1"/>
  <c r="I209" i="108" a="1"/>
  <c r="I209" i="108" s="1"/>
  <c r="H209" i="108" a="1"/>
  <c r="H209" i="108" s="1"/>
  <c r="G209" i="108" a="1"/>
  <c r="G209" i="108" s="1"/>
  <c r="F209" i="108" a="1"/>
  <c r="F209" i="108" s="1"/>
  <c r="E209" i="108" a="1"/>
  <c r="E209" i="108" s="1"/>
  <c r="D27" i="103" s="1"/>
  <c r="D470" i="106" s="1"/>
  <c r="F470" i="106" s="1" a="1"/>
  <c r="F470" i="106" s="1"/>
  <c r="D209" i="108" a="1"/>
  <c r="D209" i="108" s="1"/>
  <c r="I208" i="108" a="1"/>
  <c r="I208" i="108" s="1"/>
  <c r="H208" i="108" a="1"/>
  <c r="H208" i="108" s="1"/>
  <c r="G208" i="108" a="1"/>
  <c r="G208" i="108" s="1"/>
  <c r="F208" i="108" a="1"/>
  <c r="F208" i="108" s="1"/>
  <c r="E208" i="108" a="1"/>
  <c r="E208" i="108" s="1"/>
  <c r="D26" i="103" s="1"/>
  <c r="D469" i="106" s="1"/>
  <c r="F469" i="106" s="1" a="1"/>
  <c r="F469" i="106" s="1"/>
  <c r="D208" i="108" a="1"/>
  <c r="D208" i="108" s="1"/>
  <c r="I207" i="108" a="1"/>
  <c r="I207" i="108" s="1"/>
  <c r="H207" i="108" a="1"/>
  <c r="H207" i="108" s="1"/>
  <c r="G207" i="108" a="1"/>
  <c r="G207" i="108" s="1"/>
  <c r="F207" i="108" a="1"/>
  <c r="F207" i="108" s="1"/>
  <c r="E207" i="108" a="1"/>
  <c r="E207" i="108" s="1"/>
  <c r="D25" i="103" s="1"/>
  <c r="D468" i="106" s="1"/>
  <c r="D207" i="108" a="1"/>
  <c r="D207" i="108" s="1"/>
  <c r="I206" i="108" a="1"/>
  <c r="I206" i="108" s="1"/>
  <c r="H206" i="108" a="1"/>
  <c r="H206" i="108" s="1"/>
  <c r="G206" i="108" a="1"/>
  <c r="G206" i="108" s="1"/>
  <c r="F206" i="108" a="1"/>
  <c r="F206" i="108" s="1"/>
  <c r="E206" i="108" a="1"/>
  <c r="E206" i="108" s="1"/>
  <c r="D206" i="108" a="1"/>
  <c r="D206" i="108" s="1"/>
  <c r="I205" i="108" a="1"/>
  <c r="I205" i="108" s="1"/>
  <c r="H205" i="108" a="1"/>
  <c r="H205" i="108" s="1"/>
  <c r="G205" i="108" a="1"/>
  <c r="G205" i="108" s="1"/>
  <c r="F205" i="108" a="1"/>
  <c r="F205" i="108" s="1"/>
  <c r="E205" i="108" a="1"/>
  <c r="E205" i="108" s="1"/>
  <c r="D24" i="103" s="1"/>
  <c r="D467" i="106" s="1"/>
  <c r="D205" i="108" a="1"/>
  <c r="D205" i="108" s="1"/>
  <c r="I204" i="108" a="1"/>
  <c r="I204" i="108" s="1"/>
  <c r="H204" i="108" a="1"/>
  <c r="H204" i="108" s="1"/>
  <c r="G204" i="108" a="1"/>
  <c r="G204" i="108" s="1"/>
  <c r="F204" i="108" a="1"/>
  <c r="F204" i="108" s="1"/>
  <c r="E204" i="108" a="1"/>
  <c r="E204" i="108" s="1"/>
  <c r="D23" i="103" s="1"/>
  <c r="D466" i="106" s="1"/>
  <c r="D204" i="108" a="1"/>
  <c r="D204" i="108" s="1"/>
  <c r="I203" i="108" a="1"/>
  <c r="I203" i="108" s="1"/>
  <c r="H203" i="108" a="1"/>
  <c r="H203" i="108" s="1"/>
  <c r="G203" i="108" a="1"/>
  <c r="G203" i="108" s="1"/>
  <c r="F203" i="108" a="1"/>
  <c r="F203" i="108" s="1"/>
  <c r="E203" i="108" a="1"/>
  <c r="E203" i="108" s="1"/>
  <c r="D203" i="108" a="1"/>
  <c r="D203" i="108" s="1"/>
  <c r="I202" i="108" a="1"/>
  <c r="I202" i="108" s="1"/>
  <c r="H202" i="108" a="1"/>
  <c r="H202" i="108" s="1"/>
  <c r="G202" i="108" a="1"/>
  <c r="G202" i="108" s="1"/>
  <c r="F202" i="108" a="1"/>
  <c r="F202" i="108" s="1"/>
  <c r="E202" i="108" a="1"/>
  <c r="E202" i="108" s="1"/>
  <c r="D202" i="108" a="1"/>
  <c r="D202" i="108" s="1"/>
  <c r="M198" i="108" a="1"/>
  <c r="M198" i="108" s="1"/>
  <c r="L198" i="108" a="1"/>
  <c r="L198" i="108" s="1"/>
  <c r="K198" i="108" a="1"/>
  <c r="K198" i="108" s="1"/>
  <c r="F198" i="108" a="1"/>
  <c r="F198" i="108" s="1"/>
  <c r="E198" i="108" a="1"/>
  <c r="E198" i="108" s="1"/>
  <c r="D198" i="108" a="1"/>
  <c r="D198" i="108" s="1"/>
  <c r="M197" i="108" a="1"/>
  <c r="M197" i="108" s="1"/>
  <c r="L197" i="108" a="1"/>
  <c r="L197" i="108" s="1"/>
  <c r="K197" i="108" a="1"/>
  <c r="K197" i="108" s="1"/>
  <c r="F197" i="108" a="1"/>
  <c r="F197" i="108" s="1"/>
  <c r="E197" i="108" a="1"/>
  <c r="E197" i="108" s="1"/>
  <c r="D197" i="108" a="1"/>
  <c r="D197" i="108" s="1"/>
  <c r="M196" i="108" a="1"/>
  <c r="M196" i="108" s="1"/>
  <c r="L196" i="108" a="1"/>
  <c r="L196" i="108" s="1"/>
  <c r="K196" i="108" a="1"/>
  <c r="K196" i="108" s="1"/>
  <c r="F196" i="108" a="1"/>
  <c r="F196" i="108" s="1"/>
  <c r="E196" i="108" a="1"/>
  <c r="E196" i="108" s="1"/>
  <c r="D196" i="108" a="1"/>
  <c r="D196" i="108" s="1"/>
  <c r="M195" i="108" a="1"/>
  <c r="M195" i="108" s="1"/>
  <c r="L195" i="108" a="1"/>
  <c r="L195" i="108" s="1"/>
  <c r="K195" i="108" a="1"/>
  <c r="K195" i="108" s="1"/>
  <c r="F195" i="108" a="1"/>
  <c r="F195" i="108" s="1"/>
  <c r="E195" i="108" a="1"/>
  <c r="E195" i="108" s="1"/>
  <c r="D195" i="108" a="1"/>
  <c r="D195" i="108" s="1"/>
  <c r="M194" i="108" a="1"/>
  <c r="M194" i="108" s="1"/>
  <c r="L194" i="108" a="1"/>
  <c r="L194" i="108" s="1"/>
  <c r="K194" i="108" a="1"/>
  <c r="K194" i="108" s="1"/>
  <c r="F194" i="108" a="1"/>
  <c r="F194" i="108" s="1"/>
  <c r="E194" i="108" a="1"/>
  <c r="E194" i="108" s="1"/>
  <c r="D194" i="108" a="1"/>
  <c r="D194" i="108" s="1"/>
  <c r="M193" i="108" a="1"/>
  <c r="M193" i="108" s="1"/>
  <c r="L193" i="108" a="1"/>
  <c r="L193" i="108" s="1"/>
  <c r="K193" i="108" a="1"/>
  <c r="K193" i="108" s="1"/>
  <c r="F193" i="108" a="1"/>
  <c r="F193" i="108" s="1"/>
  <c r="E193" i="108" a="1"/>
  <c r="E193" i="108" s="1"/>
  <c r="D193" i="108" a="1"/>
  <c r="D193" i="108" s="1"/>
  <c r="M192" i="108" a="1"/>
  <c r="M192" i="108" s="1"/>
  <c r="L192" i="108" a="1"/>
  <c r="L192" i="108" s="1"/>
  <c r="K192" i="108" a="1"/>
  <c r="K192" i="108" s="1"/>
  <c r="F192" i="108" a="1"/>
  <c r="F192" i="108" s="1"/>
  <c r="E192" i="108" a="1"/>
  <c r="E192" i="108" s="1"/>
  <c r="D192" i="108" a="1"/>
  <c r="D192" i="108" s="1"/>
  <c r="M191" i="108" a="1"/>
  <c r="M191" i="108" s="1"/>
  <c r="L191" i="108" a="1"/>
  <c r="L191" i="108" s="1"/>
  <c r="K191" i="108" a="1"/>
  <c r="K191" i="108" s="1"/>
  <c r="F191" i="108" a="1"/>
  <c r="F191" i="108" s="1"/>
  <c r="E191" i="108" a="1"/>
  <c r="E191" i="108" s="1"/>
  <c r="D191" i="108" a="1"/>
  <c r="D191" i="108" s="1"/>
  <c r="M190" i="108" a="1"/>
  <c r="M190" i="108" s="1"/>
  <c r="L190" i="108" a="1"/>
  <c r="L190" i="108" s="1"/>
  <c r="K190" i="108" a="1"/>
  <c r="K190" i="108" s="1"/>
  <c r="F190" i="108" a="1"/>
  <c r="F190" i="108" s="1"/>
  <c r="E190" i="108" a="1"/>
  <c r="E190" i="108" s="1"/>
  <c r="D190" i="108" a="1"/>
  <c r="D190" i="108" s="1"/>
  <c r="M189" i="108" a="1"/>
  <c r="M189" i="108" s="1"/>
  <c r="L189" i="108" a="1"/>
  <c r="L189" i="108" s="1"/>
  <c r="K189" i="108" a="1"/>
  <c r="K189" i="108" s="1"/>
  <c r="F189" i="108" a="1"/>
  <c r="F189" i="108" s="1"/>
  <c r="E189" i="108" a="1"/>
  <c r="E189" i="108" s="1"/>
  <c r="D189" i="108" a="1"/>
  <c r="D189" i="108" s="1"/>
  <c r="M188" i="108" a="1"/>
  <c r="M188" i="108" s="1"/>
  <c r="L188" i="108" a="1"/>
  <c r="L188" i="108" s="1"/>
  <c r="K188" i="108" a="1"/>
  <c r="K188" i="108" s="1"/>
  <c r="F188" i="108" a="1"/>
  <c r="F188" i="108" s="1"/>
  <c r="E188" i="108" a="1"/>
  <c r="E188" i="108" s="1"/>
  <c r="D188" i="108" a="1"/>
  <c r="D188" i="108" s="1"/>
  <c r="M187" i="108" a="1"/>
  <c r="M187" i="108" s="1"/>
  <c r="L187" i="108" a="1"/>
  <c r="L187" i="108" s="1"/>
  <c r="K187" i="108" a="1"/>
  <c r="K187" i="108" s="1"/>
  <c r="F187" i="108" a="1"/>
  <c r="F187" i="108" s="1"/>
  <c r="E187" i="108" a="1"/>
  <c r="E187" i="108" s="1"/>
  <c r="D187" i="108" a="1"/>
  <c r="D187" i="108" s="1"/>
  <c r="M186" i="108" a="1"/>
  <c r="M186" i="108" s="1"/>
  <c r="L186" i="108" a="1"/>
  <c r="L186" i="108" s="1"/>
  <c r="K186" i="108" a="1"/>
  <c r="K186" i="108" s="1"/>
  <c r="F186" i="108" a="1"/>
  <c r="F186" i="108" s="1"/>
  <c r="E186" i="108" a="1"/>
  <c r="E186" i="108" s="1"/>
  <c r="D186" i="108" a="1"/>
  <c r="D186" i="108" s="1"/>
  <c r="M185" i="108" a="1"/>
  <c r="M185" i="108" s="1"/>
  <c r="L185" i="108" a="1"/>
  <c r="L185" i="108" s="1"/>
  <c r="K185" i="108" a="1"/>
  <c r="K185" i="108" s="1"/>
  <c r="F185" i="108" a="1"/>
  <c r="F185" i="108" s="1"/>
  <c r="E185" i="108" a="1"/>
  <c r="E185" i="108" s="1"/>
  <c r="D185" i="108" a="1"/>
  <c r="D185" i="108" s="1"/>
  <c r="M184" i="108" a="1"/>
  <c r="M184" i="108" s="1"/>
  <c r="L184" i="108" a="1"/>
  <c r="L184" i="108" s="1"/>
  <c r="K184" i="108" a="1"/>
  <c r="K184" i="108" s="1"/>
  <c r="F184" i="108" a="1"/>
  <c r="F184" i="108" s="1"/>
  <c r="E184" i="108" a="1"/>
  <c r="E184" i="108" s="1"/>
  <c r="D184" i="108" a="1"/>
  <c r="D184" i="108" s="1"/>
  <c r="M183" i="108" a="1"/>
  <c r="M183" i="108" s="1"/>
  <c r="L183" i="108" a="1"/>
  <c r="L183" i="108" s="1"/>
  <c r="K183" i="108" a="1"/>
  <c r="K183" i="108" s="1"/>
  <c r="F183" i="108" a="1"/>
  <c r="F183" i="108" s="1"/>
  <c r="E183" i="108" a="1"/>
  <c r="E183" i="108" s="1"/>
  <c r="D183" i="108" a="1"/>
  <c r="D183" i="108" s="1"/>
  <c r="M182" i="108" a="1"/>
  <c r="M182" i="108" s="1"/>
  <c r="L182" i="108" a="1"/>
  <c r="L182" i="108" s="1"/>
  <c r="K182" i="108" a="1"/>
  <c r="K182" i="108" s="1"/>
  <c r="F182" i="108" a="1"/>
  <c r="F182" i="108" s="1"/>
  <c r="E182" i="108" a="1"/>
  <c r="E182" i="108" s="1"/>
  <c r="D182" i="108" a="1"/>
  <c r="D182" i="108" s="1"/>
  <c r="M181" i="108" a="1"/>
  <c r="M181" i="108" s="1"/>
  <c r="L181" i="108" a="1"/>
  <c r="L181" i="108" s="1"/>
  <c r="K181" i="108" a="1"/>
  <c r="K181" i="108" s="1"/>
  <c r="F181" i="108" a="1"/>
  <c r="F181" i="108" s="1"/>
  <c r="E181" i="108" a="1"/>
  <c r="E181" i="108" s="1"/>
  <c r="D181" i="108" a="1"/>
  <c r="D181" i="108" s="1"/>
  <c r="M180" i="108" a="1"/>
  <c r="M180" i="108" s="1"/>
  <c r="L180" i="108" a="1"/>
  <c r="L180" i="108" s="1"/>
  <c r="K180" i="108" a="1"/>
  <c r="K180" i="108" s="1"/>
  <c r="F180" i="108" a="1"/>
  <c r="F180" i="108" s="1"/>
  <c r="E180" i="108" a="1"/>
  <c r="E180" i="108" s="1"/>
  <c r="D180" i="108" a="1"/>
  <c r="D180" i="108" s="1"/>
  <c r="M179" i="108" a="1"/>
  <c r="M179" i="108" s="1"/>
  <c r="L179" i="108" a="1"/>
  <c r="L179" i="108" s="1"/>
  <c r="K179" i="108" a="1"/>
  <c r="K179" i="108" s="1"/>
  <c r="F179" i="108" a="1"/>
  <c r="F179" i="108" s="1"/>
  <c r="E179" i="108" a="1"/>
  <c r="E179" i="108" s="1"/>
  <c r="D179" i="108" a="1"/>
  <c r="D179" i="108" s="1"/>
  <c r="M178" i="108" a="1"/>
  <c r="M178" i="108" s="1"/>
  <c r="L178" i="108" a="1"/>
  <c r="L178" i="108" s="1"/>
  <c r="K178" i="108" a="1"/>
  <c r="K178" i="108" s="1"/>
  <c r="F178" i="108" a="1"/>
  <c r="F178" i="108" s="1"/>
  <c r="E178" i="108" a="1"/>
  <c r="E178" i="108" s="1"/>
  <c r="D178" i="108" a="1"/>
  <c r="D178" i="108" s="1"/>
  <c r="M177" i="108" a="1"/>
  <c r="M177" i="108" s="1"/>
  <c r="L177" i="108" a="1"/>
  <c r="L177" i="108" s="1"/>
  <c r="K177" i="108" a="1"/>
  <c r="K177" i="108" s="1"/>
  <c r="F177" i="108" a="1"/>
  <c r="F177" i="108" s="1"/>
  <c r="E177" i="108" a="1"/>
  <c r="E177" i="108" s="1"/>
  <c r="D177" i="108" a="1"/>
  <c r="D177" i="108" s="1"/>
  <c r="M176" i="108" a="1"/>
  <c r="M176" i="108" s="1"/>
  <c r="L176" i="108" a="1"/>
  <c r="L176" i="108" s="1"/>
  <c r="K176" i="108" a="1"/>
  <c r="K176" i="108" s="1"/>
  <c r="F176" i="108" a="1"/>
  <c r="F176" i="108" s="1"/>
  <c r="E176" i="108" a="1"/>
  <c r="E176" i="108" s="1"/>
  <c r="D176" i="108" a="1"/>
  <c r="D176" i="108" s="1"/>
  <c r="M175" i="108" a="1"/>
  <c r="M175" i="108" s="1"/>
  <c r="L175" i="108" a="1"/>
  <c r="L175" i="108" s="1"/>
  <c r="K175" i="108" a="1"/>
  <c r="K175" i="108" s="1"/>
  <c r="F175" i="108" a="1"/>
  <c r="F175" i="108" s="1"/>
  <c r="E175" i="108" a="1"/>
  <c r="E175" i="108" s="1"/>
  <c r="D175" i="108" a="1"/>
  <c r="D175" i="108" s="1"/>
  <c r="M174" i="108" a="1"/>
  <c r="M174" i="108" s="1"/>
  <c r="L174" i="108" a="1"/>
  <c r="L174" i="108" s="1"/>
  <c r="K174" i="108" a="1"/>
  <c r="K174" i="108" s="1"/>
  <c r="F174" i="108" a="1"/>
  <c r="F174" i="108" s="1"/>
  <c r="E174" i="108" a="1"/>
  <c r="E174" i="108" s="1"/>
  <c r="D174" i="108" a="1"/>
  <c r="D174" i="108" s="1"/>
  <c r="I170" i="108" a="1"/>
  <c r="I170" i="108" s="1"/>
  <c r="H170" i="108" a="1"/>
  <c r="H170" i="108" s="1"/>
  <c r="G170" i="108" a="1"/>
  <c r="G170" i="108" s="1"/>
  <c r="F170" i="108" a="1"/>
  <c r="F170" i="108" s="1"/>
  <c r="E170" i="108" a="1"/>
  <c r="E170" i="108" s="1"/>
  <c r="D170" i="108" a="1"/>
  <c r="D170" i="108" s="1"/>
  <c r="I169" i="108" a="1"/>
  <c r="I169" i="108" s="1"/>
  <c r="H169" i="108" a="1"/>
  <c r="H169" i="108" s="1"/>
  <c r="G169" i="108" a="1"/>
  <c r="G169" i="108" s="1"/>
  <c r="F169" i="108" a="1"/>
  <c r="F169" i="108" s="1"/>
  <c r="E169" i="108" a="1"/>
  <c r="E169" i="108" s="1"/>
  <c r="D169" i="108" a="1"/>
  <c r="D169" i="108" s="1"/>
  <c r="I168" i="108" a="1"/>
  <c r="I168" i="108" s="1"/>
  <c r="H168" i="108" a="1"/>
  <c r="H168" i="108" s="1"/>
  <c r="G168" i="108" a="1"/>
  <c r="G168" i="108" s="1"/>
  <c r="F168" i="108" a="1"/>
  <c r="F168" i="108" s="1"/>
  <c r="E168" i="108" a="1"/>
  <c r="E168" i="108" s="1"/>
  <c r="D168" i="108" a="1"/>
  <c r="D168" i="108" s="1"/>
  <c r="I165" i="108" a="1"/>
  <c r="I165" i="108" s="1"/>
  <c r="H165" i="108" a="1"/>
  <c r="H165" i="108" s="1"/>
  <c r="G165" i="108" a="1"/>
  <c r="G165" i="108" s="1"/>
  <c r="F165" i="108" a="1"/>
  <c r="F165" i="108" s="1"/>
  <c r="E165" i="108" a="1"/>
  <c r="E165" i="108" s="1"/>
  <c r="D165" i="108" a="1"/>
  <c r="D165" i="108" s="1"/>
  <c r="I164" i="108" a="1"/>
  <c r="I164" i="108" s="1"/>
  <c r="H164" i="108" a="1"/>
  <c r="H164" i="108" s="1"/>
  <c r="G164" i="108" a="1"/>
  <c r="G164" i="108" s="1"/>
  <c r="F164" i="108" a="1"/>
  <c r="F164" i="108" s="1"/>
  <c r="E164" i="108" a="1"/>
  <c r="E164" i="108" s="1"/>
  <c r="D164" i="108" a="1"/>
  <c r="D164" i="108" s="1"/>
  <c r="I163" i="108" a="1"/>
  <c r="I163" i="108" s="1"/>
  <c r="H163" i="108" a="1"/>
  <c r="H163" i="108" s="1"/>
  <c r="G163" i="108" a="1"/>
  <c r="G163" i="108" s="1"/>
  <c r="F163" i="108" a="1"/>
  <c r="F163" i="108" s="1"/>
  <c r="E163" i="108" a="1"/>
  <c r="E163" i="108" s="1"/>
  <c r="D163" i="108" a="1"/>
  <c r="D163" i="108" s="1"/>
  <c r="I162" i="108" a="1"/>
  <c r="I162" i="108" s="1"/>
  <c r="H162" i="108" a="1"/>
  <c r="H162" i="108" s="1"/>
  <c r="G162" i="108" a="1"/>
  <c r="G162" i="108" s="1"/>
  <c r="F162" i="108" a="1"/>
  <c r="F162" i="108" s="1"/>
  <c r="E162" i="108" a="1"/>
  <c r="E162" i="108" s="1"/>
  <c r="D162" i="108" a="1"/>
  <c r="D162" i="108" s="1"/>
  <c r="I159" i="108" a="1"/>
  <c r="I159" i="108" s="1"/>
  <c r="H159" i="108" a="1"/>
  <c r="H159" i="108" s="1"/>
  <c r="G159" i="108" a="1"/>
  <c r="G159" i="108" s="1"/>
  <c r="F159" i="108" a="1"/>
  <c r="F159" i="108" s="1"/>
  <c r="O159" i="108" s="1"/>
  <c r="E159" i="108" a="1"/>
  <c r="E159" i="108" s="1"/>
  <c r="N159" i="108" s="1"/>
  <c r="P158" i="108" s="1"/>
  <c r="D159" i="108" a="1"/>
  <c r="D159" i="108" s="1"/>
  <c r="I158" i="108" a="1"/>
  <c r="I158" i="108" s="1"/>
  <c r="H158" i="108" a="1"/>
  <c r="H158" i="108" s="1"/>
  <c r="G158" i="108" a="1"/>
  <c r="G158" i="108" s="1"/>
  <c r="F158" i="108" a="1"/>
  <c r="F158" i="108" s="1"/>
  <c r="L158" i="108" s="1"/>
  <c r="E158" i="108" a="1"/>
  <c r="E158" i="108" s="1"/>
  <c r="K158" i="108" s="1"/>
  <c r="M157" i="108" s="1"/>
  <c r="D158" i="108" a="1"/>
  <c r="D158" i="108" s="1"/>
  <c r="I157" i="108" a="1"/>
  <c r="I157" i="108" s="1"/>
  <c r="H157" i="108" a="1"/>
  <c r="H157" i="108" s="1"/>
  <c r="G157" i="108" a="1"/>
  <c r="G157" i="108" s="1"/>
  <c r="F157" i="108" a="1"/>
  <c r="F157" i="108" s="1"/>
  <c r="O157" i="108" s="1"/>
  <c r="E157" i="108" a="1"/>
  <c r="E157" i="108" s="1"/>
  <c r="N157" i="108" s="1"/>
  <c r="P156" i="108" s="1"/>
  <c r="D157" i="108" a="1"/>
  <c r="D157" i="108" s="1"/>
  <c r="I156" i="108" a="1"/>
  <c r="I156" i="108" s="1"/>
  <c r="H156" i="108" a="1"/>
  <c r="H156" i="108" s="1"/>
  <c r="G156" i="108" a="1"/>
  <c r="G156" i="108" s="1"/>
  <c r="F156" i="108" a="1"/>
  <c r="F156" i="108" s="1"/>
  <c r="L156" i="108" s="1"/>
  <c r="E156" i="108" a="1"/>
  <c r="E156" i="108" s="1"/>
  <c r="K156" i="108" s="1"/>
  <c r="M155" i="108" s="1"/>
  <c r="D156" i="108" a="1"/>
  <c r="D156" i="108" s="1"/>
  <c r="I155" i="108" a="1"/>
  <c r="I155" i="108" s="1"/>
  <c r="H155" i="108" a="1"/>
  <c r="H155" i="108" s="1"/>
  <c r="G155" i="108" a="1"/>
  <c r="G155" i="108" s="1"/>
  <c r="F155" i="108" a="1"/>
  <c r="F155" i="108" s="1"/>
  <c r="O155" i="108" s="1"/>
  <c r="E155" i="108" a="1"/>
  <c r="E155" i="108" s="1"/>
  <c r="N155" i="108" s="1"/>
  <c r="P154" i="108" s="1"/>
  <c r="D155" i="108" a="1"/>
  <c r="D155" i="108" s="1"/>
  <c r="I154" i="108" a="1"/>
  <c r="I154" i="108" s="1"/>
  <c r="H154" i="108" a="1"/>
  <c r="H154" i="108" s="1"/>
  <c r="G154" i="108" a="1"/>
  <c r="G154" i="108" s="1"/>
  <c r="F154" i="108" a="1"/>
  <c r="F154" i="108" s="1"/>
  <c r="L154" i="108" s="1"/>
  <c r="E154" i="108" a="1"/>
  <c r="E154" i="108" s="1"/>
  <c r="K154" i="108" s="1"/>
  <c r="M153" i="108" s="1"/>
  <c r="D154" i="108" a="1"/>
  <c r="D154" i="108" s="1"/>
  <c r="I153" i="108" a="1"/>
  <c r="I153" i="108" s="1"/>
  <c r="H153" i="108" a="1"/>
  <c r="H153" i="108" s="1"/>
  <c r="G153" i="108" a="1"/>
  <c r="G153" i="108" s="1"/>
  <c r="F153" i="108" a="1"/>
  <c r="F153" i="108" s="1"/>
  <c r="O153" i="108" s="1"/>
  <c r="E153" i="108" a="1"/>
  <c r="E153" i="108" s="1"/>
  <c r="N153" i="108" s="1"/>
  <c r="P152" i="108" s="1"/>
  <c r="D153" i="108" a="1"/>
  <c r="D153" i="108" s="1"/>
  <c r="I152" i="108" a="1"/>
  <c r="I152" i="108" s="1"/>
  <c r="H152" i="108" a="1"/>
  <c r="H152" i="108" s="1"/>
  <c r="G152" i="108" a="1"/>
  <c r="G152" i="108" s="1"/>
  <c r="F152" i="108" a="1"/>
  <c r="F152" i="108" s="1"/>
  <c r="L152" i="108" s="1"/>
  <c r="E152" i="108" a="1"/>
  <c r="E152" i="108" s="1"/>
  <c r="K152" i="108" s="1"/>
  <c r="M151" i="108" s="1"/>
  <c r="D152" i="108" a="1"/>
  <c r="D152" i="108" s="1"/>
  <c r="I151" i="108" a="1"/>
  <c r="I151" i="108" s="1"/>
  <c r="H151" i="108" a="1"/>
  <c r="H151" i="108" s="1"/>
  <c r="G151" i="108" a="1"/>
  <c r="G151" i="108" s="1"/>
  <c r="F151" i="108" a="1"/>
  <c r="F151" i="108" s="1"/>
  <c r="O151" i="108" s="1"/>
  <c r="E151" i="108" a="1"/>
  <c r="E151" i="108" s="1"/>
  <c r="N151" i="108" s="1"/>
  <c r="D151" i="108" a="1"/>
  <c r="D151" i="108" s="1"/>
  <c r="I150" i="108" a="1"/>
  <c r="I150" i="108" s="1"/>
  <c r="H150" i="108" a="1"/>
  <c r="H150" i="108" s="1"/>
  <c r="G150" i="108" a="1"/>
  <c r="G150" i="108" s="1"/>
  <c r="F150" i="108" a="1"/>
  <c r="F150" i="108" s="1"/>
  <c r="O150" i="108" s="1"/>
  <c r="E150" i="108" a="1"/>
  <c r="E150" i="108" s="1"/>
  <c r="N150" i="108" s="1"/>
  <c r="D150" i="108" a="1"/>
  <c r="D150" i="108" s="1"/>
  <c r="I149" i="108" a="1"/>
  <c r="I149" i="108" s="1"/>
  <c r="H149" i="108" a="1"/>
  <c r="H149" i="108" s="1"/>
  <c r="G149" i="108" a="1"/>
  <c r="G149" i="108" s="1"/>
  <c r="F149" i="108" a="1"/>
  <c r="F149" i="108" s="1"/>
  <c r="O149" i="108" s="1"/>
  <c r="E149" i="108" a="1"/>
  <c r="E149" i="108" s="1"/>
  <c r="N149" i="108" s="1"/>
  <c r="D149" i="108" a="1"/>
  <c r="D149" i="108" s="1"/>
  <c r="I148" i="108" a="1"/>
  <c r="I148" i="108" s="1"/>
  <c r="H148" i="108" a="1"/>
  <c r="H148" i="108" s="1"/>
  <c r="G148" i="108" a="1"/>
  <c r="G148" i="108" s="1"/>
  <c r="F148" i="108" a="1"/>
  <c r="F148" i="108" s="1"/>
  <c r="O148" i="108" s="1"/>
  <c r="E148" i="108" a="1"/>
  <c r="E148" i="108" s="1"/>
  <c r="N148" i="108" s="1"/>
  <c r="D148" i="108" a="1"/>
  <c r="D148" i="108" s="1"/>
  <c r="I147" i="108" a="1"/>
  <c r="I147" i="108" s="1"/>
  <c r="H147" i="108" a="1"/>
  <c r="H147" i="108" s="1"/>
  <c r="G147" i="108" a="1"/>
  <c r="G147" i="108" s="1"/>
  <c r="F147" i="108" a="1"/>
  <c r="F147" i="108" s="1"/>
  <c r="O147" i="108" s="1"/>
  <c r="E147" i="108" a="1"/>
  <c r="E147" i="108" s="1"/>
  <c r="N147" i="108" s="1"/>
  <c r="D147" i="108" a="1"/>
  <c r="D147" i="108" s="1"/>
  <c r="I146" i="108" a="1"/>
  <c r="I146" i="108" s="1"/>
  <c r="H146" i="108" a="1"/>
  <c r="H146" i="108" s="1"/>
  <c r="G146" i="108" a="1"/>
  <c r="G146" i="108" s="1"/>
  <c r="F146" i="108" a="1"/>
  <c r="F146" i="108" s="1"/>
  <c r="O146" i="108" s="1"/>
  <c r="E146" i="108" a="1"/>
  <c r="E146" i="108" s="1"/>
  <c r="N146" i="108" s="1"/>
  <c r="D146" i="108" a="1"/>
  <c r="D146" i="108" s="1"/>
  <c r="I145" i="108" a="1"/>
  <c r="I145" i="108" s="1"/>
  <c r="H145" i="108" a="1"/>
  <c r="H145" i="108" s="1"/>
  <c r="G145" i="108" a="1"/>
  <c r="G145" i="108" s="1"/>
  <c r="F145" i="108" a="1"/>
  <c r="F145" i="108" s="1"/>
  <c r="O145" i="108" s="1"/>
  <c r="E145" i="108" a="1"/>
  <c r="E145" i="108" s="1"/>
  <c r="N145" i="108" s="1"/>
  <c r="P144" i="108" s="1"/>
  <c r="D145" i="108" a="1"/>
  <c r="D145" i="108" s="1"/>
  <c r="I144" i="108" a="1"/>
  <c r="I144" i="108" s="1"/>
  <c r="H144" i="108" a="1"/>
  <c r="H144" i="108" s="1"/>
  <c r="G144" i="108" a="1"/>
  <c r="G144" i="108" s="1"/>
  <c r="F144" i="108" a="1"/>
  <c r="F144" i="108" s="1"/>
  <c r="L144" i="108" s="1"/>
  <c r="E144" i="108" a="1"/>
  <c r="E144" i="108" s="1"/>
  <c r="K144" i="108" s="1"/>
  <c r="D144" i="108" a="1"/>
  <c r="D144" i="108" s="1"/>
  <c r="I143" i="108" a="1"/>
  <c r="I143" i="108" s="1"/>
  <c r="H143" i="108" a="1"/>
  <c r="H143" i="108" s="1"/>
  <c r="G143" i="108" a="1"/>
  <c r="G143" i="108" s="1"/>
  <c r="F143" i="108" a="1"/>
  <c r="F143" i="108" s="1"/>
  <c r="L143" i="108" s="1"/>
  <c r="E143" i="108" a="1"/>
  <c r="E143" i="108" s="1"/>
  <c r="K143" i="108" s="1"/>
  <c r="D143" i="108" a="1"/>
  <c r="D143" i="108" s="1"/>
  <c r="I142" i="108" a="1"/>
  <c r="I142" i="108" s="1"/>
  <c r="H142" i="108" a="1"/>
  <c r="H142" i="108" s="1"/>
  <c r="G142" i="108" a="1"/>
  <c r="G142" i="108" s="1"/>
  <c r="F142" i="108" a="1"/>
  <c r="F142" i="108" s="1"/>
  <c r="L142" i="108" s="1"/>
  <c r="E142" i="108" a="1"/>
  <c r="E142" i="108" s="1"/>
  <c r="K142" i="108" s="1"/>
  <c r="D142" i="108" a="1"/>
  <c r="D142" i="108" s="1"/>
  <c r="I141" i="108" a="1"/>
  <c r="I141" i="108" s="1"/>
  <c r="H141" i="108" a="1"/>
  <c r="H141" i="108" s="1"/>
  <c r="G141" i="108" a="1"/>
  <c r="G141" i="108" s="1"/>
  <c r="F141" i="108" a="1"/>
  <c r="F141" i="108" s="1"/>
  <c r="L141" i="108" s="1"/>
  <c r="E141" i="108" a="1"/>
  <c r="E141" i="108" s="1"/>
  <c r="K141" i="108" s="1"/>
  <c r="D141" i="108" a="1"/>
  <c r="D141" i="108" s="1"/>
  <c r="I140" i="108" a="1"/>
  <c r="I140" i="108" s="1"/>
  <c r="H140" i="108" a="1"/>
  <c r="H140" i="108" s="1"/>
  <c r="G140" i="108" a="1"/>
  <c r="G140" i="108" s="1"/>
  <c r="F140" i="108" a="1"/>
  <c r="F140" i="108" s="1"/>
  <c r="L140" i="108" s="1"/>
  <c r="E140" i="108" a="1"/>
  <c r="E140" i="108" s="1"/>
  <c r="K140" i="108" s="1"/>
  <c r="D140" i="108" a="1"/>
  <c r="D140" i="108" s="1"/>
  <c r="I139" i="108" a="1"/>
  <c r="I139" i="108" s="1"/>
  <c r="H139" i="108" a="1"/>
  <c r="H139" i="108" s="1"/>
  <c r="G139" i="108" a="1"/>
  <c r="G139" i="108" s="1"/>
  <c r="F139" i="108"/>
  <c r="L139" i="108" s="1"/>
  <c r="F139" i="108" a="1"/>
  <c r="E139" i="108" a="1"/>
  <c r="E139" i="108" s="1"/>
  <c r="K139" i="108" s="1"/>
  <c r="M138" i="108" s="1"/>
  <c r="D139" i="108" a="1"/>
  <c r="D139" i="108" s="1"/>
  <c r="I138" i="108" a="1"/>
  <c r="I138" i="108" s="1"/>
  <c r="H138" i="108" a="1"/>
  <c r="H138" i="108" s="1"/>
  <c r="G138" i="108" a="1"/>
  <c r="G138" i="108" s="1"/>
  <c r="F138" i="108" a="1"/>
  <c r="F138" i="108" s="1"/>
  <c r="O138" i="108" s="1"/>
  <c r="E138" i="108" a="1"/>
  <c r="E138" i="108" s="1"/>
  <c r="N138" i="108" s="1"/>
  <c r="D138" i="108" a="1"/>
  <c r="D138" i="108" s="1"/>
  <c r="I137" i="108" a="1"/>
  <c r="I137" i="108" s="1"/>
  <c r="H137" i="108" a="1"/>
  <c r="H137" i="108" s="1"/>
  <c r="G137" i="108" a="1"/>
  <c r="G137" i="108" s="1"/>
  <c r="F137" i="108" a="1"/>
  <c r="F137" i="108" s="1"/>
  <c r="O137" i="108" s="1"/>
  <c r="E137" i="108" a="1"/>
  <c r="E137" i="108" s="1"/>
  <c r="N137" i="108" s="1"/>
  <c r="D137" i="108" a="1"/>
  <c r="D137" i="108" s="1"/>
  <c r="I136" i="108" a="1"/>
  <c r="I136" i="108" s="1"/>
  <c r="H136" i="108" a="1"/>
  <c r="H136" i="108" s="1"/>
  <c r="G136" i="108"/>
  <c r="G136" i="108" a="1"/>
  <c r="F136" i="108" a="1"/>
  <c r="F136" i="108" s="1"/>
  <c r="O136" i="108" s="1"/>
  <c r="E136" i="108" a="1"/>
  <c r="E136" i="108" s="1"/>
  <c r="N136" i="108" s="1"/>
  <c r="D136" i="108" a="1"/>
  <c r="D136" i="108" s="1"/>
  <c r="I135" i="108" a="1"/>
  <c r="I135" i="108" s="1"/>
  <c r="H135" i="108" a="1"/>
  <c r="H135" i="108" s="1"/>
  <c r="G135" i="108" a="1"/>
  <c r="G135" i="108" s="1"/>
  <c r="F135" i="108" a="1"/>
  <c r="F135" i="108" s="1"/>
  <c r="O135" i="108" s="1"/>
  <c r="E135" i="108" a="1"/>
  <c r="E135" i="108" s="1"/>
  <c r="N135" i="108" s="1"/>
  <c r="D135" i="108" a="1"/>
  <c r="D135" i="108" s="1"/>
  <c r="I134" i="108" a="1"/>
  <c r="I134" i="108" s="1"/>
  <c r="H134" i="108" a="1"/>
  <c r="H134" i="108" s="1"/>
  <c r="G134" i="108" a="1"/>
  <c r="G134" i="108" s="1"/>
  <c r="F134" i="108" a="1"/>
  <c r="F134" i="108" s="1"/>
  <c r="O134" i="108" s="1"/>
  <c r="E134" i="108" a="1"/>
  <c r="E134" i="108" s="1"/>
  <c r="N134" i="108" s="1"/>
  <c r="D134" i="108" a="1"/>
  <c r="D134" i="108" s="1"/>
  <c r="I133" i="108" a="1"/>
  <c r="I133" i="108" s="1"/>
  <c r="H133" i="108" a="1"/>
  <c r="H133" i="108" s="1"/>
  <c r="G133" i="108" a="1"/>
  <c r="G133" i="108" s="1"/>
  <c r="F133" i="108" a="1"/>
  <c r="F133" i="108" s="1"/>
  <c r="O133" i="108" s="1"/>
  <c r="E133" i="108" a="1"/>
  <c r="E133" i="108" s="1"/>
  <c r="N133" i="108" s="1"/>
  <c r="D133" i="108" a="1"/>
  <c r="D133" i="108" s="1"/>
  <c r="I132" i="108" a="1"/>
  <c r="I132" i="108" s="1"/>
  <c r="H132" i="108" a="1"/>
  <c r="H132" i="108" s="1"/>
  <c r="G132" i="108" a="1"/>
  <c r="G132" i="108" s="1"/>
  <c r="F132" i="108" a="1"/>
  <c r="F132" i="108" s="1"/>
  <c r="O132" i="108" s="1"/>
  <c r="E132" i="108" a="1"/>
  <c r="E132" i="108" s="1"/>
  <c r="N132" i="108" s="1"/>
  <c r="P131" i="108" s="1"/>
  <c r="D132" i="108" a="1"/>
  <c r="D132" i="108" s="1"/>
  <c r="I131" i="108" a="1"/>
  <c r="I131" i="108" s="1"/>
  <c r="H131" i="108" a="1"/>
  <c r="H131" i="108" s="1"/>
  <c r="G131" i="108" a="1"/>
  <c r="G131" i="108" s="1"/>
  <c r="F131" i="108" a="1"/>
  <c r="F131" i="108" s="1"/>
  <c r="L131" i="108" s="1"/>
  <c r="E131" i="108" a="1"/>
  <c r="E131" i="108" s="1"/>
  <c r="K131" i="108" s="1"/>
  <c r="D131" i="108" a="1"/>
  <c r="D131" i="108" s="1"/>
  <c r="I130" i="108" a="1"/>
  <c r="I130" i="108" s="1"/>
  <c r="H130" i="108" a="1"/>
  <c r="H130" i="108" s="1"/>
  <c r="G130" i="108" a="1"/>
  <c r="G130" i="108" s="1"/>
  <c r="F130" i="108" a="1"/>
  <c r="F130" i="108" s="1"/>
  <c r="L130" i="108" s="1"/>
  <c r="E130" i="108" a="1"/>
  <c r="E130" i="108" s="1"/>
  <c r="K130" i="108" s="1"/>
  <c r="D130" i="108" a="1"/>
  <c r="D130" i="108" s="1"/>
  <c r="I129" i="108" a="1"/>
  <c r="I129" i="108" s="1"/>
  <c r="H129" i="108" a="1"/>
  <c r="H129" i="108" s="1"/>
  <c r="G129" i="108" a="1"/>
  <c r="G129" i="108" s="1"/>
  <c r="F129" i="108" a="1"/>
  <c r="F129" i="108" s="1"/>
  <c r="L129" i="108" s="1"/>
  <c r="E129" i="108" a="1"/>
  <c r="E129" i="108" s="1"/>
  <c r="K129" i="108" s="1"/>
  <c r="D129" i="108" a="1"/>
  <c r="D129" i="108" s="1"/>
  <c r="I128" i="108" a="1"/>
  <c r="I128" i="108" s="1"/>
  <c r="H128" i="108" a="1"/>
  <c r="H128" i="108" s="1"/>
  <c r="G128" i="108" a="1"/>
  <c r="G128" i="108" s="1"/>
  <c r="F128" i="108" a="1"/>
  <c r="F128" i="108" s="1"/>
  <c r="L128" i="108" s="1"/>
  <c r="E128" i="108" a="1"/>
  <c r="E128" i="108" s="1"/>
  <c r="K128" i="108" s="1"/>
  <c r="D128" i="108" a="1"/>
  <c r="D128" i="108" s="1"/>
  <c r="I127" i="108" a="1"/>
  <c r="I127" i="108" s="1"/>
  <c r="H127" i="108" a="1"/>
  <c r="H127" i="108" s="1"/>
  <c r="G127" i="108" a="1"/>
  <c r="G127" i="108" s="1"/>
  <c r="F127" i="108" a="1"/>
  <c r="F127" i="108" s="1"/>
  <c r="L127" i="108" s="1"/>
  <c r="E127" i="108" a="1"/>
  <c r="E127" i="108" s="1"/>
  <c r="K127" i="108" s="1"/>
  <c r="D127" i="108" a="1"/>
  <c r="D127" i="108" s="1"/>
  <c r="I126" i="108" a="1"/>
  <c r="I126" i="108" s="1"/>
  <c r="H126" i="108" a="1"/>
  <c r="H126" i="108" s="1"/>
  <c r="G126" i="108" a="1"/>
  <c r="G126" i="108" s="1"/>
  <c r="F126" i="108" a="1"/>
  <c r="F126" i="108" s="1"/>
  <c r="L126" i="108" s="1"/>
  <c r="E126" i="108" a="1"/>
  <c r="E126" i="108" s="1"/>
  <c r="K126" i="108" s="1"/>
  <c r="M125" i="108" s="1"/>
  <c r="D126" i="108" a="1"/>
  <c r="D126" i="108" s="1"/>
  <c r="I125" i="108" a="1"/>
  <c r="I125" i="108" s="1"/>
  <c r="H125" i="108" a="1"/>
  <c r="H125" i="108" s="1"/>
  <c r="G125" i="108" a="1"/>
  <c r="G125" i="108" s="1"/>
  <c r="F125" i="108" a="1"/>
  <c r="F125" i="108" s="1"/>
  <c r="O125" i="108" s="1"/>
  <c r="E125" i="108" a="1"/>
  <c r="E125" i="108" s="1"/>
  <c r="N125" i="108" s="1"/>
  <c r="D125" i="108" a="1"/>
  <c r="D125" i="108" s="1"/>
  <c r="I124" i="108" a="1"/>
  <c r="I124" i="108" s="1"/>
  <c r="H124" i="108" a="1"/>
  <c r="H124" i="108" s="1"/>
  <c r="G124" i="108" a="1"/>
  <c r="G124" i="108" s="1"/>
  <c r="F124" i="108" a="1"/>
  <c r="F124" i="108" s="1"/>
  <c r="O124" i="108" s="1"/>
  <c r="E124" i="108" a="1"/>
  <c r="E124" i="108" s="1"/>
  <c r="N124" i="108" s="1"/>
  <c r="D124" i="108" a="1"/>
  <c r="D124" i="108" s="1"/>
  <c r="I123" i="108" a="1"/>
  <c r="I123" i="108" s="1"/>
  <c r="H123" i="108" a="1"/>
  <c r="H123" i="108" s="1"/>
  <c r="G123" i="108" a="1"/>
  <c r="G123" i="108" s="1"/>
  <c r="F123" i="108" a="1"/>
  <c r="F123" i="108" s="1"/>
  <c r="O123" i="108" s="1"/>
  <c r="E123" i="108" a="1"/>
  <c r="E123" i="108" s="1"/>
  <c r="N123" i="108" s="1"/>
  <c r="D123" i="108" a="1"/>
  <c r="D123" i="108" s="1"/>
  <c r="I122" i="108" a="1"/>
  <c r="I122" i="108" s="1"/>
  <c r="H122" i="108" a="1"/>
  <c r="H122" i="108" s="1"/>
  <c r="G122" i="108" a="1"/>
  <c r="G122" i="108" s="1"/>
  <c r="F122" i="108" a="1"/>
  <c r="F122" i="108" s="1"/>
  <c r="O122" i="108" s="1"/>
  <c r="E122" i="108" a="1"/>
  <c r="E122" i="108" s="1"/>
  <c r="N122" i="108" s="1"/>
  <c r="D122" i="108" a="1"/>
  <c r="D122" i="108" s="1"/>
  <c r="I121" i="108" a="1"/>
  <c r="I121" i="108" s="1"/>
  <c r="H121" i="108" a="1"/>
  <c r="H121" i="108" s="1"/>
  <c r="G121" i="108" a="1"/>
  <c r="G121" i="108" s="1"/>
  <c r="F121" i="108" a="1"/>
  <c r="F121" i="108" s="1"/>
  <c r="O121" i="108" s="1"/>
  <c r="E121" i="108" a="1"/>
  <c r="E121" i="108" s="1"/>
  <c r="N121" i="108" s="1"/>
  <c r="D121" i="108" a="1"/>
  <c r="D121" i="108" s="1"/>
  <c r="I120" i="108" a="1"/>
  <c r="I120" i="108" s="1"/>
  <c r="H120" i="108" a="1"/>
  <c r="H120" i="108" s="1"/>
  <c r="G120" i="108" a="1"/>
  <c r="G120" i="108" s="1"/>
  <c r="F120" i="108" a="1"/>
  <c r="F120" i="108" s="1"/>
  <c r="O120" i="108" s="1"/>
  <c r="E120" i="108" a="1"/>
  <c r="E120" i="108" s="1"/>
  <c r="N120" i="108" s="1"/>
  <c r="D120" i="108" a="1"/>
  <c r="D120" i="108" s="1"/>
  <c r="I119" i="108" a="1"/>
  <c r="I119" i="108" s="1"/>
  <c r="H119" i="108" a="1"/>
  <c r="H119" i="108" s="1"/>
  <c r="G119" i="108" a="1"/>
  <c r="G119" i="108" s="1"/>
  <c r="F119" i="108" a="1"/>
  <c r="F119" i="108" s="1"/>
  <c r="O119" i="108" s="1"/>
  <c r="E119" i="108" a="1"/>
  <c r="E119" i="108" s="1"/>
  <c r="N119" i="108" s="1"/>
  <c r="P118" i="108" s="1"/>
  <c r="D119" i="108" a="1"/>
  <c r="D119" i="108" s="1"/>
  <c r="I118" i="108" a="1"/>
  <c r="I118" i="108" s="1"/>
  <c r="H118" i="108" a="1"/>
  <c r="H118" i="108" s="1"/>
  <c r="G118" i="108" a="1"/>
  <c r="G118" i="108" s="1"/>
  <c r="F118" i="108" a="1"/>
  <c r="F118" i="108" s="1"/>
  <c r="L118" i="108" s="1"/>
  <c r="E118" i="108" a="1"/>
  <c r="E118" i="108" s="1"/>
  <c r="K118" i="108" s="1"/>
  <c r="D118" i="108" a="1"/>
  <c r="D118" i="108" s="1"/>
  <c r="I117" i="108" a="1"/>
  <c r="I117" i="108" s="1"/>
  <c r="H117" i="108" a="1"/>
  <c r="H117" i="108" s="1"/>
  <c r="G117" i="108" a="1"/>
  <c r="G117" i="108" s="1"/>
  <c r="F117" i="108" a="1"/>
  <c r="F117" i="108" s="1"/>
  <c r="L117" i="108" s="1"/>
  <c r="E117" i="108" a="1"/>
  <c r="E117" i="108" s="1"/>
  <c r="K117" i="108" s="1"/>
  <c r="D117" i="108" a="1"/>
  <c r="D117" i="108" s="1"/>
  <c r="I116" i="108" a="1"/>
  <c r="I116" i="108" s="1"/>
  <c r="H116" i="108" a="1"/>
  <c r="H116" i="108" s="1"/>
  <c r="G116" i="108" a="1"/>
  <c r="G116" i="108" s="1"/>
  <c r="F116" i="108" a="1"/>
  <c r="F116" i="108" s="1"/>
  <c r="L116" i="108" s="1"/>
  <c r="E116" i="108" a="1"/>
  <c r="E116" i="108" s="1"/>
  <c r="K116" i="108" s="1"/>
  <c r="D116" i="108" a="1"/>
  <c r="D116" i="108" s="1"/>
  <c r="I115" i="108" a="1"/>
  <c r="I115" i="108" s="1"/>
  <c r="H115" i="108" a="1"/>
  <c r="H115" i="108" s="1"/>
  <c r="G115" i="108" a="1"/>
  <c r="G115" i="108" s="1"/>
  <c r="F115" i="108" a="1"/>
  <c r="F115" i="108" s="1"/>
  <c r="L115" i="108" s="1"/>
  <c r="E115" i="108" a="1"/>
  <c r="E115" i="108" s="1"/>
  <c r="K115" i="108" s="1"/>
  <c r="D115" i="108" a="1"/>
  <c r="D115" i="108" s="1"/>
  <c r="I114" i="108" a="1"/>
  <c r="I114" i="108" s="1"/>
  <c r="H114" i="108" a="1"/>
  <c r="H114" i="108" s="1"/>
  <c r="G114" i="108" a="1"/>
  <c r="G114" i="108" s="1"/>
  <c r="F114" i="108" a="1"/>
  <c r="F114" i="108" s="1"/>
  <c r="L114" i="108" s="1"/>
  <c r="E114" i="108" a="1"/>
  <c r="E114" i="108" s="1"/>
  <c r="K114" i="108" s="1"/>
  <c r="D114" i="108" a="1"/>
  <c r="D114" i="108" s="1"/>
  <c r="I113" i="108" a="1"/>
  <c r="I113" i="108" s="1"/>
  <c r="H113" i="108" a="1"/>
  <c r="H113" i="108" s="1"/>
  <c r="G113" i="108" a="1"/>
  <c r="G113" i="108" s="1"/>
  <c r="F113" i="108" a="1"/>
  <c r="F113" i="108" s="1"/>
  <c r="L113" i="108" s="1"/>
  <c r="E113" i="108" a="1"/>
  <c r="E113" i="108" s="1"/>
  <c r="K113" i="108" s="1"/>
  <c r="D113" i="108" a="1"/>
  <c r="D113" i="108" s="1"/>
  <c r="I112" i="108" a="1"/>
  <c r="I112" i="108" s="1"/>
  <c r="H112" i="108" a="1"/>
  <c r="H112" i="108" s="1"/>
  <c r="G112" i="108" a="1"/>
  <c r="G112" i="108" s="1"/>
  <c r="F112" i="108" a="1"/>
  <c r="F112" i="108" s="1"/>
  <c r="L112" i="108" s="1"/>
  <c r="E112" i="108" a="1"/>
  <c r="E112" i="108" s="1"/>
  <c r="K112" i="108" s="1"/>
  <c r="D112" i="108" a="1"/>
  <c r="D112" i="108" s="1"/>
  <c r="I111" i="108" a="1"/>
  <c r="I111" i="108" s="1"/>
  <c r="H111" i="108" a="1"/>
  <c r="H111" i="108" s="1"/>
  <c r="G111" i="108" a="1"/>
  <c r="G111" i="108" s="1"/>
  <c r="F111" i="108" a="1"/>
  <c r="F111" i="108" s="1"/>
  <c r="L111" i="108" s="1"/>
  <c r="E111" i="108" a="1"/>
  <c r="E111" i="108" s="1"/>
  <c r="K111" i="108" s="1"/>
  <c r="M110" i="108" s="1"/>
  <c r="D111" i="108" a="1"/>
  <c r="D111" i="108" s="1"/>
  <c r="I110" i="108" a="1"/>
  <c r="I110" i="108" s="1"/>
  <c r="H110" i="108" a="1"/>
  <c r="H110" i="108" s="1"/>
  <c r="G110" i="108" a="1"/>
  <c r="G110" i="108" s="1"/>
  <c r="F110" i="108" a="1"/>
  <c r="F110" i="108" s="1"/>
  <c r="O110" i="108" s="1"/>
  <c r="E110" i="108" a="1"/>
  <c r="E110" i="108" s="1"/>
  <c r="N110" i="108" s="1"/>
  <c r="D110" i="108" a="1"/>
  <c r="D110" i="108" s="1"/>
  <c r="I109" i="108" a="1"/>
  <c r="I109" i="108" s="1"/>
  <c r="H109" i="108" a="1"/>
  <c r="H109" i="108" s="1"/>
  <c r="G109" i="108" a="1"/>
  <c r="G109" i="108" s="1"/>
  <c r="F109" i="108" a="1"/>
  <c r="F109" i="108" s="1"/>
  <c r="O109" i="108" s="1"/>
  <c r="E109" i="108" a="1"/>
  <c r="E109" i="108" s="1"/>
  <c r="N109" i="108" s="1"/>
  <c r="D109" i="108" a="1"/>
  <c r="D109" i="108" s="1"/>
  <c r="I108" i="108" a="1"/>
  <c r="I108" i="108" s="1"/>
  <c r="H108" i="108" a="1"/>
  <c r="H108" i="108" s="1"/>
  <c r="G108" i="108" a="1"/>
  <c r="G108" i="108" s="1"/>
  <c r="F108" i="108" a="1"/>
  <c r="F108" i="108" s="1"/>
  <c r="O108" i="108" s="1"/>
  <c r="E108" i="108" a="1"/>
  <c r="E108" i="108" s="1"/>
  <c r="N108" i="108" s="1"/>
  <c r="D108" i="108" a="1"/>
  <c r="D108" i="108" s="1"/>
  <c r="I107" i="108" a="1"/>
  <c r="I107" i="108" s="1"/>
  <c r="H107" i="108" a="1"/>
  <c r="H107" i="108" s="1"/>
  <c r="G107" i="108" a="1"/>
  <c r="G107" i="108" s="1"/>
  <c r="F107" i="108" a="1"/>
  <c r="F107" i="108" s="1"/>
  <c r="O107" i="108" s="1"/>
  <c r="E107" i="108" a="1"/>
  <c r="E107" i="108" s="1"/>
  <c r="N107" i="108" s="1"/>
  <c r="D107" i="108" a="1"/>
  <c r="D107" i="108" s="1"/>
  <c r="I106" i="108" a="1"/>
  <c r="I106" i="108" s="1"/>
  <c r="H106" i="108" a="1"/>
  <c r="H106" i="108" s="1"/>
  <c r="G106" i="108" a="1"/>
  <c r="G106" i="108" s="1"/>
  <c r="F106" i="108" a="1"/>
  <c r="F106" i="108" s="1"/>
  <c r="O106" i="108" s="1"/>
  <c r="E106" i="108" a="1"/>
  <c r="E106" i="108" s="1"/>
  <c r="N106" i="108" s="1"/>
  <c r="P105" i="108" s="1"/>
  <c r="D106" i="108" a="1"/>
  <c r="D106" i="108" s="1"/>
  <c r="I105" i="108" a="1"/>
  <c r="I105" i="108" s="1"/>
  <c r="H105" i="108" a="1"/>
  <c r="H105" i="108" s="1"/>
  <c r="G105" i="108" a="1"/>
  <c r="G105" i="108" s="1"/>
  <c r="F105" i="108" a="1"/>
  <c r="F105" i="108" s="1"/>
  <c r="L105" i="108" s="1"/>
  <c r="E105" i="108" a="1"/>
  <c r="E105" i="108" s="1"/>
  <c r="K105" i="108" s="1"/>
  <c r="D105" i="108" a="1"/>
  <c r="D105" i="108" s="1"/>
  <c r="I104" i="108" a="1"/>
  <c r="I104" i="108" s="1"/>
  <c r="H104" i="108" a="1"/>
  <c r="H104" i="108" s="1"/>
  <c r="G104" i="108" a="1"/>
  <c r="G104" i="108" s="1"/>
  <c r="F104" i="108" a="1"/>
  <c r="F104" i="108" s="1"/>
  <c r="L104" i="108" s="1"/>
  <c r="E104" i="108" a="1"/>
  <c r="E104" i="108" s="1"/>
  <c r="K104" i="108" s="1"/>
  <c r="D104" i="108" a="1"/>
  <c r="D104" i="108" s="1"/>
  <c r="I103" i="108" a="1"/>
  <c r="I103" i="108" s="1"/>
  <c r="H103" i="108" a="1"/>
  <c r="H103" i="108" s="1"/>
  <c r="G103" i="108" a="1"/>
  <c r="G103" i="108" s="1"/>
  <c r="F103" i="108" a="1"/>
  <c r="F103" i="108" s="1"/>
  <c r="L103" i="108" s="1"/>
  <c r="E103" i="108" a="1"/>
  <c r="E103" i="108" s="1"/>
  <c r="K103" i="108" s="1"/>
  <c r="D103" i="108" a="1"/>
  <c r="D103" i="108" s="1"/>
  <c r="I102" i="108" a="1"/>
  <c r="I102" i="108" s="1"/>
  <c r="H102" i="108" a="1"/>
  <c r="H102" i="108" s="1"/>
  <c r="G102" i="108" a="1"/>
  <c r="G102" i="108" s="1"/>
  <c r="F102" i="108" a="1"/>
  <c r="F102" i="108" s="1"/>
  <c r="L102" i="108" s="1"/>
  <c r="E102" i="108" a="1"/>
  <c r="E102" i="108" s="1"/>
  <c r="K102" i="108" s="1"/>
  <c r="D102" i="108" a="1"/>
  <c r="D102" i="108" s="1"/>
  <c r="I101" i="108" a="1"/>
  <c r="I101" i="108" s="1"/>
  <c r="H101" i="108" a="1"/>
  <c r="H101" i="108" s="1"/>
  <c r="G101" i="108" a="1"/>
  <c r="G101" i="108" s="1"/>
  <c r="F101" i="108" a="1"/>
  <c r="F101" i="108" s="1"/>
  <c r="L101" i="108" s="1"/>
  <c r="E101" i="108" a="1"/>
  <c r="E101" i="108" s="1"/>
  <c r="K101" i="108" s="1"/>
  <c r="D101" i="108" a="1"/>
  <c r="D101" i="108" s="1"/>
  <c r="I100" i="108" a="1"/>
  <c r="I100" i="108" s="1"/>
  <c r="H100" i="108" a="1"/>
  <c r="H100" i="108" s="1"/>
  <c r="G100" i="108" a="1"/>
  <c r="G100" i="108" s="1"/>
  <c r="F100" i="108" a="1"/>
  <c r="F100" i="108" s="1"/>
  <c r="L100" i="108" s="1"/>
  <c r="E100" i="108" a="1"/>
  <c r="E100" i="108" s="1"/>
  <c r="K100" i="108" s="1"/>
  <c r="D100" i="108" a="1"/>
  <c r="D100" i="108" s="1"/>
  <c r="I99" i="108" a="1"/>
  <c r="I99" i="108" s="1"/>
  <c r="H99" i="108" a="1"/>
  <c r="H99" i="108" s="1"/>
  <c r="G99" i="108" a="1"/>
  <c r="G99" i="108" s="1"/>
  <c r="F99" i="108" a="1"/>
  <c r="F99" i="108" s="1"/>
  <c r="L99" i="108" s="1"/>
  <c r="E99" i="108" a="1"/>
  <c r="E99" i="108" s="1"/>
  <c r="K99" i="108" s="1"/>
  <c r="M98" i="108" s="1"/>
  <c r="D99" i="108" a="1"/>
  <c r="D99" i="108" s="1"/>
  <c r="I98" i="108" a="1"/>
  <c r="I98" i="108" s="1"/>
  <c r="H98" i="108" a="1"/>
  <c r="H98" i="108" s="1"/>
  <c r="G98" i="108" a="1"/>
  <c r="G98" i="108" s="1"/>
  <c r="F98" i="108" a="1"/>
  <c r="F98" i="108" s="1"/>
  <c r="O98" i="108" s="1"/>
  <c r="E98" i="108" a="1"/>
  <c r="E98" i="108" s="1"/>
  <c r="N98" i="108" s="1"/>
  <c r="D98" i="108" a="1"/>
  <c r="D98" i="108" s="1"/>
  <c r="I97" i="108" a="1"/>
  <c r="I97" i="108" s="1"/>
  <c r="H97" i="108" a="1"/>
  <c r="H97" i="108" s="1"/>
  <c r="G97" i="108" a="1"/>
  <c r="G97" i="108" s="1"/>
  <c r="F97" i="108" a="1"/>
  <c r="F97" i="108" s="1"/>
  <c r="O97" i="108" s="1"/>
  <c r="E97" i="108" a="1"/>
  <c r="E97" i="108" s="1"/>
  <c r="N97" i="108" s="1"/>
  <c r="D97" i="108" a="1"/>
  <c r="D97" i="108" s="1"/>
  <c r="I96" i="108" a="1"/>
  <c r="I96" i="108" s="1"/>
  <c r="H96" i="108" a="1"/>
  <c r="H96" i="108" s="1"/>
  <c r="G96" i="108" a="1"/>
  <c r="G96" i="108" s="1"/>
  <c r="F96" i="108" a="1"/>
  <c r="F96" i="108" s="1"/>
  <c r="O96" i="108" s="1"/>
  <c r="E96" i="108" a="1"/>
  <c r="E96" i="108" s="1"/>
  <c r="N96" i="108" s="1"/>
  <c r="D96" i="108" a="1"/>
  <c r="D96" i="108" s="1"/>
  <c r="I95" i="108" a="1"/>
  <c r="I95" i="108" s="1"/>
  <c r="H95" i="108" a="1"/>
  <c r="H95" i="108" s="1"/>
  <c r="G95" i="108" a="1"/>
  <c r="G95" i="108" s="1"/>
  <c r="F95" i="108" a="1"/>
  <c r="F95" i="108" s="1"/>
  <c r="O95" i="108" s="1"/>
  <c r="E95" i="108" a="1"/>
  <c r="E95" i="108" s="1"/>
  <c r="N95" i="108" s="1"/>
  <c r="D95" i="108" a="1"/>
  <c r="D95" i="108" s="1"/>
  <c r="I94" i="108" a="1"/>
  <c r="I94" i="108" s="1"/>
  <c r="H94" i="108" a="1"/>
  <c r="H94" i="108" s="1"/>
  <c r="G94" i="108" a="1"/>
  <c r="G94" i="108" s="1"/>
  <c r="F94" i="108" a="1"/>
  <c r="F94" i="108" s="1"/>
  <c r="O94" i="108" s="1"/>
  <c r="E94" i="108" a="1"/>
  <c r="E94" i="108" s="1"/>
  <c r="N94" i="108" s="1"/>
  <c r="D94" i="108" a="1"/>
  <c r="D94" i="108" s="1"/>
  <c r="I93" i="108" a="1"/>
  <c r="I93" i="108" s="1"/>
  <c r="H93" i="108" a="1"/>
  <c r="H93" i="108" s="1"/>
  <c r="G93" i="108" a="1"/>
  <c r="G93" i="108" s="1"/>
  <c r="F93" i="108" a="1"/>
  <c r="F93" i="108" s="1"/>
  <c r="O93" i="108" s="1"/>
  <c r="E93" i="108" a="1"/>
  <c r="E93" i="108" s="1"/>
  <c r="N93" i="108" s="1"/>
  <c r="D93" i="108" a="1"/>
  <c r="D93" i="108" s="1"/>
  <c r="I92" i="108" a="1"/>
  <c r="I92" i="108" s="1"/>
  <c r="H92" i="108" a="1"/>
  <c r="H92" i="108" s="1"/>
  <c r="G92" i="108" a="1"/>
  <c r="G92" i="108" s="1"/>
  <c r="F92" i="108" a="1"/>
  <c r="F92" i="108" s="1"/>
  <c r="O92" i="108" s="1"/>
  <c r="E92" i="108" a="1"/>
  <c r="E92" i="108" s="1"/>
  <c r="N92" i="108" s="1"/>
  <c r="D92" i="108" a="1"/>
  <c r="D92" i="108" s="1"/>
  <c r="I91" i="108" a="1"/>
  <c r="I91" i="108" s="1"/>
  <c r="H91" i="108" a="1"/>
  <c r="H91" i="108" s="1"/>
  <c r="G91" i="108" a="1"/>
  <c r="G91" i="108" s="1"/>
  <c r="F91" i="108" a="1"/>
  <c r="F91" i="108" s="1"/>
  <c r="O91" i="108" s="1"/>
  <c r="E91" i="108" a="1"/>
  <c r="E91" i="108" s="1"/>
  <c r="N91" i="108" s="1"/>
  <c r="P90" i="108" s="1"/>
  <c r="D91" i="108" a="1"/>
  <c r="D91" i="108" s="1"/>
  <c r="I90" i="108" a="1"/>
  <c r="I90" i="108" s="1"/>
  <c r="H90" i="108" a="1"/>
  <c r="H90" i="108" s="1"/>
  <c r="G90" i="108" a="1"/>
  <c r="G90" i="108" s="1"/>
  <c r="F90" i="108" a="1"/>
  <c r="F90" i="108" s="1"/>
  <c r="L90" i="108" s="1"/>
  <c r="E90" i="108" a="1"/>
  <c r="E90" i="108" s="1"/>
  <c r="D90" i="108" a="1"/>
  <c r="D90" i="108" s="1"/>
  <c r="I86" i="108" a="1"/>
  <c r="I86" i="108" s="1"/>
  <c r="H86" i="108"/>
  <c r="H86" i="108" a="1"/>
  <c r="G86" i="108" a="1"/>
  <c r="G86" i="108" s="1"/>
  <c r="F86" i="108" a="1"/>
  <c r="F86" i="108" s="1"/>
  <c r="E86" i="108" a="1"/>
  <c r="E86" i="108" s="1"/>
  <c r="D86" i="108" a="1"/>
  <c r="D86" i="108" s="1"/>
  <c r="I85" i="108" a="1"/>
  <c r="I85" i="108" s="1"/>
  <c r="H85" i="108" a="1"/>
  <c r="H85" i="108" s="1"/>
  <c r="G85" i="108" a="1"/>
  <c r="G85" i="108" s="1"/>
  <c r="F85" i="108" a="1"/>
  <c r="F85" i="108" s="1"/>
  <c r="E85" i="108" a="1"/>
  <c r="E85" i="108" s="1"/>
  <c r="D85" i="108" a="1"/>
  <c r="D85" i="108" s="1"/>
  <c r="I84" i="108" a="1"/>
  <c r="I84" i="108" s="1"/>
  <c r="H84" i="108" a="1"/>
  <c r="H84" i="108" s="1"/>
  <c r="G84" i="108" a="1"/>
  <c r="G84" i="108" s="1"/>
  <c r="F84" i="108" a="1"/>
  <c r="F84" i="108" s="1"/>
  <c r="E84" i="108" a="1"/>
  <c r="E84" i="108" s="1"/>
  <c r="D84" i="108" a="1"/>
  <c r="D84" i="108" s="1"/>
  <c r="I83" i="108" a="1"/>
  <c r="I83" i="108" s="1"/>
  <c r="H83" i="108" a="1"/>
  <c r="H83" i="108" s="1"/>
  <c r="G83" i="108" a="1"/>
  <c r="G83" i="108" s="1"/>
  <c r="F83" i="108" a="1"/>
  <c r="F83" i="108" s="1"/>
  <c r="E83" i="108" a="1"/>
  <c r="E83" i="108" s="1"/>
  <c r="D83" i="108" a="1"/>
  <c r="D83" i="108" s="1"/>
  <c r="I80" i="108" a="1"/>
  <c r="I80" i="108" s="1"/>
  <c r="H80" i="108" a="1"/>
  <c r="H80" i="108" s="1"/>
  <c r="G80" i="108" a="1"/>
  <c r="G80" i="108" s="1"/>
  <c r="F80" i="108" a="1"/>
  <c r="F80" i="108" s="1"/>
  <c r="E80" i="108" a="1"/>
  <c r="E80" i="108" s="1"/>
  <c r="D80" i="108" a="1"/>
  <c r="D80" i="108" s="1"/>
  <c r="I79" i="108" a="1"/>
  <c r="I79" i="108" s="1"/>
  <c r="H79" i="108" a="1"/>
  <c r="H79" i="108" s="1"/>
  <c r="G79" i="108" a="1"/>
  <c r="G79" i="108" s="1"/>
  <c r="F79" i="108" a="1"/>
  <c r="F79" i="108" s="1"/>
  <c r="E79" i="108" a="1"/>
  <c r="E79" i="108" s="1"/>
  <c r="D79" i="108" a="1"/>
  <c r="D79" i="108" s="1"/>
  <c r="I78" i="108" a="1"/>
  <c r="I78" i="108" s="1"/>
  <c r="H78" i="108" a="1"/>
  <c r="H78" i="108" s="1"/>
  <c r="G78" i="108" a="1"/>
  <c r="G78" i="108" s="1"/>
  <c r="F78" i="108" a="1"/>
  <c r="F78" i="108" s="1"/>
  <c r="E78" i="108" a="1"/>
  <c r="E78" i="108" s="1"/>
  <c r="D78" i="108" a="1"/>
  <c r="D78" i="108" s="1"/>
  <c r="I74" i="108" a="1"/>
  <c r="I74" i="108" s="1"/>
  <c r="H74" i="108" a="1"/>
  <c r="H74" i="108" s="1"/>
  <c r="G74" i="108" a="1"/>
  <c r="G74" i="108" s="1"/>
  <c r="F74" i="108" a="1"/>
  <c r="F74" i="108" s="1"/>
  <c r="E74" i="108" a="1"/>
  <c r="E74" i="108" s="1"/>
  <c r="D74" i="108" a="1"/>
  <c r="D74" i="108" s="1"/>
  <c r="I73" i="108" a="1"/>
  <c r="I73" i="108" s="1"/>
  <c r="H73" i="108" a="1"/>
  <c r="H73" i="108" s="1"/>
  <c r="G73" i="108" a="1"/>
  <c r="G73" i="108" s="1"/>
  <c r="F73" i="108" a="1"/>
  <c r="F73" i="108" s="1"/>
  <c r="E73" i="108" a="1"/>
  <c r="E73" i="108" s="1"/>
  <c r="D73" i="108" a="1"/>
  <c r="D73" i="108" s="1"/>
  <c r="I72" i="108" a="1"/>
  <c r="I72" i="108" s="1"/>
  <c r="H72" i="108" a="1"/>
  <c r="H72" i="108" s="1"/>
  <c r="G72" i="108" a="1"/>
  <c r="G72" i="108" s="1"/>
  <c r="F72" i="108" a="1"/>
  <c r="F72" i="108" s="1"/>
  <c r="E72" i="108" a="1"/>
  <c r="E72" i="108" s="1"/>
  <c r="D72" i="108" a="1"/>
  <c r="D72" i="108" s="1"/>
  <c r="I71" i="108" a="1"/>
  <c r="I71" i="108" s="1"/>
  <c r="H71" i="108" a="1"/>
  <c r="H71" i="108" s="1"/>
  <c r="G71" i="108" a="1"/>
  <c r="G71" i="108" s="1"/>
  <c r="F71" i="108" a="1"/>
  <c r="F71" i="108" s="1"/>
  <c r="E71" i="108" a="1"/>
  <c r="E71" i="108" s="1"/>
  <c r="D71" i="108" a="1"/>
  <c r="D71" i="108" s="1"/>
  <c r="I70" i="108" a="1"/>
  <c r="I70" i="108" s="1"/>
  <c r="H70" i="108" a="1"/>
  <c r="H70" i="108" s="1"/>
  <c r="G70" i="108" a="1"/>
  <c r="G70" i="108" s="1"/>
  <c r="F70" i="108" a="1"/>
  <c r="F70" i="108" s="1"/>
  <c r="E70" i="108" a="1"/>
  <c r="E70" i="108" s="1"/>
  <c r="D70" i="108" a="1"/>
  <c r="D70" i="108" s="1"/>
  <c r="I69" i="108" a="1"/>
  <c r="I69" i="108" s="1"/>
  <c r="H69" i="108" a="1"/>
  <c r="H69" i="108" s="1"/>
  <c r="G69" i="108" a="1"/>
  <c r="G69" i="108" s="1"/>
  <c r="F69" i="108" a="1"/>
  <c r="F69" i="108" s="1"/>
  <c r="E69" i="108" a="1"/>
  <c r="E69" i="108" s="1"/>
  <c r="D69" i="108" a="1"/>
  <c r="D69" i="108" s="1"/>
  <c r="I68" i="108" a="1"/>
  <c r="I68" i="108" s="1"/>
  <c r="H68" i="108" a="1"/>
  <c r="H68" i="108" s="1"/>
  <c r="G68" i="108" a="1"/>
  <c r="G68" i="108" s="1"/>
  <c r="F68" i="108" a="1"/>
  <c r="F68" i="108" s="1"/>
  <c r="E68" i="108" a="1"/>
  <c r="E68" i="108" s="1"/>
  <c r="D68" i="108" a="1"/>
  <c r="D68" i="108" s="1"/>
  <c r="I67" i="108" a="1"/>
  <c r="I67" i="108" s="1"/>
  <c r="H67" i="108" a="1"/>
  <c r="H67" i="108" s="1"/>
  <c r="G67" i="108" a="1"/>
  <c r="G67" i="108" s="1"/>
  <c r="F67" i="108" a="1"/>
  <c r="F67" i="108" s="1"/>
  <c r="E67" i="108" a="1"/>
  <c r="E67" i="108" s="1"/>
  <c r="D67" i="108" a="1"/>
  <c r="D67" i="108" s="1"/>
  <c r="I66" i="108" a="1"/>
  <c r="I66" i="108" s="1"/>
  <c r="H66" i="108" a="1"/>
  <c r="H66" i="108" s="1"/>
  <c r="G66" i="108" a="1"/>
  <c r="G66" i="108" s="1"/>
  <c r="F66" i="108" a="1"/>
  <c r="F66" i="108" s="1"/>
  <c r="E66" i="108" a="1"/>
  <c r="E66" i="108" s="1"/>
  <c r="D66" i="108" a="1"/>
  <c r="D66" i="108" s="1"/>
  <c r="I65" i="108" a="1"/>
  <c r="I65" i="108" s="1"/>
  <c r="H65" i="108" a="1"/>
  <c r="H65" i="108" s="1"/>
  <c r="G65" i="108" a="1"/>
  <c r="G65" i="108" s="1"/>
  <c r="F65" i="108" a="1"/>
  <c r="F65" i="108" s="1"/>
  <c r="E65" i="108" a="1"/>
  <c r="E65" i="108" s="1"/>
  <c r="D65" i="108" a="1"/>
  <c r="D65" i="108" s="1"/>
  <c r="I64" i="108" a="1"/>
  <c r="I64" i="108" s="1"/>
  <c r="H64" i="108" a="1"/>
  <c r="H64" i="108" s="1"/>
  <c r="G64" i="108" a="1"/>
  <c r="G64" i="108" s="1"/>
  <c r="F64" i="108" a="1"/>
  <c r="F64" i="108" s="1"/>
  <c r="E64" i="108" a="1"/>
  <c r="E64" i="108" s="1"/>
  <c r="D64" i="108" a="1"/>
  <c r="D64" i="108" s="1"/>
  <c r="I63" i="108" a="1"/>
  <c r="I63" i="108" s="1"/>
  <c r="H63" i="108" a="1"/>
  <c r="H63" i="108" s="1"/>
  <c r="G63" i="108" a="1"/>
  <c r="G63" i="108" s="1"/>
  <c r="F63" i="108" a="1"/>
  <c r="F63" i="108" s="1"/>
  <c r="E63" i="108" a="1"/>
  <c r="E63" i="108" s="1"/>
  <c r="D63" i="108" a="1"/>
  <c r="D63" i="108" s="1"/>
  <c r="I62" i="108" a="1"/>
  <c r="I62" i="108" s="1"/>
  <c r="H62" i="108" a="1"/>
  <c r="H62" i="108" s="1"/>
  <c r="G62" i="108" a="1"/>
  <c r="G62" i="108" s="1"/>
  <c r="F62" i="108" a="1"/>
  <c r="F62" i="108" s="1"/>
  <c r="E62" i="108" a="1"/>
  <c r="E62" i="108" s="1"/>
  <c r="D62" i="108" a="1"/>
  <c r="D62" i="108" s="1"/>
  <c r="I61" i="108" a="1"/>
  <c r="I61" i="108" s="1"/>
  <c r="H61" i="108" a="1"/>
  <c r="H61" i="108" s="1"/>
  <c r="G61" i="108" a="1"/>
  <c r="G61" i="108" s="1"/>
  <c r="F61" i="108" a="1"/>
  <c r="F61" i="108" s="1"/>
  <c r="E61" i="108" a="1"/>
  <c r="E61" i="108" s="1"/>
  <c r="D61" i="108" a="1"/>
  <c r="D61" i="108" s="1"/>
  <c r="I60" i="108" a="1"/>
  <c r="I60" i="108" s="1"/>
  <c r="H60" i="108" a="1"/>
  <c r="H60" i="108" s="1"/>
  <c r="G60" i="108" a="1"/>
  <c r="G60" i="108" s="1"/>
  <c r="F60" i="108" a="1"/>
  <c r="F60" i="108" s="1"/>
  <c r="E60" i="108" a="1"/>
  <c r="E60" i="108" s="1"/>
  <c r="D60" i="108" a="1"/>
  <c r="D60" i="108" s="1"/>
  <c r="I59" i="108" a="1"/>
  <c r="I59" i="108" s="1"/>
  <c r="H59" i="108" a="1"/>
  <c r="H59" i="108" s="1"/>
  <c r="G59" i="108" a="1"/>
  <c r="G59" i="108" s="1"/>
  <c r="F59" i="108" a="1"/>
  <c r="F59" i="108" s="1"/>
  <c r="E59" i="108" a="1"/>
  <c r="E59" i="108" s="1"/>
  <c r="D59" i="108" a="1"/>
  <c r="D59" i="108" s="1"/>
  <c r="I58" i="108" a="1"/>
  <c r="I58" i="108" s="1"/>
  <c r="H58" i="108" a="1"/>
  <c r="H58" i="108" s="1"/>
  <c r="G58" i="108" a="1"/>
  <c r="G58" i="108" s="1"/>
  <c r="F58" i="108" a="1"/>
  <c r="F58" i="108" s="1"/>
  <c r="E58" i="108" a="1"/>
  <c r="E58" i="108" s="1"/>
  <c r="D58" i="108" a="1"/>
  <c r="D58" i="108" s="1"/>
  <c r="I57" i="108" a="1"/>
  <c r="I57" i="108" s="1"/>
  <c r="H57" i="108" a="1"/>
  <c r="H57" i="108" s="1"/>
  <c r="G57" i="108" a="1"/>
  <c r="G57" i="108" s="1"/>
  <c r="F57" i="108" a="1"/>
  <c r="F57" i="108" s="1"/>
  <c r="E57" i="108" a="1"/>
  <c r="E57" i="108" s="1"/>
  <c r="D57" i="108" a="1"/>
  <c r="D57" i="108" s="1"/>
  <c r="I56" i="108" a="1"/>
  <c r="I56" i="108" s="1"/>
  <c r="H56" i="108" a="1"/>
  <c r="H56" i="108" s="1"/>
  <c r="G56" i="108" a="1"/>
  <c r="G56" i="108" s="1"/>
  <c r="F56" i="108" a="1"/>
  <c r="F56" i="108" s="1"/>
  <c r="E56" i="108" a="1"/>
  <c r="E56" i="108" s="1"/>
  <c r="D56" i="108" a="1"/>
  <c r="D56" i="108" s="1"/>
  <c r="I55" i="108" a="1"/>
  <c r="I55" i="108" s="1"/>
  <c r="H55" i="108" a="1"/>
  <c r="H55" i="108" s="1"/>
  <c r="G55" i="108" a="1"/>
  <c r="G55" i="108" s="1"/>
  <c r="F55" i="108" a="1"/>
  <c r="F55" i="108" s="1"/>
  <c r="E55" i="108" a="1"/>
  <c r="E55" i="108" s="1"/>
  <c r="D55" i="108" a="1"/>
  <c r="D55" i="108" s="1"/>
  <c r="I54" i="108" a="1"/>
  <c r="I54" i="108" s="1"/>
  <c r="H54" i="108" a="1"/>
  <c r="H54" i="108" s="1"/>
  <c r="G54" i="108" a="1"/>
  <c r="G54" i="108" s="1"/>
  <c r="F54" i="108" a="1"/>
  <c r="F54" i="108" s="1"/>
  <c r="E54" i="108" a="1"/>
  <c r="E54" i="108" s="1"/>
  <c r="D54" i="108" a="1"/>
  <c r="D54" i="108" s="1"/>
  <c r="I53" i="108" a="1"/>
  <c r="I53" i="108" s="1"/>
  <c r="H53" i="108" a="1"/>
  <c r="H53" i="108" s="1"/>
  <c r="G53" i="108" a="1"/>
  <c r="G53" i="108" s="1"/>
  <c r="F53" i="108" a="1"/>
  <c r="F53" i="108" s="1"/>
  <c r="E53" i="108" a="1"/>
  <c r="E53" i="108" s="1"/>
  <c r="D53" i="108" a="1"/>
  <c r="D53" i="108" s="1"/>
  <c r="I52" i="108" a="1"/>
  <c r="I52" i="108" s="1"/>
  <c r="H52" i="108" a="1"/>
  <c r="H52" i="108" s="1"/>
  <c r="G52" i="108" a="1"/>
  <c r="G52" i="108" s="1"/>
  <c r="F52" i="108" a="1"/>
  <c r="F52" i="108" s="1"/>
  <c r="E52" i="108" a="1"/>
  <c r="E52" i="108" s="1"/>
  <c r="D52" i="108" a="1"/>
  <c r="D52" i="108" s="1"/>
  <c r="I51" i="108" a="1"/>
  <c r="I51" i="108" s="1"/>
  <c r="H51" i="108" a="1"/>
  <c r="H51" i="108" s="1"/>
  <c r="G51" i="108" a="1"/>
  <c r="G51" i="108" s="1"/>
  <c r="F51" i="108" a="1"/>
  <c r="F51" i="108" s="1"/>
  <c r="E51" i="108" a="1"/>
  <c r="E51" i="108" s="1"/>
  <c r="D51" i="108" a="1"/>
  <c r="D51" i="108" s="1"/>
  <c r="I50" i="108" a="1"/>
  <c r="I50" i="108" s="1"/>
  <c r="H50" i="108" a="1"/>
  <c r="H50" i="108" s="1"/>
  <c r="G50" i="108" a="1"/>
  <c r="G50" i="108" s="1"/>
  <c r="F50" i="108" a="1"/>
  <c r="F50" i="108" s="1"/>
  <c r="E50" i="108" a="1"/>
  <c r="E50" i="108" s="1"/>
  <c r="D50" i="108" a="1"/>
  <c r="D50" i="108" s="1"/>
  <c r="I49" i="108" a="1"/>
  <c r="I49" i="108" s="1"/>
  <c r="H49" i="108" a="1"/>
  <c r="H49" i="108" s="1"/>
  <c r="G49" i="108" a="1"/>
  <c r="G49" i="108" s="1"/>
  <c r="F49" i="108" a="1"/>
  <c r="F49" i="108" s="1"/>
  <c r="E49" i="108" a="1"/>
  <c r="E49" i="108" s="1"/>
  <c r="D49" i="108" a="1"/>
  <c r="D49" i="108" s="1"/>
  <c r="I48" i="108"/>
  <c r="I48" i="108" a="1"/>
  <c r="H48" i="108" a="1"/>
  <c r="H48" i="108" s="1"/>
  <c r="G48" i="108" a="1"/>
  <c r="G48" i="108" s="1"/>
  <c r="F48" i="108" a="1"/>
  <c r="F48" i="108" s="1"/>
  <c r="E48" i="108" a="1"/>
  <c r="E48" i="108" s="1"/>
  <c r="D48" i="108" a="1"/>
  <c r="D48" i="108" s="1"/>
  <c r="I47" i="108" a="1"/>
  <c r="I47" i="108" s="1"/>
  <c r="H47" i="108" a="1"/>
  <c r="H47" i="108" s="1"/>
  <c r="G47" i="108" a="1"/>
  <c r="G47" i="108" s="1"/>
  <c r="F47" i="108" a="1"/>
  <c r="F47" i="108" s="1"/>
  <c r="E47" i="108" a="1"/>
  <c r="E47" i="108" s="1"/>
  <c r="D47" i="108" a="1"/>
  <c r="D47" i="108" s="1"/>
  <c r="I46" i="108" a="1"/>
  <c r="I46" i="108" s="1"/>
  <c r="H46" i="108" a="1"/>
  <c r="H46" i="108" s="1"/>
  <c r="G46" i="108" a="1"/>
  <c r="G46" i="108" s="1"/>
  <c r="F46" i="108"/>
  <c r="F46" i="108" a="1"/>
  <c r="E46" i="108" a="1"/>
  <c r="E46" i="108" s="1"/>
  <c r="D46" i="108" a="1"/>
  <c r="D46" i="108" s="1"/>
  <c r="I45" i="108" a="1"/>
  <c r="I45" i="108" s="1"/>
  <c r="H45" i="108" a="1"/>
  <c r="H45" i="108" s="1"/>
  <c r="G45" i="108" a="1"/>
  <c r="G45" i="108" s="1"/>
  <c r="F45" i="108" a="1"/>
  <c r="F45" i="108" s="1"/>
  <c r="E45" i="108" a="1"/>
  <c r="E45" i="108" s="1"/>
  <c r="D45" i="108" a="1"/>
  <c r="D45" i="108" s="1"/>
  <c r="I44" i="108" a="1"/>
  <c r="I44" i="108" s="1"/>
  <c r="H44" i="108" a="1"/>
  <c r="H44" i="108" s="1"/>
  <c r="G44" i="108" a="1"/>
  <c r="G44" i="108" s="1"/>
  <c r="F44" i="108" a="1"/>
  <c r="F44" i="108" s="1"/>
  <c r="E44" i="108" a="1"/>
  <c r="E44" i="108" s="1"/>
  <c r="D44" i="108" a="1"/>
  <c r="D44" i="108" s="1"/>
  <c r="I43" i="108" a="1"/>
  <c r="I43" i="108" s="1"/>
  <c r="H43" i="108" a="1"/>
  <c r="H43" i="108" s="1"/>
  <c r="G43" i="108" a="1"/>
  <c r="G43" i="108" s="1"/>
  <c r="F43" i="108" a="1"/>
  <c r="F43" i="108" s="1"/>
  <c r="E43" i="108" a="1"/>
  <c r="E43" i="108" s="1"/>
  <c r="D43" i="108" a="1"/>
  <c r="D43" i="108" s="1"/>
  <c r="I42" i="108" a="1"/>
  <c r="I42" i="108" s="1"/>
  <c r="H42" i="108" a="1"/>
  <c r="H42" i="108" s="1"/>
  <c r="G42" i="108" a="1"/>
  <c r="G42" i="108" s="1"/>
  <c r="F42" i="108" a="1"/>
  <c r="F42" i="108" s="1"/>
  <c r="E42" i="108" a="1"/>
  <c r="E42" i="108" s="1"/>
  <c r="D42" i="108" a="1"/>
  <c r="D42" i="108" s="1"/>
  <c r="I41" i="108" a="1"/>
  <c r="I41" i="108" s="1"/>
  <c r="H41" i="108" a="1"/>
  <c r="H41" i="108" s="1"/>
  <c r="G41" i="108" a="1"/>
  <c r="G41" i="108" s="1"/>
  <c r="F41" i="108" a="1"/>
  <c r="F41" i="108" s="1"/>
  <c r="E41" i="108" a="1"/>
  <c r="E41" i="108" s="1"/>
  <c r="D41" i="108" a="1"/>
  <c r="D41" i="108" s="1"/>
  <c r="I40" i="108" a="1"/>
  <c r="I40" i="108" s="1"/>
  <c r="H40" i="108" a="1"/>
  <c r="H40" i="108" s="1"/>
  <c r="G40" i="108" a="1"/>
  <c r="G40" i="108" s="1"/>
  <c r="F40" i="108" a="1"/>
  <c r="F40" i="108" s="1"/>
  <c r="E40" i="108" a="1"/>
  <c r="E40" i="108" s="1"/>
  <c r="D40" i="108" a="1"/>
  <c r="D40" i="108" s="1"/>
  <c r="I39" i="108" a="1"/>
  <c r="I39" i="108" s="1"/>
  <c r="H39" i="108" a="1"/>
  <c r="H39" i="108" s="1"/>
  <c r="G39" i="108" a="1"/>
  <c r="G39" i="108" s="1"/>
  <c r="F39" i="108" a="1"/>
  <c r="F39" i="108" s="1"/>
  <c r="E39" i="108" a="1"/>
  <c r="E39" i="108" s="1"/>
  <c r="D39" i="108" a="1"/>
  <c r="D39" i="108" s="1"/>
  <c r="I38" i="108" a="1"/>
  <c r="I38" i="108" s="1"/>
  <c r="H38" i="108" a="1"/>
  <c r="H38" i="108" s="1"/>
  <c r="G38" i="108" a="1"/>
  <c r="G38" i="108" s="1"/>
  <c r="F38" i="108" a="1"/>
  <c r="F38" i="108" s="1"/>
  <c r="E38" i="108" a="1"/>
  <c r="E38" i="108" s="1"/>
  <c r="D38" i="108" a="1"/>
  <c r="D38" i="108" s="1"/>
  <c r="I37" i="108" a="1"/>
  <c r="I37" i="108" s="1"/>
  <c r="H37" i="108" a="1"/>
  <c r="H37" i="108" s="1"/>
  <c r="G37" i="108" a="1"/>
  <c r="G37" i="108" s="1"/>
  <c r="F37" i="108" a="1"/>
  <c r="F37" i="108" s="1"/>
  <c r="E37" i="108" a="1"/>
  <c r="E37" i="108" s="1"/>
  <c r="D37" i="108" a="1"/>
  <c r="D37" i="108" s="1"/>
  <c r="I36" i="108" a="1"/>
  <c r="I36" i="108" s="1"/>
  <c r="H36" i="108" a="1"/>
  <c r="H36" i="108" s="1"/>
  <c r="G36" i="108" a="1"/>
  <c r="G36" i="108" s="1"/>
  <c r="F36" i="108" a="1"/>
  <c r="F36" i="108" s="1"/>
  <c r="E36" i="108" a="1"/>
  <c r="E36" i="108" s="1"/>
  <c r="D36" i="108" a="1"/>
  <c r="D36" i="108" s="1"/>
  <c r="I35" i="108" a="1"/>
  <c r="I35" i="108" s="1"/>
  <c r="H35" i="108" a="1"/>
  <c r="H35" i="108" s="1"/>
  <c r="G35" i="108" a="1"/>
  <c r="G35" i="108" s="1"/>
  <c r="F35" i="108" a="1"/>
  <c r="F35" i="108" s="1"/>
  <c r="E35" i="108" a="1"/>
  <c r="E35" i="108" s="1"/>
  <c r="D35" i="108" a="1"/>
  <c r="D35" i="108" s="1"/>
  <c r="I34" i="108" a="1"/>
  <c r="I34" i="108" s="1"/>
  <c r="H34" i="108" a="1"/>
  <c r="H34" i="108" s="1"/>
  <c r="G34" i="108" a="1"/>
  <c r="G34" i="108" s="1"/>
  <c r="F34" i="108" a="1"/>
  <c r="F34" i="108" s="1"/>
  <c r="E34" i="108" a="1"/>
  <c r="E34" i="108" s="1"/>
  <c r="D34" i="108" a="1"/>
  <c r="D34" i="108" s="1"/>
  <c r="R85" i="107" a="1"/>
  <c r="R85" i="107" s="1"/>
  <c r="N85" i="107" a="1"/>
  <c r="N85" i="107" s="1"/>
  <c r="H85" i="107" a="1"/>
  <c r="H85" i="107" s="1"/>
  <c r="D85" i="107" a="1"/>
  <c r="D85" i="107" s="1"/>
  <c r="O83" i="107" a="1"/>
  <c r="O83" i="107" s="1"/>
  <c r="E83" i="107" a="1"/>
  <c r="E83" i="107" s="1"/>
  <c r="O82" i="107" a="1"/>
  <c r="O82" i="107" s="1"/>
  <c r="E82" i="107" a="1"/>
  <c r="E82" i="107" s="1"/>
  <c r="N78" i="107" a="1"/>
  <c r="N78" i="107" s="1"/>
  <c r="D78" i="107" a="1"/>
  <c r="D78" i="107" s="1"/>
  <c r="N77" i="107" a="1"/>
  <c r="N77" i="107" s="1"/>
  <c r="D77" i="107" a="1"/>
  <c r="D77" i="107" s="1"/>
  <c r="I72" i="107"/>
  <c r="I71" i="107"/>
  <c r="I70" i="107"/>
  <c r="S67" i="107"/>
  <c r="Q67" i="107" a="1"/>
  <c r="Q67" i="107" s="1"/>
  <c r="N67" i="107" a="1"/>
  <c r="N67" i="107" s="1"/>
  <c r="I67" i="107"/>
  <c r="G67" i="107" a="1"/>
  <c r="G67" i="107" s="1"/>
  <c r="D67" i="107" a="1"/>
  <c r="D67" i="107" s="1"/>
  <c r="O65" i="107" a="1"/>
  <c r="O65" i="107" s="1"/>
  <c r="E65" i="107" a="1"/>
  <c r="E65" i="107" s="1"/>
  <c r="P74" i="107" s="1"/>
  <c r="O64" i="107" a="1"/>
  <c r="O64" i="107" s="1"/>
  <c r="E64" i="107" a="1"/>
  <c r="E64" i="107" s="1"/>
  <c r="N60" i="107" a="1"/>
  <c r="N60" i="107" s="1"/>
  <c r="D60" i="107" a="1"/>
  <c r="D60" i="107" s="1"/>
  <c r="N59" i="107" a="1"/>
  <c r="N59" i="107" s="1"/>
  <c r="D59" i="107" a="1"/>
  <c r="D59" i="107" s="1"/>
  <c r="I52" i="107"/>
  <c r="I51" i="107"/>
  <c r="Q48" i="107" a="1"/>
  <c r="Q48" i="107" s="1"/>
  <c r="N48" i="107" a="1"/>
  <c r="N48" i="107" s="1"/>
  <c r="G48" i="107" a="1"/>
  <c r="G48" i="107" s="1"/>
  <c r="D48" i="107" a="1"/>
  <c r="D48" i="107" s="1"/>
  <c r="O46" i="107" a="1"/>
  <c r="O46" i="107" s="1"/>
  <c r="E46" i="107" a="1"/>
  <c r="E46" i="107" s="1"/>
  <c r="O45" i="107" a="1"/>
  <c r="O45" i="107" s="1"/>
  <c r="E45" i="107" a="1"/>
  <c r="E45" i="107" s="1"/>
  <c r="N41" i="107" a="1"/>
  <c r="N41" i="107" s="1"/>
  <c r="D41" i="107" a="1"/>
  <c r="D41" i="107" s="1"/>
  <c r="N40" i="107" a="1"/>
  <c r="N40" i="107" s="1"/>
  <c r="D40" i="107" a="1"/>
  <c r="D40" i="107" s="1"/>
  <c r="S32" i="107"/>
  <c r="Q32" i="107" a="1"/>
  <c r="Q32" i="107" s="1"/>
  <c r="N32" i="107" a="1"/>
  <c r="N32" i="107" s="1"/>
  <c r="I32" i="107"/>
  <c r="G32" i="107" a="1"/>
  <c r="G32" i="107" s="1"/>
  <c r="D32" i="107" a="1"/>
  <c r="D32" i="107" s="1"/>
  <c r="O30" i="107" a="1"/>
  <c r="O30" i="107" s="1"/>
  <c r="P35" i="107" s="1"/>
  <c r="E30" i="107" a="1"/>
  <c r="E30" i="107" s="1"/>
  <c r="F35" i="107" s="1"/>
  <c r="O29" i="107" a="1"/>
  <c r="O29" i="107" s="1"/>
  <c r="E29" i="107" a="1"/>
  <c r="E29" i="107" s="1"/>
  <c r="N25" i="107"/>
  <c r="N25" i="107" a="1"/>
  <c r="D25" i="107" a="1"/>
  <c r="D25" i="107" s="1"/>
  <c r="N24" i="107" a="1"/>
  <c r="N24" i="107" s="1"/>
  <c r="D24" i="107" a="1"/>
  <c r="D24" i="107" s="1"/>
  <c r="J16" i="107"/>
  <c r="T13" i="107"/>
  <c r="R13" i="107" a="1"/>
  <c r="R13" i="107" s="1"/>
  <c r="N13" i="107" a="1"/>
  <c r="N13" i="107" s="1"/>
  <c r="J13" i="107"/>
  <c r="H13" i="107" a="1"/>
  <c r="H13" i="107" s="1"/>
  <c r="D13" i="107" a="1"/>
  <c r="D13" i="107" s="1"/>
  <c r="O11" i="107" a="1"/>
  <c r="O11" i="107" s="1"/>
  <c r="E11" i="107" a="1"/>
  <c r="E11" i="107" s="1"/>
  <c r="O10" i="107" a="1"/>
  <c r="O10" i="107" s="1"/>
  <c r="E10" i="107" a="1"/>
  <c r="E10" i="107" s="1"/>
  <c r="N6" i="107" a="1"/>
  <c r="N6" i="107" s="1"/>
  <c r="D6" i="107" a="1"/>
  <c r="D6" i="107" s="1"/>
  <c r="N5" i="107" a="1"/>
  <c r="N5" i="107" s="1"/>
  <c r="D5" i="107" a="1"/>
  <c r="D5" i="107" s="1"/>
  <c r="J631" i="106" a="1"/>
  <c r="J631" i="106" s="1"/>
  <c r="J618" i="106" a="1"/>
  <c r="J618" i="106" s="1"/>
  <c r="J617" i="106" a="1"/>
  <c r="J617" i="106" s="1"/>
  <c r="J616" i="106" a="1"/>
  <c r="J616" i="106" s="1"/>
  <c r="J613" i="106" a="1"/>
  <c r="J613" i="106" s="1"/>
  <c r="J612" i="106" a="1"/>
  <c r="J612" i="106" s="1"/>
  <c r="J611" i="106" a="1"/>
  <c r="J611" i="106" s="1"/>
  <c r="J610" i="106" a="1"/>
  <c r="J610" i="106" s="1"/>
  <c r="J615" i="106" a="1"/>
  <c r="J615" i="106" s="1"/>
  <c r="G601" i="106" a="1"/>
  <c r="G601" i="106" s="1"/>
  <c r="D601" i="106" a="1"/>
  <c r="D601" i="106" s="1"/>
  <c r="E599" i="106" a="1"/>
  <c r="E599" i="106" s="1"/>
  <c r="E598" i="106" a="1"/>
  <c r="E598" i="106" s="1"/>
  <c r="D593" i="106" a="1"/>
  <c r="D593" i="106" s="1"/>
  <c r="D592" i="106" a="1"/>
  <c r="D592" i="106" s="1"/>
  <c r="E586" i="106" a="1"/>
  <c r="E586" i="106" s="1"/>
  <c r="F588" i="106" s="1"/>
  <c r="E585" i="106" a="1"/>
  <c r="E585" i="106" s="1"/>
  <c r="D583" i="106" a="1"/>
  <c r="D583" i="106" s="1"/>
  <c r="D582" i="106" a="1"/>
  <c r="D582" i="106" s="1"/>
  <c r="N578" i="106" a="1"/>
  <c r="N578" i="106" s="1"/>
  <c r="F578" i="106" a="1"/>
  <c r="F578" i="106" s="1"/>
  <c r="L575" i="106" a="1"/>
  <c r="L575" i="106" s="1"/>
  <c r="D575" i="106" a="1"/>
  <c r="D575" i="106" s="1"/>
  <c r="P569" i="106" a="1"/>
  <c r="P569" i="106" s="1"/>
  <c r="L569" i="106" a="1"/>
  <c r="L569" i="106" s="1"/>
  <c r="H569" i="106" a="1"/>
  <c r="H569" i="106" s="1"/>
  <c r="D569" i="106" a="1"/>
  <c r="D569" i="106" s="1"/>
  <c r="E565" i="106" a="1"/>
  <c r="E565" i="106" s="1"/>
  <c r="E564" i="106" a="1"/>
  <c r="E564" i="106" s="1"/>
  <c r="D560" i="106" a="1"/>
  <c r="D560" i="106" s="1"/>
  <c r="D559" i="106" a="1"/>
  <c r="D559" i="106" s="1"/>
  <c r="I553" i="106"/>
  <c r="I549" i="106"/>
  <c r="I548" i="106"/>
  <c r="I547" i="106"/>
  <c r="G547" i="106" a="1"/>
  <c r="G547" i="106" s="1"/>
  <c r="D547" i="106" a="1"/>
  <c r="D547" i="106" s="1"/>
  <c r="E545" i="106" a="1"/>
  <c r="E545" i="106" s="1"/>
  <c r="E544" i="106" a="1"/>
  <c r="E544" i="106" s="1"/>
  <c r="D539" i="106" a="1"/>
  <c r="D539" i="106" s="1"/>
  <c r="D538" i="106" a="1"/>
  <c r="D538" i="106" s="1"/>
  <c r="D537" i="106" a="1"/>
  <c r="D537" i="106" s="1"/>
  <c r="I531" i="106"/>
  <c r="I529" i="106"/>
  <c r="G529" i="106" a="1"/>
  <c r="G529" i="106" s="1"/>
  <c r="D529" i="106" a="1"/>
  <c r="D529" i="106" s="1"/>
  <c r="E527" i="106" a="1"/>
  <c r="E527" i="106" s="1"/>
  <c r="E526" i="106" a="1"/>
  <c r="E526" i="106" s="1"/>
  <c r="D522" i="106" a="1"/>
  <c r="D522" i="106" s="1"/>
  <c r="D521" i="106" a="1"/>
  <c r="D521" i="106" s="1"/>
  <c r="G515" i="106" a="1"/>
  <c r="G515" i="106" s="1"/>
  <c r="D515" i="106" a="1"/>
  <c r="D515" i="106" s="1"/>
  <c r="E513" i="106" a="1"/>
  <c r="E513" i="106" s="1"/>
  <c r="E512" i="106" a="1"/>
  <c r="E512" i="106" s="1"/>
  <c r="D507" i="106" a="1"/>
  <c r="D507" i="106" s="1"/>
  <c r="D506" i="106" a="1"/>
  <c r="D506" i="106" s="1"/>
  <c r="K498" i="106" a="1"/>
  <c r="K498" i="106" s="1"/>
  <c r="K496" i="106" a="1"/>
  <c r="K496" i="106" s="1"/>
  <c r="K494" i="106" a="1"/>
  <c r="K494" i="106" s="1"/>
  <c r="K491" i="106" a="1"/>
  <c r="K491" i="106" s="1"/>
  <c r="K493" i="106" a="1"/>
  <c r="K493" i="106" s="1"/>
  <c r="E481" i="106"/>
  <c r="I481" i="106" s="1" a="1"/>
  <c r="I481" i="106" s="1"/>
  <c r="E480" i="106"/>
  <c r="E479" i="106"/>
  <c r="I479" i="106" s="1" a="1"/>
  <c r="I479" i="106" s="1"/>
  <c r="E470" i="106"/>
  <c r="I470" i="106" s="1" a="1"/>
  <c r="I470" i="106" s="1"/>
  <c r="E469" i="106"/>
  <c r="E468" i="106"/>
  <c r="I468" i="106" s="1" a="1"/>
  <c r="I468" i="106" s="1"/>
  <c r="E467" i="106"/>
  <c r="E466" i="106"/>
  <c r="I466" i="106" s="1" a="1"/>
  <c r="I466" i="106" s="1"/>
  <c r="J452" i="106" a="1"/>
  <c r="J452" i="106" s="1"/>
  <c r="J449" i="106" a="1"/>
  <c r="J449" i="106" s="1"/>
  <c r="J451" i="106" a="1"/>
  <c r="J451" i="106" s="1"/>
  <c r="J434" i="106" a="1"/>
  <c r="J434" i="106" s="1"/>
  <c r="J431" i="106" a="1"/>
  <c r="J431" i="106" s="1"/>
  <c r="J433" i="106" a="1"/>
  <c r="J433" i="106" s="1"/>
  <c r="G424" i="106" a="1"/>
  <c r="G424" i="106" s="1"/>
  <c r="D424" i="106" a="1"/>
  <c r="D424" i="106" s="1"/>
  <c r="E422" i="106" a="1"/>
  <c r="E422" i="106" s="1"/>
  <c r="E421" i="106" a="1"/>
  <c r="E421" i="106" s="1"/>
  <c r="D416" i="106" a="1"/>
  <c r="D416" i="106" s="1"/>
  <c r="D415" i="106" a="1"/>
  <c r="D415" i="106" s="1"/>
  <c r="K407" i="106"/>
  <c r="K403" i="106"/>
  <c r="J407" i="106" a="1"/>
  <c r="J407" i="106" s="1"/>
  <c r="F392" i="106" a="1"/>
  <c r="F392" i="106" s="1"/>
  <c r="D392" i="106" a="1"/>
  <c r="D392" i="106" s="1"/>
  <c r="E390" i="106" a="1"/>
  <c r="E390" i="106" s="1"/>
  <c r="E389" i="106" a="1"/>
  <c r="E389" i="106" s="1"/>
  <c r="D384" i="106" a="1"/>
  <c r="D384" i="106" s="1"/>
  <c r="D383" i="106" a="1"/>
  <c r="D383" i="106" s="1"/>
  <c r="F362" i="106" a="1"/>
  <c r="F362" i="106" s="1"/>
  <c r="D362" i="106" a="1"/>
  <c r="D362" i="106" s="1"/>
  <c r="E360" i="106" a="1"/>
  <c r="E360" i="106" s="1"/>
  <c r="E359" i="106" a="1"/>
  <c r="E359" i="106" s="1"/>
  <c r="D354" i="106" a="1"/>
  <c r="D354" i="106" s="1"/>
  <c r="D353" i="106" a="1"/>
  <c r="D353" i="106" s="1"/>
  <c r="D352" i="106" a="1"/>
  <c r="D352" i="106" s="1"/>
  <c r="K345" i="106" a="1"/>
  <c r="K345" i="106" s="1"/>
  <c r="L343" i="106"/>
  <c r="K343" i="106" a="1"/>
  <c r="K343" i="106" s="1"/>
  <c r="L342" i="106"/>
  <c r="L340" i="106"/>
  <c r="L339" i="106"/>
  <c r="L338" i="106"/>
  <c r="L337" i="106"/>
  <c r="G329" i="106" a="1"/>
  <c r="G329" i="106" s="1"/>
  <c r="D329" i="106" a="1"/>
  <c r="D329" i="106" s="1"/>
  <c r="E327" i="106" a="1"/>
  <c r="E327" i="106" s="1"/>
  <c r="E326" i="106" a="1"/>
  <c r="E326" i="106" s="1"/>
  <c r="D322" i="106" a="1"/>
  <c r="D322" i="106" s="1"/>
  <c r="D321" i="106" a="1"/>
  <c r="D321" i="106" s="1"/>
  <c r="F296" i="106" a="1"/>
  <c r="D296" i="106" a="1"/>
  <c r="D296" i="106" s="1"/>
  <c r="E294" i="106" a="1"/>
  <c r="E294" i="106" s="1"/>
  <c r="E293" i="106" a="1"/>
  <c r="E293" i="106" s="1"/>
  <c r="D289" i="106" a="1"/>
  <c r="D289" i="106" s="1"/>
  <c r="D288" i="106" a="1"/>
  <c r="D288" i="106" s="1"/>
  <c r="G265" i="106" a="1"/>
  <c r="G265" i="106" s="1"/>
  <c r="D265" i="106" a="1"/>
  <c r="D265" i="106" s="1"/>
  <c r="E263" i="106" a="1"/>
  <c r="E263" i="106" s="1"/>
  <c r="E262" i="106" a="1"/>
  <c r="E262" i="106" s="1"/>
  <c r="D257" i="106" a="1"/>
  <c r="D257" i="106" s="1"/>
  <c r="D256" i="106" a="1"/>
  <c r="D256" i="106" s="1"/>
  <c r="G209" i="106" a="1"/>
  <c r="G209" i="106" s="1"/>
  <c r="D209" i="106" a="1"/>
  <c r="D209" i="106" s="1"/>
  <c r="E207" i="106" a="1"/>
  <c r="E207" i="106" s="1"/>
  <c r="E206" i="106" a="1"/>
  <c r="E206" i="106" s="1"/>
  <c r="D202" i="106" a="1"/>
  <c r="D202" i="106" s="1"/>
  <c r="D201" i="106" a="1"/>
  <c r="D201" i="106" s="1"/>
  <c r="D200" i="106" a="1"/>
  <c r="D200" i="106" s="1"/>
  <c r="G194" i="106" a="1"/>
  <c r="G194" i="106" s="1"/>
  <c r="D194" i="106" a="1"/>
  <c r="D194" i="106" s="1"/>
  <c r="E192" i="106" a="1"/>
  <c r="E192" i="106" s="1"/>
  <c r="E191" i="106" a="1"/>
  <c r="E191" i="106" s="1"/>
  <c r="D187" i="106"/>
  <c r="D187" i="106" a="1"/>
  <c r="D186" i="106" a="1"/>
  <c r="D186" i="106" s="1"/>
  <c r="G180" i="106" a="1"/>
  <c r="G180" i="106" s="1"/>
  <c r="D180" i="106" a="1"/>
  <c r="D180" i="106" s="1"/>
  <c r="E178" i="106" a="1"/>
  <c r="E178" i="106" s="1"/>
  <c r="E177" i="106" a="1"/>
  <c r="E177" i="106" s="1"/>
  <c r="D173" i="106" a="1"/>
  <c r="D173" i="106" s="1"/>
  <c r="D172" i="106" a="1"/>
  <c r="D172" i="106" s="1"/>
  <c r="D171" i="106" a="1"/>
  <c r="D171" i="106" s="1"/>
  <c r="E164" i="106"/>
  <c r="I164" i="106" s="1" a="1"/>
  <c r="I164" i="106" s="1"/>
  <c r="E163" i="106"/>
  <c r="I163" i="106" s="1" a="1"/>
  <c r="I163" i="106" s="1"/>
  <c r="E162" i="106"/>
  <c r="I162" i="106" s="1" a="1"/>
  <c r="I162" i="106" s="1"/>
  <c r="G157" i="106" a="1"/>
  <c r="G157" i="106" s="1"/>
  <c r="D157" i="106" a="1"/>
  <c r="D157" i="106" s="1"/>
  <c r="E155" i="106" a="1"/>
  <c r="E155" i="106" s="1"/>
  <c r="E154" i="106" a="1"/>
  <c r="E154" i="106" s="1"/>
  <c r="D150" i="106" a="1"/>
  <c r="D150" i="106" s="1"/>
  <c r="D149" i="106" a="1"/>
  <c r="D149" i="106" s="1"/>
  <c r="E139" i="106"/>
  <c r="E138" i="106"/>
  <c r="E137" i="106"/>
  <c r="I137" i="106" s="1" a="1"/>
  <c r="I137" i="106" s="1"/>
  <c r="E136" i="106"/>
  <c r="I136" i="106" s="1" a="1"/>
  <c r="I136" i="106" s="1"/>
  <c r="I121" i="106" a="1"/>
  <c r="I121" i="106" s="1"/>
  <c r="I119" i="106" a="1"/>
  <c r="I119" i="106" s="1"/>
  <c r="G106" i="106" a="1"/>
  <c r="G106" i="106" s="1"/>
  <c r="D106" i="106" a="1"/>
  <c r="D106" i="106" s="1"/>
  <c r="E104" i="106" a="1"/>
  <c r="E104" i="106" s="1"/>
  <c r="E103" i="106" a="1"/>
  <c r="E103" i="106" s="1"/>
  <c r="D99" i="106" a="1"/>
  <c r="D99" i="106" s="1"/>
  <c r="D98" i="106" a="1"/>
  <c r="D98" i="106" s="1"/>
  <c r="M24" i="106" a="1"/>
  <c r="M24" i="106" s="1"/>
  <c r="M23" i="106" a="1"/>
  <c r="M23" i="106" s="1"/>
  <c r="G13" i="106" a="1"/>
  <c r="G13" i="106" s="1"/>
  <c r="D13" i="106" a="1"/>
  <c r="D13" i="106" s="1"/>
  <c r="E11" i="106" a="1"/>
  <c r="E11" i="106" s="1"/>
  <c r="E10" i="106" a="1"/>
  <c r="E10" i="106" s="1"/>
  <c r="D6" i="106" a="1"/>
  <c r="D6" i="106" s="1"/>
  <c r="D5" i="106" a="1"/>
  <c r="D5" i="106" s="1"/>
  <c r="R19" i="103"/>
  <c r="O19" i="103"/>
  <c r="H19" i="103"/>
  <c r="L19" i="103" s="1"/>
  <c r="L18" i="103"/>
  <c r="H18" i="103"/>
  <c r="R18" i="103" s="1"/>
  <c r="R17" i="103"/>
  <c r="O17" i="103"/>
  <c r="H17" i="103"/>
  <c r="L17" i="103" s="1"/>
  <c r="R16" i="103"/>
  <c r="H16" i="103"/>
  <c r="O16" i="103" s="1"/>
  <c r="H15" i="103"/>
  <c r="L15" i="103" s="1"/>
  <c r="H14" i="103"/>
  <c r="O14" i="103" s="1"/>
  <c r="H13" i="103"/>
  <c r="R13" i="103" s="1"/>
  <c r="L12" i="103"/>
  <c r="H12" i="103"/>
  <c r="O12" i="103" s="1"/>
  <c r="H11" i="103"/>
  <c r="R11" i="103" s="1"/>
  <c r="H10" i="103"/>
  <c r="R10" i="103" s="1"/>
  <c r="Q8" i="103" a="1"/>
  <c r="Q8" i="103" s="1"/>
  <c r="N8" i="103" a="1"/>
  <c r="N8" i="103" s="1"/>
  <c r="K8" i="103" a="1"/>
  <c r="K8" i="103" s="1"/>
  <c r="F235" i="101" a="1"/>
  <c r="F235" i="101" s="1"/>
  <c r="E235" i="101" a="1"/>
  <c r="E235" i="101" s="1"/>
  <c r="D235" i="101" a="1"/>
  <c r="D235" i="101" s="1"/>
  <c r="F234" i="101" a="1"/>
  <c r="F234" i="101" s="1"/>
  <c r="E234" i="101" a="1"/>
  <c r="E234" i="101" s="1"/>
  <c r="D234" i="101" a="1"/>
  <c r="D234" i="101" s="1"/>
  <c r="F233" i="101" a="1"/>
  <c r="F233" i="101" s="1"/>
  <c r="E233" i="101" a="1"/>
  <c r="E233" i="101" s="1"/>
  <c r="D233" i="101" a="1"/>
  <c r="D233" i="101" s="1"/>
  <c r="F232" i="101" a="1"/>
  <c r="F232" i="101" s="1"/>
  <c r="E232" i="101" a="1"/>
  <c r="E232" i="101" s="1"/>
  <c r="D232" i="101" a="1"/>
  <c r="D232" i="101" s="1"/>
  <c r="F231" i="101" a="1"/>
  <c r="F231" i="101" s="1"/>
  <c r="E231" i="101" a="1"/>
  <c r="E231" i="101" s="1"/>
  <c r="D231" i="101" a="1"/>
  <c r="D231" i="101" s="1"/>
  <c r="F230" i="101" a="1"/>
  <c r="F230" i="101" s="1"/>
  <c r="E230" i="101" a="1"/>
  <c r="E230" i="101" s="1"/>
  <c r="D230" i="101" a="1"/>
  <c r="D230" i="101" s="1"/>
  <c r="F229" i="101" a="1"/>
  <c r="F229" i="101" s="1"/>
  <c r="E229" i="101" a="1"/>
  <c r="E229" i="101" s="1"/>
  <c r="D229" i="101" a="1"/>
  <c r="D229" i="101" s="1"/>
  <c r="F228" i="101" a="1"/>
  <c r="F228" i="101" s="1"/>
  <c r="E228" i="101" a="1"/>
  <c r="E228" i="101" s="1"/>
  <c r="D228" i="101" a="1"/>
  <c r="D228" i="101" s="1"/>
  <c r="F227" i="101" a="1"/>
  <c r="F227" i="101" s="1"/>
  <c r="E227" i="101" a="1"/>
  <c r="E227" i="101" s="1"/>
  <c r="D227" i="101" a="1"/>
  <c r="D227" i="101" s="1"/>
  <c r="F226" i="101" a="1"/>
  <c r="F226" i="101" s="1"/>
  <c r="E226" i="101" a="1"/>
  <c r="E226" i="101" s="1"/>
  <c r="D226" i="101" a="1"/>
  <c r="D226" i="101" s="1"/>
  <c r="F225" i="101" a="1"/>
  <c r="F225" i="101" s="1"/>
  <c r="E225" i="101" a="1"/>
  <c r="E225" i="101" s="1"/>
  <c r="D225" i="101" a="1"/>
  <c r="D225" i="101" s="1"/>
  <c r="F224" i="101" a="1"/>
  <c r="F224" i="101" s="1"/>
  <c r="E224" i="101" a="1"/>
  <c r="E224" i="101" s="1"/>
  <c r="D224" i="101" a="1"/>
  <c r="D224" i="101" s="1"/>
  <c r="F223" i="101" a="1"/>
  <c r="F223" i="101" s="1"/>
  <c r="E223" i="101" a="1"/>
  <c r="E223" i="101" s="1"/>
  <c r="D223" i="101" a="1"/>
  <c r="D223" i="101" s="1"/>
  <c r="F222" i="101" a="1"/>
  <c r="F222" i="101" s="1"/>
  <c r="E222" i="101" a="1"/>
  <c r="E222" i="101" s="1"/>
  <c r="D222" i="101" a="1"/>
  <c r="D222" i="101" s="1"/>
  <c r="F221" i="101" a="1"/>
  <c r="F221" i="101" s="1"/>
  <c r="E221" i="101" a="1"/>
  <c r="E221" i="101" s="1"/>
  <c r="D221" i="101" a="1"/>
  <c r="D221" i="101" s="1"/>
  <c r="F220" i="101" a="1"/>
  <c r="F220" i="101" s="1"/>
  <c r="E220" i="101" a="1"/>
  <c r="E220" i="101" s="1"/>
  <c r="D220" i="101" a="1"/>
  <c r="D220" i="101" s="1"/>
  <c r="F219" i="101" a="1"/>
  <c r="F219" i="101" s="1"/>
  <c r="E219" i="101" a="1"/>
  <c r="E219" i="101" s="1"/>
  <c r="D219" i="101" a="1"/>
  <c r="D219" i="101" s="1"/>
  <c r="F218" i="101" a="1"/>
  <c r="F218" i="101" s="1"/>
  <c r="E218" i="101" a="1"/>
  <c r="E218" i="101" s="1"/>
  <c r="D218" i="101" a="1"/>
  <c r="D218" i="101" s="1"/>
  <c r="F217" i="101" a="1"/>
  <c r="F217" i="101" s="1"/>
  <c r="E217" i="101" a="1"/>
  <c r="E217" i="101" s="1"/>
  <c r="D217" i="101" a="1"/>
  <c r="D217" i="101" s="1"/>
  <c r="F216" i="101" a="1"/>
  <c r="F216" i="101" s="1"/>
  <c r="E216" i="101" a="1"/>
  <c r="E216" i="101" s="1"/>
  <c r="D216" i="101" a="1"/>
  <c r="D216" i="101" s="1"/>
  <c r="F215" i="101" a="1"/>
  <c r="F215" i="101" s="1"/>
  <c r="E215" i="101" a="1"/>
  <c r="E215" i="101" s="1"/>
  <c r="D215" i="101" a="1"/>
  <c r="D215" i="101" s="1"/>
  <c r="F214" i="101" a="1"/>
  <c r="F214" i="101" s="1"/>
  <c r="E214" i="101" a="1"/>
  <c r="E214" i="101" s="1"/>
  <c r="D214" i="101" a="1"/>
  <c r="D214" i="101" s="1"/>
  <c r="F213" i="101" a="1"/>
  <c r="F213" i="101" s="1"/>
  <c r="E213" i="101" a="1"/>
  <c r="E213" i="101" s="1"/>
  <c r="D213" i="101" a="1"/>
  <c r="D213" i="101" s="1"/>
  <c r="F212" i="101" a="1"/>
  <c r="F212" i="101" s="1"/>
  <c r="E212" i="101" a="1"/>
  <c r="E212" i="101" s="1"/>
  <c r="D212" i="101" a="1"/>
  <c r="D212" i="101" s="1"/>
  <c r="F211" i="101" a="1"/>
  <c r="F211" i="101" s="1"/>
  <c r="E211" i="101" a="1"/>
  <c r="E211" i="101" s="1"/>
  <c r="D211" i="101" a="1"/>
  <c r="D211" i="101" s="1"/>
  <c r="F210" i="101" a="1"/>
  <c r="F210" i="101" s="1"/>
  <c r="E210" i="101" a="1"/>
  <c r="E210" i="101" s="1"/>
  <c r="D210" i="101" a="1"/>
  <c r="D210" i="101" s="1"/>
  <c r="F209" i="101" a="1"/>
  <c r="F209" i="101" s="1"/>
  <c r="E209" i="101" a="1"/>
  <c r="E209" i="101" s="1"/>
  <c r="D209" i="101" a="1"/>
  <c r="D209" i="101" s="1"/>
  <c r="F208" i="101" a="1"/>
  <c r="F208" i="101" s="1"/>
  <c r="E208" i="101" a="1"/>
  <c r="E208" i="101" s="1"/>
  <c r="D208" i="101" a="1"/>
  <c r="D208" i="101" s="1"/>
  <c r="F207" i="101" a="1"/>
  <c r="F207" i="101" s="1"/>
  <c r="E207" i="101" a="1"/>
  <c r="E207" i="101" s="1"/>
  <c r="D207" i="101" a="1"/>
  <c r="D207" i="101" s="1"/>
  <c r="F206" i="101" a="1"/>
  <c r="F206" i="101" s="1"/>
  <c r="E206" i="101" a="1"/>
  <c r="E206" i="101" s="1"/>
  <c r="D206" i="101" a="1"/>
  <c r="D206" i="101" s="1"/>
  <c r="F205" i="101" a="1"/>
  <c r="F205" i="101" s="1"/>
  <c r="E205" i="101" a="1"/>
  <c r="E205" i="101" s="1"/>
  <c r="D205" i="101" a="1"/>
  <c r="D205" i="101" s="1"/>
  <c r="F204" i="101" a="1"/>
  <c r="F204" i="101" s="1"/>
  <c r="E204" i="101" a="1"/>
  <c r="E204" i="101" s="1"/>
  <c r="D204" i="101" a="1"/>
  <c r="D204" i="101" s="1"/>
  <c r="F203" i="101" a="1"/>
  <c r="F203" i="101" s="1"/>
  <c r="E203" i="101" a="1"/>
  <c r="E203" i="101" s="1"/>
  <c r="D203" i="101" a="1"/>
  <c r="D203" i="101" s="1"/>
  <c r="F202" i="101" a="1"/>
  <c r="F202" i="101" s="1"/>
  <c r="E202" i="101" a="1"/>
  <c r="E202" i="101" s="1"/>
  <c r="D202" i="101" a="1"/>
  <c r="D202" i="101" s="1"/>
  <c r="F201" i="101" a="1"/>
  <c r="F201" i="101" s="1"/>
  <c r="E201" i="101" a="1"/>
  <c r="E201" i="101" s="1"/>
  <c r="D201" i="101" a="1"/>
  <c r="D201" i="101" s="1"/>
  <c r="F200" i="101" a="1"/>
  <c r="F200" i="101" s="1"/>
  <c r="E200" i="101" a="1"/>
  <c r="E200" i="101" s="1"/>
  <c r="D200" i="101" a="1"/>
  <c r="D200" i="101" s="1"/>
  <c r="F199" i="101" a="1"/>
  <c r="F199" i="101" s="1"/>
  <c r="E199" i="101" a="1"/>
  <c r="E199" i="101" s="1"/>
  <c r="D199" i="101" a="1"/>
  <c r="D199" i="101" s="1"/>
  <c r="F198" i="101" a="1"/>
  <c r="F198" i="101" s="1"/>
  <c r="E198" i="101" a="1"/>
  <c r="E198" i="101" s="1"/>
  <c r="D198" i="101" a="1"/>
  <c r="D198" i="101" s="1"/>
  <c r="F197" i="101" a="1"/>
  <c r="F197" i="101" s="1"/>
  <c r="E197" i="101" a="1"/>
  <c r="E197" i="101" s="1"/>
  <c r="D197" i="101" a="1"/>
  <c r="D197" i="101" s="1"/>
  <c r="F196" i="101" a="1"/>
  <c r="F196" i="101" s="1"/>
  <c r="E196" i="101" a="1"/>
  <c r="E196" i="101" s="1"/>
  <c r="D196" i="101" a="1"/>
  <c r="D196" i="101" s="1"/>
  <c r="F195" i="101" a="1"/>
  <c r="F195" i="101" s="1"/>
  <c r="E195" i="101" a="1"/>
  <c r="E195" i="101" s="1"/>
  <c r="D195" i="101" a="1"/>
  <c r="D195" i="101" s="1"/>
  <c r="F194" i="101" a="1"/>
  <c r="F194" i="101" s="1"/>
  <c r="E194" i="101" a="1"/>
  <c r="E194" i="101" s="1"/>
  <c r="D194" i="101" a="1"/>
  <c r="D194" i="101" s="1"/>
  <c r="F193" i="101" a="1"/>
  <c r="F193" i="101" s="1"/>
  <c r="E193" i="101" a="1"/>
  <c r="E193" i="101" s="1"/>
  <c r="D193" i="101" a="1"/>
  <c r="D193" i="101" s="1"/>
  <c r="F192" i="101" a="1"/>
  <c r="F192" i="101" s="1"/>
  <c r="E192" i="101" a="1"/>
  <c r="E192" i="101" s="1"/>
  <c r="D192" i="101" a="1"/>
  <c r="D192" i="101" s="1"/>
  <c r="F191" i="101" a="1"/>
  <c r="F191" i="101" s="1"/>
  <c r="E191" i="101" a="1"/>
  <c r="E191" i="101" s="1"/>
  <c r="D191" i="101" a="1"/>
  <c r="D191" i="101" s="1"/>
  <c r="F190" i="101" a="1"/>
  <c r="F190" i="101" s="1"/>
  <c r="E190" i="101" a="1"/>
  <c r="E190" i="101" s="1"/>
  <c r="D190" i="101" a="1"/>
  <c r="D190" i="101" s="1"/>
  <c r="F189" i="101" a="1"/>
  <c r="F189" i="101" s="1"/>
  <c r="E189" i="101" a="1"/>
  <c r="E189" i="101" s="1"/>
  <c r="D189" i="101" a="1"/>
  <c r="D189" i="101" s="1"/>
  <c r="F188" i="101" a="1"/>
  <c r="F188" i="101" s="1"/>
  <c r="E188" i="101" a="1"/>
  <c r="E188" i="101" s="1"/>
  <c r="D188" i="101" a="1"/>
  <c r="D188" i="101" s="1"/>
  <c r="F187" i="101" a="1"/>
  <c r="F187" i="101" s="1"/>
  <c r="E187" i="101" a="1"/>
  <c r="E187" i="101" s="1"/>
  <c r="D187" i="101" a="1"/>
  <c r="D187" i="101" s="1"/>
  <c r="F186" i="101" a="1"/>
  <c r="F186" i="101" s="1"/>
  <c r="E186" i="101" a="1"/>
  <c r="E186" i="101" s="1"/>
  <c r="D186" i="101" a="1"/>
  <c r="D186" i="101" s="1"/>
  <c r="F185" i="101" a="1"/>
  <c r="F185" i="101" s="1"/>
  <c r="E185" i="101" a="1"/>
  <c r="E185" i="101" s="1"/>
  <c r="D185" i="101" a="1"/>
  <c r="D185" i="101" s="1"/>
  <c r="F184" i="101" a="1"/>
  <c r="F184" i="101" s="1"/>
  <c r="E184" i="101" a="1"/>
  <c r="E184" i="101" s="1"/>
  <c r="D184" i="101" a="1"/>
  <c r="D184" i="101" s="1"/>
  <c r="F183" i="101" a="1"/>
  <c r="F183" i="101" s="1"/>
  <c r="E183" i="101" a="1"/>
  <c r="E183" i="101" s="1"/>
  <c r="D183" i="101" a="1"/>
  <c r="D183" i="101" s="1"/>
  <c r="F182" i="101" a="1"/>
  <c r="F182" i="101" s="1"/>
  <c r="E182" i="101" a="1"/>
  <c r="E182" i="101" s="1"/>
  <c r="D182" i="101" a="1"/>
  <c r="D182" i="101" s="1"/>
  <c r="F181" i="101" a="1"/>
  <c r="F181" i="101" s="1"/>
  <c r="E181" i="101" a="1"/>
  <c r="E181" i="101" s="1"/>
  <c r="D181" i="101" a="1"/>
  <c r="D181" i="101" s="1"/>
  <c r="F180" i="101" a="1"/>
  <c r="F180" i="101" s="1"/>
  <c r="E180" i="101" a="1"/>
  <c r="E180" i="101" s="1"/>
  <c r="D180" i="101" a="1"/>
  <c r="D180" i="101" s="1"/>
  <c r="F179" i="101" a="1"/>
  <c r="F179" i="101" s="1"/>
  <c r="E179" i="101" a="1"/>
  <c r="E179" i="101" s="1"/>
  <c r="D179" i="101" a="1"/>
  <c r="D179" i="101" s="1"/>
  <c r="F178" i="101" a="1"/>
  <c r="F178" i="101" s="1"/>
  <c r="E178" i="101" a="1"/>
  <c r="E178" i="101" s="1"/>
  <c r="D178" i="101" a="1"/>
  <c r="D178" i="101" s="1"/>
  <c r="F177" i="101" a="1"/>
  <c r="F177" i="101" s="1"/>
  <c r="E177" i="101" a="1"/>
  <c r="E177" i="101" s="1"/>
  <c r="D177" i="101" a="1"/>
  <c r="D177" i="101" s="1"/>
  <c r="F176" i="101" a="1"/>
  <c r="F176" i="101" s="1"/>
  <c r="E176" i="101" a="1"/>
  <c r="E176" i="101" s="1"/>
  <c r="D176" i="101" a="1"/>
  <c r="D176" i="101" s="1"/>
  <c r="F175" i="101" a="1"/>
  <c r="F175" i="101" s="1"/>
  <c r="E175" i="101" a="1"/>
  <c r="E175" i="101" s="1"/>
  <c r="D175" i="101" a="1"/>
  <c r="D175" i="101" s="1"/>
  <c r="F174" i="101" a="1"/>
  <c r="F174" i="101" s="1"/>
  <c r="E174" i="101" a="1"/>
  <c r="E174" i="101" s="1"/>
  <c r="D174" i="101" a="1"/>
  <c r="D174" i="101" s="1"/>
  <c r="F173" i="101" a="1"/>
  <c r="F173" i="101" s="1"/>
  <c r="E173" i="101" a="1"/>
  <c r="E173" i="101" s="1"/>
  <c r="D173" i="101" a="1"/>
  <c r="D173" i="101" s="1"/>
  <c r="F172" i="101" a="1"/>
  <c r="F172" i="101" s="1"/>
  <c r="E172" i="101" a="1"/>
  <c r="E172" i="101" s="1"/>
  <c r="D172" i="101" a="1"/>
  <c r="D172" i="101" s="1"/>
  <c r="F171" i="101" a="1"/>
  <c r="F171" i="101" s="1"/>
  <c r="E171" i="101" a="1"/>
  <c r="E171" i="101" s="1"/>
  <c r="D171" i="101" a="1"/>
  <c r="D171" i="101" s="1"/>
  <c r="F170" i="101" a="1"/>
  <c r="F170" i="101" s="1"/>
  <c r="E170" i="101" a="1"/>
  <c r="E170" i="101" s="1"/>
  <c r="D170" i="101" a="1"/>
  <c r="D170" i="101" s="1"/>
  <c r="F169" i="101" a="1"/>
  <c r="F169" i="101" s="1"/>
  <c r="E169" i="101" a="1"/>
  <c r="E169" i="101" s="1"/>
  <c r="D169" i="101" a="1"/>
  <c r="D169" i="101" s="1"/>
  <c r="F168" i="101" a="1"/>
  <c r="F168" i="101" s="1"/>
  <c r="E168" i="101" a="1"/>
  <c r="E168" i="101" s="1"/>
  <c r="D168" i="101" a="1"/>
  <c r="D168" i="101" s="1"/>
  <c r="F167" i="101" a="1"/>
  <c r="F167" i="101" s="1"/>
  <c r="E167" i="101" a="1"/>
  <c r="E167" i="101" s="1"/>
  <c r="D167" i="101" a="1"/>
  <c r="D167" i="101" s="1"/>
  <c r="F166" i="101" a="1"/>
  <c r="F166" i="101" s="1"/>
  <c r="E166" i="101" a="1"/>
  <c r="E166" i="101" s="1"/>
  <c r="D166" i="101" a="1"/>
  <c r="D166" i="101" s="1"/>
  <c r="F165" i="101" a="1"/>
  <c r="F165" i="101" s="1"/>
  <c r="E165" i="101" a="1"/>
  <c r="E165" i="101" s="1"/>
  <c r="D165" i="101" a="1"/>
  <c r="D165" i="101" s="1"/>
  <c r="F164" i="101" a="1"/>
  <c r="F164" i="101" s="1"/>
  <c r="E164" i="101" a="1"/>
  <c r="E164" i="101" s="1"/>
  <c r="D164" i="101" a="1"/>
  <c r="D164" i="101" s="1"/>
  <c r="F163" i="101" a="1"/>
  <c r="F163" i="101" s="1"/>
  <c r="E163" i="101" a="1"/>
  <c r="E163" i="101" s="1"/>
  <c r="D163" i="101" a="1"/>
  <c r="D163" i="101" s="1"/>
  <c r="F162" i="101" a="1"/>
  <c r="F162" i="101" s="1"/>
  <c r="E162" i="101" a="1"/>
  <c r="E162" i="101" s="1"/>
  <c r="D162" i="101" a="1"/>
  <c r="D162" i="101" s="1"/>
  <c r="F161" i="101" a="1"/>
  <c r="F161" i="101" s="1"/>
  <c r="E161" i="101" a="1"/>
  <c r="E161" i="101" s="1"/>
  <c r="D161" i="101" a="1"/>
  <c r="D161" i="101" s="1"/>
  <c r="F160" i="101" a="1"/>
  <c r="F160" i="101" s="1"/>
  <c r="E160" i="101" a="1"/>
  <c r="E160" i="101" s="1"/>
  <c r="D160" i="101" a="1"/>
  <c r="D160" i="101" s="1"/>
  <c r="F159" i="101" a="1"/>
  <c r="F159" i="101" s="1"/>
  <c r="E159" i="101" a="1"/>
  <c r="E159" i="101" s="1"/>
  <c r="D159" i="101" a="1"/>
  <c r="D159" i="101" s="1"/>
  <c r="F158" i="101" a="1"/>
  <c r="F158" i="101" s="1"/>
  <c r="E158" i="101" a="1"/>
  <c r="E158" i="101" s="1"/>
  <c r="D158" i="101" a="1"/>
  <c r="D158" i="101" s="1"/>
  <c r="F157" i="101" a="1"/>
  <c r="F157" i="101" s="1"/>
  <c r="E157" i="101" a="1"/>
  <c r="E157" i="101" s="1"/>
  <c r="D157" i="101" a="1"/>
  <c r="D157" i="101" s="1"/>
  <c r="F156" i="101" a="1"/>
  <c r="F156" i="101" s="1"/>
  <c r="E156" i="101" a="1"/>
  <c r="E156" i="101" s="1"/>
  <c r="D156" i="101" a="1"/>
  <c r="D156" i="101" s="1"/>
  <c r="F155" i="101" a="1"/>
  <c r="F155" i="101" s="1"/>
  <c r="E155" i="101" a="1"/>
  <c r="E155" i="101" s="1"/>
  <c r="D155" i="101" a="1"/>
  <c r="D155" i="101" s="1"/>
  <c r="F154" i="101" a="1"/>
  <c r="F154" i="101" s="1"/>
  <c r="E154" i="101" a="1"/>
  <c r="E154" i="101" s="1"/>
  <c r="D154" i="101" a="1"/>
  <c r="D154" i="101" s="1"/>
  <c r="F153" i="101" a="1"/>
  <c r="F153" i="101" s="1"/>
  <c r="E153" i="101" a="1"/>
  <c r="E153" i="101" s="1"/>
  <c r="D153" i="101" a="1"/>
  <c r="D153" i="101" s="1"/>
  <c r="F152" i="101" a="1"/>
  <c r="F152" i="101" s="1"/>
  <c r="E152" i="101" a="1"/>
  <c r="E152" i="101" s="1"/>
  <c r="D152" i="101" a="1"/>
  <c r="D152" i="101" s="1"/>
  <c r="F151" i="101" a="1"/>
  <c r="F151" i="101" s="1"/>
  <c r="E151" i="101" a="1"/>
  <c r="E151" i="101" s="1"/>
  <c r="D151" i="101" a="1"/>
  <c r="D151" i="101" s="1"/>
  <c r="F150" i="101" a="1"/>
  <c r="F150" i="101" s="1"/>
  <c r="E150" i="101" a="1"/>
  <c r="E150" i="101" s="1"/>
  <c r="D150" i="101" a="1"/>
  <c r="D150" i="101" s="1"/>
  <c r="F149" i="101" a="1"/>
  <c r="F149" i="101" s="1"/>
  <c r="E149" i="101" a="1"/>
  <c r="E149" i="101" s="1"/>
  <c r="D149" i="101" a="1"/>
  <c r="D149" i="101" s="1"/>
  <c r="F148" i="101" a="1"/>
  <c r="F148" i="101" s="1"/>
  <c r="E148" i="101" a="1"/>
  <c r="E148" i="101" s="1"/>
  <c r="D148" i="101" a="1"/>
  <c r="D148" i="101" s="1"/>
  <c r="F147" i="101" a="1"/>
  <c r="F147" i="101" s="1"/>
  <c r="E147" i="101" a="1"/>
  <c r="E147" i="101" s="1"/>
  <c r="D147" i="101" a="1"/>
  <c r="D147" i="101" s="1"/>
  <c r="F146" i="101" a="1"/>
  <c r="F146" i="101" s="1"/>
  <c r="E146" i="101" a="1"/>
  <c r="E146" i="101" s="1"/>
  <c r="D146" i="101" a="1"/>
  <c r="D146" i="101" s="1"/>
  <c r="F145" i="101" a="1"/>
  <c r="F145" i="101" s="1"/>
  <c r="E145" i="101" a="1"/>
  <c r="E145" i="101" s="1"/>
  <c r="D145" i="101" a="1"/>
  <c r="D145" i="101" s="1"/>
  <c r="F144" i="101" a="1"/>
  <c r="F144" i="101" s="1"/>
  <c r="E144" i="101" a="1"/>
  <c r="E144" i="101" s="1"/>
  <c r="D144" i="101" a="1"/>
  <c r="D144" i="101" s="1"/>
  <c r="F143" i="101" a="1"/>
  <c r="F143" i="101" s="1"/>
  <c r="E143" i="101" a="1"/>
  <c r="E143" i="101" s="1"/>
  <c r="D143" i="101" a="1"/>
  <c r="D143" i="101" s="1"/>
  <c r="F142" i="101" a="1"/>
  <c r="F142" i="101" s="1"/>
  <c r="E142" i="101" a="1"/>
  <c r="E142" i="101" s="1"/>
  <c r="D142" i="101" a="1"/>
  <c r="D142" i="101" s="1"/>
  <c r="F141" i="101" a="1"/>
  <c r="F141" i="101" s="1"/>
  <c r="E141" i="101" a="1"/>
  <c r="E141" i="101" s="1"/>
  <c r="D141" i="101" a="1"/>
  <c r="D141" i="101" s="1"/>
  <c r="F140" i="101" a="1"/>
  <c r="F140" i="101" s="1"/>
  <c r="E140" i="101" a="1"/>
  <c r="E140" i="101" s="1"/>
  <c r="D140" i="101" a="1"/>
  <c r="D140" i="101" s="1"/>
  <c r="F139" i="101" a="1"/>
  <c r="F139" i="101" s="1"/>
  <c r="E139" i="101" a="1"/>
  <c r="E139" i="101" s="1"/>
  <c r="D139" i="101" a="1"/>
  <c r="D139" i="101" s="1"/>
  <c r="F138" i="101" a="1"/>
  <c r="F138" i="101" s="1"/>
  <c r="E138" i="101" a="1"/>
  <c r="E138" i="101" s="1"/>
  <c r="D138" i="101" a="1"/>
  <c r="D138" i="101" s="1"/>
  <c r="F137" i="101" a="1"/>
  <c r="F137" i="101" s="1"/>
  <c r="E137" i="101" a="1"/>
  <c r="E137" i="101" s="1"/>
  <c r="D137" i="101" a="1"/>
  <c r="D137" i="101" s="1"/>
  <c r="F136" i="101" a="1"/>
  <c r="F136" i="101" s="1"/>
  <c r="E136" i="101" a="1"/>
  <c r="E136" i="101" s="1"/>
  <c r="D136" i="101" a="1"/>
  <c r="D136" i="101" s="1"/>
  <c r="F135" i="101" a="1"/>
  <c r="F135" i="101" s="1"/>
  <c r="E135" i="101" a="1"/>
  <c r="E135" i="101" s="1"/>
  <c r="D135" i="101" a="1"/>
  <c r="D135" i="101" s="1"/>
  <c r="F134" i="101" a="1"/>
  <c r="F134" i="101" s="1"/>
  <c r="E134" i="101" a="1"/>
  <c r="E134" i="101" s="1"/>
  <c r="D134" i="101" a="1"/>
  <c r="D134" i="101" s="1"/>
  <c r="F133" i="101" a="1"/>
  <c r="F133" i="101" s="1"/>
  <c r="E133" i="101" a="1"/>
  <c r="E133" i="101" s="1"/>
  <c r="D133" i="101" a="1"/>
  <c r="D133" i="101" s="1"/>
  <c r="F132" i="101" a="1"/>
  <c r="F132" i="101" s="1"/>
  <c r="E132" i="101" a="1"/>
  <c r="E132" i="101" s="1"/>
  <c r="D132" i="101" a="1"/>
  <c r="D132" i="101" s="1"/>
  <c r="F131" i="101" a="1"/>
  <c r="F131" i="101" s="1"/>
  <c r="E131" i="101" a="1"/>
  <c r="E131" i="101" s="1"/>
  <c r="D131" i="101" a="1"/>
  <c r="D131" i="101" s="1"/>
  <c r="F130" i="101" a="1"/>
  <c r="F130" i="101" s="1"/>
  <c r="E130" i="101" a="1"/>
  <c r="E130" i="101" s="1"/>
  <c r="D130" i="101" a="1"/>
  <c r="D130" i="101" s="1"/>
  <c r="F129" i="101" a="1"/>
  <c r="F129" i="101" s="1"/>
  <c r="E129" i="101" a="1"/>
  <c r="E129" i="101" s="1"/>
  <c r="D129" i="101" a="1"/>
  <c r="D129" i="101" s="1"/>
  <c r="F128" i="101" a="1"/>
  <c r="F128" i="101" s="1"/>
  <c r="E128" i="101" a="1"/>
  <c r="E128" i="101" s="1"/>
  <c r="D128" i="101" a="1"/>
  <c r="D128" i="101" s="1"/>
  <c r="F127" i="101" a="1"/>
  <c r="F127" i="101" s="1"/>
  <c r="E127" i="101" a="1"/>
  <c r="E127" i="101" s="1"/>
  <c r="D127" i="101" a="1"/>
  <c r="D127" i="101" s="1"/>
  <c r="F126" i="101" a="1"/>
  <c r="F126" i="101" s="1"/>
  <c r="E126" i="101" a="1"/>
  <c r="E126" i="101" s="1"/>
  <c r="D126" i="101" a="1"/>
  <c r="D126" i="101" s="1"/>
  <c r="F125" i="101" a="1"/>
  <c r="F125" i="101" s="1"/>
  <c r="E125" i="101" a="1"/>
  <c r="E125" i="101" s="1"/>
  <c r="D125" i="101" a="1"/>
  <c r="D125" i="101" s="1"/>
  <c r="F124" i="101" a="1"/>
  <c r="F124" i="101" s="1"/>
  <c r="E124" i="101" a="1"/>
  <c r="E124" i="101" s="1"/>
  <c r="D124" i="101" a="1"/>
  <c r="D124" i="101" s="1"/>
  <c r="F123" i="101" a="1"/>
  <c r="F123" i="101" s="1"/>
  <c r="E123" i="101" a="1"/>
  <c r="E123" i="101" s="1"/>
  <c r="D123" i="101" a="1"/>
  <c r="D123" i="101" s="1"/>
  <c r="F122" i="101" a="1"/>
  <c r="F122" i="101" s="1"/>
  <c r="E122" i="101" a="1"/>
  <c r="E122" i="101" s="1"/>
  <c r="D122" i="101" a="1"/>
  <c r="D122" i="101" s="1"/>
  <c r="F121" i="101" a="1"/>
  <c r="F121" i="101" s="1"/>
  <c r="E121" i="101" a="1"/>
  <c r="E121" i="101" s="1"/>
  <c r="D121" i="101" a="1"/>
  <c r="D121" i="101" s="1"/>
  <c r="F120" i="101" a="1"/>
  <c r="F120" i="101" s="1"/>
  <c r="E120" i="101" a="1"/>
  <c r="E120" i="101" s="1"/>
  <c r="D120" i="101" a="1"/>
  <c r="D120" i="101" s="1"/>
  <c r="F119" i="101" a="1"/>
  <c r="F119" i="101" s="1"/>
  <c r="E119" i="101" a="1"/>
  <c r="E119" i="101" s="1"/>
  <c r="D119" i="101" a="1"/>
  <c r="D119" i="101" s="1"/>
  <c r="F118" i="101" a="1"/>
  <c r="F118" i="101" s="1"/>
  <c r="E118" i="101" a="1"/>
  <c r="E118" i="101" s="1"/>
  <c r="D118" i="101" a="1"/>
  <c r="D118" i="101" s="1"/>
  <c r="F117" i="101" a="1"/>
  <c r="F117" i="101" s="1"/>
  <c r="E117" i="101" a="1"/>
  <c r="E117" i="101" s="1"/>
  <c r="D117" i="101" a="1"/>
  <c r="D117" i="101" s="1"/>
  <c r="F116" i="101" a="1"/>
  <c r="F116" i="101" s="1"/>
  <c r="E116" i="101" a="1"/>
  <c r="E116" i="101" s="1"/>
  <c r="D116" i="101" a="1"/>
  <c r="D116" i="101" s="1"/>
  <c r="F115" i="101" a="1"/>
  <c r="F115" i="101" s="1"/>
  <c r="E115" i="101" a="1"/>
  <c r="E115" i="101" s="1"/>
  <c r="D115" i="101" a="1"/>
  <c r="D115" i="101" s="1"/>
  <c r="F114" i="101" a="1"/>
  <c r="F114" i="101" s="1"/>
  <c r="E114" i="101" a="1"/>
  <c r="E114" i="101" s="1"/>
  <c r="D114" i="101" a="1"/>
  <c r="D114" i="101" s="1"/>
  <c r="F113" i="101" a="1"/>
  <c r="F113" i="101" s="1"/>
  <c r="E113" i="101" a="1"/>
  <c r="E113" i="101" s="1"/>
  <c r="D113" i="101" a="1"/>
  <c r="D113" i="101" s="1"/>
  <c r="F112" i="101" a="1"/>
  <c r="F112" i="101" s="1"/>
  <c r="E112" i="101" a="1"/>
  <c r="E112" i="101" s="1"/>
  <c r="D112" i="101" a="1"/>
  <c r="D112" i="101" s="1"/>
  <c r="F111" i="101" a="1"/>
  <c r="F111" i="101" s="1"/>
  <c r="E111" i="101" a="1"/>
  <c r="E111" i="101" s="1"/>
  <c r="D111" i="101" a="1"/>
  <c r="D111" i="101" s="1"/>
  <c r="F110" i="101" a="1"/>
  <c r="F110" i="101" s="1"/>
  <c r="E110" i="101" a="1"/>
  <c r="E110" i="101" s="1"/>
  <c r="D110" i="101" a="1"/>
  <c r="D110" i="101" s="1"/>
  <c r="F109" i="101" a="1"/>
  <c r="F109" i="101" s="1"/>
  <c r="E109" i="101" a="1"/>
  <c r="E109" i="101" s="1"/>
  <c r="D109" i="101" a="1"/>
  <c r="D109" i="101" s="1"/>
  <c r="F108" i="101" a="1"/>
  <c r="F108" i="101" s="1"/>
  <c r="E108" i="101" a="1"/>
  <c r="E108" i="101" s="1"/>
  <c r="D108" i="101" a="1"/>
  <c r="D108" i="101" s="1"/>
  <c r="F107" i="101" a="1"/>
  <c r="F107" i="101" s="1"/>
  <c r="E107" i="101" a="1"/>
  <c r="E107" i="101" s="1"/>
  <c r="D107" i="101" a="1"/>
  <c r="D107" i="101" s="1"/>
  <c r="F106" i="101" a="1"/>
  <c r="F106" i="101" s="1"/>
  <c r="E106" i="101" a="1"/>
  <c r="E106" i="101" s="1"/>
  <c r="D106" i="101" a="1"/>
  <c r="D106" i="101" s="1"/>
  <c r="F105" i="101" a="1"/>
  <c r="F105" i="101" s="1"/>
  <c r="E105" i="101" a="1"/>
  <c r="E105" i="101" s="1"/>
  <c r="D105" i="101" a="1"/>
  <c r="D105" i="101" s="1"/>
  <c r="F104" i="101" a="1"/>
  <c r="F104" i="101" s="1"/>
  <c r="E104" i="101" a="1"/>
  <c r="E104" i="101" s="1"/>
  <c r="D104" i="101" a="1"/>
  <c r="D104" i="101" s="1"/>
  <c r="F103" i="101" a="1"/>
  <c r="F103" i="101" s="1"/>
  <c r="E103" i="101" a="1"/>
  <c r="E103" i="101" s="1"/>
  <c r="D103" i="101" a="1"/>
  <c r="D103" i="101" s="1"/>
  <c r="F102" i="101" a="1"/>
  <c r="F102" i="101" s="1"/>
  <c r="E102" i="101" a="1"/>
  <c r="E102" i="101" s="1"/>
  <c r="D102" i="101" a="1"/>
  <c r="D102" i="101" s="1"/>
  <c r="F101" i="101" a="1"/>
  <c r="F101" i="101" s="1"/>
  <c r="E101" i="101" a="1"/>
  <c r="E101" i="101" s="1"/>
  <c r="D101" i="101" a="1"/>
  <c r="D101" i="101" s="1"/>
  <c r="F100" i="101" a="1"/>
  <c r="F100" i="101" s="1"/>
  <c r="E100" i="101" a="1"/>
  <c r="E100" i="101" s="1"/>
  <c r="D100" i="101" a="1"/>
  <c r="D100" i="101" s="1"/>
  <c r="F99" i="101" a="1"/>
  <c r="F99" i="101" s="1"/>
  <c r="E99" i="101" a="1"/>
  <c r="E99" i="101" s="1"/>
  <c r="D99" i="101" a="1"/>
  <c r="D99" i="101" s="1"/>
  <c r="F98" i="101" a="1"/>
  <c r="F98" i="101" s="1"/>
  <c r="E98" i="101" a="1"/>
  <c r="E98" i="101" s="1"/>
  <c r="D98" i="101" a="1"/>
  <c r="D98" i="101" s="1"/>
  <c r="F97" i="101" a="1"/>
  <c r="F97" i="101" s="1"/>
  <c r="E97" i="101" a="1"/>
  <c r="E97" i="101" s="1"/>
  <c r="D97" i="101" a="1"/>
  <c r="D97" i="101" s="1"/>
  <c r="F96" i="101" a="1"/>
  <c r="F96" i="101" s="1"/>
  <c r="E96" i="101" a="1"/>
  <c r="E96" i="101" s="1"/>
  <c r="D96" i="101" a="1"/>
  <c r="D96" i="101" s="1"/>
  <c r="F95" i="101" a="1"/>
  <c r="F95" i="101" s="1"/>
  <c r="E95" i="101" a="1"/>
  <c r="E95" i="101" s="1"/>
  <c r="D95" i="101" a="1"/>
  <c r="D95" i="101" s="1"/>
  <c r="F94" i="101" a="1"/>
  <c r="F94" i="101" s="1"/>
  <c r="E94" i="101" a="1"/>
  <c r="E94" i="101" s="1"/>
  <c r="D94" i="101" a="1"/>
  <c r="D94" i="101" s="1"/>
  <c r="F93" i="101" a="1"/>
  <c r="F93" i="101" s="1"/>
  <c r="E93" i="101" a="1"/>
  <c r="E93" i="101" s="1"/>
  <c r="D93" i="101" a="1"/>
  <c r="D93" i="101" s="1"/>
  <c r="D91" i="101" a="1"/>
  <c r="D91" i="101" s="1"/>
  <c r="F89" i="101" a="1"/>
  <c r="F89" i="101" s="1"/>
  <c r="E89" i="101" a="1"/>
  <c r="E89" i="101" s="1"/>
  <c r="D89" i="101" a="1"/>
  <c r="D89" i="101" s="1"/>
  <c r="F88" i="101" a="1"/>
  <c r="F88" i="101" s="1"/>
  <c r="E88" i="101" a="1"/>
  <c r="E88" i="101" s="1"/>
  <c r="D88" i="101" a="1"/>
  <c r="D88" i="101" s="1"/>
  <c r="F87" i="101" a="1"/>
  <c r="F87" i="101" s="1"/>
  <c r="E87" i="101" a="1"/>
  <c r="E87" i="101" s="1"/>
  <c r="D87" i="101" a="1"/>
  <c r="D87" i="101" s="1"/>
  <c r="F86" i="101" a="1"/>
  <c r="F86" i="101" s="1"/>
  <c r="E86" i="101" a="1"/>
  <c r="E86" i="101" s="1"/>
  <c r="D86" i="101" a="1"/>
  <c r="D86" i="101" s="1"/>
  <c r="F85" i="101" a="1"/>
  <c r="F85" i="101" s="1"/>
  <c r="E85" i="101" a="1"/>
  <c r="E85" i="101" s="1"/>
  <c r="D85" i="101" a="1"/>
  <c r="D85" i="101" s="1"/>
  <c r="F84" i="101" a="1"/>
  <c r="F84" i="101" s="1"/>
  <c r="E84" i="101" a="1"/>
  <c r="E84" i="101" s="1"/>
  <c r="D84" i="101" a="1"/>
  <c r="D84" i="101" s="1"/>
  <c r="F83" i="101" a="1"/>
  <c r="F83" i="101" s="1"/>
  <c r="E83" i="101" a="1"/>
  <c r="E83" i="101" s="1"/>
  <c r="D83" i="101" a="1"/>
  <c r="D83" i="101" s="1"/>
  <c r="F82" i="101" a="1"/>
  <c r="F82" i="101" s="1"/>
  <c r="E82" i="101" a="1"/>
  <c r="E82" i="101" s="1"/>
  <c r="D82" i="101" a="1"/>
  <c r="D82" i="101" s="1"/>
  <c r="F81" i="101" a="1"/>
  <c r="F81" i="101" s="1"/>
  <c r="E81" i="101" a="1"/>
  <c r="E81" i="101" s="1"/>
  <c r="D81" i="101" a="1"/>
  <c r="D81" i="101" s="1"/>
  <c r="F80" i="101" a="1"/>
  <c r="F80" i="101" s="1"/>
  <c r="E80" i="101" a="1"/>
  <c r="E80" i="101" s="1"/>
  <c r="D80" i="101" a="1"/>
  <c r="D80" i="101" s="1"/>
  <c r="F79" i="101" a="1"/>
  <c r="F79" i="101" s="1"/>
  <c r="E79" i="101" a="1"/>
  <c r="E79" i="101" s="1"/>
  <c r="D79" i="101" a="1"/>
  <c r="D79" i="101" s="1"/>
  <c r="F78" i="101" a="1"/>
  <c r="F78" i="101" s="1"/>
  <c r="E78" i="101" a="1"/>
  <c r="E78" i="101" s="1"/>
  <c r="D78" i="101" a="1"/>
  <c r="D78" i="101" s="1"/>
  <c r="F77" i="101" a="1"/>
  <c r="F77" i="101" s="1"/>
  <c r="E77" i="101" a="1"/>
  <c r="E77" i="101" s="1"/>
  <c r="D77" i="101" a="1"/>
  <c r="D77" i="101" s="1"/>
  <c r="F76" i="101" a="1"/>
  <c r="F76" i="101" s="1"/>
  <c r="E76" i="101" a="1"/>
  <c r="E76" i="101" s="1"/>
  <c r="D76" i="101" a="1"/>
  <c r="D76" i="101" s="1"/>
  <c r="F75" i="101" a="1"/>
  <c r="F75" i="101" s="1"/>
  <c r="E75" i="101" a="1"/>
  <c r="E75" i="101" s="1"/>
  <c r="D75" i="101" a="1"/>
  <c r="D75" i="101" s="1"/>
  <c r="F74" i="101" a="1"/>
  <c r="F74" i="101" s="1"/>
  <c r="E74" i="101" a="1"/>
  <c r="E74" i="101" s="1"/>
  <c r="D74" i="101" a="1"/>
  <c r="D74" i="101" s="1"/>
  <c r="D71" i="101" a="1"/>
  <c r="D71" i="101" s="1"/>
  <c r="D70" i="101" a="1"/>
  <c r="D70" i="101" s="1"/>
  <c r="F67" i="101" a="1"/>
  <c r="F67" i="101" s="1"/>
  <c r="E67" i="101" a="1"/>
  <c r="E67" i="101" s="1"/>
  <c r="D67" i="101" a="1"/>
  <c r="D67" i="101" s="1"/>
  <c r="F66" i="101" a="1"/>
  <c r="F66" i="101" s="1"/>
  <c r="E66" i="101" a="1"/>
  <c r="E66" i="101" s="1"/>
  <c r="D66" i="101" a="1"/>
  <c r="D66" i="101" s="1"/>
  <c r="F65" i="101" a="1"/>
  <c r="F65" i="101" s="1"/>
  <c r="E65" i="101" a="1"/>
  <c r="E65" i="101" s="1"/>
  <c r="D65" i="101" a="1"/>
  <c r="D65" i="101" s="1"/>
  <c r="F64" i="101" a="1"/>
  <c r="F64" i="101" s="1"/>
  <c r="E64" i="101" a="1"/>
  <c r="E64" i="101" s="1"/>
  <c r="D64" i="101" a="1"/>
  <c r="D64" i="101" s="1"/>
  <c r="F63" i="101" a="1"/>
  <c r="F63" i="101" s="1"/>
  <c r="E63" i="101" a="1"/>
  <c r="E63" i="101" s="1"/>
  <c r="D63" i="101" a="1"/>
  <c r="D63" i="101" s="1"/>
  <c r="D60" i="101" a="1"/>
  <c r="D60" i="101" s="1"/>
  <c r="D59" i="101" a="1"/>
  <c r="D59" i="101" s="1"/>
  <c r="I56" i="101" a="1"/>
  <c r="I56" i="101" s="1"/>
  <c r="H56" i="101" a="1"/>
  <c r="H56" i="101" s="1"/>
  <c r="G56" i="101" a="1"/>
  <c r="G56" i="101" s="1"/>
  <c r="F56" i="101" a="1"/>
  <c r="F56" i="101" s="1"/>
  <c r="E56" i="101" a="1"/>
  <c r="E56" i="101" s="1"/>
  <c r="D56" i="101" a="1"/>
  <c r="D56" i="101" s="1"/>
  <c r="I55" i="101" a="1"/>
  <c r="I55" i="101" s="1"/>
  <c r="H55" i="101" a="1"/>
  <c r="H55" i="101" s="1"/>
  <c r="G55" i="101" a="1"/>
  <c r="G55" i="101" s="1"/>
  <c r="F55" i="101" a="1"/>
  <c r="F55" i="101" s="1"/>
  <c r="E55" i="101" a="1"/>
  <c r="E55" i="101" s="1"/>
  <c r="D55" i="101" a="1"/>
  <c r="D55" i="101" s="1"/>
  <c r="I54" i="101" a="1"/>
  <c r="I54" i="101" s="1"/>
  <c r="H54" i="101" a="1"/>
  <c r="H54" i="101" s="1"/>
  <c r="G54" i="101" a="1"/>
  <c r="G54" i="101" s="1"/>
  <c r="F54" i="101" a="1"/>
  <c r="F54" i="101" s="1"/>
  <c r="E54" i="101" a="1"/>
  <c r="E54" i="101" s="1"/>
  <c r="D54" i="101" a="1"/>
  <c r="D54" i="101" s="1"/>
  <c r="I53" i="101" a="1"/>
  <c r="I53" i="101" s="1"/>
  <c r="H53" i="101" a="1"/>
  <c r="H53" i="101" s="1"/>
  <c r="G53" i="101" a="1"/>
  <c r="G53" i="101" s="1"/>
  <c r="F53" i="101" a="1"/>
  <c r="F53" i="101" s="1"/>
  <c r="E53" i="101" a="1"/>
  <c r="E53" i="101" s="1"/>
  <c r="D53" i="101" a="1"/>
  <c r="D53" i="101" s="1"/>
  <c r="I52" i="101" a="1"/>
  <c r="I52" i="101" s="1"/>
  <c r="H52" i="101" a="1"/>
  <c r="H52" i="101" s="1"/>
  <c r="G52" i="101" a="1"/>
  <c r="G52" i="101" s="1"/>
  <c r="F52" i="101" a="1"/>
  <c r="F52" i="101" s="1"/>
  <c r="E52" i="101" a="1"/>
  <c r="E52" i="101" s="1"/>
  <c r="D52" i="101" a="1"/>
  <c r="D52" i="101" s="1"/>
  <c r="D49" i="101" a="1"/>
  <c r="D49" i="101" s="1"/>
  <c r="D48" i="101" a="1"/>
  <c r="D48" i="101" s="1"/>
  <c r="E45" i="101" a="1"/>
  <c r="E45" i="101" s="1"/>
  <c r="D45" i="101" a="1"/>
  <c r="D45" i="101" s="1"/>
  <c r="E44" i="101" a="1"/>
  <c r="E44" i="101" s="1"/>
  <c r="D44" i="101" a="1"/>
  <c r="D44" i="101" s="1"/>
  <c r="D41" i="101" a="1"/>
  <c r="D41" i="101" s="1"/>
  <c r="D40" i="101" a="1"/>
  <c r="D40" i="101" s="1"/>
  <c r="L37" i="101" a="1"/>
  <c r="L37" i="101" s="1"/>
  <c r="K37" i="101" a="1"/>
  <c r="K37" i="101" s="1"/>
  <c r="J37" i="101" a="1"/>
  <c r="J37" i="101" s="1"/>
  <c r="I37" i="101" a="1"/>
  <c r="I37" i="101" s="1"/>
  <c r="H37" i="101" a="1"/>
  <c r="H37" i="101" s="1"/>
  <c r="G37" i="101" a="1"/>
  <c r="G37" i="101" s="1"/>
  <c r="F37" i="101" a="1"/>
  <c r="F37" i="101" s="1"/>
  <c r="E37" i="101" a="1"/>
  <c r="E37" i="101" s="1"/>
  <c r="D37" i="101" a="1"/>
  <c r="D37" i="101" s="1"/>
  <c r="L36" i="101" a="1"/>
  <c r="L36" i="101" s="1"/>
  <c r="K36" i="101" a="1"/>
  <c r="K36" i="101" s="1"/>
  <c r="J36" i="101" a="1"/>
  <c r="J36" i="101" s="1"/>
  <c r="I36" i="101" a="1"/>
  <c r="I36" i="101" s="1"/>
  <c r="H36" i="101" a="1"/>
  <c r="H36" i="101" s="1"/>
  <c r="G36" i="101" a="1"/>
  <c r="G36" i="101" s="1"/>
  <c r="F36" i="101" a="1"/>
  <c r="F36" i="101" s="1"/>
  <c r="E36" i="101" a="1"/>
  <c r="E36" i="101" s="1"/>
  <c r="D36" i="101" a="1"/>
  <c r="D36" i="101" s="1"/>
  <c r="L35" i="101" a="1"/>
  <c r="L35" i="101" s="1"/>
  <c r="K35" i="101" a="1"/>
  <c r="K35" i="101" s="1"/>
  <c r="J35" i="101" a="1"/>
  <c r="J35" i="101" s="1"/>
  <c r="I35" i="101" a="1"/>
  <c r="I35" i="101" s="1"/>
  <c r="H35" i="101" a="1"/>
  <c r="H35" i="101" s="1"/>
  <c r="G35" i="101" a="1"/>
  <c r="G35" i="101" s="1"/>
  <c r="F35" i="101" a="1"/>
  <c r="F35" i="101" s="1"/>
  <c r="E35" i="101" a="1"/>
  <c r="E35" i="101" s="1"/>
  <c r="D35" i="101" a="1"/>
  <c r="D35" i="101" s="1"/>
  <c r="L34" i="101" a="1"/>
  <c r="L34" i="101" s="1"/>
  <c r="K34" i="101" a="1"/>
  <c r="K34" i="101" s="1"/>
  <c r="J34" i="101" a="1"/>
  <c r="J34" i="101" s="1"/>
  <c r="I34" i="101" a="1"/>
  <c r="I34" i="101" s="1"/>
  <c r="H34" i="101" a="1"/>
  <c r="H34" i="101" s="1"/>
  <c r="G34" i="101" a="1"/>
  <c r="G34" i="101" s="1"/>
  <c r="F34" i="101" a="1"/>
  <c r="F34" i="101" s="1"/>
  <c r="E34" i="101" a="1"/>
  <c r="E34" i="101" s="1"/>
  <c r="D34" i="101" a="1"/>
  <c r="D34" i="101" s="1"/>
  <c r="L33" i="101" a="1"/>
  <c r="L33" i="101" s="1"/>
  <c r="K33" i="101" a="1"/>
  <c r="K33" i="101" s="1"/>
  <c r="J33" i="101" a="1"/>
  <c r="J33" i="101" s="1"/>
  <c r="I33" i="101" a="1"/>
  <c r="I33" i="101" s="1"/>
  <c r="H33" i="101" a="1"/>
  <c r="H33" i="101" s="1"/>
  <c r="G33" i="101" a="1"/>
  <c r="G33" i="101" s="1"/>
  <c r="F33" i="101" a="1"/>
  <c r="F33" i="101" s="1"/>
  <c r="E33" i="101" a="1"/>
  <c r="E33" i="101" s="1"/>
  <c r="D33" i="101" a="1"/>
  <c r="D33" i="101" s="1"/>
  <c r="L32" i="101" a="1"/>
  <c r="L32" i="101" s="1"/>
  <c r="K32" i="101" a="1"/>
  <c r="K32" i="101" s="1"/>
  <c r="J32" i="101" a="1"/>
  <c r="J32" i="101" s="1"/>
  <c r="I32" i="101" a="1"/>
  <c r="I32" i="101" s="1"/>
  <c r="H32" i="101" a="1"/>
  <c r="H32" i="101" s="1"/>
  <c r="G32" i="101" a="1"/>
  <c r="G32" i="101" s="1"/>
  <c r="F32" i="101" a="1"/>
  <c r="F32" i="101" s="1"/>
  <c r="E32" i="101" a="1"/>
  <c r="E32" i="101" s="1"/>
  <c r="D32" i="101" a="1"/>
  <c r="D32" i="101" s="1"/>
  <c r="L31" i="101" a="1"/>
  <c r="L31" i="101" s="1"/>
  <c r="K31" i="101" a="1"/>
  <c r="K31" i="101" s="1"/>
  <c r="J31" i="101" a="1"/>
  <c r="J31" i="101" s="1"/>
  <c r="I31" i="101" a="1"/>
  <c r="I31" i="101" s="1"/>
  <c r="H31" i="101" a="1"/>
  <c r="H31" i="101" s="1"/>
  <c r="G31" i="101" a="1"/>
  <c r="G31" i="101" s="1"/>
  <c r="F31" i="101" a="1"/>
  <c r="F31" i="101" s="1"/>
  <c r="E31" i="101" a="1"/>
  <c r="E31" i="101" s="1"/>
  <c r="D31" i="101" a="1"/>
  <c r="D31" i="101" s="1"/>
  <c r="L30" i="101" a="1"/>
  <c r="L30" i="101" s="1"/>
  <c r="K30" i="101" a="1"/>
  <c r="K30" i="101" s="1"/>
  <c r="J30" i="101" a="1"/>
  <c r="J30" i="101" s="1"/>
  <c r="I30" i="101" a="1"/>
  <c r="I30" i="101" s="1"/>
  <c r="H30" i="101" a="1"/>
  <c r="H30" i="101" s="1"/>
  <c r="G30" i="101" a="1"/>
  <c r="G30" i="101" s="1"/>
  <c r="F30" i="101" a="1"/>
  <c r="F30" i="101" s="1"/>
  <c r="E30" i="101" a="1"/>
  <c r="E30" i="101" s="1"/>
  <c r="D30" i="101" a="1"/>
  <c r="D30" i="101" s="1"/>
  <c r="L29" i="101" a="1"/>
  <c r="L29" i="101" s="1"/>
  <c r="K29" i="101" a="1"/>
  <c r="K29" i="101" s="1"/>
  <c r="J29" i="101" a="1"/>
  <c r="J29" i="101" s="1"/>
  <c r="I29" i="101" a="1"/>
  <c r="I29" i="101" s="1"/>
  <c r="H29" i="101" a="1"/>
  <c r="H29" i="101" s="1"/>
  <c r="G29" i="101" a="1"/>
  <c r="G29" i="101" s="1"/>
  <c r="F29" i="101" a="1"/>
  <c r="F29" i="101" s="1"/>
  <c r="E29" i="101" a="1"/>
  <c r="E29" i="101" s="1"/>
  <c r="D29" i="101" a="1"/>
  <c r="D29" i="101" s="1"/>
  <c r="L28" i="101" a="1"/>
  <c r="L28" i="101" s="1"/>
  <c r="K28" i="101" a="1"/>
  <c r="K28" i="101" s="1"/>
  <c r="J28" i="101" a="1"/>
  <c r="J28" i="101" s="1"/>
  <c r="I28" i="101" a="1"/>
  <c r="I28" i="101" s="1"/>
  <c r="H28" i="101" a="1"/>
  <c r="H28" i="101" s="1"/>
  <c r="G28" i="101" a="1"/>
  <c r="G28" i="101" s="1"/>
  <c r="F28" i="101" a="1"/>
  <c r="F28" i="101" s="1"/>
  <c r="E28" i="101" a="1"/>
  <c r="E28" i="101" s="1"/>
  <c r="D28" i="101" a="1"/>
  <c r="D28" i="101" s="1"/>
  <c r="L27" i="101" a="1"/>
  <c r="L27" i="101" s="1"/>
  <c r="K27" i="101" a="1"/>
  <c r="K27" i="101" s="1"/>
  <c r="J27" i="101" a="1"/>
  <c r="J27" i="101" s="1"/>
  <c r="I27" i="101" a="1"/>
  <c r="I27" i="101" s="1"/>
  <c r="H27" i="101" a="1"/>
  <c r="H27" i="101" s="1"/>
  <c r="G27" i="101" a="1"/>
  <c r="G27" i="101" s="1"/>
  <c r="F27" i="101" a="1"/>
  <c r="F27" i="101" s="1"/>
  <c r="E27" i="101" a="1"/>
  <c r="E27" i="101" s="1"/>
  <c r="D27" i="101" a="1"/>
  <c r="D27" i="101" s="1"/>
  <c r="L26" i="101" a="1"/>
  <c r="L26" i="101" s="1"/>
  <c r="K26" i="101" a="1"/>
  <c r="K26" i="101" s="1"/>
  <c r="J26" i="101" a="1"/>
  <c r="J26" i="101" s="1"/>
  <c r="I26" i="101" a="1"/>
  <c r="I26" i="101" s="1"/>
  <c r="H26" i="101" a="1"/>
  <c r="H26" i="101" s="1"/>
  <c r="G26" i="101" a="1"/>
  <c r="G26" i="101" s="1"/>
  <c r="F26" i="101" a="1"/>
  <c r="F26" i="101" s="1"/>
  <c r="E26" i="101" a="1"/>
  <c r="E26" i="101" s="1"/>
  <c r="D26" i="101" a="1"/>
  <c r="D26" i="101" s="1"/>
  <c r="L25" i="101" a="1"/>
  <c r="L25" i="101" s="1"/>
  <c r="K25" i="101" a="1"/>
  <c r="K25" i="101" s="1"/>
  <c r="J25" i="101" a="1"/>
  <c r="J25" i="101" s="1"/>
  <c r="I25" i="101" a="1"/>
  <c r="I25" i="101" s="1"/>
  <c r="H25" i="101" a="1"/>
  <c r="H25" i="101" s="1"/>
  <c r="G25" i="101" a="1"/>
  <c r="G25" i="101" s="1"/>
  <c r="F25" i="101" a="1"/>
  <c r="F25" i="101" s="1"/>
  <c r="E25" i="101" a="1"/>
  <c r="E25" i="101" s="1"/>
  <c r="D25" i="101" a="1"/>
  <c r="D25" i="101" s="1"/>
  <c r="L24" i="101" a="1"/>
  <c r="L24" i="101" s="1"/>
  <c r="K24" i="101" a="1"/>
  <c r="K24" i="101" s="1"/>
  <c r="J24" i="101" a="1"/>
  <c r="J24" i="101" s="1"/>
  <c r="I24" i="101" a="1"/>
  <c r="I24" i="101" s="1"/>
  <c r="H24" i="101" a="1"/>
  <c r="H24" i="101" s="1"/>
  <c r="G24" i="101" a="1"/>
  <c r="G24" i="101" s="1"/>
  <c r="F24" i="101" a="1"/>
  <c r="F24" i="101" s="1"/>
  <c r="E24" i="101" a="1"/>
  <c r="E24" i="101" s="1"/>
  <c r="D24" i="101" a="1"/>
  <c r="D24" i="101" s="1"/>
  <c r="L23" i="101" a="1"/>
  <c r="L23" i="101" s="1"/>
  <c r="K23" i="101" a="1"/>
  <c r="K23" i="101" s="1"/>
  <c r="J23" i="101" a="1"/>
  <c r="J23" i="101" s="1"/>
  <c r="I23" i="101" a="1"/>
  <c r="I23" i="101" s="1"/>
  <c r="H23" i="101" a="1"/>
  <c r="H23" i="101" s="1"/>
  <c r="G23" i="101" a="1"/>
  <c r="G23" i="101" s="1"/>
  <c r="F23" i="101" a="1"/>
  <c r="F23" i="101" s="1"/>
  <c r="E23" i="101" a="1"/>
  <c r="E23" i="101" s="1"/>
  <c r="D23" i="101" a="1"/>
  <c r="D23" i="101" s="1"/>
  <c r="L22" i="101" a="1"/>
  <c r="L22" i="101" s="1"/>
  <c r="K22" i="101" a="1"/>
  <c r="K22" i="101" s="1"/>
  <c r="J22" i="101" a="1"/>
  <c r="J22" i="101" s="1"/>
  <c r="I22" i="101" a="1"/>
  <c r="I22" i="101" s="1"/>
  <c r="H22" i="101" a="1"/>
  <c r="H22" i="101" s="1"/>
  <c r="G22" i="101" a="1"/>
  <c r="G22" i="101" s="1"/>
  <c r="F22" i="101" a="1"/>
  <c r="F22" i="101" s="1"/>
  <c r="E22" i="101" a="1"/>
  <c r="E22" i="101" s="1"/>
  <c r="D22" i="101" a="1"/>
  <c r="D22" i="101" s="1"/>
  <c r="L21" i="101" a="1"/>
  <c r="L21" i="101" s="1"/>
  <c r="K21" i="101" a="1"/>
  <c r="K21" i="101" s="1"/>
  <c r="J21" i="101" a="1"/>
  <c r="J21" i="101" s="1"/>
  <c r="I21" i="101" a="1"/>
  <c r="I21" i="101" s="1"/>
  <c r="H21" i="101" a="1"/>
  <c r="H21" i="101" s="1"/>
  <c r="G21" i="101" a="1"/>
  <c r="G21" i="101" s="1"/>
  <c r="F21" i="101" a="1"/>
  <c r="F21" i="101" s="1"/>
  <c r="E21" i="101" a="1"/>
  <c r="E21" i="101" s="1"/>
  <c r="D21" i="101" a="1"/>
  <c r="D21" i="101" s="1"/>
  <c r="L20" i="101" a="1"/>
  <c r="L20" i="101" s="1"/>
  <c r="K20" i="101" a="1"/>
  <c r="K20" i="101" s="1"/>
  <c r="J20" i="101" a="1"/>
  <c r="J20" i="101" s="1"/>
  <c r="I20" i="101" a="1"/>
  <c r="I20" i="101" s="1"/>
  <c r="H20" i="101" a="1"/>
  <c r="H20" i="101" s="1"/>
  <c r="G20" i="101" a="1"/>
  <c r="G20" i="101" s="1"/>
  <c r="F20" i="101" a="1"/>
  <c r="F20" i="101" s="1"/>
  <c r="E20" i="101" a="1"/>
  <c r="E20" i="101" s="1"/>
  <c r="D20" i="101" a="1"/>
  <c r="D20" i="101" s="1"/>
  <c r="E18" i="97" s="1"/>
  <c r="D17" i="101" a="1"/>
  <c r="D17" i="101" s="1"/>
  <c r="D16" i="101" a="1"/>
  <c r="D16" i="101" s="1"/>
  <c r="D15" i="101" a="1"/>
  <c r="D15" i="101" s="1"/>
  <c r="K10" i="101" a="1"/>
  <c r="K10" i="101" s="1"/>
  <c r="J10" i="101" a="1"/>
  <c r="J10" i="101" s="1"/>
  <c r="I10" i="101" a="1"/>
  <c r="I10" i="101" s="1"/>
  <c r="H10" i="101" a="1"/>
  <c r="H10" i="101" s="1"/>
  <c r="G10" i="101" a="1"/>
  <c r="G10" i="101" s="1"/>
  <c r="F10" i="101" a="1"/>
  <c r="F10" i="101" s="1"/>
  <c r="E10" i="101" a="1"/>
  <c r="E10" i="101" s="1"/>
  <c r="D10" i="101" a="1"/>
  <c r="D10" i="101" s="1"/>
  <c r="K9" i="101" a="1"/>
  <c r="K9" i="101" s="1"/>
  <c r="J9" i="101" a="1"/>
  <c r="J9" i="101" s="1"/>
  <c r="I9" i="101" a="1"/>
  <c r="I9" i="101" s="1"/>
  <c r="H9" i="101" a="1"/>
  <c r="H9" i="101" s="1"/>
  <c r="G9" i="101" a="1"/>
  <c r="G9" i="101" s="1"/>
  <c r="F9" i="101" a="1"/>
  <c r="F9" i="101" s="1"/>
  <c r="E9" i="101" a="1"/>
  <c r="E9" i="101" s="1"/>
  <c r="D9" i="101" a="1"/>
  <c r="D9" i="101" s="1"/>
  <c r="K8" i="101" a="1"/>
  <c r="K8" i="101" s="1"/>
  <c r="J8" i="101" a="1"/>
  <c r="J8" i="101" s="1"/>
  <c r="I8" i="101" a="1"/>
  <c r="I8" i="101" s="1"/>
  <c r="H8" i="101" a="1"/>
  <c r="H8" i="101" s="1"/>
  <c r="G8" i="101" a="1"/>
  <c r="G8" i="101" s="1"/>
  <c r="F8" i="101" a="1"/>
  <c r="F8" i="101" s="1"/>
  <c r="E8" i="101" a="1"/>
  <c r="E8" i="101" s="1"/>
  <c r="D8" i="101" a="1"/>
  <c r="D8" i="101" s="1"/>
  <c r="D30" i="97" s="1"/>
  <c r="D5" i="101" a="1"/>
  <c r="D5" i="101" s="1"/>
  <c r="F67" i="100" a="1"/>
  <c r="F67" i="100" s="1"/>
  <c r="D64" i="100" a="1"/>
  <c r="D64" i="100" s="1"/>
  <c r="I60" i="100"/>
  <c r="G56" i="100" a="1"/>
  <c r="G56" i="100" s="1"/>
  <c r="D56" i="100" a="1"/>
  <c r="D56" i="100" s="1"/>
  <c r="E54" i="100" a="1"/>
  <c r="E54" i="100" s="1"/>
  <c r="F62" i="100" s="1"/>
  <c r="E53" i="100" a="1"/>
  <c r="E53" i="100" s="1"/>
  <c r="D49" i="100" a="1"/>
  <c r="D49" i="100" s="1"/>
  <c r="D48" i="100" a="1"/>
  <c r="D48" i="100" s="1"/>
  <c r="F44" i="100" a="1"/>
  <c r="F44" i="100" s="1"/>
  <c r="D41" i="100" a="1"/>
  <c r="D41" i="100" s="1"/>
  <c r="F39" i="100" a="1"/>
  <c r="F39" i="100" s="1"/>
  <c r="I37" i="100"/>
  <c r="I34" i="100" s="1" a="1"/>
  <c r="I34" i="100" s="1"/>
  <c r="G33" i="100" a="1"/>
  <c r="G33" i="100" s="1"/>
  <c r="D33" i="100" a="1"/>
  <c r="D33" i="100" s="1"/>
  <c r="E31" i="100" a="1"/>
  <c r="E31" i="100" s="1"/>
  <c r="E30" i="100" a="1"/>
  <c r="E30" i="100" s="1"/>
  <c r="D26" i="100" a="1"/>
  <c r="D26" i="100" s="1"/>
  <c r="D25" i="100" a="1"/>
  <c r="D25" i="100" s="1"/>
  <c r="F21" i="100" a="1"/>
  <c r="F21" i="100" s="1"/>
  <c r="I19" i="100"/>
  <c r="I17" i="100" s="1" a="1"/>
  <c r="I17" i="100" s="1"/>
  <c r="I18" i="100"/>
  <c r="I13" i="100"/>
  <c r="G13" i="100" a="1"/>
  <c r="G13" i="100" s="1"/>
  <c r="D13" i="100" a="1"/>
  <c r="D13" i="100" s="1"/>
  <c r="E11" i="100" a="1"/>
  <c r="E11" i="100" s="1"/>
  <c r="E10" i="100" a="1"/>
  <c r="E10" i="100" s="1"/>
  <c r="D6" i="100" a="1"/>
  <c r="D6" i="100" s="1"/>
  <c r="D5" i="100" a="1"/>
  <c r="D5" i="100" s="1"/>
  <c r="P53" i="99" a="1"/>
  <c r="P53" i="99" s="1"/>
  <c r="F53" i="99" a="1"/>
  <c r="F53" i="99" s="1"/>
  <c r="N50" i="99" a="1"/>
  <c r="N50" i="99" s="1"/>
  <c r="D50" i="99" a="1"/>
  <c r="D50" i="99" s="1"/>
  <c r="N46" i="99"/>
  <c r="D46" i="99"/>
  <c r="J39" i="99"/>
  <c r="J36" i="99" a="1"/>
  <c r="J36" i="99" s="1"/>
  <c r="H36" i="99" a="1"/>
  <c r="H36" i="99" s="1"/>
  <c r="D36" i="99" a="1"/>
  <c r="D36" i="99" s="1"/>
  <c r="E34" i="99" a="1"/>
  <c r="E34" i="99" s="1"/>
  <c r="E33" i="99" a="1"/>
  <c r="E33" i="99" s="1"/>
  <c r="D29" i="99" a="1"/>
  <c r="D29" i="99" s="1"/>
  <c r="D28" i="99" a="1"/>
  <c r="D28" i="99" s="1"/>
  <c r="G24" i="99"/>
  <c r="F24" i="99"/>
  <c r="J19" i="99" a="1"/>
  <c r="J19" i="99" s="1"/>
  <c r="J17" i="99"/>
  <c r="J16" i="99" a="1"/>
  <c r="J16" i="99" s="1"/>
  <c r="J14" i="99" a="1"/>
  <c r="J14" i="99" s="1"/>
  <c r="J13" i="99" a="1"/>
  <c r="J13" i="99" s="1"/>
  <c r="H13" i="99" a="1"/>
  <c r="H13" i="99" s="1"/>
  <c r="D13" i="99" a="1"/>
  <c r="D13" i="99" s="1"/>
  <c r="E11" i="99" a="1"/>
  <c r="E11" i="99" s="1"/>
  <c r="E10" i="99" a="1"/>
  <c r="E10" i="99" s="1"/>
  <c r="D6" i="99" a="1"/>
  <c r="D6" i="99" s="1"/>
  <c r="D5" i="99" a="1"/>
  <c r="D5" i="99" s="1"/>
  <c r="O66" i="98" a="1"/>
  <c r="O66" i="98" s="1"/>
  <c r="M63" i="98" a="1"/>
  <c r="M63" i="98" s="1"/>
  <c r="R58" i="98"/>
  <c r="P55" i="98" a="1"/>
  <c r="P55" i="98" s="1"/>
  <c r="M55" i="98" a="1"/>
  <c r="M55" i="98" s="1"/>
  <c r="N53" i="98" a="1"/>
  <c r="N53" i="98" s="1"/>
  <c r="N52" i="98" a="1"/>
  <c r="N52" i="98" s="1"/>
  <c r="M48" i="98" a="1"/>
  <c r="M48" i="98" s="1"/>
  <c r="M47" i="98" a="1"/>
  <c r="M47" i="98" s="1"/>
  <c r="F47" i="98" a="1"/>
  <c r="F47" i="98" s="1"/>
  <c r="D44" i="98" a="1"/>
  <c r="D44" i="98" s="1"/>
  <c r="I39" i="98"/>
  <c r="G36" i="98" a="1"/>
  <c r="G36" i="98" s="1"/>
  <c r="D36" i="98" a="1"/>
  <c r="D36" i="98" s="1"/>
  <c r="E34" i="98" a="1"/>
  <c r="E34" i="98" s="1"/>
  <c r="O61" i="98" s="1"/>
  <c r="E33" i="98" a="1"/>
  <c r="E33" i="98" s="1"/>
  <c r="P32" i="98" a="1"/>
  <c r="P32" i="98" s="1"/>
  <c r="M32" i="98" a="1"/>
  <c r="M32" i="98" s="1"/>
  <c r="N30" i="98" a="1"/>
  <c r="N30" i="98" s="1"/>
  <c r="N29" i="98" a="1"/>
  <c r="N29" i="98" s="1"/>
  <c r="D29" i="98" a="1"/>
  <c r="D29" i="98" s="1"/>
  <c r="D28" i="98" a="1"/>
  <c r="D28" i="98" s="1"/>
  <c r="M25" i="98" a="1"/>
  <c r="M25" i="98" s="1"/>
  <c r="M24" i="98" a="1"/>
  <c r="M24" i="98" s="1"/>
  <c r="I21" i="98"/>
  <c r="Q18" i="98"/>
  <c r="Q16" i="98"/>
  <c r="I16" i="98"/>
  <c r="Q15" i="98"/>
  <c r="O14" i="98" a="1"/>
  <c r="O14" i="98" s="1"/>
  <c r="M14" i="98" a="1"/>
  <c r="M14" i="98" s="1"/>
  <c r="I13" i="98"/>
  <c r="G13" i="98" a="1"/>
  <c r="G13" i="98" s="1"/>
  <c r="D13" i="98" a="1"/>
  <c r="D13" i="98" s="1"/>
  <c r="N12" i="98" a="1"/>
  <c r="N12" i="98" s="1"/>
  <c r="N11" i="98" a="1"/>
  <c r="N11" i="98" s="1"/>
  <c r="E11" i="98" a="1"/>
  <c r="E11" i="98" s="1"/>
  <c r="E10" i="98" a="1"/>
  <c r="E10" i="98" s="1"/>
  <c r="M6" i="98" a="1"/>
  <c r="M6" i="98" s="1"/>
  <c r="D6" i="98" a="1"/>
  <c r="D6" i="98" s="1"/>
  <c r="M5" i="98" a="1"/>
  <c r="M5" i="98" s="1"/>
  <c r="D5" i="98" a="1"/>
  <c r="D5" i="98" s="1"/>
  <c r="E22" i="97"/>
  <c r="E68" i="96" a="1"/>
  <c r="E68" i="96" s="1"/>
  <c r="D68" i="96" a="1"/>
  <c r="D68" i="96" s="1"/>
  <c r="E67" i="96" a="1"/>
  <c r="E67" i="96" s="1"/>
  <c r="D67" i="96" a="1"/>
  <c r="D67" i="96" s="1"/>
  <c r="E66" i="96" a="1"/>
  <c r="E66" i="96" s="1"/>
  <c r="D66" i="96" a="1"/>
  <c r="D66" i="96" s="1"/>
  <c r="E65" i="96" a="1"/>
  <c r="E65" i="96" s="1"/>
  <c r="D65" i="96" a="1"/>
  <c r="D65" i="96" s="1"/>
  <c r="E64" i="96" a="1"/>
  <c r="E64" i="96" s="1"/>
  <c r="D64" i="96" a="1"/>
  <c r="D64" i="96" s="1"/>
  <c r="E63" i="96" a="1"/>
  <c r="E63" i="96" s="1"/>
  <c r="D63" i="96" a="1"/>
  <c r="D63" i="96" s="1"/>
  <c r="E62" i="96" a="1"/>
  <c r="E62" i="96" s="1"/>
  <c r="D62" i="96" a="1"/>
  <c r="D62" i="96" s="1"/>
  <c r="E61" i="96" a="1"/>
  <c r="E61" i="96" s="1"/>
  <c r="D61" i="96" a="1"/>
  <c r="D61" i="96" s="1"/>
  <c r="E60" i="96" a="1"/>
  <c r="E60" i="96" s="1"/>
  <c r="D60" i="96" a="1"/>
  <c r="D60" i="96" s="1"/>
  <c r="E59" i="96" a="1"/>
  <c r="E59" i="96" s="1"/>
  <c r="D59" i="96" a="1"/>
  <c r="D59" i="96" s="1"/>
  <c r="E58" i="96" a="1"/>
  <c r="E58" i="96" s="1"/>
  <c r="D58" i="96" a="1"/>
  <c r="D58" i="96" s="1"/>
  <c r="D56" i="96" a="1"/>
  <c r="D56" i="96" s="1"/>
  <c r="D55" i="96" a="1"/>
  <c r="D55" i="96" s="1"/>
  <c r="D54" i="96" a="1"/>
  <c r="D54" i="96" s="1"/>
  <c r="D53" i="96" a="1"/>
  <c r="D53" i="96" s="1"/>
  <c r="D52" i="96" a="1"/>
  <c r="D52" i="96" s="1"/>
  <c r="G50" i="96" a="1"/>
  <c r="G50" i="96" s="1"/>
  <c r="F50" i="96" a="1"/>
  <c r="F50" i="96" s="1"/>
  <c r="E50" i="96" a="1"/>
  <c r="E50" i="96" s="1"/>
  <c r="O21" i="96" s="1"/>
  <c r="D50" i="96" a="1"/>
  <c r="D50" i="96" s="1"/>
  <c r="G49" i="96" a="1"/>
  <c r="G49" i="96" s="1"/>
  <c r="F49" i="96" a="1"/>
  <c r="F49" i="96" s="1"/>
  <c r="E49" i="96" a="1"/>
  <c r="E49" i="96" s="1"/>
  <c r="O20" i="96" s="1"/>
  <c r="D49" i="96" a="1"/>
  <c r="D49" i="96" s="1"/>
  <c r="G48" i="96" a="1"/>
  <c r="G48" i="96" s="1"/>
  <c r="F48" i="96" a="1"/>
  <c r="F48" i="96" s="1"/>
  <c r="E48" i="96" a="1"/>
  <c r="E48" i="96" s="1"/>
  <c r="O19" i="96" s="1"/>
  <c r="D48" i="96" a="1"/>
  <c r="D48" i="96" s="1"/>
  <c r="G47" i="96" a="1"/>
  <c r="G47" i="96" s="1"/>
  <c r="F47" i="96" a="1"/>
  <c r="F47" i="96" s="1"/>
  <c r="E47" i="96" a="1"/>
  <c r="E47" i="96" s="1"/>
  <c r="O18" i="96" s="1"/>
  <c r="D47" i="96" a="1"/>
  <c r="D47" i="96" s="1"/>
  <c r="G46" i="96" a="1"/>
  <c r="G46" i="96" s="1"/>
  <c r="F46" i="96" a="1"/>
  <c r="F46" i="96" s="1"/>
  <c r="E46" i="96" a="1"/>
  <c r="E46" i="96" s="1"/>
  <c r="O17" i="96" s="1"/>
  <c r="D46" i="96" a="1"/>
  <c r="D46" i="96" s="1"/>
  <c r="G45" i="96" a="1"/>
  <c r="G45" i="96" s="1"/>
  <c r="F45" i="96" a="1"/>
  <c r="F45" i="96" s="1"/>
  <c r="E45" i="96" a="1"/>
  <c r="E45" i="96" s="1"/>
  <c r="D45" i="96" a="1"/>
  <c r="D45" i="96" s="1"/>
  <c r="G44" i="96" a="1"/>
  <c r="G44" i="96" s="1"/>
  <c r="F44" i="96" a="1"/>
  <c r="F44" i="96" s="1"/>
  <c r="E44" i="96" a="1"/>
  <c r="E44" i="96" s="1"/>
  <c r="M21" i="96" s="1"/>
  <c r="D44" i="96" a="1"/>
  <c r="D44" i="96" s="1"/>
  <c r="G43" i="96" a="1"/>
  <c r="G43" i="96" s="1"/>
  <c r="F43" i="96" a="1"/>
  <c r="F43" i="96" s="1"/>
  <c r="E43" i="96" a="1"/>
  <c r="E43" i="96" s="1"/>
  <c r="M20" i="96" s="1"/>
  <c r="D43" i="96" a="1"/>
  <c r="D43" i="96" s="1"/>
  <c r="G42" i="96" a="1"/>
  <c r="G42" i="96" s="1"/>
  <c r="F42" i="96" a="1"/>
  <c r="F42" i="96" s="1"/>
  <c r="E42" i="96" a="1"/>
  <c r="E42" i="96" s="1"/>
  <c r="M19" i="96" s="1"/>
  <c r="D42" i="96" a="1"/>
  <c r="D42" i="96" s="1"/>
  <c r="G41" i="96" a="1"/>
  <c r="G41" i="96" s="1"/>
  <c r="F41" i="96" a="1"/>
  <c r="F41" i="96" s="1"/>
  <c r="E41" i="96" a="1"/>
  <c r="E41" i="96" s="1"/>
  <c r="M18" i="96" s="1"/>
  <c r="D41" i="96" a="1"/>
  <c r="D41" i="96" s="1"/>
  <c r="G40" i="96" a="1"/>
  <c r="G40" i="96" s="1"/>
  <c r="F40" i="96" a="1"/>
  <c r="F40" i="96" s="1"/>
  <c r="E40" i="96" a="1"/>
  <c r="E40" i="96" s="1"/>
  <c r="M17" i="96" s="1"/>
  <c r="D40" i="96" a="1"/>
  <c r="D40" i="96" s="1"/>
  <c r="G39" i="96" a="1"/>
  <c r="G39" i="96" s="1"/>
  <c r="F39" i="96" a="1"/>
  <c r="F39" i="96" s="1"/>
  <c r="E39" i="96" a="1"/>
  <c r="E39" i="96" s="1"/>
  <c r="D39" i="96" a="1"/>
  <c r="D39" i="96" s="1"/>
  <c r="G38" i="96" a="1"/>
  <c r="G38" i="96" s="1"/>
  <c r="F38" i="96" a="1"/>
  <c r="F38" i="96" s="1"/>
  <c r="E38" i="96" a="1"/>
  <c r="E38" i="96" s="1"/>
  <c r="K26" i="96" s="1"/>
  <c r="D38" i="96" a="1"/>
  <c r="D38" i="96" s="1"/>
  <c r="G37" i="96" a="1"/>
  <c r="G37" i="96" s="1"/>
  <c r="F37" i="96" a="1"/>
  <c r="F37" i="96" s="1"/>
  <c r="E37" i="96" a="1"/>
  <c r="E37" i="96" s="1"/>
  <c r="K25" i="96" s="1"/>
  <c r="D37" i="96" a="1"/>
  <c r="D37" i="96" s="1"/>
  <c r="G36" i="96" a="1"/>
  <c r="G36" i="96" s="1"/>
  <c r="F36" i="96" a="1"/>
  <c r="F36" i="96" s="1"/>
  <c r="E36" i="96" a="1"/>
  <c r="E36" i="96" s="1"/>
  <c r="K24" i="96" s="1"/>
  <c r="D36" i="96" a="1"/>
  <c r="D36" i="96" s="1"/>
  <c r="G35" i="96" a="1"/>
  <c r="G35" i="96" s="1"/>
  <c r="F35" i="96" a="1"/>
  <c r="F35" i="96" s="1"/>
  <c r="E35" i="96" a="1"/>
  <c r="E35" i="96" s="1"/>
  <c r="K23" i="96" s="1"/>
  <c r="D35" i="96" a="1"/>
  <c r="D35" i="96" s="1"/>
  <c r="G34" i="96" a="1"/>
  <c r="G34" i="96" s="1"/>
  <c r="F34" i="96" a="1"/>
  <c r="F34" i="96" s="1"/>
  <c r="E34" i="96" a="1"/>
  <c r="E34" i="96" s="1"/>
  <c r="K22" i="96" s="1"/>
  <c r="D34" i="96" a="1"/>
  <c r="D34" i="96" s="1"/>
  <c r="G33" i="96" a="1"/>
  <c r="G33" i="96" s="1"/>
  <c r="F33" i="96" a="1"/>
  <c r="F33" i="96" s="1"/>
  <c r="E33" i="96" a="1"/>
  <c r="E33" i="96" s="1"/>
  <c r="K21" i="96" s="1"/>
  <c r="D33" i="96" a="1"/>
  <c r="D33" i="96" s="1"/>
  <c r="G32" i="96" a="1"/>
  <c r="G32" i="96" s="1"/>
  <c r="F32" i="96" a="1"/>
  <c r="F32" i="96" s="1"/>
  <c r="E32" i="96" a="1"/>
  <c r="E32" i="96" s="1"/>
  <c r="K20" i="96" s="1"/>
  <c r="D32" i="96" a="1"/>
  <c r="D32" i="96" s="1"/>
  <c r="G31" i="96" a="1"/>
  <c r="G31" i="96" s="1"/>
  <c r="F31" i="96" a="1"/>
  <c r="F31" i="96" s="1"/>
  <c r="E31" i="96" a="1"/>
  <c r="E31" i="96" s="1"/>
  <c r="K19" i="96" s="1"/>
  <c r="D31" i="96" a="1"/>
  <c r="D31" i="96" s="1"/>
  <c r="G30" i="96" a="1"/>
  <c r="G30" i="96" s="1"/>
  <c r="F30" i="96" a="1"/>
  <c r="F30" i="96" s="1"/>
  <c r="E30" i="96" a="1"/>
  <c r="E30" i="96" s="1"/>
  <c r="K18" i="96" s="1"/>
  <c r="D30" i="96" a="1"/>
  <c r="D30" i="96" s="1"/>
  <c r="G29" i="96" a="1"/>
  <c r="G29" i="96" s="1"/>
  <c r="F29" i="96" a="1"/>
  <c r="F29" i="96" s="1"/>
  <c r="E29" i="96" a="1"/>
  <c r="E29" i="96" s="1"/>
  <c r="K17" i="96" s="1"/>
  <c r="D29" i="96" a="1"/>
  <c r="D29" i="96" s="1"/>
  <c r="G28" i="96" a="1"/>
  <c r="G28" i="96" s="1"/>
  <c r="F28" i="96" a="1"/>
  <c r="F28" i="96" s="1"/>
  <c r="E28" i="96" a="1"/>
  <c r="E28" i="96" s="1"/>
  <c r="D28" i="96" a="1"/>
  <c r="D28" i="96" s="1"/>
  <c r="G27" i="96" a="1"/>
  <c r="G27" i="96" s="1"/>
  <c r="F27" i="96" a="1"/>
  <c r="F27" i="96" s="1"/>
  <c r="E27" i="96" a="1"/>
  <c r="E27" i="96" s="1"/>
  <c r="I27" i="96" s="1"/>
  <c r="D27" i="96" a="1"/>
  <c r="D27" i="96" s="1"/>
  <c r="G26" i="96" a="1"/>
  <c r="G26" i="96" s="1"/>
  <c r="F26" i="96" a="1"/>
  <c r="F26" i="96" s="1"/>
  <c r="E26" i="96" a="1"/>
  <c r="E26" i="96" s="1"/>
  <c r="I26" i="96" s="1"/>
  <c r="D26" i="96" a="1"/>
  <c r="D26" i="96" s="1"/>
  <c r="G25" i="96" a="1"/>
  <c r="G25" i="96" s="1"/>
  <c r="F25" i="96" a="1"/>
  <c r="F25" i="96" s="1"/>
  <c r="E25" i="96" a="1"/>
  <c r="E25" i="96" s="1"/>
  <c r="I25" i="96" s="1"/>
  <c r="D25" i="96" a="1"/>
  <c r="D25" i="96" s="1"/>
  <c r="G24" i="96" a="1"/>
  <c r="G24" i="96" s="1"/>
  <c r="F24" i="96" a="1"/>
  <c r="F24" i="96" s="1"/>
  <c r="E24" i="96" a="1"/>
  <c r="E24" i="96" s="1"/>
  <c r="I24" i="96" s="1"/>
  <c r="D24" i="96" a="1"/>
  <c r="D24" i="96" s="1"/>
  <c r="G23" i="96" a="1"/>
  <c r="G23" i="96" s="1"/>
  <c r="F23" i="96" a="1"/>
  <c r="F23" i="96" s="1"/>
  <c r="E23" i="96" a="1"/>
  <c r="E23" i="96" s="1"/>
  <c r="I23" i="96" s="1"/>
  <c r="D23" i="96" a="1"/>
  <c r="D23" i="96" s="1"/>
  <c r="G22" i="96" a="1"/>
  <c r="G22" i="96" s="1"/>
  <c r="F22" i="96" a="1"/>
  <c r="F22" i="96" s="1"/>
  <c r="E22" i="96" a="1"/>
  <c r="E22" i="96" s="1"/>
  <c r="I22" i="96" s="1"/>
  <c r="D22" i="96" a="1"/>
  <c r="D22" i="96" s="1"/>
  <c r="G21" i="96" a="1"/>
  <c r="G21" i="96" s="1"/>
  <c r="F21" i="96" a="1"/>
  <c r="F21" i="96" s="1"/>
  <c r="E21" i="96" a="1"/>
  <c r="E21" i="96" s="1"/>
  <c r="I21" i="96" s="1"/>
  <c r="D21" i="96" a="1"/>
  <c r="D21" i="96" s="1"/>
  <c r="G20" i="96" a="1"/>
  <c r="G20" i="96" s="1"/>
  <c r="F20" i="96" a="1"/>
  <c r="F20" i="96" s="1"/>
  <c r="E20" i="96" a="1"/>
  <c r="E20" i="96" s="1"/>
  <c r="I20" i="96" s="1"/>
  <c r="D20" i="96" a="1"/>
  <c r="D20" i="96" s="1"/>
  <c r="G19" i="96" a="1"/>
  <c r="G19" i="96" s="1"/>
  <c r="F19" i="96" a="1"/>
  <c r="F19" i="96" s="1"/>
  <c r="E19" i="96" a="1"/>
  <c r="E19" i="96" s="1"/>
  <c r="I19" i="96" s="1"/>
  <c r="D19" i="96" a="1"/>
  <c r="D19" i="96" s="1"/>
  <c r="G18" i="96" a="1"/>
  <c r="G18" i="96" s="1"/>
  <c r="F18" i="96" a="1"/>
  <c r="F18" i="96" s="1"/>
  <c r="E18" i="96" a="1"/>
  <c r="E18" i="96" s="1"/>
  <c r="I18" i="96" s="1"/>
  <c r="D18" i="96" a="1"/>
  <c r="D18" i="96" s="1"/>
  <c r="G17" i="96" a="1"/>
  <c r="G17" i="96" s="1"/>
  <c r="F17" i="96" a="1"/>
  <c r="F17" i="96" s="1"/>
  <c r="E17" i="96" a="1"/>
  <c r="E17" i="96" s="1"/>
  <c r="D17" i="96" a="1"/>
  <c r="D17" i="96" s="1"/>
  <c r="D15" i="96" a="1"/>
  <c r="D15" i="96" s="1"/>
  <c r="D14" i="96" a="1"/>
  <c r="D14" i="96" s="1"/>
  <c r="D7" i="96" a="1"/>
  <c r="D7" i="96" s="1"/>
  <c r="D6" i="96" a="1"/>
  <c r="D6" i="96" s="1"/>
  <c r="D5" i="96" a="1"/>
  <c r="D5" i="96" s="1"/>
  <c r="H185" i="95"/>
  <c r="H179" i="95"/>
  <c r="H168" i="95"/>
  <c r="H144" i="95"/>
  <c r="H138" i="95"/>
  <c r="H127" i="95"/>
  <c r="H105" i="95" a="1"/>
  <c r="H105" i="95" s="1"/>
  <c r="D105" i="95" a="1"/>
  <c r="D105" i="95" s="1"/>
  <c r="E103" i="95" a="1"/>
  <c r="E103" i="95" s="1"/>
  <c r="E102" i="95" a="1"/>
  <c r="E102" i="95" s="1"/>
  <c r="D98" i="95" a="1"/>
  <c r="D98" i="95" s="1"/>
  <c r="D97" i="95" a="1"/>
  <c r="D97" i="95" s="1"/>
  <c r="D96" i="95" a="1"/>
  <c r="D96" i="95" s="1"/>
  <c r="J16" i="95" a="1"/>
  <c r="J16" i="95" s="1"/>
  <c r="I16" i="95" a="1"/>
  <c r="I16" i="95" s="1"/>
  <c r="J15" i="95" a="1"/>
  <c r="J15" i="95" s="1"/>
  <c r="I15" i="95" a="1"/>
  <c r="I15" i="95" s="1"/>
  <c r="J14" i="95" a="1"/>
  <c r="J14" i="95" s="1"/>
  <c r="I14" i="95" a="1"/>
  <c r="I14" i="95" s="1"/>
  <c r="J13" i="95" a="1"/>
  <c r="J13" i="95" s="1"/>
  <c r="I13" i="95" a="1"/>
  <c r="I13" i="95" s="1"/>
  <c r="G13" i="95" a="1"/>
  <c r="G13" i="95" s="1"/>
  <c r="D13" i="95" a="1"/>
  <c r="D13" i="95" s="1"/>
  <c r="E11" i="95" a="1"/>
  <c r="E11" i="95" s="1"/>
  <c r="E10" i="95" a="1"/>
  <c r="E10" i="95" s="1"/>
  <c r="D6" i="95" a="1"/>
  <c r="D6" i="95" s="1"/>
  <c r="D5" i="95" a="1"/>
  <c r="D5" i="95" s="1"/>
  <c r="E139" i="93"/>
  <c r="F40" i="92" s="1"/>
  <c r="G138" i="93"/>
  <c r="F32" i="91" s="1"/>
  <c r="E138" i="93"/>
  <c r="F39" i="92" s="1"/>
  <c r="G137" i="93"/>
  <c r="F31" i="91" s="1"/>
  <c r="E137" i="93"/>
  <c r="F38" i="92" s="1"/>
  <c r="D137" i="93"/>
  <c r="F31" i="92" s="1"/>
  <c r="G136" i="93"/>
  <c r="F30" i="91" s="1"/>
  <c r="E136" i="93"/>
  <c r="F37" i="92" s="1"/>
  <c r="D136" i="93"/>
  <c r="F30" i="92" s="1"/>
  <c r="G135" i="93"/>
  <c r="F29" i="91" s="1"/>
  <c r="E135" i="93"/>
  <c r="F36" i="92" s="1"/>
  <c r="D135" i="93"/>
  <c r="F29" i="92" s="1"/>
  <c r="G134" i="93"/>
  <c r="F28" i="91" s="1"/>
  <c r="E134" i="93"/>
  <c r="F35" i="92" s="1"/>
  <c r="D134" i="93"/>
  <c r="F28" i="92" s="1"/>
  <c r="G133" i="93"/>
  <c r="F27" i="91" s="1"/>
  <c r="M27" i="91" s="1" a="1"/>
  <c r="M27" i="91" s="1"/>
  <c r="F133" i="93"/>
  <c r="F36" i="91" s="1"/>
  <c r="E133" i="93"/>
  <c r="F34" i="92" s="1"/>
  <c r="D133" i="93"/>
  <c r="F27" i="92" s="1"/>
  <c r="I132" i="93"/>
  <c r="F38" i="91" s="1"/>
  <c r="G132" i="93"/>
  <c r="F26" i="91" s="1"/>
  <c r="F132" i="93"/>
  <c r="F35" i="91" s="1"/>
  <c r="E132" i="93"/>
  <c r="F33" i="92" s="1"/>
  <c r="D132" i="93"/>
  <c r="F26" i="92" s="1"/>
  <c r="I131" i="93"/>
  <c r="F37" i="91" s="1"/>
  <c r="H131" i="93"/>
  <c r="F33" i="91" s="1"/>
  <c r="G131" i="93"/>
  <c r="F25" i="91" s="1"/>
  <c r="F131" i="93"/>
  <c r="F34" i="91" s="1"/>
  <c r="E131" i="93"/>
  <c r="F32" i="92" s="1"/>
  <c r="D131" i="93"/>
  <c r="F25" i="92" s="1"/>
  <c r="F120" i="93" a="1"/>
  <c r="F120" i="93" s="1"/>
  <c r="E120" i="93" a="1"/>
  <c r="E120" i="93" s="1"/>
  <c r="D120" i="93" a="1"/>
  <c r="D120" i="93" s="1"/>
  <c r="F119" i="93" a="1"/>
  <c r="F119" i="93" s="1"/>
  <c r="E119" i="93" a="1"/>
  <c r="E119" i="93" s="1"/>
  <c r="D119" i="93" a="1"/>
  <c r="D119" i="93" s="1"/>
  <c r="F118" i="93" a="1"/>
  <c r="F118" i="93" s="1"/>
  <c r="E118" i="93" a="1"/>
  <c r="E118" i="93" s="1"/>
  <c r="D118" i="93" a="1"/>
  <c r="D118" i="93" s="1"/>
  <c r="F117" i="93" a="1"/>
  <c r="F117" i="93" s="1"/>
  <c r="E117" i="93" a="1"/>
  <c r="E117" i="93" s="1"/>
  <c r="D117" i="93" a="1"/>
  <c r="D117" i="93" s="1"/>
  <c r="F116" i="93" a="1"/>
  <c r="F116" i="93" s="1"/>
  <c r="E116" i="93" a="1"/>
  <c r="E116" i="93" s="1"/>
  <c r="D116" i="93" a="1"/>
  <c r="D116" i="93" s="1"/>
  <c r="F115" i="93" a="1"/>
  <c r="F115" i="93" s="1"/>
  <c r="E115" i="93" a="1"/>
  <c r="E115" i="93" s="1"/>
  <c r="D115" i="93" a="1"/>
  <c r="D115" i="93" s="1"/>
  <c r="F114" i="93" a="1"/>
  <c r="F114" i="93" s="1"/>
  <c r="E114" i="93" a="1"/>
  <c r="E114" i="93" s="1"/>
  <c r="D114" i="93" a="1"/>
  <c r="D114" i="93" s="1"/>
  <c r="G113" i="93" a="1"/>
  <c r="G113" i="93" s="1"/>
  <c r="F113" i="93" a="1"/>
  <c r="F113" i="93" s="1"/>
  <c r="E113" i="93" a="1"/>
  <c r="E113" i="93" s="1"/>
  <c r="D113" i="93" a="1"/>
  <c r="D113" i="93" s="1"/>
  <c r="D110" i="93" a="1"/>
  <c r="D110" i="93" s="1"/>
  <c r="D109" i="93" a="1"/>
  <c r="D109" i="93" s="1"/>
  <c r="D108" i="93" a="1"/>
  <c r="D108" i="93" s="1"/>
  <c r="D107" i="93" a="1"/>
  <c r="D107" i="93" s="1"/>
  <c r="J104" i="93" a="1"/>
  <c r="J104" i="93" s="1"/>
  <c r="I104" i="93" a="1"/>
  <c r="I104" i="93" s="1"/>
  <c r="H104" i="93" a="1"/>
  <c r="H104" i="93" s="1"/>
  <c r="G104" i="93" a="1"/>
  <c r="G104" i="93" s="1"/>
  <c r="F104" i="93" a="1"/>
  <c r="F104" i="93" s="1"/>
  <c r="E104" i="93" a="1"/>
  <c r="E104" i="93" s="1"/>
  <c r="D104" i="93" a="1"/>
  <c r="D104" i="93" s="1"/>
  <c r="E40" i="92" s="1"/>
  <c r="J103" i="93" a="1"/>
  <c r="J103" i="93" s="1"/>
  <c r="I103" i="93" a="1"/>
  <c r="I103" i="93" s="1"/>
  <c r="H103" i="93" a="1"/>
  <c r="H103" i="93" s="1"/>
  <c r="G103" i="93" a="1"/>
  <c r="G103" i="93" s="1"/>
  <c r="F103" i="93" a="1"/>
  <c r="F103" i="93" s="1"/>
  <c r="E103" i="93" a="1"/>
  <c r="E103" i="93" s="1"/>
  <c r="D103" i="93" a="1"/>
  <c r="D103" i="93" s="1"/>
  <c r="E39" i="92" s="1"/>
  <c r="J102" i="93" a="1"/>
  <c r="J102" i="93" s="1"/>
  <c r="I102" i="93" a="1"/>
  <c r="I102" i="93" s="1"/>
  <c r="H102" i="93" a="1"/>
  <c r="H102" i="93" s="1"/>
  <c r="G102" i="93" a="1"/>
  <c r="G102" i="93" s="1"/>
  <c r="F102" i="93" a="1"/>
  <c r="F102" i="93" s="1"/>
  <c r="E102" i="93" a="1"/>
  <c r="E102" i="93" s="1"/>
  <c r="D102" i="93" a="1"/>
  <c r="D102" i="93" s="1"/>
  <c r="J101" i="93" a="1"/>
  <c r="J101" i="93" s="1"/>
  <c r="I101" i="93" a="1"/>
  <c r="I101" i="93" s="1"/>
  <c r="H101" i="93" a="1"/>
  <c r="H101" i="93" s="1"/>
  <c r="G101" i="93" a="1"/>
  <c r="G101" i="93" s="1"/>
  <c r="F101" i="93" a="1"/>
  <c r="F101" i="93" s="1"/>
  <c r="E101" i="93" a="1"/>
  <c r="E101" i="93" s="1"/>
  <c r="D101" i="93" a="1"/>
  <c r="D101" i="93" s="1"/>
  <c r="J100" i="93" a="1"/>
  <c r="J100" i="93" s="1"/>
  <c r="I100" i="93" a="1"/>
  <c r="I100" i="93" s="1"/>
  <c r="H100" i="93" a="1"/>
  <c r="H100" i="93" s="1"/>
  <c r="G100" i="93" a="1"/>
  <c r="G100" i="93" s="1"/>
  <c r="F100" i="93" a="1"/>
  <c r="F100" i="93" s="1"/>
  <c r="E100" i="93" a="1"/>
  <c r="E100" i="93" s="1"/>
  <c r="D100" i="93" a="1"/>
  <c r="D100" i="93" s="1"/>
  <c r="J99" i="93" a="1"/>
  <c r="J99" i="93" s="1"/>
  <c r="I99" i="93" a="1"/>
  <c r="I99" i="93" s="1"/>
  <c r="H99" i="93" a="1"/>
  <c r="H99" i="93" s="1"/>
  <c r="G99" i="93" a="1"/>
  <c r="G99" i="93" s="1"/>
  <c r="F99" i="93" a="1"/>
  <c r="F99" i="93" s="1"/>
  <c r="E99" i="93" a="1"/>
  <c r="E99" i="93" s="1"/>
  <c r="D99" i="93" a="1"/>
  <c r="D99" i="93" s="1"/>
  <c r="J98" i="93" a="1"/>
  <c r="J98" i="93" s="1"/>
  <c r="I98" i="93" a="1"/>
  <c r="I98" i="93" s="1"/>
  <c r="H98" i="93" a="1"/>
  <c r="H98" i="93" s="1"/>
  <c r="G98" i="93" a="1"/>
  <c r="G98" i="93" s="1"/>
  <c r="F98" i="93" a="1"/>
  <c r="F98" i="93" s="1"/>
  <c r="E98" i="93" a="1"/>
  <c r="E98" i="93" s="1"/>
  <c r="D98" i="93" a="1"/>
  <c r="D98" i="93" s="1"/>
  <c r="J97" i="93" a="1"/>
  <c r="J97" i="93" s="1"/>
  <c r="I97" i="93" a="1"/>
  <c r="I97" i="93" s="1"/>
  <c r="H97" i="93" a="1"/>
  <c r="H97" i="93" s="1"/>
  <c r="G97" i="93" a="1"/>
  <c r="G97" i="93" s="1"/>
  <c r="F97" i="93" a="1"/>
  <c r="F97" i="93" s="1"/>
  <c r="E97" i="93" a="1"/>
  <c r="E97" i="93" s="1"/>
  <c r="D97" i="93" a="1"/>
  <c r="D97" i="93" s="1"/>
  <c r="J96" i="93" a="1"/>
  <c r="J96" i="93" s="1"/>
  <c r="I96" i="93" a="1"/>
  <c r="I96" i="93" s="1"/>
  <c r="H96" i="93" a="1"/>
  <c r="H96" i="93" s="1"/>
  <c r="G96" i="93" a="1"/>
  <c r="G96" i="93" s="1"/>
  <c r="F96" i="93" a="1"/>
  <c r="F96" i="93" s="1"/>
  <c r="E96" i="93" a="1"/>
  <c r="E96" i="93" s="1"/>
  <c r="D96" i="93" a="1"/>
  <c r="D96" i="93" s="1"/>
  <c r="J95" i="93" a="1"/>
  <c r="J95" i="93" s="1"/>
  <c r="I95" i="93" a="1"/>
  <c r="I95" i="93" s="1"/>
  <c r="H95" i="93" a="1"/>
  <c r="H95" i="93" s="1"/>
  <c r="G95" i="93" a="1"/>
  <c r="G95" i="93" s="1"/>
  <c r="F95" i="93" a="1"/>
  <c r="F95" i="93" s="1"/>
  <c r="E95" i="93" a="1"/>
  <c r="E95" i="93" s="1"/>
  <c r="D95" i="93" a="1"/>
  <c r="D95" i="93" s="1"/>
  <c r="J94" i="93" a="1"/>
  <c r="J94" i="93" s="1"/>
  <c r="I94" i="93" a="1"/>
  <c r="I94" i="93" s="1"/>
  <c r="H94" i="93" a="1"/>
  <c r="H94" i="93" s="1"/>
  <c r="G94" i="93" a="1"/>
  <c r="G94" i="93" s="1"/>
  <c r="F94" i="93" a="1"/>
  <c r="F94" i="93" s="1"/>
  <c r="E94" i="93" a="1"/>
  <c r="E94" i="93" s="1"/>
  <c r="D94" i="93" a="1"/>
  <c r="D94" i="93" s="1"/>
  <c r="J93" i="93" a="1"/>
  <c r="J93" i="93" s="1"/>
  <c r="I93" i="93" a="1"/>
  <c r="I93" i="93" s="1"/>
  <c r="H93" i="93" a="1"/>
  <c r="H93" i="93" s="1"/>
  <c r="G93" i="93" a="1"/>
  <c r="G93" i="93" s="1"/>
  <c r="F93" i="93" a="1"/>
  <c r="F93" i="93" s="1"/>
  <c r="E93" i="93" a="1"/>
  <c r="E93" i="93" s="1"/>
  <c r="D93" i="93" a="1"/>
  <c r="D93" i="93" s="1"/>
  <c r="J92" i="93" a="1"/>
  <c r="J92" i="93" s="1"/>
  <c r="I92" i="93" a="1"/>
  <c r="I92" i="93" s="1"/>
  <c r="H92" i="93" a="1"/>
  <c r="H92" i="93" s="1"/>
  <c r="G92" i="93" a="1"/>
  <c r="G92" i="93" s="1"/>
  <c r="F92" i="93" a="1"/>
  <c r="F92" i="93" s="1"/>
  <c r="E92" i="93" a="1"/>
  <c r="E92" i="93" s="1"/>
  <c r="D92" i="93" a="1"/>
  <c r="D92" i="93" s="1"/>
  <c r="J91" i="93" a="1"/>
  <c r="J91" i="93" s="1"/>
  <c r="I91" i="93" a="1"/>
  <c r="I91" i="93" s="1"/>
  <c r="H91" i="93" a="1"/>
  <c r="H91" i="93" s="1"/>
  <c r="G91" i="93" a="1"/>
  <c r="G91" i="93" s="1"/>
  <c r="F91" i="93" a="1"/>
  <c r="F91" i="93" s="1"/>
  <c r="E91" i="93" a="1"/>
  <c r="E91" i="93" s="1"/>
  <c r="D91" i="93" a="1"/>
  <c r="D91" i="93" s="1"/>
  <c r="J90" i="93" a="1"/>
  <c r="J90" i="93" s="1"/>
  <c r="I90" i="93" a="1"/>
  <c r="I90" i="93" s="1"/>
  <c r="H90" i="93" a="1"/>
  <c r="H90" i="93" s="1"/>
  <c r="G90" i="93" a="1"/>
  <c r="G90" i="93" s="1"/>
  <c r="F90" i="93" a="1"/>
  <c r="F90" i="93" s="1"/>
  <c r="E90" i="93" a="1"/>
  <c r="E90" i="93" s="1"/>
  <c r="D90" i="93" a="1"/>
  <c r="D90" i="93" s="1"/>
  <c r="J89" i="93" a="1"/>
  <c r="J89" i="93" s="1"/>
  <c r="I89" i="93" a="1"/>
  <c r="I89" i="93" s="1"/>
  <c r="H89" i="93" a="1"/>
  <c r="H89" i="93" s="1"/>
  <c r="G89" i="93" a="1"/>
  <c r="G89" i="93" s="1"/>
  <c r="F89" i="93" a="1"/>
  <c r="F89" i="93" s="1"/>
  <c r="E89" i="93" a="1"/>
  <c r="E89" i="93" s="1"/>
  <c r="D89" i="93" a="1"/>
  <c r="D89" i="93" s="1"/>
  <c r="J88" i="93" a="1"/>
  <c r="J88" i="93" s="1"/>
  <c r="I88" i="93" a="1"/>
  <c r="I88" i="93" s="1"/>
  <c r="H88" i="93" a="1"/>
  <c r="H88" i="93" s="1"/>
  <c r="G88" i="93" a="1"/>
  <c r="G88" i="93" s="1"/>
  <c r="F88" i="93" a="1"/>
  <c r="F88" i="93" s="1"/>
  <c r="E88" i="93" a="1"/>
  <c r="E88" i="93" s="1"/>
  <c r="D88" i="93" a="1"/>
  <c r="D88" i="93" s="1"/>
  <c r="J87" i="93" a="1"/>
  <c r="J87" i="93" s="1"/>
  <c r="I87" i="93" a="1"/>
  <c r="I87" i="93" s="1"/>
  <c r="H87" i="93" a="1"/>
  <c r="H87" i="93" s="1"/>
  <c r="G87" i="93" a="1"/>
  <c r="G87" i="93" s="1"/>
  <c r="F87" i="93" a="1"/>
  <c r="F87" i="93" s="1"/>
  <c r="E87" i="93" a="1"/>
  <c r="E87" i="93" s="1"/>
  <c r="D87" i="93" a="1"/>
  <c r="D87" i="93" s="1"/>
  <c r="D84" i="93" a="1"/>
  <c r="D84" i="93" s="1"/>
  <c r="D83" i="93" a="1"/>
  <c r="D83" i="93" s="1"/>
  <c r="D82" i="93" a="1"/>
  <c r="D82" i="93" s="1"/>
  <c r="D81" i="93" a="1"/>
  <c r="D81" i="93" s="1"/>
  <c r="K77" i="93" a="1"/>
  <c r="K77" i="93" s="1"/>
  <c r="J77" i="93" a="1"/>
  <c r="J77" i="93" s="1"/>
  <c r="I77" i="93" a="1"/>
  <c r="I77" i="93" s="1"/>
  <c r="H77" i="93" a="1"/>
  <c r="H77" i="93" s="1"/>
  <c r="G77" i="93" a="1"/>
  <c r="G77" i="93" s="1"/>
  <c r="F77" i="93" a="1"/>
  <c r="F77" i="93" s="1"/>
  <c r="E77" i="93" a="1"/>
  <c r="E77" i="93" s="1"/>
  <c r="D77" i="93" a="1"/>
  <c r="D77" i="93" s="1"/>
  <c r="K76" i="93" a="1"/>
  <c r="K76" i="93" s="1"/>
  <c r="J76" i="93" a="1"/>
  <c r="J76" i="93" s="1"/>
  <c r="I76" i="93" a="1"/>
  <c r="I76" i="93" s="1"/>
  <c r="H76" i="93" a="1"/>
  <c r="H76" i="93" s="1"/>
  <c r="G76" i="93" a="1"/>
  <c r="G76" i="93" s="1"/>
  <c r="F76" i="93" a="1"/>
  <c r="F76" i="93" s="1"/>
  <c r="E76" i="93" a="1"/>
  <c r="E76" i="93" s="1"/>
  <c r="D76" i="93" a="1"/>
  <c r="D76" i="93" s="1"/>
  <c r="K75" i="93" a="1"/>
  <c r="K75" i="93" s="1"/>
  <c r="J75" i="93" a="1"/>
  <c r="J75" i="93" s="1"/>
  <c r="I75" i="93" a="1"/>
  <c r="I75" i="93" s="1"/>
  <c r="H75" i="93" a="1"/>
  <c r="H75" i="93" s="1"/>
  <c r="G75" i="93" a="1"/>
  <c r="G75" i="93" s="1"/>
  <c r="F75" i="93" a="1"/>
  <c r="F75" i="93" s="1"/>
  <c r="E75" i="93" a="1"/>
  <c r="E75" i="93" s="1"/>
  <c r="D75" i="93" a="1"/>
  <c r="D75" i="93" s="1"/>
  <c r="K74" i="93" a="1"/>
  <c r="K74" i="93" s="1"/>
  <c r="J74" i="93" a="1"/>
  <c r="J74" i="93" s="1"/>
  <c r="I74" i="93" a="1"/>
  <c r="I74" i="93" s="1"/>
  <c r="H74" i="93" a="1"/>
  <c r="H74" i="93" s="1"/>
  <c r="G74" i="93" a="1"/>
  <c r="G74" i="93" s="1"/>
  <c r="F74" i="93" a="1"/>
  <c r="F74" i="93" s="1"/>
  <c r="E74" i="93" a="1"/>
  <c r="E74" i="93" s="1"/>
  <c r="D74" i="93" a="1"/>
  <c r="D74" i="93" s="1"/>
  <c r="K73" i="93" a="1"/>
  <c r="K73" i="93" s="1"/>
  <c r="J73" i="93" a="1"/>
  <c r="J73" i="93" s="1"/>
  <c r="I73" i="93" a="1"/>
  <c r="I73" i="93" s="1"/>
  <c r="H73" i="93" a="1"/>
  <c r="H73" i="93" s="1"/>
  <c r="G73" i="93" a="1"/>
  <c r="G73" i="93" s="1"/>
  <c r="F73" i="93" a="1"/>
  <c r="F73" i="93" s="1"/>
  <c r="E73" i="93" a="1"/>
  <c r="E73" i="93" s="1"/>
  <c r="D73" i="93" a="1"/>
  <c r="D73" i="93" s="1"/>
  <c r="K72" i="93" a="1"/>
  <c r="K72" i="93" s="1"/>
  <c r="J72" i="93" a="1"/>
  <c r="J72" i="93" s="1"/>
  <c r="I72" i="93" a="1"/>
  <c r="I72" i="93" s="1"/>
  <c r="H72" i="93" a="1"/>
  <c r="H72" i="93" s="1"/>
  <c r="G72" i="93" a="1"/>
  <c r="G72" i="93" s="1"/>
  <c r="F72" i="93" a="1"/>
  <c r="F72" i="93" s="1"/>
  <c r="E72" i="93" a="1"/>
  <c r="E72" i="93" s="1"/>
  <c r="D72" i="93" a="1"/>
  <c r="D72" i="93" s="1"/>
  <c r="K71" i="93" a="1"/>
  <c r="K71" i="93" s="1"/>
  <c r="J71" i="93" a="1"/>
  <c r="J71" i="93" s="1"/>
  <c r="I71" i="93" a="1"/>
  <c r="I71" i="93" s="1"/>
  <c r="H71" i="93" a="1"/>
  <c r="H71" i="93" s="1"/>
  <c r="G71" i="93" a="1"/>
  <c r="G71" i="93" s="1"/>
  <c r="F71" i="93" a="1"/>
  <c r="F71" i="93" s="1"/>
  <c r="E71" i="93" a="1"/>
  <c r="E71" i="93" s="1"/>
  <c r="D71" i="93" a="1"/>
  <c r="D71" i="93" s="1"/>
  <c r="K70" i="93" a="1"/>
  <c r="K70" i="93" s="1"/>
  <c r="J70" i="93" a="1"/>
  <c r="J70" i="93" s="1"/>
  <c r="I70" i="93" a="1"/>
  <c r="I70" i="93" s="1"/>
  <c r="H70" i="93" a="1"/>
  <c r="H70" i="93" s="1"/>
  <c r="G70" i="93" a="1"/>
  <c r="G70" i="93" s="1"/>
  <c r="F70" i="93" a="1"/>
  <c r="F70" i="93" s="1"/>
  <c r="E70" i="93" a="1"/>
  <c r="E70" i="93" s="1"/>
  <c r="D70" i="93" a="1"/>
  <c r="D70" i="93" s="1"/>
  <c r="K69" i="93" a="1"/>
  <c r="K69" i="93" s="1"/>
  <c r="J69" i="93" a="1"/>
  <c r="J69" i="93" s="1"/>
  <c r="I69" i="93" a="1"/>
  <c r="I69" i="93" s="1"/>
  <c r="H69" i="93" a="1"/>
  <c r="H69" i="93" s="1"/>
  <c r="G69" i="93" a="1"/>
  <c r="G69" i="93" s="1"/>
  <c r="F69" i="93" a="1"/>
  <c r="F69" i="93" s="1"/>
  <c r="E69" i="93" a="1"/>
  <c r="E69" i="93" s="1"/>
  <c r="D69" i="93" a="1"/>
  <c r="D69" i="93" s="1"/>
  <c r="K68" i="93" a="1"/>
  <c r="K68" i="93" s="1"/>
  <c r="J68" i="93" a="1"/>
  <c r="J68" i="93" s="1"/>
  <c r="I68" i="93" a="1"/>
  <c r="I68" i="93" s="1"/>
  <c r="H68" i="93" a="1"/>
  <c r="H68" i="93" s="1"/>
  <c r="G68" i="93" a="1"/>
  <c r="G68" i="93" s="1"/>
  <c r="F68" i="93" a="1"/>
  <c r="F68" i="93" s="1"/>
  <c r="E68" i="93" a="1"/>
  <c r="E68" i="93" s="1"/>
  <c r="D68" i="93" a="1"/>
  <c r="D68" i="93" s="1"/>
  <c r="K67" i="93" a="1"/>
  <c r="K67" i="93" s="1"/>
  <c r="J67" i="93" a="1"/>
  <c r="J67" i="93" s="1"/>
  <c r="I67" i="93" a="1"/>
  <c r="I67" i="93" s="1"/>
  <c r="H67" i="93" a="1"/>
  <c r="H67" i="93" s="1"/>
  <c r="G67" i="93" a="1"/>
  <c r="G67" i="93" s="1"/>
  <c r="F67" i="93" a="1"/>
  <c r="F67" i="93" s="1"/>
  <c r="E67" i="93" a="1"/>
  <c r="E67" i="93" s="1"/>
  <c r="D67" i="93" a="1"/>
  <c r="D67" i="93" s="1"/>
  <c r="K66" i="93" a="1"/>
  <c r="K66" i="93" s="1"/>
  <c r="J66" i="93" a="1"/>
  <c r="J66" i="93" s="1"/>
  <c r="I66" i="93" a="1"/>
  <c r="I66" i="93" s="1"/>
  <c r="H66" i="93" a="1"/>
  <c r="H66" i="93" s="1"/>
  <c r="G66" i="93" a="1"/>
  <c r="G66" i="93" s="1"/>
  <c r="F66" i="93" a="1"/>
  <c r="F66" i="93" s="1"/>
  <c r="E66" i="93" a="1"/>
  <c r="E66" i="93" s="1"/>
  <c r="D66" i="93" a="1"/>
  <c r="D66" i="93" s="1"/>
  <c r="K65" i="93" a="1"/>
  <c r="K65" i="93" s="1"/>
  <c r="J65" i="93" a="1"/>
  <c r="J65" i="93" s="1"/>
  <c r="I65" i="93" a="1"/>
  <c r="I65" i="93" s="1"/>
  <c r="H65" i="93" a="1"/>
  <c r="H65" i="93" s="1"/>
  <c r="G65" i="93" a="1"/>
  <c r="G65" i="93" s="1"/>
  <c r="F65" i="93" a="1"/>
  <c r="F65" i="93" s="1"/>
  <c r="E65" i="93" a="1"/>
  <c r="E65" i="93" s="1"/>
  <c r="D65" i="93" a="1"/>
  <c r="D65" i="93" s="1"/>
  <c r="K64" i="93" a="1"/>
  <c r="K64" i="93" s="1"/>
  <c r="J64" i="93" a="1"/>
  <c r="J64" i="93" s="1"/>
  <c r="I64" i="93" a="1"/>
  <c r="I64" i="93" s="1"/>
  <c r="H64" i="93" a="1"/>
  <c r="H64" i="93" s="1"/>
  <c r="G64" i="93" a="1"/>
  <c r="G64" i="93" s="1"/>
  <c r="F64" i="93" a="1"/>
  <c r="F64" i="93" s="1"/>
  <c r="E64" i="93" a="1"/>
  <c r="E64" i="93" s="1"/>
  <c r="D64" i="93" a="1"/>
  <c r="D64" i="93" s="1"/>
  <c r="K63" i="93" a="1"/>
  <c r="K63" i="93" s="1"/>
  <c r="J63" i="93" a="1"/>
  <c r="J63" i="93" s="1"/>
  <c r="I63" i="93" a="1"/>
  <c r="I63" i="93" s="1"/>
  <c r="H63" i="93" a="1"/>
  <c r="H63" i="93" s="1"/>
  <c r="G63" i="93" a="1"/>
  <c r="G63" i="93" s="1"/>
  <c r="F63" i="93" a="1"/>
  <c r="F63" i="93" s="1"/>
  <c r="E63" i="93" a="1"/>
  <c r="E63" i="93" s="1"/>
  <c r="D63" i="93" a="1"/>
  <c r="D63" i="93" s="1"/>
  <c r="K62" i="93" a="1"/>
  <c r="K62" i="93" s="1"/>
  <c r="J62" i="93" a="1"/>
  <c r="J62" i="93" s="1"/>
  <c r="I62" i="93" a="1"/>
  <c r="I62" i="93" s="1"/>
  <c r="H62" i="93" a="1"/>
  <c r="H62" i="93" s="1"/>
  <c r="G62" i="93" a="1"/>
  <c r="G62" i="93" s="1"/>
  <c r="F62" i="93" a="1"/>
  <c r="F62" i="93" s="1"/>
  <c r="E62" i="93" a="1"/>
  <c r="E62" i="93" s="1"/>
  <c r="D62" i="93" a="1"/>
  <c r="D62" i="93" s="1"/>
  <c r="K61" i="93" a="1"/>
  <c r="K61" i="93" s="1"/>
  <c r="J61" i="93" a="1"/>
  <c r="J61" i="93" s="1"/>
  <c r="I61" i="93" a="1"/>
  <c r="I61" i="93" s="1"/>
  <c r="H61" i="93" a="1"/>
  <c r="H61" i="93" s="1"/>
  <c r="G61" i="93" a="1"/>
  <c r="G61" i="93" s="1"/>
  <c r="F61" i="93" a="1"/>
  <c r="F61" i="93" s="1"/>
  <c r="E61" i="93" a="1"/>
  <c r="E61" i="93" s="1"/>
  <c r="D61" i="93" a="1"/>
  <c r="D61" i="93" s="1"/>
  <c r="K60" i="93" a="1"/>
  <c r="K60" i="93" s="1"/>
  <c r="J60" i="93" a="1"/>
  <c r="J60" i="93" s="1"/>
  <c r="I60" i="93" a="1"/>
  <c r="I60" i="93" s="1"/>
  <c r="H60" i="93" a="1"/>
  <c r="H60" i="93" s="1"/>
  <c r="G60" i="93" a="1"/>
  <c r="G60" i="93" s="1"/>
  <c r="F60" i="93" a="1"/>
  <c r="F60" i="93" s="1"/>
  <c r="E60" i="93" a="1"/>
  <c r="E60" i="93" s="1"/>
  <c r="D60" i="93" a="1"/>
  <c r="D60" i="93" s="1"/>
  <c r="K59" i="93" a="1"/>
  <c r="K59" i="93" s="1"/>
  <c r="J59" i="93" a="1"/>
  <c r="J59" i="93" s="1"/>
  <c r="I59" i="93" a="1"/>
  <c r="I59" i="93" s="1"/>
  <c r="H59" i="93" a="1"/>
  <c r="H59" i="93" s="1"/>
  <c r="G59" i="93" a="1"/>
  <c r="G59" i="93" s="1"/>
  <c r="F59" i="93" a="1"/>
  <c r="F59" i="93" s="1"/>
  <c r="E59" i="93" a="1"/>
  <c r="E59" i="93" s="1"/>
  <c r="D59" i="93" a="1"/>
  <c r="D59" i="93" s="1"/>
  <c r="K58" i="93" a="1"/>
  <c r="K58" i="93" s="1"/>
  <c r="J58" i="93" a="1"/>
  <c r="J58" i="93" s="1"/>
  <c r="I58" i="93" a="1"/>
  <c r="I58" i="93" s="1"/>
  <c r="H58" i="93" a="1"/>
  <c r="H58" i="93" s="1"/>
  <c r="G58" i="93" a="1"/>
  <c r="G58" i="93" s="1"/>
  <c r="F58" i="93" a="1"/>
  <c r="F58" i="93" s="1"/>
  <c r="E58" i="93" a="1"/>
  <c r="E58" i="93" s="1"/>
  <c r="D58" i="93" a="1"/>
  <c r="D58" i="93" s="1"/>
  <c r="K57" i="93" a="1"/>
  <c r="K57" i="93" s="1"/>
  <c r="J57" i="93" a="1"/>
  <c r="J57" i="93" s="1"/>
  <c r="I57" i="93" a="1"/>
  <c r="I57" i="93" s="1"/>
  <c r="H57" i="93" a="1"/>
  <c r="H57" i="93" s="1"/>
  <c r="G57" i="93" a="1"/>
  <c r="G57" i="93" s="1"/>
  <c r="F57" i="93" a="1"/>
  <c r="F57" i="93" s="1"/>
  <c r="E57" i="93" a="1"/>
  <c r="E57" i="93" s="1"/>
  <c r="D57" i="93" a="1"/>
  <c r="D57" i="93" s="1"/>
  <c r="K56" i="93" a="1"/>
  <c r="K56" i="93" s="1"/>
  <c r="J56" i="93" a="1"/>
  <c r="J56" i="93" s="1"/>
  <c r="I56" i="93" a="1"/>
  <c r="I56" i="93" s="1"/>
  <c r="H56" i="93" a="1"/>
  <c r="H56" i="93" s="1"/>
  <c r="G56" i="93" a="1"/>
  <c r="G56" i="93" s="1"/>
  <c r="F56" i="93" a="1"/>
  <c r="F56" i="93" s="1"/>
  <c r="E56" i="93" a="1"/>
  <c r="E56" i="93" s="1"/>
  <c r="D56" i="93" a="1"/>
  <c r="D56" i="93" s="1"/>
  <c r="K55" i="93" a="1"/>
  <c r="K55" i="93" s="1"/>
  <c r="J55" i="93" a="1"/>
  <c r="J55" i="93" s="1"/>
  <c r="I55" i="93" a="1"/>
  <c r="I55" i="93" s="1"/>
  <c r="H55" i="93" a="1"/>
  <c r="H55" i="93" s="1"/>
  <c r="G55" i="93" a="1"/>
  <c r="G55" i="93" s="1"/>
  <c r="F55" i="93" a="1"/>
  <c r="F55" i="93" s="1"/>
  <c r="E55" i="93" a="1"/>
  <c r="E55" i="93" s="1"/>
  <c r="D55" i="93" a="1"/>
  <c r="D55" i="93" s="1"/>
  <c r="K54" i="93" a="1"/>
  <c r="K54" i="93" s="1"/>
  <c r="J54" i="93" a="1"/>
  <c r="J54" i="93" s="1"/>
  <c r="I54" i="93" a="1"/>
  <c r="I54" i="93" s="1"/>
  <c r="H54" i="93" a="1"/>
  <c r="H54" i="93" s="1"/>
  <c r="G54" i="93" a="1"/>
  <c r="G54" i="93" s="1"/>
  <c r="F54" i="93" a="1"/>
  <c r="F54" i="93" s="1"/>
  <c r="E54" i="93" a="1"/>
  <c r="E54" i="93" s="1"/>
  <c r="D54" i="93" a="1"/>
  <c r="D54" i="93" s="1"/>
  <c r="D52" i="93" a="1"/>
  <c r="D52" i="93" s="1"/>
  <c r="D51" i="93" a="1"/>
  <c r="D51" i="93" s="1"/>
  <c r="D50" i="93" a="1"/>
  <c r="D50" i="93" s="1"/>
  <c r="D49" i="93" a="1"/>
  <c r="D49" i="93" s="1"/>
  <c r="J43" i="93" a="1"/>
  <c r="J43" i="93" s="1"/>
  <c r="I43" i="93" a="1"/>
  <c r="I43" i="93" s="1"/>
  <c r="H43" i="93" a="1"/>
  <c r="H43" i="93" s="1"/>
  <c r="G43" i="93" a="1"/>
  <c r="G43" i="93" s="1"/>
  <c r="F43" i="93" a="1"/>
  <c r="F43" i="93" s="1"/>
  <c r="E43" i="93" a="1"/>
  <c r="E43" i="93" s="1"/>
  <c r="D43" i="93" a="1"/>
  <c r="D43" i="93" s="1"/>
  <c r="J42" i="93" a="1"/>
  <c r="J42" i="93" s="1"/>
  <c r="I42" i="93" a="1"/>
  <c r="I42" i="93" s="1"/>
  <c r="H42" i="93" a="1"/>
  <c r="H42" i="93" s="1"/>
  <c r="G42" i="93" a="1"/>
  <c r="G42" i="93" s="1"/>
  <c r="F42" i="93" a="1"/>
  <c r="F42" i="93" s="1"/>
  <c r="E42" i="93" a="1"/>
  <c r="E42" i="93" s="1"/>
  <c r="D42" i="93" a="1"/>
  <c r="D42" i="93" s="1"/>
  <c r="J41" i="93" a="1"/>
  <c r="J41" i="93" s="1"/>
  <c r="I41" i="93" a="1"/>
  <c r="I41" i="93" s="1"/>
  <c r="H41" i="93" a="1"/>
  <c r="H41" i="93" s="1"/>
  <c r="G41" i="93" a="1"/>
  <c r="G41" i="93" s="1"/>
  <c r="F41" i="93" a="1"/>
  <c r="F41" i="93" s="1"/>
  <c r="E41" i="93" a="1"/>
  <c r="E41" i="93" s="1"/>
  <c r="D41" i="93" a="1"/>
  <c r="D41" i="93" s="1"/>
  <c r="J40" i="93" a="1"/>
  <c r="J40" i="93" s="1"/>
  <c r="I40" i="93" a="1"/>
  <c r="I40" i="93" s="1"/>
  <c r="H40" i="93" a="1"/>
  <c r="H40" i="93" s="1"/>
  <c r="G40" i="93" a="1"/>
  <c r="G40" i="93" s="1"/>
  <c r="F40" i="93" a="1"/>
  <c r="F40" i="93" s="1"/>
  <c r="E40" i="93" a="1"/>
  <c r="E40" i="93" s="1"/>
  <c r="D40" i="93" a="1"/>
  <c r="D40" i="93" s="1"/>
  <c r="D38" i="93" a="1"/>
  <c r="D38" i="93" s="1"/>
  <c r="D37" i="93" a="1"/>
  <c r="D37" i="93" s="1"/>
  <c r="L34" i="93" a="1"/>
  <c r="L34" i="93" s="1"/>
  <c r="K34" i="93" a="1"/>
  <c r="K34" i="93" s="1"/>
  <c r="J34" i="93" a="1"/>
  <c r="J34" i="93" s="1"/>
  <c r="I34" i="93" a="1"/>
  <c r="I34" i="93" s="1"/>
  <c r="H34" i="93" a="1"/>
  <c r="H34" i="93" s="1"/>
  <c r="G34" i="93" a="1"/>
  <c r="G34" i="93" s="1"/>
  <c r="F34" i="93" a="1"/>
  <c r="F34" i="93" s="1"/>
  <c r="E34" i="93" a="1"/>
  <c r="E34" i="93" s="1"/>
  <c r="D34" i="93" a="1"/>
  <c r="D34" i="93" s="1"/>
  <c r="L33" i="93" a="1"/>
  <c r="L33" i="93" s="1"/>
  <c r="K33" i="93" a="1"/>
  <c r="K33" i="93" s="1"/>
  <c r="J33" i="93" a="1"/>
  <c r="J33" i="93" s="1"/>
  <c r="I33" i="93" a="1"/>
  <c r="I33" i="93" s="1"/>
  <c r="H33" i="93" a="1"/>
  <c r="H33" i="93" s="1"/>
  <c r="G33" i="93" a="1"/>
  <c r="G33" i="93" s="1"/>
  <c r="F33" i="93" a="1"/>
  <c r="F33" i="93" s="1"/>
  <c r="E33" i="93" a="1"/>
  <c r="E33" i="93" s="1"/>
  <c r="E39" i="91" s="1"/>
  <c r="D33" i="93" a="1"/>
  <c r="D33" i="93" s="1"/>
  <c r="L32" i="93" a="1"/>
  <c r="L32" i="93" s="1"/>
  <c r="K32" i="93" a="1"/>
  <c r="K32" i="93" s="1"/>
  <c r="J32" i="93" a="1"/>
  <c r="J32" i="93" s="1"/>
  <c r="I32" i="93" a="1"/>
  <c r="I32" i="93" s="1"/>
  <c r="H32" i="93" a="1"/>
  <c r="H32" i="93" s="1"/>
  <c r="G32" i="93" a="1"/>
  <c r="G32" i="93" s="1"/>
  <c r="F32" i="93" a="1"/>
  <c r="F32" i="93" s="1"/>
  <c r="E32" i="93" a="1"/>
  <c r="E32" i="93" s="1"/>
  <c r="D32" i="93" a="1"/>
  <c r="D32" i="93" s="1"/>
  <c r="L31" i="93" a="1"/>
  <c r="L31" i="93" s="1"/>
  <c r="K31" i="93" a="1"/>
  <c r="K31" i="93" s="1"/>
  <c r="J31" i="93" a="1"/>
  <c r="J31" i="93" s="1"/>
  <c r="I31" i="93" a="1"/>
  <c r="I31" i="93" s="1"/>
  <c r="H31" i="93" a="1"/>
  <c r="H31" i="93" s="1"/>
  <c r="G31" i="93" a="1"/>
  <c r="G31" i="93" s="1"/>
  <c r="F31" i="93" a="1"/>
  <c r="F31" i="93" s="1"/>
  <c r="E31" i="93" a="1"/>
  <c r="E31" i="93" s="1"/>
  <c r="D31" i="93" a="1"/>
  <c r="D31" i="93" s="1"/>
  <c r="L30" i="93" a="1"/>
  <c r="L30" i="93" s="1"/>
  <c r="K30" i="93" a="1"/>
  <c r="K30" i="93" s="1"/>
  <c r="J30" i="93" a="1"/>
  <c r="J30" i="93" s="1"/>
  <c r="I30" i="93" a="1"/>
  <c r="I30" i="93" s="1"/>
  <c r="H30" i="93" a="1"/>
  <c r="H30" i="93" s="1"/>
  <c r="G30" i="93" a="1"/>
  <c r="G30" i="93" s="1"/>
  <c r="F30" i="93" a="1"/>
  <c r="F30" i="93" s="1"/>
  <c r="E30" i="93" a="1"/>
  <c r="E30" i="93" s="1"/>
  <c r="E36" i="91" s="1"/>
  <c r="D30" i="93" a="1"/>
  <c r="D30" i="93" s="1"/>
  <c r="L29" i="93" a="1"/>
  <c r="L29" i="93" s="1"/>
  <c r="K29" i="93" a="1"/>
  <c r="K29" i="93" s="1"/>
  <c r="J29" i="93" a="1"/>
  <c r="J29" i="93" s="1"/>
  <c r="I29" i="93" a="1"/>
  <c r="I29" i="93" s="1"/>
  <c r="H29" i="93" a="1"/>
  <c r="H29" i="93" s="1"/>
  <c r="G29" i="93" a="1"/>
  <c r="G29" i="93" s="1"/>
  <c r="F29" i="93" a="1"/>
  <c r="F29" i="93" s="1"/>
  <c r="E29" i="93" a="1"/>
  <c r="E29" i="93" s="1"/>
  <c r="E35" i="91" s="1"/>
  <c r="D29" i="93" a="1"/>
  <c r="D29" i="93" s="1"/>
  <c r="L28" i="93" a="1"/>
  <c r="L28" i="93" s="1"/>
  <c r="K28" i="93" a="1"/>
  <c r="K28" i="93" s="1"/>
  <c r="J28" i="93" a="1"/>
  <c r="J28" i="93" s="1"/>
  <c r="I28" i="93" a="1"/>
  <c r="I28" i="93" s="1"/>
  <c r="H28" i="93" a="1"/>
  <c r="H28" i="93" s="1"/>
  <c r="G28" i="93" a="1"/>
  <c r="G28" i="93" s="1"/>
  <c r="F28" i="93" a="1"/>
  <c r="F28" i="93" s="1"/>
  <c r="E28" i="93" a="1"/>
  <c r="E28" i="93" s="1"/>
  <c r="E34" i="91" s="1"/>
  <c r="D28" i="93" a="1"/>
  <c r="D28" i="93" s="1"/>
  <c r="L27" i="93" a="1"/>
  <c r="L27" i="93" s="1"/>
  <c r="K27" i="93" a="1"/>
  <c r="K27" i="93" s="1"/>
  <c r="J27" i="93" a="1"/>
  <c r="J27" i="93" s="1"/>
  <c r="I27" i="93" a="1"/>
  <c r="I27" i="93" s="1"/>
  <c r="H27" i="93" a="1"/>
  <c r="H27" i="93" s="1"/>
  <c r="G27" i="93" a="1"/>
  <c r="G27" i="93" s="1"/>
  <c r="F27" i="93" a="1"/>
  <c r="F27" i="93" s="1"/>
  <c r="E27" i="93" a="1"/>
  <c r="E27" i="93" s="1"/>
  <c r="D27" i="93" a="1"/>
  <c r="D27" i="93" s="1"/>
  <c r="L26" i="93" a="1"/>
  <c r="L26" i="93" s="1"/>
  <c r="K26" i="93" a="1"/>
  <c r="K26" i="93" s="1"/>
  <c r="J26" i="93" a="1"/>
  <c r="J26" i="93" s="1"/>
  <c r="I26" i="93" a="1"/>
  <c r="I26" i="93" s="1"/>
  <c r="H26" i="93" a="1"/>
  <c r="H26" i="93" s="1"/>
  <c r="G26" i="93" a="1"/>
  <c r="G26" i="93" s="1"/>
  <c r="F26" i="93" a="1"/>
  <c r="F26" i="93" s="1"/>
  <c r="E26" i="93" a="1"/>
  <c r="E26" i="93" s="1"/>
  <c r="D26" i="93" a="1"/>
  <c r="D26" i="93" s="1"/>
  <c r="L25" i="93" a="1"/>
  <c r="L25" i="93" s="1"/>
  <c r="K25" i="93" a="1"/>
  <c r="K25" i="93" s="1"/>
  <c r="J25" i="93" a="1"/>
  <c r="J25" i="93" s="1"/>
  <c r="I25" i="93" a="1"/>
  <c r="I25" i="93" s="1"/>
  <c r="H25" i="93" a="1"/>
  <c r="H25" i="93" s="1"/>
  <c r="G25" i="93" a="1"/>
  <c r="G25" i="93" s="1"/>
  <c r="F25" i="93" a="1"/>
  <c r="F25" i="93" s="1"/>
  <c r="E25" i="93" a="1"/>
  <c r="E25" i="93" s="1"/>
  <c r="D25" i="93" a="1"/>
  <c r="D25" i="93" s="1"/>
  <c r="L24" i="93" a="1"/>
  <c r="L24" i="93" s="1"/>
  <c r="K24" i="93" a="1"/>
  <c r="K24" i="93" s="1"/>
  <c r="J24" i="93" a="1"/>
  <c r="J24" i="93" s="1"/>
  <c r="I24" i="93" a="1"/>
  <c r="I24" i="93" s="1"/>
  <c r="H24" i="93" a="1"/>
  <c r="H24" i="93" s="1"/>
  <c r="G24" i="93" a="1"/>
  <c r="G24" i="93" s="1"/>
  <c r="F24" i="93" a="1"/>
  <c r="F24" i="93" s="1"/>
  <c r="E24" i="93" a="1"/>
  <c r="E24" i="93" s="1"/>
  <c r="D24" i="93" a="1"/>
  <c r="D24" i="93" s="1"/>
  <c r="L23" i="93" a="1"/>
  <c r="L23" i="93" s="1"/>
  <c r="K23" i="93" a="1"/>
  <c r="K23" i="93" s="1"/>
  <c r="J23" i="93" a="1"/>
  <c r="J23" i="93" s="1"/>
  <c r="I23" i="93" a="1"/>
  <c r="I23" i="93" s="1"/>
  <c r="H23" i="93" a="1"/>
  <c r="H23" i="93" s="1"/>
  <c r="G23" i="93" a="1"/>
  <c r="G23" i="93" s="1"/>
  <c r="F23" i="93" a="1"/>
  <c r="F23" i="93" s="1"/>
  <c r="E23" i="93" a="1"/>
  <c r="E23" i="93" s="1"/>
  <c r="D23" i="93" a="1"/>
  <c r="D23" i="93" s="1"/>
  <c r="L22" i="93" a="1"/>
  <c r="L22" i="93" s="1"/>
  <c r="K22" i="93" a="1"/>
  <c r="K22" i="93" s="1"/>
  <c r="J22" i="93" a="1"/>
  <c r="J22" i="93" s="1"/>
  <c r="I22" i="93" a="1"/>
  <c r="I22" i="93" s="1"/>
  <c r="H22" i="93" a="1"/>
  <c r="H22" i="93" s="1"/>
  <c r="G22" i="93" a="1"/>
  <c r="G22" i="93" s="1"/>
  <c r="F22" i="93" a="1"/>
  <c r="F22" i="93" s="1"/>
  <c r="E22" i="93" a="1"/>
  <c r="E22" i="93" s="1"/>
  <c r="D22" i="93" a="1"/>
  <c r="D22" i="93" s="1"/>
  <c r="L21" i="93" a="1"/>
  <c r="L21" i="93" s="1"/>
  <c r="K21" i="93" a="1"/>
  <c r="K21" i="93" s="1"/>
  <c r="J21" i="93" a="1"/>
  <c r="J21" i="93" s="1"/>
  <c r="I21" i="93" a="1"/>
  <c r="I21" i="93" s="1"/>
  <c r="H21" i="93" a="1"/>
  <c r="H21" i="93" s="1"/>
  <c r="G21" i="93" a="1"/>
  <c r="G21" i="93" s="1"/>
  <c r="F21" i="93" a="1"/>
  <c r="F21" i="93" s="1"/>
  <c r="E21" i="93" a="1"/>
  <c r="E21" i="93" s="1"/>
  <c r="D21" i="93" a="1"/>
  <c r="D21" i="93" s="1"/>
  <c r="L20" i="93" a="1"/>
  <c r="L20" i="93" s="1"/>
  <c r="K20" i="93" a="1"/>
  <c r="K20" i="93" s="1"/>
  <c r="J20" i="93" a="1"/>
  <c r="J20" i="93" s="1"/>
  <c r="I20" i="93" a="1"/>
  <c r="I20" i="93" s="1"/>
  <c r="H20" i="93" a="1"/>
  <c r="H20" i="93" s="1"/>
  <c r="G20" i="93" a="1"/>
  <c r="G20" i="93" s="1"/>
  <c r="F20" i="93" a="1"/>
  <c r="F20" i="93" s="1"/>
  <c r="E20" i="93" a="1"/>
  <c r="E20" i="93" s="1"/>
  <c r="D20" i="93" a="1"/>
  <c r="D20" i="93" s="1"/>
  <c r="L19" i="93" a="1"/>
  <c r="L19" i="93" s="1"/>
  <c r="K19" i="93" a="1"/>
  <c r="K19" i="93" s="1"/>
  <c r="J19" i="93" a="1"/>
  <c r="J19" i="93" s="1"/>
  <c r="I19" i="93" a="1"/>
  <c r="I19" i="93" s="1"/>
  <c r="H19" i="93" a="1"/>
  <c r="H19" i="93" s="1"/>
  <c r="G19" i="93" a="1"/>
  <c r="G19" i="93" s="1"/>
  <c r="F19" i="93" a="1"/>
  <c r="F19" i="93" s="1"/>
  <c r="E19" i="93" a="1"/>
  <c r="E19" i="93" s="1"/>
  <c r="D19" i="93" a="1"/>
  <c r="D19" i="93" s="1"/>
  <c r="L18" i="93" a="1"/>
  <c r="L18" i="93" s="1"/>
  <c r="K18" i="93" a="1"/>
  <c r="K18" i="93" s="1"/>
  <c r="J18" i="93" a="1"/>
  <c r="J18" i="93" s="1"/>
  <c r="I18" i="93" a="1"/>
  <c r="I18" i="93" s="1"/>
  <c r="H18" i="93" a="1"/>
  <c r="H18" i="93" s="1"/>
  <c r="G18" i="93" a="1"/>
  <c r="G18" i="93" s="1"/>
  <c r="F18" i="93" a="1"/>
  <c r="F18" i="93" s="1"/>
  <c r="E18" i="93" a="1"/>
  <c r="E18" i="93" s="1"/>
  <c r="D18" i="93" a="1"/>
  <c r="D18" i="93" s="1"/>
  <c r="L17" i="93" a="1"/>
  <c r="L17" i="93" s="1"/>
  <c r="K17" i="93" a="1"/>
  <c r="K17" i="93" s="1"/>
  <c r="J17" i="93" a="1"/>
  <c r="J17" i="93" s="1"/>
  <c r="I17" i="93" a="1"/>
  <c r="I17" i="93" s="1"/>
  <c r="H17" i="93" a="1"/>
  <c r="H17" i="93" s="1"/>
  <c r="G17" i="93" a="1"/>
  <c r="G17" i="93" s="1"/>
  <c r="F17" i="93" a="1"/>
  <c r="F17" i="93" s="1"/>
  <c r="E17" i="93" a="1"/>
  <c r="E17" i="93" s="1"/>
  <c r="E32" i="91" s="1"/>
  <c r="D17" i="93" a="1"/>
  <c r="D17" i="93" s="1"/>
  <c r="L16" i="93" a="1"/>
  <c r="L16" i="93" s="1"/>
  <c r="K16" i="93" a="1"/>
  <c r="K16" i="93" s="1"/>
  <c r="J16" i="93" a="1"/>
  <c r="J16" i="93" s="1"/>
  <c r="I16" i="93" a="1"/>
  <c r="I16" i="93" s="1"/>
  <c r="H16" i="93" a="1"/>
  <c r="H16" i="93" s="1"/>
  <c r="G16" i="93" a="1"/>
  <c r="G16" i="93" s="1"/>
  <c r="F16" i="93" a="1"/>
  <c r="F16" i="93" s="1"/>
  <c r="E16" i="93" a="1"/>
  <c r="E16" i="93" s="1"/>
  <c r="E31" i="91" s="1"/>
  <c r="D16" i="93" a="1"/>
  <c r="D16" i="93" s="1"/>
  <c r="L15" i="93" a="1"/>
  <c r="L15" i="93" s="1"/>
  <c r="K15" i="93" a="1"/>
  <c r="K15" i="93" s="1"/>
  <c r="J15" i="93" a="1"/>
  <c r="J15" i="93" s="1"/>
  <c r="I15" i="93" a="1"/>
  <c r="I15" i="93" s="1"/>
  <c r="H15" i="93" a="1"/>
  <c r="H15" i="93" s="1"/>
  <c r="G15" i="93" a="1"/>
  <c r="G15" i="93" s="1"/>
  <c r="F15" i="93" a="1"/>
  <c r="F15" i="93" s="1"/>
  <c r="E15" i="93" a="1"/>
  <c r="E15" i="93" s="1"/>
  <c r="E30" i="91" s="1"/>
  <c r="D15" i="93" a="1"/>
  <c r="D15" i="93" s="1"/>
  <c r="L14" i="93" a="1"/>
  <c r="L14" i="93" s="1"/>
  <c r="K14" i="93" a="1"/>
  <c r="K14" i="93" s="1"/>
  <c r="J14" i="93" a="1"/>
  <c r="J14" i="93" s="1"/>
  <c r="I14" i="93" a="1"/>
  <c r="I14" i="93" s="1"/>
  <c r="H14" i="93" a="1"/>
  <c r="H14" i="93" s="1"/>
  <c r="G14" i="93" a="1"/>
  <c r="G14" i="93" s="1"/>
  <c r="F14" i="93" a="1"/>
  <c r="F14" i="93" s="1"/>
  <c r="E14" i="93" a="1"/>
  <c r="E14" i="93" s="1"/>
  <c r="E29" i="91" s="1"/>
  <c r="D14" i="93" a="1"/>
  <c r="D14" i="93" s="1"/>
  <c r="L13" i="93" a="1"/>
  <c r="L13" i="93" s="1"/>
  <c r="K13" i="93" a="1"/>
  <c r="K13" i="93" s="1"/>
  <c r="J13" i="93" a="1"/>
  <c r="J13" i="93" s="1"/>
  <c r="I13" i="93" a="1"/>
  <c r="I13" i="93" s="1"/>
  <c r="H13" i="93" a="1"/>
  <c r="H13" i="93" s="1"/>
  <c r="G13" i="93" a="1"/>
  <c r="G13" i="93" s="1"/>
  <c r="F13" i="93" a="1"/>
  <c r="F13" i="93" s="1"/>
  <c r="E13" i="93" a="1"/>
  <c r="E13" i="93" s="1"/>
  <c r="E28" i="91" s="1"/>
  <c r="D13" i="93" a="1"/>
  <c r="D13" i="93" s="1"/>
  <c r="L12" i="93" a="1"/>
  <c r="L12" i="93" s="1"/>
  <c r="K12" i="93" a="1"/>
  <c r="K12" i="93" s="1"/>
  <c r="J12" i="93" a="1"/>
  <c r="J12" i="93" s="1"/>
  <c r="I12" i="93" a="1"/>
  <c r="I12" i="93" s="1"/>
  <c r="H12" i="93" a="1"/>
  <c r="H12" i="93" s="1"/>
  <c r="G12" i="93" a="1"/>
  <c r="G12" i="93" s="1"/>
  <c r="F12" i="93" a="1"/>
  <c r="F12" i="93" s="1"/>
  <c r="E12" i="93" a="1"/>
  <c r="E12" i="93" s="1"/>
  <c r="E27" i="91" s="1"/>
  <c r="D12" i="93" a="1"/>
  <c r="D12" i="93" s="1"/>
  <c r="L11" i="93" a="1"/>
  <c r="L11" i="93" s="1"/>
  <c r="K11" i="93" a="1"/>
  <c r="K11" i="93" s="1"/>
  <c r="J11" i="93" a="1"/>
  <c r="J11" i="93" s="1"/>
  <c r="I11" i="93" a="1"/>
  <c r="I11" i="93" s="1"/>
  <c r="H11" i="93" a="1"/>
  <c r="H11" i="93" s="1"/>
  <c r="G11" i="93" a="1"/>
  <c r="G11" i="93" s="1"/>
  <c r="F11" i="93" a="1"/>
  <c r="F11" i="93" s="1"/>
  <c r="E11" i="93" a="1"/>
  <c r="E11" i="93" s="1"/>
  <c r="D11" i="93" a="1"/>
  <c r="D11" i="93" s="1"/>
  <c r="L10" i="93" a="1"/>
  <c r="L10" i="93" s="1"/>
  <c r="K10" i="93" a="1"/>
  <c r="K10" i="93" s="1"/>
  <c r="J10" i="93" a="1"/>
  <c r="J10" i="93" s="1"/>
  <c r="I10" i="93" a="1"/>
  <c r="I10" i="93" s="1"/>
  <c r="H10" i="93" a="1"/>
  <c r="H10" i="93" s="1"/>
  <c r="G10" i="93" a="1"/>
  <c r="G10" i="93" s="1"/>
  <c r="F10" i="93" a="1"/>
  <c r="F10" i="93" s="1"/>
  <c r="E10" i="93" a="1"/>
  <c r="E10" i="93" s="1"/>
  <c r="D10" i="93" a="1"/>
  <c r="D10" i="93" s="1"/>
  <c r="D8" i="93" a="1"/>
  <c r="D8" i="93" s="1"/>
  <c r="D7" i="93" a="1"/>
  <c r="D7" i="93" s="1"/>
  <c r="D6" i="93" a="1"/>
  <c r="D6" i="93" s="1"/>
  <c r="D5" i="93" a="1"/>
  <c r="D5" i="93" s="1"/>
  <c r="D38" i="92"/>
  <c r="D34" i="92"/>
  <c r="D36" i="92"/>
  <c r="D31" i="92"/>
  <c r="D28" i="92"/>
  <c r="D27" i="92"/>
  <c r="D29" i="92"/>
  <c r="P18" i="92"/>
  <c r="P17" i="92"/>
  <c r="P16" i="92" a="1"/>
  <c r="P16" i="92" s="1"/>
  <c r="I16" i="92" a="1"/>
  <c r="I16" i="92" s="1"/>
  <c r="P15" i="92" a="1"/>
  <c r="P15" i="92" s="1"/>
  <c r="I15" i="92" a="1"/>
  <c r="I15" i="92" s="1"/>
  <c r="P14" i="92" a="1"/>
  <c r="P14" i="92" s="1"/>
  <c r="N14" i="92" a="1"/>
  <c r="N14" i="92" s="1"/>
  <c r="K14" i="92" a="1"/>
  <c r="K14" i="92" s="1"/>
  <c r="I14" i="92" a="1"/>
  <c r="I14" i="92" s="1"/>
  <c r="G14" i="92" a="1"/>
  <c r="G14" i="92" s="1"/>
  <c r="D14" i="92" a="1"/>
  <c r="D14" i="92" s="1"/>
  <c r="L12" i="92" a="1"/>
  <c r="L12" i="92" s="1"/>
  <c r="E12" i="92" a="1"/>
  <c r="E12" i="92" s="1"/>
  <c r="F58" i="92" s="1"/>
  <c r="L11" i="92" a="1"/>
  <c r="L11" i="92" s="1"/>
  <c r="E11" i="92" a="1"/>
  <c r="E11" i="92" s="1"/>
  <c r="K7" i="92" a="1"/>
  <c r="K7" i="92" s="1"/>
  <c r="K6" i="92" a="1"/>
  <c r="K6" i="92" s="1"/>
  <c r="D6" i="92" a="1"/>
  <c r="D6" i="92" s="1"/>
  <c r="K5" i="92" a="1"/>
  <c r="K5" i="92" s="1"/>
  <c r="D5" i="92" a="1"/>
  <c r="D5" i="92" s="1"/>
  <c r="D36" i="91"/>
  <c r="D35" i="91"/>
  <c r="D48" i="91"/>
  <c r="D32" i="91"/>
  <c r="D31" i="91"/>
  <c r="D29" i="91"/>
  <c r="D28" i="91"/>
  <c r="D27" i="91"/>
  <c r="D42" i="91"/>
  <c r="P16" i="91" a="1"/>
  <c r="P16" i="91" s="1"/>
  <c r="I16" i="91" a="1"/>
  <c r="I16" i="91" s="1"/>
  <c r="P15" i="91" a="1"/>
  <c r="P15" i="91" s="1"/>
  <c r="I15" i="91" a="1"/>
  <c r="I15" i="91" s="1"/>
  <c r="P14" i="91" a="1"/>
  <c r="P14" i="91" s="1"/>
  <c r="N14" i="91" a="1"/>
  <c r="N14" i="91" s="1"/>
  <c r="K14" i="91" a="1"/>
  <c r="K14" i="91" s="1"/>
  <c r="I14" i="91" a="1"/>
  <c r="I14" i="91" s="1"/>
  <c r="G14" i="91" a="1"/>
  <c r="G14" i="91" s="1"/>
  <c r="D14" i="91" a="1"/>
  <c r="D14" i="91" s="1"/>
  <c r="L12" i="91" a="1"/>
  <c r="L12" i="91" s="1"/>
  <c r="E12" i="91" a="1"/>
  <c r="E12" i="91" s="1"/>
  <c r="F70" i="91" s="1"/>
  <c r="L11" i="91" a="1"/>
  <c r="L11" i="91" s="1"/>
  <c r="E11" i="91" a="1"/>
  <c r="E11" i="91" s="1"/>
  <c r="K6" i="91" a="1"/>
  <c r="K6" i="91" s="1"/>
  <c r="D6" i="91" a="1"/>
  <c r="D6" i="91" s="1"/>
  <c r="K5" i="91" a="1"/>
  <c r="K5" i="91" s="1"/>
  <c r="D5" i="91" a="1"/>
  <c r="D5" i="91" s="1"/>
  <c r="H21" i="90"/>
  <c r="H20" i="90"/>
  <c r="H19" i="90"/>
  <c r="H18" i="90"/>
  <c r="H17" i="90"/>
  <c r="H25" i="89" a="1"/>
  <c r="H25" i="89" s="1"/>
  <c r="G25" i="89" a="1"/>
  <c r="G25" i="89" s="1"/>
  <c r="I552" i="106" s="1" a="1"/>
  <c r="I552" i="106" s="1"/>
  <c r="F25" i="89" a="1"/>
  <c r="F25" i="89" s="1"/>
  <c r="E25" i="89" a="1"/>
  <c r="E25" i="89" s="1"/>
  <c r="J36" i="88" s="1" a="1"/>
  <c r="J36" i="88" s="1"/>
  <c r="D25" i="89" a="1"/>
  <c r="D25" i="89" s="1"/>
  <c r="D22" i="89" a="1"/>
  <c r="D22" i="89" s="1"/>
  <c r="D21" i="89" a="1"/>
  <c r="D21" i="89" s="1"/>
  <c r="F19" i="89" a="1"/>
  <c r="F19" i="89" s="1"/>
  <c r="E19" i="89" a="1"/>
  <c r="E19" i="89" s="1"/>
  <c r="D19" i="89" a="1"/>
  <c r="D19" i="89" s="1"/>
  <c r="F18" i="89" a="1"/>
  <c r="F18" i="89" s="1"/>
  <c r="E18" i="89" a="1"/>
  <c r="E18" i="89" s="1"/>
  <c r="D18" i="89" a="1"/>
  <c r="D18" i="89" s="1"/>
  <c r="F17" i="89" a="1"/>
  <c r="F17" i="89" s="1"/>
  <c r="E17" i="89" a="1"/>
  <c r="E17" i="89" s="1"/>
  <c r="D17" i="89" a="1"/>
  <c r="D17" i="89" s="1"/>
  <c r="F16" i="89" a="1"/>
  <c r="F16" i="89" s="1"/>
  <c r="E16" i="89" a="1"/>
  <c r="E16" i="89" s="1"/>
  <c r="D16" i="89" a="1"/>
  <c r="D16" i="89" s="1"/>
  <c r="F15" i="89" a="1"/>
  <c r="F15" i="89" s="1"/>
  <c r="E15" i="89" a="1"/>
  <c r="E15" i="89" s="1"/>
  <c r="D15" i="89" a="1"/>
  <c r="D15" i="89" s="1"/>
  <c r="F14" i="89" a="1"/>
  <c r="F14" i="89" s="1"/>
  <c r="E14" i="89" a="1"/>
  <c r="E14" i="89" s="1"/>
  <c r="D14" i="89" a="1"/>
  <c r="D14" i="89" s="1"/>
  <c r="F13" i="89" a="1"/>
  <c r="F13" i="89" s="1"/>
  <c r="E13" i="89" a="1"/>
  <c r="E13" i="89" s="1"/>
  <c r="D13" i="89" a="1"/>
  <c r="D13" i="89" s="1"/>
  <c r="F12" i="89" a="1"/>
  <c r="F12" i="89" s="1"/>
  <c r="E12" i="89" a="1"/>
  <c r="E12" i="89" s="1"/>
  <c r="D12" i="89" a="1"/>
  <c r="D12" i="89" s="1"/>
  <c r="F11" i="89" a="1"/>
  <c r="F11" i="89" s="1"/>
  <c r="E11" i="89" a="1"/>
  <c r="E11" i="89" s="1"/>
  <c r="D11" i="89" a="1"/>
  <c r="D11" i="89" s="1"/>
  <c r="F10" i="89" a="1"/>
  <c r="F10" i="89" s="1"/>
  <c r="E10" i="89" a="1"/>
  <c r="E10" i="89" s="1"/>
  <c r="D10" i="89" a="1"/>
  <c r="D10" i="89" s="1"/>
  <c r="D7" i="89" a="1"/>
  <c r="D7" i="89" s="1"/>
  <c r="D6" i="89" a="1"/>
  <c r="D6" i="89" s="1"/>
  <c r="D5" i="89" a="1"/>
  <c r="D5" i="89" s="1"/>
  <c r="J37" i="88"/>
  <c r="J33" i="88" s="1"/>
  <c r="J32" i="88"/>
  <c r="J31" i="88"/>
  <c r="H31" i="88" a="1"/>
  <c r="H31" i="88" s="1"/>
  <c r="D31" i="88" a="1"/>
  <c r="D31" i="88" s="1"/>
  <c r="E29" i="88" a="1"/>
  <c r="E29" i="88" s="1"/>
  <c r="F39" i="88" s="1"/>
  <c r="E28" i="88" a="1"/>
  <c r="E28" i="88" s="1"/>
  <c r="D24" i="88" a="1"/>
  <c r="D24" i="88" s="1"/>
  <c r="D23" i="88" a="1"/>
  <c r="D23" i="88" s="1"/>
  <c r="D22" i="88" a="1"/>
  <c r="D22" i="88" s="1"/>
  <c r="I16" i="88"/>
  <c r="I15" i="88" s="1" a="1"/>
  <c r="I15" i="88" s="1"/>
  <c r="I14" i="88"/>
  <c r="G14" i="88" a="1"/>
  <c r="G14" i="88" s="1"/>
  <c r="D14" i="88" a="1"/>
  <c r="D14" i="88" s="1"/>
  <c r="E12" i="88" a="1"/>
  <c r="E12" i="88" s="1"/>
  <c r="F18" i="88" s="1"/>
  <c r="E11" i="88" a="1"/>
  <c r="E11" i="88" s="1"/>
  <c r="D7" i="88" a="1"/>
  <c r="D7" i="88" s="1"/>
  <c r="D6" i="88" a="1"/>
  <c r="D6" i="88" s="1"/>
  <c r="D5" i="88" a="1"/>
  <c r="D5" i="88" s="1"/>
  <c r="H48" i="87"/>
  <c r="E48" i="87"/>
  <c r="H47" i="87"/>
  <c r="E47" i="87"/>
  <c r="H46" i="87"/>
  <c r="E46" i="87"/>
  <c r="H39" i="87"/>
  <c r="H38" i="87"/>
  <c r="H37" i="87"/>
  <c r="E29" i="87"/>
  <c r="E16" i="87"/>
  <c r="E22" i="87" s="1"/>
  <c r="E6" i="87"/>
  <c r="AH223" i="86" a="1"/>
  <c r="AH223" i="86" s="1"/>
  <c r="AG223" i="86" a="1"/>
  <c r="AG223" i="86" s="1"/>
  <c r="AF223" i="86" a="1"/>
  <c r="AF223" i="86" s="1"/>
  <c r="AE223" i="86" a="1"/>
  <c r="AE223" i="86" s="1"/>
  <c r="AD223" i="86" a="1"/>
  <c r="AD223" i="86" s="1"/>
  <c r="AC223" i="86" a="1"/>
  <c r="AC223" i="86" s="1"/>
  <c r="AB223" i="86" a="1"/>
  <c r="AB223" i="86" s="1"/>
  <c r="AA223" i="86" a="1"/>
  <c r="AA223" i="86" s="1"/>
  <c r="Z223" i="86" a="1"/>
  <c r="Z223" i="86" s="1"/>
  <c r="Y223" i="86" a="1"/>
  <c r="Y223" i="86" s="1"/>
  <c r="X223" i="86" a="1"/>
  <c r="X223" i="86" s="1"/>
  <c r="W223" i="86" a="1"/>
  <c r="W223" i="86" s="1"/>
  <c r="V223" i="86" a="1"/>
  <c r="V223" i="86" s="1"/>
  <c r="U223" i="86" a="1"/>
  <c r="U223" i="86" s="1"/>
  <c r="T223" i="86" a="1"/>
  <c r="T223" i="86" s="1"/>
  <c r="S223" i="86" a="1"/>
  <c r="S223" i="86" s="1"/>
  <c r="R223" i="86" a="1"/>
  <c r="R223" i="86" s="1"/>
  <c r="Q223" i="86" a="1"/>
  <c r="Q223" i="86" s="1"/>
  <c r="P223" i="86" a="1"/>
  <c r="P223" i="86" s="1"/>
  <c r="O223" i="86" a="1"/>
  <c r="O223" i="86" s="1"/>
  <c r="N223" i="86" a="1"/>
  <c r="N223" i="86" s="1"/>
  <c r="M223" i="86" a="1"/>
  <c r="M223" i="86" s="1"/>
  <c r="L223" i="86" a="1"/>
  <c r="L223" i="86" s="1"/>
  <c r="K223" i="86" a="1"/>
  <c r="K223" i="86" s="1"/>
  <c r="J223" i="86" a="1"/>
  <c r="J223" i="86" s="1"/>
  <c r="I223" i="86" a="1"/>
  <c r="I223" i="86" s="1"/>
  <c r="H223" i="86" a="1"/>
  <c r="H223" i="86" s="1"/>
  <c r="G223" i="86" a="1"/>
  <c r="G223" i="86" s="1"/>
  <c r="F223" i="86" a="1"/>
  <c r="F223" i="86" s="1"/>
  <c r="E223" i="86" a="1"/>
  <c r="E223" i="86" s="1"/>
  <c r="D223" i="86" a="1"/>
  <c r="D223" i="86" s="1"/>
  <c r="AH222" i="86" a="1"/>
  <c r="AH222" i="86" s="1"/>
  <c r="AG222" i="86" a="1"/>
  <c r="AG222" i="86" s="1"/>
  <c r="AF222" i="86" a="1"/>
  <c r="AF222" i="86" s="1"/>
  <c r="AE222" i="86" a="1"/>
  <c r="AE222" i="86" s="1"/>
  <c r="AD222" i="86" a="1"/>
  <c r="AD222" i="86" s="1"/>
  <c r="AC222" i="86" a="1"/>
  <c r="AC222" i="86" s="1"/>
  <c r="AB222" i="86" a="1"/>
  <c r="AB222" i="86" s="1"/>
  <c r="AA222" i="86" a="1"/>
  <c r="AA222" i="86" s="1"/>
  <c r="Z222" i="86" a="1"/>
  <c r="Z222" i="86" s="1"/>
  <c r="Y222" i="86" a="1"/>
  <c r="Y222" i="86" s="1"/>
  <c r="X222" i="86" a="1"/>
  <c r="X222" i="86" s="1"/>
  <c r="W222" i="86" a="1"/>
  <c r="W222" i="86" s="1"/>
  <c r="V222" i="86" a="1"/>
  <c r="V222" i="86" s="1"/>
  <c r="U222" i="86" a="1"/>
  <c r="U222" i="86" s="1"/>
  <c r="T222" i="86" a="1"/>
  <c r="T222" i="86" s="1"/>
  <c r="S222" i="86" a="1"/>
  <c r="S222" i="86" s="1"/>
  <c r="R222" i="86" a="1"/>
  <c r="R222" i="86" s="1"/>
  <c r="Q222" i="86" a="1"/>
  <c r="Q222" i="86" s="1"/>
  <c r="P222" i="86" a="1"/>
  <c r="P222" i="86" s="1"/>
  <c r="O222" i="86" a="1"/>
  <c r="O222" i="86" s="1"/>
  <c r="N222" i="86" a="1"/>
  <c r="N222" i="86" s="1"/>
  <c r="M222" i="86" a="1"/>
  <c r="M222" i="86" s="1"/>
  <c r="L222" i="86" a="1"/>
  <c r="L222" i="86" s="1"/>
  <c r="K222" i="86" a="1"/>
  <c r="K222" i="86" s="1"/>
  <c r="J222" i="86" a="1"/>
  <c r="J222" i="86" s="1"/>
  <c r="I222" i="86" a="1"/>
  <c r="I222" i="86" s="1"/>
  <c r="H222" i="86" a="1"/>
  <c r="H222" i="86" s="1"/>
  <c r="G222" i="86" a="1"/>
  <c r="G222" i="86" s="1"/>
  <c r="F222" i="86" a="1"/>
  <c r="F222" i="86" s="1"/>
  <c r="E222" i="86" a="1"/>
  <c r="E222" i="86" s="1"/>
  <c r="D222" i="86" a="1"/>
  <c r="D222" i="86" s="1"/>
  <c r="AH221" i="86" a="1"/>
  <c r="AH221" i="86" s="1"/>
  <c r="AG221" i="86" a="1"/>
  <c r="AG221" i="86" s="1"/>
  <c r="AF221" i="86" a="1"/>
  <c r="AF221" i="86" s="1"/>
  <c r="AE221" i="86" a="1"/>
  <c r="AE221" i="86" s="1"/>
  <c r="AD221" i="86" a="1"/>
  <c r="AD221" i="86" s="1"/>
  <c r="AC221" i="86" a="1"/>
  <c r="AC221" i="86" s="1"/>
  <c r="AB221" i="86" a="1"/>
  <c r="AB221" i="86" s="1"/>
  <c r="AA221" i="86" a="1"/>
  <c r="AA221" i="86" s="1"/>
  <c r="Z221" i="86" a="1"/>
  <c r="Z221" i="86" s="1"/>
  <c r="Y221" i="86" a="1"/>
  <c r="Y221" i="86" s="1"/>
  <c r="X221" i="86" a="1"/>
  <c r="X221" i="86" s="1"/>
  <c r="W221" i="86" a="1"/>
  <c r="W221" i="86" s="1"/>
  <c r="V221" i="86" a="1"/>
  <c r="V221" i="86" s="1"/>
  <c r="U221" i="86" a="1"/>
  <c r="U221" i="86" s="1"/>
  <c r="T221" i="86" a="1"/>
  <c r="T221" i="86" s="1"/>
  <c r="S221" i="86" a="1"/>
  <c r="S221" i="86" s="1"/>
  <c r="R221" i="86" a="1"/>
  <c r="R221" i="86" s="1"/>
  <c r="Q221" i="86" a="1"/>
  <c r="Q221" i="86" s="1"/>
  <c r="P221" i="86" a="1"/>
  <c r="P221" i="86" s="1"/>
  <c r="O221" i="86" a="1"/>
  <c r="O221" i="86" s="1"/>
  <c r="N221" i="86" a="1"/>
  <c r="N221" i="86" s="1"/>
  <c r="M221" i="86" a="1"/>
  <c r="M221" i="86" s="1"/>
  <c r="L221" i="86" a="1"/>
  <c r="L221" i="86" s="1"/>
  <c r="K221" i="86" a="1"/>
  <c r="K221" i="86" s="1"/>
  <c r="J221" i="86" a="1"/>
  <c r="J221" i="86" s="1"/>
  <c r="I221" i="86" a="1"/>
  <c r="I221" i="86" s="1"/>
  <c r="H221" i="86" a="1"/>
  <c r="H221" i="86" s="1"/>
  <c r="G221" i="86" a="1"/>
  <c r="G221" i="86" s="1"/>
  <c r="F221" i="86" a="1"/>
  <c r="F221" i="86" s="1"/>
  <c r="E221" i="86" a="1"/>
  <c r="E221" i="86" s="1"/>
  <c r="D221" i="86" a="1"/>
  <c r="D221" i="86" s="1"/>
  <c r="AH220" i="86" a="1"/>
  <c r="AH220" i="86" s="1"/>
  <c r="AG220" i="86" a="1"/>
  <c r="AG220" i="86" s="1"/>
  <c r="AF220" i="86" a="1"/>
  <c r="AF220" i="86" s="1"/>
  <c r="AE220" i="86" a="1"/>
  <c r="AE220" i="86" s="1"/>
  <c r="AD220" i="86" a="1"/>
  <c r="AD220" i="86" s="1"/>
  <c r="AC220" i="86" a="1"/>
  <c r="AC220" i="86" s="1"/>
  <c r="AB220" i="86" a="1"/>
  <c r="AB220" i="86" s="1"/>
  <c r="AA220" i="86" a="1"/>
  <c r="AA220" i="86" s="1"/>
  <c r="Z220" i="86" a="1"/>
  <c r="Z220" i="86" s="1"/>
  <c r="Y220" i="86" a="1"/>
  <c r="Y220" i="86" s="1"/>
  <c r="X220" i="86" a="1"/>
  <c r="X220" i="86" s="1"/>
  <c r="W220" i="86" a="1"/>
  <c r="W220" i="86" s="1"/>
  <c r="V220" i="86" a="1"/>
  <c r="V220" i="86" s="1"/>
  <c r="U220" i="86" a="1"/>
  <c r="U220" i="86" s="1"/>
  <c r="T220" i="86" a="1"/>
  <c r="T220" i="86" s="1"/>
  <c r="S220" i="86" a="1"/>
  <c r="S220" i="86" s="1"/>
  <c r="R220" i="86" a="1"/>
  <c r="R220" i="86" s="1"/>
  <c r="Q220" i="86" a="1"/>
  <c r="Q220" i="86" s="1"/>
  <c r="P220" i="86" a="1"/>
  <c r="P220" i="86" s="1"/>
  <c r="O220" i="86" a="1"/>
  <c r="O220" i="86" s="1"/>
  <c r="N220" i="86" a="1"/>
  <c r="N220" i="86" s="1"/>
  <c r="M220" i="86" a="1"/>
  <c r="M220" i="86" s="1"/>
  <c r="L220" i="86" a="1"/>
  <c r="L220" i="86" s="1"/>
  <c r="K220" i="86" a="1"/>
  <c r="K220" i="86" s="1"/>
  <c r="J220" i="86" a="1"/>
  <c r="J220" i="86" s="1"/>
  <c r="I220" i="86" a="1"/>
  <c r="I220" i="86" s="1"/>
  <c r="H220" i="86" a="1"/>
  <c r="H220" i="86" s="1"/>
  <c r="G220" i="86" a="1"/>
  <c r="G220" i="86" s="1"/>
  <c r="F220" i="86" a="1"/>
  <c r="F220" i="86" s="1"/>
  <c r="E220" i="86" a="1"/>
  <c r="E220" i="86" s="1"/>
  <c r="D220" i="86" a="1"/>
  <c r="D220" i="86" s="1"/>
  <c r="AH219" i="86" a="1"/>
  <c r="AH219" i="86" s="1"/>
  <c r="AG219" i="86" a="1"/>
  <c r="AG219" i="86" s="1"/>
  <c r="AF219" i="86" a="1"/>
  <c r="AF219" i="86" s="1"/>
  <c r="AE219" i="86" a="1"/>
  <c r="AE219" i="86" s="1"/>
  <c r="AD219" i="86" a="1"/>
  <c r="AD219" i="86" s="1"/>
  <c r="AC219" i="86" a="1"/>
  <c r="AC219" i="86" s="1"/>
  <c r="AB219" i="86" a="1"/>
  <c r="AB219" i="86" s="1"/>
  <c r="AA219" i="86" a="1"/>
  <c r="AA219" i="86" s="1"/>
  <c r="Z219" i="86" a="1"/>
  <c r="Z219" i="86" s="1"/>
  <c r="Y219" i="86" a="1"/>
  <c r="Y219" i="86" s="1"/>
  <c r="X219" i="86" a="1"/>
  <c r="X219" i="86" s="1"/>
  <c r="W219" i="86" a="1"/>
  <c r="W219" i="86" s="1"/>
  <c r="V219" i="86" a="1"/>
  <c r="V219" i="86" s="1"/>
  <c r="U219" i="86" a="1"/>
  <c r="U219" i="86" s="1"/>
  <c r="T219" i="86" a="1"/>
  <c r="T219" i="86" s="1"/>
  <c r="S219" i="86" a="1"/>
  <c r="S219" i="86" s="1"/>
  <c r="R219" i="86" a="1"/>
  <c r="R219" i="86" s="1"/>
  <c r="Q219" i="86" a="1"/>
  <c r="Q219" i="86" s="1"/>
  <c r="P219" i="86" a="1"/>
  <c r="P219" i="86" s="1"/>
  <c r="O219" i="86" a="1"/>
  <c r="O219" i="86" s="1"/>
  <c r="N219" i="86" a="1"/>
  <c r="N219" i="86" s="1"/>
  <c r="M219" i="86" a="1"/>
  <c r="M219" i="86" s="1"/>
  <c r="L219" i="86" a="1"/>
  <c r="L219" i="86" s="1"/>
  <c r="K219" i="86" a="1"/>
  <c r="K219" i="86" s="1"/>
  <c r="J219" i="86" a="1"/>
  <c r="J219" i="86" s="1"/>
  <c r="I219" i="86" a="1"/>
  <c r="I219" i="86" s="1"/>
  <c r="H219" i="86" a="1"/>
  <c r="H219" i="86" s="1"/>
  <c r="G219" i="86" a="1"/>
  <c r="G219" i="86" s="1"/>
  <c r="F219" i="86" a="1"/>
  <c r="F219" i="86" s="1"/>
  <c r="E219" i="86" a="1"/>
  <c r="E219" i="86" s="1"/>
  <c r="D219" i="86" a="1"/>
  <c r="D219" i="86" s="1"/>
  <c r="AH218" i="86" a="1"/>
  <c r="AH218" i="86" s="1"/>
  <c r="AG218" i="86" a="1"/>
  <c r="AG218" i="86" s="1"/>
  <c r="AF218" i="86" a="1"/>
  <c r="AF218" i="86" s="1"/>
  <c r="AE218" i="86" a="1"/>
  <c r="AE218" i="86" s="1"/>
  <c r="AD218" i="86" a="1"/>
  <c r="AD218" i="86" s="1"/>
  <c r="AC218" i="86" a="1"/>
  <c r="AC218" i="86" s="1"/>
  <c r="AB218" i="86" a="1"/>
  <c r="AB218" i="86" s="1"/>
  <c r="AA218" i="86" a="1"/>
  <c r="AA218" i="86" s="1"/>
  <c r="Z218" i="86" a="1"/>
  <c r="Z218" i="86" s="1"/>
  <c r="Y218" i="86" a="1"/>
  <c r="Y218" i="86" s="1"/>
  <c r="X218" i="86" a="1"/>
  <c r="X218" i="86" s="1"/>
  <c r="W218" i="86" a="1"/>
  <c r="W218" i="86" s="1"/>
  <c r="V218" i="86" a="1"/>
  <c r="V218" i="86" s="1"/>
  <c r="U218" i="86" a="1"/>
  <c r="U218" i="86" s="1"/>
  <c r="T218" i="86" a="1"/>
  <c r="T218" i="86" s="1"/>
  <c r="S218" i="86" a="1"/>
  <c r="S218" i="86" s="1"/>
  <c r="R218" i="86" a="1"/>
  <c r="R218" i="86" s="1"/>
  <c r="Q218" i="86" a="1"/>
  <c r="Q218" i="86" s="1"/>
  <c r="P218" i="86" a="1"/>
  <c r="P218" i="86" s="1"/>
  <c r="O218" i="86" a="1"/>
  <c r="O218" i="86" s="1"/>
  <c r="N218" i="86" a="1"/>
  <c r="N218" i="86" s="1"/>
  <c r="M218" i="86" a="1"/>
  <c r="M218" i="86" s="1"/>
  <c r="L218" i="86" a="1"/>
  <c r="L218" i="86" s="1"/>
  <c r="K218" i="86" a="1"/>
  <c r="K218" i="86" s="1"/>
  <c r="J218" i="86" a="1"/>
  <c r="J218" i="86" s="1"/>
  <c r="I218" i="86" a="1"/>
  <c r="I218" i="86" s="1"/>
  <c r="H218" i="86" a="1"/>
  <c r="H218" i="86" s="1"/>
  <c r="G218" i="86" a="1"/>
  <c r="G218" i="86" s="1"/>
  <c r="F218" i="86" a="1"/>
  <c r="F218" i="86" s="1"/>
  <c r="E218" i="86" a="1"/>
  <c r="E218" i="86" s="1"/>
  <c r="D218" i="86" a="1"/>
  <c r="D218" i="86" s="1"/>
  <c r="AH217" i="86" a="1"/>
  <c r="AH217" i="86" s="1"/>
  <c r="AG217" i="86" a="1"/>
  <c r="AG217" i="86" s="1"/>
  <c r="AF217" i="86" a="1"/>
  <c r="AF217" i="86" s="1"/>
  <c r="AE217" i="86" a="1"/>
  <c r="AE217" i="86" s="1"/>
  <c r="AD217" i="86" a="1"/>
  <c r="AD217" i="86" s="1"/>
  <c r="AC217" i="86" a="1"/>
  <c r="AC217" i="86" s="1"/>
  <c r="AB217" i="86" a="1"/>
  <c r="AB217" i="86" s="1"/>
  <c r="AA217" i="86" a="1"/>
  <c r="AA217" i="86" s="1"/>
  <c r="Z217" i="86" a="1"/>
  <c r="Z217" i="86" s="1"/>
  <c r="Y217" i="86" a="1"/>
  <c r="Y217" i="86" s="1"/>
  <c r="X217" i="86" a="1"/>
  <c r="X217" i="86" s="1"/>
  <c r="W217" i="86" a="1"/>
  <c r="W217" i="86" s="1"/>
  <c r="V217" i="86" a="1"/>
  <c r="V217" i="86" s="1"/>
  <c r="U217" i="86" a="1"/>
  <c r="U217" i="86" s="1"/>
  <c r="T217" i="86" a="1"/>
  <c r="T217" i="86" s="1"/>
  <c r="S217" i="86" a="1"/>
  <c r="S217" i="86" s="1"/>
  <c r="R217" i="86" a="1"/>
  <c r="R217" i="86" s="1"/>
  <c r="Q217" i="86" a="1"/>
  <c r="Q217" i="86" s="1"/>
  <c r="P217" i="86" a="1"/>
  <c r="P217" i="86" s="1"/>
  <c r="O217" i="86" a="1"/>
  <c r="O217" i="86" s="1"/>
  <c r="N217" i="86" a="1"/>
  <c r="N217" i="86" s="1"/>
  <c r="M217" i="86" a="1"/>
  <c r="M217" i="86" s="1"/>
  <c r="L217" i="86" a="1"/>
  <c r="L217" i="86" s="1"/>
  <c r="K217" i="86" a="1"/>
  <c r="K217" i="86" s="1"/>
  <c r="J217" i="86" a="1"/>
  <c r="J217" i="86" s="1"/>
  <c r="I217" i="86" a="1"/>
  <c r="I217" i="86" s="1"/>
  <c r="H217" i="86" a="1"/>
  <c r="H217" i="86" s="1"/>
  <c r="G217" i="86" a="1"/>
  <c r="G217" i="86" s="1"/>
  <c r="F217" i="86" a="1"/>
  <c r="F217" i="86" s="1"/>
  <c r="E217" i="86" a="1"/>
  <c r="E217" i="86" s="1"/>
  <c r="D217" i="86" a="1"/>
  <c r="D217" i="86" s="1"/>
  <c r="AH216" i="86" a="1"/>
  <c r="AH216" i="86" s="1"/>
  <c r="AG216" i="86" a="1"/>
  <c r="AG216" i="86" s="1"/>
  <c r="AF216" i="86" a="1"/>
  <c r="AF216" i="86" s="1"/>
  <c r="AE216" i="86" a="1"/>
  <c r="AE216" i="86" s="1"/>
  <c r="AD216" i="86" a="1"/>
  <c r="AD216" i="86" s="1"/>
  <c r="AC216" i="86" a="1"/>
  <c r="AC216" i="86" s="1"/>
  <c r="AB216" i="86" a="1"/>
  <c r="AB216" i="86" s="1"/>
  <c r="AA216" i="86" a="1"/>
  <c r="AA216" i="86" s="1"/>
  <c r="Z216" i="86" a="1"/>
  <c r="Z216" i="86" s="1"/>
  <c r="Y216" i="86" a="1"/>
  <c r="Y216" i="86" s="1"/>
  <c r="X216" i="86" a="1"/>
  <c r="X216" i="86" s="1"/>
  <c r="W216" i="86" a="1"/>
  <c r="W216" i="86" s="1"/>
  <c r="V216" i="86" a="1"/>
  <c r="V216" i="86" s="1"/>
  <c r="U216" i="86" a="1"/>
  <c r="U216" i="86" s="1"/>
  <c r="T216" i="86" a="1"/>
  <c r="T216" i="86" s="1"/>
  <c r="S216" i="86" a="1"/>
  <c r="S216" i="86" s="1"/>
  <c r="R216" i="86" a="1"/>
  <c r="R216" i="86" s="1"/>
  <c r="Q216" i="86" a="1"/>
  <c r="Q216" i="86" s="1"/>
  <c r="P216" i="86" a="1"/>
  <c r="P216" i="86" s="1"/>
  <c r="O216" i="86" a="1"/>
  <c r="O216" i="86" s="1"/>
  <c r="N216" i="86" a="1"/>
  <c r="N216" i="86" s="1"/>
  <c r="M216" i="86" a="1"/>
  <c r="M216" i="86" s="1"/>
  <c r="L216" i="86" a="1"/>
  <c r="L216" i="86" s="1"/>
  <c r="K216" i="86" a="1"/>
  <c r="K216" i="86" s="1"/>
  <c r="J216" i="86" a="1"/>
  <c r="J216" i="86" s="1"/>
  <c r="I216" i="86" a="1"/>
  <c r="I216" i="86" s="1"/>
  <c r="H216" i="86" a="1"/>
  <c r="H216" i="86" s="1"/>
  <c r="G216" i="86" a="1"/>
  <c r="G216" i="86" s="1"/>
  <c r="F216" i="86" a="1"/>
  <c r="F216" i="86" s="1"/>
  <c r="E216" i="86" a="1"/>
  <c r="E216" i="86" s="1"/>
  <c r="D216" i="86" a="1"/>
  <c r="D216" i="86" s="1"/>
  <c r="AH215" i="86" a="1"/>
  <c r="AH215" i="86" s="1"/>
  <c r="AG215" i="86" a="1"/>
  <c r="AG215" i="86" s="1"/>
  <c r="AF215" i="86" a="1"/>
  <c r="AF215" i="86" s="1"/>
  <c r="AE215" i="86" a="1"/>
  <c r="AE215" i="86" s="1"/>
  <c r="AD215" i="86" a="1"/>
  <c r="AD215" i="86" s="1"/>
  <c r="AC215" i="86" a="1"/>
  <c r="AC215" i="86" s="1"/>
  <c r="AB215" i="86" a="1"/>
  <c r="AB215" i="86" s="1"/>
  <c r="AA215" i="86" a="1"/>
  <c r="AA215" i="86" s="1"/>
  <c r="Z215" i="86" a="1"/>
  <c r="Z215" i="86" s="1"/>
  <c r="Y215" i="86" a="1"/>
  <c r="Y215" i="86" s="1"/>
  <c r="X215" i="86" a="1"/>
  <c r="X215" i="86" s="1"/>
  <c r="W215" i="86" a="1"/>
  <c r="W215" i="86" s="1"/>
  <c r="V215" i="86" a="1"/>
  <c r="V215" i="86" s="1"/>
  <c r="U215" i="86" a="1"/>
  <c r="U215" i="86" s="1"/>
  <c r="T215" i="86" a="1"/>
  <c r="T215" i="86" s="1"/>
  <c r="S215" i="86" a="1"/>
  <c r="S215" i="86" s="1"/>
  <c r="R215" i="86" a="1"/>
  <c r="R215" i="86" s="1"/>
  <c r="Q215" i="86" a="1"/>
  <c r="Q215" i="86" s="1"/>
  <c r="P215" i="86" a="1"/>
  <c r="P215" i="86" s="1"/>
  <c r="O215" i="86" a="1"/>
  <c r="O215" i="86" s="1"/>
  <c r="N215" i="86" a="1"/>
  <c r="N215" i="86" s="1"/>
  <c r="M215" i="86" a="1"/>
  <c r="M215" i="86" s="1"/>
  <c r="L215" i="86" a="1"/>
  <c r="L215" i="86" s="1"/>
  <c r="K215" i="86" a="1"/>
  <c r="K215" i="86" s="1"/>
  <c r="J215" i="86" a="1"/>
  <c r="J215" i="86" s="1"/>
  <c r="I215" i="86" a="1"/>
  <c r="I215" i="86" s="1"/>
  <c r="H215" i="86" a="1"/>
  <c r="H215" i="86" s="1"/>
  <c r="G215" i="86" a="1"/>
  <c r="G215" i="86" s="1"/>
  <c r="F215" i="86" a="1"/>
  <c r="F215" i="86" s="1"/>
  <c r="E215" i="86" a="1"/>
  <c r="E215" i="86" s="1"/>
  <c r="D215" i="86" a="1"/>
  <c r="D215" i="86" s="1"/>
  <c r="AH214" i="86" a="1"/>
  <c r="AH214" i="86" s="1"/>
  <c r="AG214" i="86" a="1"/>
  <c r="AG214" i="86" s="1"/>
  <c r="AF214" i="86" a="1"/>
  <c r="AF214" i="86" s="1"/>
  <c r="AE214" i="86" a="1"/>
  <c r="AE214" i="86" s="1"/>
  <c r="AD214" i="86" a="1"/>
  <c r="AD214" i="86" s="1"/>
  <c r="AC214" i="86" a="1"/>
  <c r="AC214" i="86" s="1"/>
  <c r="AB214" i="86" a="1"/>
  <c r="AB214" i="86" s="1"/>
  <c r="AA214" i="86" a="1"/>
  <c r="AA214" i="86" s="1"/>
  <c r="Z214" i="86" a="1"/>
  <c r="Z214" i="86" s="1"/>
  <c r="Y214" i="86" a="1"/>
  <c r="Y214" i="86" s="1"/>
  <c r="X214" i="86" a="1"/>
  <c r="X214" i="86" s="1"/>
  <c r="W214" i="86" a="1"/>
  <c r="W214" i="86" s="1"/>
  <c r="V214" i="86" a="1"/>
  <c r="V214" i="86" s="1"/>
  <c r="U214" i="86" a="1"/>
  <c r="U214" i="86" s="1"/>
  <c r="T214" i="86" a="1"/>
  <c r="T214" i="86" s="1"/>
  <c r="S214" i="86" a="1"/>
  <c r="S214" i="86" s="1"/>
  <c r="R214" i="86" a="1"/>
  <c r="R214" i="86" s="1"/>
  <c r="Q214" i="86" a="1"/>
  <c r="Q214" i="86" s="1"/>
  <c r="P214" i="86" a="1"/>
  <c r="P214" i="86" s="1"/>
  <c r="O214" i="86" a="1"/>
  <c r="O214" i="86" s="1"/>
  <c r="N214" i="86" a="1"/>
  <c r="N214" i="86" s="1"/>
  <c r="M214" i="86" a="1"/>
  <c r="M214" i="86" s="1"/>
  <c r="L214" i="86" a="1"/>
  <c r="L214" i="86" s="1"/>
  <c r="K214" i="86" a="1"/>
  <c r="K214" i="86" s="1"/>
  <c r="J214" i="86" a="1"/>
  <c r="J214" i="86" s="1"/>
  <c r="I214" i="86" a="1"/>
  <c r="I214" i="86" s="1"/>
  <c r="H214" i="86" a="1"/>
  <c r="H214" i="86" s="1"/>
  <c r="G214" i="86" a="1"/>
  <c r="G214" i="86" s="1"/>
  <c r="F214" i="86" a="1"/>
  <c r="F214" i="86" s="1"/>
  <c r="E214" i="86" a="1"/>
  <c r="E214" i="86" s="1"/>
  <c r="D214" i="86" a="1"/>
  <c r="D214" i="86" s="1"/>
  <c r="AH213" i="86" a="1"/>
  <c r="AH213" i="86" s="1"/>
  <c r="AG213" i="86" a="1"/>
  <c r="AG213" i="86" s="1"/>
  <c r="AF213" i="86" a="1"/>
  <c r="AF213" i="86" s="1"/>
  <c r="AE213" i="86" a="1"/>
  <c r="AE213" i="86" s="1"/>
  <c r="AD213" i="86" a="1"/>
  <c r="AD213" i="86" s="1"/>
  <c r="AC213" i="86" a="1"/>
  <c r="AC213" i="86" s="1"/>
  <c r="AB213" i="86" a="1"/>
  <c r="AB213" i="86" s="1"/>
  <c r="AA213" i="86" a="1"/>
  <c r="AA213" i="86" s="1"/>
  <c r="Z213" i="86" a="1"/>
  <c r="Z213" i="86" s="1"/>
  <c r="Y213" i="86" a="1"/>
  <c r="Y213" i="86" s="1"/>
  <c r="X213" i="86" a="1"/>
  <c r="X213" i="86" s="1"/>
  <c r="W213" i="86" a="1"/>
  <c r="W213" i="86" s="1"/>
  <c r="V213" i="86" a="1"/>
  <c r="V213" i="86" s="1"/>
  <c r="U213" i="86" a="1"/>
  <c r="U213" i="86" s="1"/>
  <c r="T213" i="86" a="1"/>
  <c r="T213" i="86" s="1"/>
  <c r="S213" i="86" a="1"/>
  <c r="S213" i="86" s="1"/>
  <c r="R213" i="86" a="1"/>
  <c r="R213" i="86" s="1"/>
  <c r="Q213" i="86" a="1"/>
  <c r="Q213" i="86" s="1"/>
  <c r="P213" i="86" a="1"/>
  <c r="P213" i="86" s="1"/>
  <c r="O213" i="86" a="1"/>
  <c r="O213" i="86" s="1"/>
  <c r="N213" i="86" a="1"/>
  <c r="N213" i="86" s="1"/>
  <c r="M213" i="86" a="1"/>
  <c r="M213" i="86" s="1"/>
  <c r="L213" i="86" a="1"/>
  <c r="L213" i="86" s="1"/>
  <c r="K213" i="86" a="1"/>
  <c r="K213" i="86" s="1"/>
  <c r="J213" i="86" a="1"/>
  <c r="J213" i="86" s="1"/>
  <c r="I213" i="86" a="1"/>
  <c r="I213" i="86" s="1"/>
  <c r="H213" i="86" a="1"/>
  <c r="H213" i="86" s="1"/>
  <c r="G213" i="86" a="1"/>
  <c r="G213" i="86" s="1"/>
  <c r="F213" i="86" a="1"/>
  <c r="F213" i="86" s="1"/>
  <c r="E213" i="86" a="1"/>
  <c r="E213" i="86" s="1"/>
  <c r="D213" i="86" a="1"/>
  <c r="D213" i="86" s="1"/>
  <c r="AH212" i="86" a="1"/>
  <c r="AH212" i="86" s="1"/>
  <c r="AG212" i="86" a="1"/>
  <c r="AG212" i="86" s="1"/>
  <c r="AF212" i="86" a="1"/>
  <c r="AF212" i="86" s="1"/>
  <c r="AE212" i="86" a="1"/>
  <c r="AE212" i="86" s="1"/>
  <c r="AD212" i="86" a="1"/>
  <c r="AD212" i="86" s="1"/>
  <c r="AC212" i="86" a="1"/>
  <c r="AC212" i="86" s="1"/>
  <c r="AB212" i="86" a="1"/>
  <c r="AB212" i="86" s="1"/>
  <c r="AA212" i="86" a="1"/>
  <c r="AA212" i="86" s="1"/>
  <c r="Z212" i="86" a="1"/>
  <c r="Z212" i="86" s="1"/>
  <c r="Y212" i="86" a="1"/>
  <c r="Y212" i="86" s="1"/>
  <c r="X212" i="86" a="1"/>
  <c r="X212" i="86" s="1"/>
  <c r="W212" i="86" a="1"/>
  <c r="W212" i="86" s="1"/>
  <c r="V212" i="86" a="1"/>
  <c r="V212" i="86" s="1"/>
  <c r="U212" i="86" a="1"/>
  <c r="U212" i="86" s="1"/>
  <c r="T212" i="86" a="1"/>
  <c r="T212" i="86" s="1"/>
  <c r="S212" i="86" a="1"/>
  <c r="S212" i="86" s="1"/>
  <c r="R212" i="86" a="1"/>
  <c r="R212" i="86" s="1"/>
  <c r="Q212" i="86" a="1"/>
  <c r="Q212" i="86" s="1"/>
  <c r="P212" i="86" a="1"/>
  <c r="P212" i="86" s="1"/>
  <c r="O212" i="86" a="1"/>
  <c r="O212" i="86" s="1"/>
  <c r="N212" i="86" a="1"/>
  <c r="N212" i="86" s="1"/>
  <c r="M212" i="86" a="1"/>
  <c r="M212" i="86" s="1"/>
  <c r="L212" i="86" a="1"/>
  <c r="L212" i="86" s="1"/>
  <c r="K212" i="86" a="1"/>
  <c r="K212" i="86" s="1"/>
  <c r="J212" i="86" a="1"/>
  <c r="J212" i="86" s="1"/>
  <c r="I212" i="86" a="1"/>
  <c r="I212" i="86" s="1"/>
  <c r="H212" i="86" a="1"/>
  <c r="H212" i="86" s="1"/>
  <c r="G212" i="86" a="1"/>
  <c r="G212" i="86" s="1"/>
  <c r="F212" i="86" a="1"/>
  <c r="F212" i="86" s="1"/>
  <c r="E212" i="86" a="1"/>
  <c r="E212" i="86" s="1"/>
  <c r="D212" i="86" a="1"/>
  <c r="D212" i="86" s="1"/>
  <c r="AH211" i="86" a="1"/>
  <c r="AH211" i="86" s="1"/>
  <c r="AG211" i="86" a="1"/>
  <c r="AG211" i="86" s="1"/>
  <c r="AF211" i="86" a="1"/>
  <c r="AF211" i="86" s="1"/>
  <c r="AE211" i="86" a="1"/>
  <c r="AE211" i="86" s="1"/>
  <c r="AD211" i="86" a="1"/>
  <c r="AD211" i="86" s="1"/>
  <c r="AC211" i="86" a="1"/>
  <c r="AC211" i="86" s="1"/>
  <c r="AB211" i="86" a="1"/>
  <c r="AB211" i="86" s="1"/>
  <c r="AA211" i="86" a="1"/>
  <c r="AA211" i="86" s="1"/>
  <c r="Z211" i="86" a="1"/>
  <c r="Z211" i="86" s="1"/>
  <c r="Y211" i="86" a="1"/>
  <c r="Y211" i="86" s="1"/>
  <c r="X211" i="86" a="1"/>
  <c r="X211" i="86" s="1"/>
  <c r="W211" i="86" a="1"/>
  <c r="W211" i="86" s="1"/>
  <c r="V211" i="86" a="1"/>
  <c r="V211" i="86" s="1"/>
  <c r="U211" i="86" a="1"/>
  <c r="U211" i="86" s="1"/>
  <c r="T211" i="86" a="1"/>
  <c r="T211" i="86" s="1"/>
  <c r="S211" i="86" a="1"/>
  <c r="S211" i="86" s="1"/>
  <c r="R211" i="86" a="1"/>
  <c r="R211" i="86" s="1"/>
  <c r="Q211" i="86" a="1"/>
  <c r="Q211" i="86" s="1"/>
  <c r="P211" i="86" a="1"/>
  <c r="P211" i="86" s="1"/>
  <c r="O211" i="86" a="1"/>
  <c r="O211" i="86" s="1"/>
  <c r="N211" i="86" a="1"/>
  <c r="N211" i="86" s="1"/>
  <c r="M211" i="86" a="1"/>
  <c r="M211" i="86" s="1"/>
  <c r="L211" i="86" a="1"/>
  <c r="L211" i="86" s="1"/>
  <c r="K211" i="86" a="1"/>
  <c r="K211" i="86" s="1"/>
  <c r="J211" i="86" a="1"/>
  <c r="J211" i="86" s="1"/>
  <c r="I211" i="86" a="1"/>
  <c r="I211" i="86" s="1"/>
  <c r="H211" i="86" a="1"/>
  <c r="H211" i="86" s="1"/>
  <c r="G211" i="86" a="1"/>
  <c r="G211" i="86" s="1"/>
  <c r="F211" i="86" a="1"/>
  <c r="F211" i="86" s="1"/>
  <c r="E211" i="86" a="1"/>
  <c r="E211" i="86" s="1"/>
  <c r="D211" i="86" a="1"/>
  <c r="D211" i="86" s="1"/>
  <c r="AH210" i="86" a="1"/>
  <c r="AH210" i="86" s="1"/>
  <c r="AG210" i="86" a="1"/>
  <c r="AG210" i="86" s="1"/>
  <c r="AF210" i="86" a="1"/>
  <c r="AF210" i="86" s="1"/>
  <c r="AE210" i="86" a="1"/>
  <c r="AE210" i="86" s="1"/>
  <c r="AD210" i="86" a="1"/>
  <c r="AD210" i="86" s="1"/>
  <c r="AC210" i="86" a="1"/>
  <c r="AC210" i="86" s="1"/>
  <c r="AB210" i="86" a="1"/>
  <c r="AB210" i="86" s="1"/>
  <c r="AA210" i="86" a="1"/>
  <c r="AA210" i="86" s="1"/>
  <c r="Z210" i="86" a="1"/>
  <c r="Z210" i="86" s="1"/>
  <c r="Y210" i="86" a="1"/>
  <c r="Y210" i="86" s="1"/>
  <c r="X210" i="86" a="1"/>
  <c r="X210" i="86" s="1"/>
  <c r="W210" i="86" a="1"/>
  <c r="W210" i="86" s="1"/>
  <c r="V210" i="86" a="1"/>
  <c r="V210" i="86" s="1"/>
  <c r="U210" i="86" a="1"/>
  <c r="U210" i="86" s="1"/>
  <c r="T210" i="86" a="1"/>
  <c r="T210" i="86" s="1"/>
  <c r="S210" i="86" a="1"/>
  <c r="S210" i="86" s="1"/>
  <c r="R210" i="86" a="1"/>
  <c r="R210" i="86" s="1"/>
  <c r="Q210" i="86" a="1"/>
  <c r="Q210" i="86" s="1"/>
  <c r="P210" i="86" a="1"/>
  <c r="P210" i="86" s="1"/>
  <c r="O210" i="86" a="1"/>
  <c r="O210" i="86" s="1"/>
  <c r="N210" i="86" a="1"/>
  <c r="N210" i="86" s="1"/>
  <c r="M210" i="86" a="1"/>
  <c r="M210" i="86" s="1"/>
  <c r="L210" i="86" a="1"/>
  <c r="L210" i="86" s="1"/>
  <c r="K210" i="86" a="1"/>
  <c r="K210" i="86" s="1"/>
  <c r="J210" i="86" a="1"/>
  <c r="J210" i="86" s="1"/>
  <c r="I210" i="86" a="1"/>
  <c r="I210" i="86" s="1"/>
  <c r="H210" i="86" a="1"/>
  <c r="H210" i="86" s="1"/>
  <c r="G210" i="86" a="1"/>
  <c r="G210" i="86" s="1"/>
  <c r="F210" i="86" a="1"/>
  <c r="F210" i="86" s="1"/>
  <c r="E210" i="86" a="1"/>
  <c r="E210" i="86" s="1"/>
  <c r="D210" i="86" a="1"/>
  <c r="D210" i="86" s="1"/>
  <c r="AH209" i="86" a="1"/>
  <c r="AH209" i="86" s="1"/>
  <c r="AG209" i="86" a="1"/>
  <c r="AG209" i="86" s="1"/>
  <c r="AF209" i="86" a="1"/>
  <c r="AF209" i="86" s="1"/>
  <c r="AE209" i="86" a="1"/>
  <c r="AE209" i="86" s="1"/>
  <c r="AD209" i="86" a="1"/>
  <c r="AD209" i="86" s="1"/>
  <c r="AC209" i="86" a="1"/>
  <c r="AC209" i="86" s="1"/>
  <c r="AB209" i="86" a="1"/>
  <c r="AB209" i="86" s="1"/>
  <c r="AA209" i="86" a="1"/>
  <c r="AA209" i="86" s="1"/>
  <c r="Z209" i="86" a="1"/>
  <c r="Z209" i="86" s="1"/>
  <c r="Y209" i="86" a="1"/>
  <c r="Y209" i="86" s="1"/>
  <c r="X209" i="86" a="1"/>
  <c r="X209" i="86" s="1"/>
  <c r="W209" i="86" a="1"/>
  <c r="W209" i="86" s="1"/>
  <c r="V209" i="86" a="1"/>
  <c r="V209" i="86" s="1"/>
  <c r="U209" i="86" a="1"/>
  <c r="U209" i="86" s="1"/>
  <c r="T209" i="86" a="1"/>
  <c r="T209" i="86" s="1"/>
  <c r="S209" i="86" a="1"/>
  <c r="S209" i="86" s="1"/>
  <c r="R209" i="86" a="1"/>
  <c r="R209" i="86" s="1"/>
  <c r="Q209" i="86" a="1"/>
  <c r="Q209" i="86" s="1"/>
  <c r="P209" i="86" a="1"/>
  <c r="P209" i="86" s="1"/>
  <c r="O209" i="86" a="1"/>
  <c r="O209" i="86" s="1"/>
  <c r="N209" i="86" a="1"/>
  <c r="N209" i="86" s="1"/>
  <c r="M209" i="86" a="1"/>
  <c r="M209" i="86" s="1"/>
  <c r="L209" i="86" a="1"/>
  <c r="L209" i="86" s="1"/>
  <c r="K209" i="86" a="1"/>
  <c r="K209" i="86" s="1"/>
  <c r="J209" i="86" a="1"/>
  <c r="J209" i="86" s="1"/>
  <c r="I209" i="86" a="1"/>
  <c r="I209" i="86" s="1"/>
  <c r="H209" i="86" a="1"/>
  <c r="H209" i="86" s="1"/>
  <c r="G209" i="86" a="1"/>
  <c r="G209" i="86" s="1"/>
  <c r="F209" i="86" a="1"/>
  <c r="F209" i="86" s="1"/>
  <c r="E209" i="86" a="1"/>
  <c r="E209" i="86" s="1"/>
  <c r="D209" i="86" a="1"/>
  <c r="D209" i="86" s="1"/>
  <c r="AH208" i="86" a="1"/>
  <c r="AH208" i="86" s="1"/>
  <c r="AG208" i="86" a="1"/>
  <c r="AG208" i="86" s="1"/>
  <c r="AF208" i="86" a="1"/>
  <c r="AF208" i="86" s="1"/>
  <c r="AE208" i="86" a="1"/>
  <c r="AE208" i="86" s="1"/>
  <c r="AD208" i="86" a="1"/>
  <c r="AD208" i="86" s="1"/>
  <c r="AC208" i="86" a="1"/>
  <c r="AC208" i="86" s="1"/>
  <c r="AB208" i="86" a="1"/>
  <c r="AB208" i="86" s="1"/>
  <c r="AA208" i="86" a="1"/>
  <c r="AA208" i="86" s="1"/>
  <c r="Z208" i="86" a="1"/>
  <c r="Z208" i="86" s="1"/>
  <c r="Y208" i="86" a="1"/>
  <c r="Y208" i="86" s="1"/>
  <c r="X208" i="86" a="1"/>
  <c r="X208" i="86" s="1"/>
  <c r="W208" i="86" a="1"/>
  <c r="W208" i="86" s="1"/>
  <c r="V208" i="86" a="1"/>
  <c r="V208" i="86" s="1"/>
  <c r="U208" i="86" a="1"/>
  <c r="U208" i="86" s="1"/>
  <c r="T208" i="86" a="1"/>
  <c r="T208" i="86" s="1"/>
  <c r="S208" i="86" a="1"/>
  <c r="S208" i="86" s="1"/>
  <c r="R208" i="86" a="1"/>
  <c r="R208" i="86" s="1"/>
  <c r="Q208" i="86" a="1"/>
  <c r="Q208" i="86" s="1"/>
  <c r="P208" i="86" a="1"/>
  <c r="P208" i="86" s="1"/>
  <c r="O208" i="86" a="1"/>
  <c r="O208" i="86" s="1"/>
  <c r="N208" i="86" a="1"/>
  <c r="N208" i="86" s="1"/>
  <c r="M208" i="86" a="1"/>
  <c r="M208" i="86" s="1"/>
  <c r="L208" i="86" a="1"/>
  <c r="L208" i="86" s="1"/>
  <c r="K208" i="86" a="1"/>
  <c r="K208" i="86" s="1"/>
  <c r="J208" i="86" a="1"/>
  <c r="J208" i="86" s="1"/>
  <c r="I208" i="86" a="1"/>
  <c r="I208" i="86" s="1"/>
  <c r="H208" i="86" a="1"/>
  <c r="H208" i="86" s="1"/>
  <c r="G208" i="86" a="1"/>
  <c r="G208" i="86" s="1"/>
  <c r="F208" i="86" a="1"/>
  <c r="F208" i="86" s="1"/>
  <c r="E208" i="86" a="1"/>
  <c r="E208" i="86" s="1"/>
  <c r="D208" i="86" a="1"/>
  <c r="D208" i="86" s="1"/>
  <c r="AH207" i="86" a="1"/>
  <c r="AH207" i="86" s="1"/>
  <c r="AG207" i="86" a="1"/>
  <c r="AG207" i="86" s="1"/>
  <c r="AF207" i="86" a="1"/>
  <c r="AF207" i="86" s="1"/>
  <c r="AE207" i="86" a="1"/>
  <c r="AE207" i="86" s="1"/>
  <c r="AD207" i="86" a="1"/>
  <c r="AD207" i="86" s="1"/>
  <c r="AC207" i="86" a="1"/>
  <c r="AC207" i="86" s="1"/>
  <c r="AB207" i="86" a="1"/>
  <c r="AB207" i="86" s="1"/>
  <c r="AA207" i="86" a="1"/>
  <c r="AA207" i="86" s="1"/>
  <c r="Z207" i="86" a="1"/>
  <c r="Z207" i="86" s="1"/>
  <c r="Y207" i="86" a="1"/>
  <c r="Y207" i="86" s="1"/>
  <c r="X207" i="86" a="1"/>
  <c r="X207" i="86" s="1"/>
  <c r="W207" i="86" a="1"/>
  <c r="W207" i="86" s="1"/>
  <c r="V207" i="86" a="1"/>
  <c r="V207" i="86" s="1"/>
  <c r="U207" i="86" a="1"/>
  <c r="U207" i="86" s="1"/>
  <c r="T207" i="86" a="1"/>
  <c r="T207" i="86" s="1"/>
  <c r="S207" i="86" a="1"/>
  <c r="S207" i="86" s="1"/>
  <c r="R207" i="86" a="1"/>
  <c r="R207" i="86" s="1"/>
  <c r="Q207" i="86" a="1"/>
  <c r="Q207" i="86" s="1"/>
  <c r="P207" i="86" a="1"/>
  <c r="P207" i="86" s="1"/>
  <c r="O207" i="86" a="1"/>
  <c r="O207" i="86" s="1"/>
  <c r="N207" i="86" a="1"/>
  <c r="N207" i="86" s="1"/>
  <c r="M207" i="86" a="1"/>
  <c r="M207" i="86" s="1"/>
  <c r="L207" i="86" a="1"/>
  <c r="L207" i="86" s="1"/>
  <c r="K207" i="86" a="1"/>
  <c r="K207" i="86" s="1"/>
  <c r="J207" i="86" a="1"/>
  <c r="J207" i="86" s="1"/>
  <c r="I207" i="86" a="1"/>
  <c r="I207" i="86" s="1"/>
  <c r="H207" i="86" a="1"/>
  <c r="H207" i="86" s="1"/>
  <c r="G207" i="86" a="1"/>
  <c r="G207" i="86" s="1"/>
  <c r="F207" i="86" a="1"/>
  <c r="F207" i="86" s="1"/>
  <c r="E207" i="86" a="1"/>
  <c r="E207" i="86" s="1"/>
  <c r="D207" i="86" a="1"/>
  <c r="D207" i="86" s="1"/>
  <c r="AH206" i="86" a="1"/>
  <c r="AH206" i="86" s="1"/>
  <c r="AG206" i="86" a="1"/>
  <c r="AG206" i="86" s="1"/>
  <c r="AF206" i="86" a="1"/>
  <c r="AF206" i="86" s="1"/>
  <c r="AE206" i="86" a="1"/>
  <c r="AE206" i="86" s="1"/>
  <c r="AD206" i="86" a="1"/>
  <c r="AD206" i="86" s="1"/>
  <c r="AC206" i="86" a="1"/>
  <c r="AC206" i="86" s="1"/>
  <c r="AB206" i="86" a="1"/>
  <c r="AB206" i="86" s="1"/>
  <c r="AA206" i="86" a="1"/>
  <c r="AA206" i="86" s="1"/>
  <c r="Z206" i="86" a="1"/>
  <c r="Z206" i="86" s="1"/>
  <c r="Y206" i="86" a="1"/>
  <c r="Y206" i="86" s="1"/>
  <c r="X206" i="86" a="1"/>
  <c r="X206" i="86" s="1"/>
  <c r="W206" i="86" a="1"/>
  <c r="W206" i="86" s="1"/>
  <c r="V206" i="86" a="1"/>
  <c r="V206" i="86" s="1"/>
  <c r="U206" i="86" a="1"/>
  <c r="U206" i="86" s="1"/>
  <c r="T206" i="86" a="1"/>
  <c r="T206" i="86" s="1"/>
  <c r="S206" i="86" a="1"/>
  <c r="S206" i="86" s="1"/>
  <c r="R206" i="86" a="1"/>
  <c r="R206" i="86" s="1"/>
  <c r="Q206" i="86" a="1"/>
  <c r="Q206" i="86" s="1"/>
  <c r="P206" i="86" a="1"/>
  <c r="P206" i="86" s="1"/>
  <c r="O206" i="86" a="1"/>
  <c r="O206" i="86" s="1"/>
  <c r="N206" i="86" a="1"/>
  <c r="N206" i="86" s="1"/>
  <c r="M206" i="86" a="1"/>
  <c r="M206" i="86" s="1"/>
  <c r="L206" i="86" a="1"/>
  <c r="L206" i="86" s="1"/>
  <c r="K206" i="86" a="1"/>
  <c r="K206" i="86" s="1"/>
  <c r="J206" i="86" a="1"/>
  <c r="J206" i="86" s="1"/>
  <c r="I206" i="86" a="1"/>
  <c r="I206" i="86" s="1"/>
  <c r="H206" i="86" a="1"/>
  <c r="H206" i="86" s="1"/>
  <c r="G206" i="86" a="1"/>
  <c r="G206" i="86" s="1"/>
  <c r="F206" i="86" a="1"/>
  <c r="F206" i="86" s="1"/>
  <c r="E206" i="86" a="1"/>
  <c r="E206" i="86" s="1"/>
  <c r="D206" i="86" a="1"/>
  <c r="D206" i="86" s="1"/>
  <c r="AH205" i="86" a="1"/>
  <c r="AH205" i="86" s="1"/>
  <c r="AG205" i="86" a="1"/>
  <c r="AG205" i="86" s="1"/>
  <c r="AF205" i="86" a="1"/>
  <c r="AF205" i="86" s="1"/>
  <c r="AE205" i="86" a="1"/>
  <c r="AE205" i="86" s="1"/>
  <c r="AD205" i="86" a="1"/>
  <c r="AD205" i="86" s="1"/>
  <c r="AC205" i="86" a="1"/>
  <c r="AC205" i="86" s="1"/>
  <c r="AB205" i="86" a="1"/>
  <c r="AB205" i="86" s="1"/>
  <c r="AA205" i="86" a="1"/>
  <c r="AA205" i="86" s="1"/>
  <c r="Z205" i="86" a="1"/>
  <c r="Z205" i="86" s="1"/>
  <c r="Y205" i="86" a="1"/>
  <c r="Y205" i="86" s="1"/>
  <c r="X205" i="86" a="1"/>
  <c r="X205" i="86" s="1"/>
  <c r="W205" i="86" a="1"/>
  <c r="W205" i="86" s="1"/>
  <c r="V205" i="86" a="1"/>
  <c r="V205" i="86" s="1"/>
  <c r="U205" i="86" a="1"/>
  <c r="U205" i="86" s="1"/>
  <c r="T205" i="86" a="1"/>
  <c r="T205" i="86" s="1"/>
  <c r="S205" i="86" a="1"/>
  <c r="S205" i="86" s="1"/>
  <c r="R205" i="86" a="1"/>
  <c r="R205" i="86" s="1"/>
  <c r="Q205" i="86" a="1"/>
  <c r="Q205" i="86" s="1"/>
  <c r="P205" i="86" a="1"/>
  <c r="P205" i="86" s="1"/>
  <c r="O205" i="86" a="1"/>
  <c r="O205" i="86" s="1"/>
  <c r="N205" i="86" a="1"/>
  <c r="N205" i="86" s="1"/>
  <c r="M205" i="86" a="1"/>
  <c r="M205" i="86" s="1"/>
  <c r="L205" i="86" a="1"/>
  <c r="L205" i="86" s="1"/>
  <c r="K205" i="86" a="1"/>
  <c r="K205" i="86" s="1"/>
  <c r="J205" i="86" a="1"/>
  <c r="J205" i="86" s="1"/>
  <c r="I205" i="86" a="1"/>
  <c r="I205" i="86" s="1"/>
  <c r="H205" i="86" a="1"/>
  <c r="H205" i="86" s="1"/>
  <c r="G205" i="86" a="1"/>
  <c r="G205" i="86" s="1"/>
  <c r="F205" i="86" a="1"/>
  <c r="F205" i="86" s="1"/>
  <c r="E205" i="86" a="1"/>
  <c r="E205" i="86" s="1"/>
  <c r="D205" i="86" a="1"/>
  <c r="D205" i="86" s="1"/>
  <c r="AH204" i="86" a="1"/>
  <c r="AH204" i="86" s="1"/>
  <c r="AG204" i="86" a="1"/>
  <c r="AG204" i="86" s="1"/>
  <c r="AF204" i="86" a="1"/>
  <c r="AF204" i="86" s="1"/>
  <c r="AE204" i="86" a="1"/>
  <c r="AE204" i="86" s="1"/>
  <c r="AD204" i="86" a="1"/>
  <c r="AD204" i="86" s="1"/>
  <c r="AC204" i="86" a="1"/>
  <c r="AC204" i="86" s="1"/>
  <c r="AB204" i="86" a="1"/>
  <c r="AB204" i="86" s="1"/>
  <c r="AA204" i="86" a="1"/>
  <c r="AA204" i="86" s="1"/>
  <c r="Z204" i="86" a="1"/>
  <c r="Z204" i="86" s="1"/>
  <c r="Y204" i="86" a="1"/>
  <c r="Y204" i="86" s="1"/>
  <c r="X204" i="86" a="1"/>
  <c r="X204" i="86" s="1"/>
  <c r="W204" i="86" a="1"/>
  <c r="W204" i="86" s="1"/>
  <c r="V204" i="86" a="1"/>
  <c r="V204" i="86" s="1"/>
  <c r="U204" i="86" a="1"/>
  <c r="U204" i="86" s="1"/>
  <c r="T204" i="86" a="1"/>
  <c r="T204" i="86" s="1"/>
  <c r="S204" i="86" a="1"/>
  <c r="S204" i="86" s="1"/>
  <c r="R204" i="86" a="1"/>
  <c r="R204" i="86" s="1"/>
  <c r="Q204" i="86" a="1"/>
  <c r="Q204" i="86" s="1"/>
  <c r="P204" i="86" a="1"/>
  <c r="P204" i="86" s="1"/>
  <c r="O204" i="86" a="1"/>
  <c r="O204" i="86" s="1"/>
  <c r="N204" i="86" a="1"/>
  <c r="N204" i="86" s="1"/>
  <c r="M204" i="86" a="1"/>
  <c r="M204" i="86" s="1"/>
  <c r="L204" i="86" a="1"/>
  <c r="L204" i="86" s="1"/>
  <c r="K204" i="86" a="1"/>
  <c r="K204" i="86" s="1"/>
  <c r="J204" i="86" a="1"/>
  <c r="J204" i="86" s="1"/>
  <c r="I204" i="86" a="1"/>
  <c r="I204" i="86" s="1"/>
  <c r="H204" i="86" a="1"/>
  <c r="H204" i="86" s="1"/>
  <c r="G204" i="86" a="1"/>
  <c r="G204" i="86" s="1"/>
  <c r="F204" i="86" a="1"/>
  <c r="F204" i="86" s="1"/>
  <c r="E204" i="86" a="1"/>
  <c r="E204" i="86" s="1"/>
  <c r="D204" i="86" a="1"/>
  <c r="D204" i="86" s="1"/>
  <c r="AH203" i="86" a="1"/>
  <c r="AH203" i="86" s="1"/>
  <c r="AG203" i="86" a="1"/>
  <c r="AG203" i="86" s="1"/>
  <c r="AF203" i="86" a="1"/>
  <c r="AF203" i="86" s="1"/>
  <c r="AE203" i="86" a="1"/>
  <c r="AE203" i="86" s="1"/>
  <c r="AD203" i="86" a="1"/>
  <c r="AD203" i="86" s="1"/>
  <c r="AC203" i="86" a="1"/>
  <c r="AC203" i="86" s="1"/>
  <c r="AB203" i="86" a="1"/>
  <c r="AB203" i="86" s="1"/>
  <c r="AA203" i="86" a="1"/>
  <c r="AA203" i="86" s="1"/>
  <c r="Z203" i="86" a="1"/>
  <c r="Z203" i="86" s="1"/>
  <c r="Y203" i="86" a="1"/>
  <c r="Y203" i="86" s="1"/>
  <c r="X203" i="86" a="1"/>
  <c r="X203" i="86" s="1"/>
  <c r="W203" i="86" a="1"/>
  <c r="W203" i="86" s="1"/>
  <c r="V203" i="86" a="1"/>
  <c r="V203" i="86" s="1"/>
  <c r="U203" i="86" a="1"/>
  <c r="U203" i="86" s="1"/>
  <c r="T203" i="86" a="1"/>
  <c r="T203" i="86" s="1"/>
  <c r="S203" i="86" a="1"/>
  <c r="S203" i="86" s="1"/>
  <c r="R203" i="86" a="1"/>
  <c r="R203" i="86" s="1"/>
  <c r="Q203" i="86" a="1"/>
  <c r="Q203" i="86" s="1"/>
  <c r="P203" i="86" a="1"/>
  <c r="P203" i="86" s="1"/>
  <c r="O203" i="86" a="1"/>
  <c r="O203" i="86" s="1"/>
  <c r="N203" i="86" a="1"/>
  <c r="N203" i="86" s="1"/>
  <c r="M203" i="86" a="1"/>
  <c r="M203" i="86" s="1"/>
  <c r="L203" i="86" a="1"/>
  <c r="L203" i="86" s="1"/>
  <c r="K203" i="86" a="1"/>
  <c r="K203" i="86" s="1"/>
  <c r="J203" i="86" a="1"/>
  <c r="J203" i="86" s="1"/>
  <c r="I203" i="86" a="1"/>
  <c r="I203" i="86" s="1"/>
  <c r="H203" i="86" a="1"/>
  <c r="H203" i="86" s="1"/>
  <c r="G203" i="86" a="1"/>
  <c r="G203" i="86" s="1"/>
  <c r="F203" i="86" a="1"/>
  <c r="F203" i="86" s="1"/>
  <c r="E203" i="86" a="1"/>
  <c r="E203" i="86" s="1"/>
  <c r="D203" i="86" a="1"/>
  <c r="D203" i="86" s="1"/>
  <c r="AH202" i="86" a="1"/>
  <c r="AH202" i="86" s="1"/>
  <c r="AG202" i="86" a="1"/>
  <c r="AG202" i="86" s="1"/>
  <c r="AF202" i="86" a="1"/>
  <c r="AF202" i="86" s="1"/>
  <c r="AE202" i="86" a="1"/>
  <c r="AE202" i="86" s="1"/>
  <c r="AD202" i="86" a="1"/>
  <c r="AD202" i="86" s="1"/>
  <c r="AC202" i="86" a="1"/>
  <c r="AC202" i="86" s="1"/>
  <c r="AB202" i="86" a="1"/>
  <c r="AB202" i="86" s="1"/>
  <c r="AA202" i="86" a="1"/>
  <c r="AA202" i="86" s="1"/>
  <c r="Z202" i="86" a="1"/>
  <c r="Z202" i="86" s="1"/>
  <c r="Y202" i="86" a="1"/>
  <c r="Y202" i="86" s="1"/>
  <c r="X202" i="86" a="1"/>
  <c r="X202" i="86" s="1"/>
  <c r="W202" i="86" a="1"/>
  <c r="W202" i="86" s="1"/>
  <c r="V202" i="86" a="1"/>
  <c r="V202" i="86" s="1"/>
  <c r="U202" i="86" a="1"/>
  <c r="U202" i="86" s="1"/>
  <c r="T202" i="86" a="1"/>
  <c r="T202" i="86" s="1"/>
  <c r="S202" i="86" a="1"/>
  <c r="S202" i="86" s="1"/>
  <c r="R202" i="86" a="1"/>
  <c r="R202" i="86" s="1"/>
  <c r="Q202" i="86" a="1"/>
  <c r="Q202" i="86" s="1"/>
  <c r="P202" i="86" a="1"/>
  <c r="P202" i="86" s="1"/>
  <c r="O202" i="86" a="1"/>
  <c r="O202" i="86" s="1"/>
  <c r="N202" i="86" a="1"/>
  <c r="N202" i="86" s="1"/>
  <c r="M202" i="86" a="1"/>
  <c r="M202" i="86" s="1"/>
  <c r="L202" i="86" a="1"/>
  <c r="L202" i="86" s="1"/>
  <c r="K202" i="86" a="1"/>
  <c r="K202" i="86" s="1"/>
  <c r="J202" i="86" a="1"/>
  <c r="J202" i="86" s="1"/>
  <c r="I202" i="86" a="1"/>
  <c r="I202" i="86" s="1"/>
  <c r="H202" i="86" a="1"/>
  <c r="H202" i="86" s="1"/>
  <c r="G202" i="86" a="1"/>
  <c r="G202" i="86" s="1"/>
  <c r="F202" i="86" a="1"/>
  <c r="F202" i="86" s="1"/>
  <c r="E202" i="86" a="1"/>
  <c r="E202" i="86" s="1"/>
  <c r="D202" i="86" a="1"/>
  <c r="D202" i="86" s="1"/>
  <c r="AH201" i="86" a="1"/>
  <c r="AH201" i="86" s="1"/>
  <c r="AG201" i="86" a="1"/>
  <c r="AG201" i="86" s="1"/>
  <c r="AF201" i="86" a="1"/>
  <c r="AF201" i="86" s="1"/>
  <c r="AE201" i="86" a="1"/>
  <c r="AE201" i="86" s="1"/>
  <c r="AD201" i="86" a="1"/>
  <c r="AD201" i="86" s="1"/>
  <c r="AC201" i="86" a="1"/>
  <c r="AC201" i="86" s="1"/>
  <c r="AB201" i="86" a="1"/>
  <c r="AB201" i="86" s="1"/>
  <c r="AA201" i="86" a="1"/>
  <c r="AA201" i="86" s="1"/>
  <c r="Z201" i="86" a="1"/>
  <c r="Z201" i="86" s="1"/>
  <c r="Y201" i="86" a="1"/>
  <c r="Y201" i="86" s="1"/>
  <c r="X201" i="86" a="1"/>
  <c r="X201" i="86" s="1"/>
  <c r="W201" i="86" a="1"/>
  <c r="W201" i="86" s="1"/>
  <c r="V201" i="86" a="1"/>
  <c r="V201" i="86" s="1"/>
  <c r="U201" i="86" a="1"/>
  <c r="U201" i="86" s="1"/>
  <c r="T201" i="86" a="1"/>
  <c r="T201" i="86" s="1"/>
  <c r="S201" i="86" a="1"/>
  <c r="S201" i="86" s="1"/>
  <c r="R201" i="86" a="1"/>
  <c r="R201" i="86" s="1"/>
  <c r="Q201" i="86" a="1"/>
  <c r="Q201" i="86" s="1"/>
  <c r="P201" i="86" a="1"/>
  <c r="P201" i="86" s="1"/>
  <c r="O201" i="86" a="1"/>
  <c r="O201" i="86" s="1"/>
  <c r="N201" i="86" a="1"/>
  <c r="N201" i="86" s="1"/>
  <c r="M201" i="86" a="1"/>
  <c r="M201" i="86" s="1"/>
  <c r="L201" i="86" a="1"/>
  <c r="L201" i="86" s="1"/>
  <c r="K201" i="86" a="1"/>
  <c r="K201" i="86" s="1"/>
  <c r="J201" i="86" a="1"/>
  <c r="J201" i="86" s="1"/>
  <c r="I201" i="86" a="1"/>
  <c r="I201" i="86" s="1"/>
  <c r="H201" i="86" a="1"/>
  <c r="H201" i="86" s="1"/>
  <c r="G201" i="86" a="1"/>
  <c r="G201" i="86" s="1"/>
  <c r="F201" i="86" a="1"/>
  <c r="F201" i="86" s="1"/>
  <c r="E201" i="86" a="1"/>
  <c r="E201" i="86" s="1"/>
  <c r="D201" i="86" a="1"/>
  <c r="D201" i="86" s="1"/>
  <c r="AH200" i="86" a="1"/>
  <c r="AH200" i="86" s="1"/>
  <c r="AG200" i="86" a="1"/>
  <c r="AG200" i="86" s="1"/>
  <c r="AF200" i="86" a="1"/>
  <c r="AF200" i="86" s="1"/>
  <c r="AE200" i="86" a="1"/>
  <c r="AE200" i="86" s="1"/>
  <c r="AD200" i="86" a="1"/>
  <c r="AD200" i="86" s="1"/>
  <c r="AC200" i="86" a="1"/>
  <c r="AC200" i="86" s="1"/>
  <c r="AB200" i="86" a="1"/>
  <c r="AB200" i="86" s="1"/>
  <c r="AA200" i="86" a="1"/>
  <c r="AA200" i="86" s="1"/>
  <c r="Z200" i="86" a="1"/>
  <c r="Z200" i="86" s="1"/>
  <c r="Y200" i="86" a="1"/>
  <c r="Y200" i="86" s="1"/>
  <c r="X200" i="86" a="1"/>
  <c r="X200" i="86" s="1"/>
  <c r="W200" i="86" a="1"/>
  <c r="W200" i="86" s="1"/>
  <c r="V200" i="86" a="1"/>
  <c r="V200" i="86" s="1"/>
  <c r="U200" i="86" a="1"/>
  <c r="U200" i="86" s="1"/>
  <c r="T200" i="86" a="1"/>
  <c r="T200" i="86" s="1"/>
  <c r="S200" i="86" a="1"/>
  <c r="S200" i="86" s="1"/>
  <c r="R200" i="86" a="1"/>
  <c r="R200" i="86" s="1"/>
  <c r="Q200" i="86" a="1"/>
  <c r="Q200" i="86" s="1"/>
  <c r="P200" i="86" a="1"/>
  <c r="P200" i="86" s="1"/>
  <c r="O200" i="86" a="1"/>
  <c r="O200" i="86" s="1"/>
  <c r="N200" i="86" a="1"/>
  <c r="N200" i="86" s="1"/>
  <c r="M200" i="86" a="1"/>
  <c r="M200" i="86" s="1"/>
  <c r="L200" i="86" a="1"/>
  <c r="L200" i="86" s="1"/>
  <c r="K200" i="86" a="1"/>
  <c r="K200" i="86" s="1"/>
  <c r="J200" i="86" a="1"/>
  <c r="J200" i="86" s="1"/>
  <c r="I200" i="86" a="1"/>
  <c r="I200" i="86" s="1"/>
  <c r="H200" i="86" a="1"/>
  <c r="H200" i="86" s="1"/>
  <c r="G200" i="86" a="1"/>
  <c r="G200" i="86" s="1"/>
  <c r="F200" i="86" a="1"/>
  <c r="F200" i="86" s="1"/>
  <c r="E200" i="86" a="1"/>
  <c r="E200" i="86" s="1"/>
  <c r="D200" i="86" a="1"/>
  <c r="D200" i="86" s="1"/>
  <c r="AH199" i="86" a="1"/>
  <c r="AH199" i="86" s="1"/>
  <c r="AG199" i="86" a="1"/>
  <c r="AG199" i="86" s="1"/>
  <c r="AF199" i="86" a="1"/>
  <c r="AF199" i="86" s="1"/>
  <c r="AE199" i="86" a="1"/>
  <c r="AE199" i="86" s="1"/>
  <c r="AD199" i="86" a="1"/>
  <c r="AD199" i="86" s="1"/>
  <c r="AC199" i="86" a="1"/>
  <c r="AC199" i="86" s="1"/>
  <c r="AB199" i="86" a="1"/>
  <c r="AB199" i="86" s="1"/>
  <c r="AA199" i="86" a="1"/>
  <c r="AA199" i="86" s="1"/>
  <c r="Z199" i="86" a="1"/>
  <c r="Z199" i="86" s="1"/>
  <c r="Y199" i="86" a="1"/>
  <c r="Y199" i="86" s="1"/>
  <c r="X199" i="86" a="1"/>
  <c r="X199" i="86" s="1"/>
  <c r="W199" i="86" a="1"/>
  <c r="W199" i="86" s="1"/>
  <c r="V199" i="86" a="1"/>
  <c r="V199" i="86" s="1"/>
  <c r="U199" i="86" a="1"/>
  <c r="U199" i="86" s="1"/>
  <c r="T199" i="86" a="1"/>
  <c r="T199" i="86" s="1"/>
  <c r="S199" i="86" a="1"/>
  <c r="S199" i="86" s="1"/>
  <c r="R199" i="86" a="1"/>
  <c r="R199" i="86" s="1"/>
  <c r="Q199" i="86" a="1"/>
  <c r="Q199" i="86" s="1"/>
  <c r="P199" i="86" a="1"/>
  <c r="P199" i="86" s="1"/>
  <c r="O199" i="86" a="1"/>
  <c r="O199" i="86" s="1"/>
  <c r="N199" i="86" a="1"/>
  <c r="N199" i="86" s="1"/>
  <c r="M199" i="86" a="1"/>
  <c r="M199" i="86" s="1"/>
  <c r="L199" i="86" a="1"/>
  <c r="L199" i="86" s="1"/>
  <c r="K199" i="86" a="1"/>
  <c r="K199" i="86" s="1"/>
  <c r="J199" i="86" a="1"/>
  <c r="J199" i="86" s="1"/>
  <c r="I199" i="86" a="1"/>
  <c r="I199" i="86" s="1"/>
  <c r="H199" i="86" a="1"/>
  <c r="H199" i="86" s="1"/>
  <c r="G199" i="86" a="1"/>
  <c r="G199" i="86" s="1"/>
  <c r="F199" i="86" a="1"/>
  <c r="F199" i="86" s="1"/>
  <c r="E199" i="86" a="1"/>
  <c r="E199" i="86" s="1"/>
  <c r="D199" i="86" a="1"/>
  <c r="D199" i="86" s="1"/>
  <c r="AH198" i="86" a="1"/>
  <c r="AH198" i="86" s="1"/>
  <c r="AG198" i="86" a="1"/>
  <c r="AG198" i="86" s="1"/>
  <c r="AF198" i="86" a="1"/>
  <c r="AF198" i="86" s="1"/>
  <c r="AE198" i="86" a="1"/>
  <c r="AE198" i="86" s="1"/>
  <c r="AD198" i="86" a="1"/>
  <c r="AD198" i="86" s="1"/>
  <c r="AC198" i="86" a="1"/>
  <c r="AC198" i="86" s="1"/>
  <c r="AB198" i="86" a="1"/>
  <c r="AB198" i="86" s="1"/>
  <c r="AA198" i="86" a="1"/>
  <c r="AA198" i="86" s="1"/>
  <c r="Z198" i="86" a="1"/>
  <c r="Z198" i="86" s="1"/>
  <c r="Y198" i="86" a="1"/>
  <c r="Y198" i="86" s="1"/>
  <c r="X198" i="86" a="1"/>
  <c r="X198" i="86" s="1"/>
  <c r="W198" i="86" a="1"/>
  <c r="W198" i="86" s="1"/>
  <c r="V198" i="86" a="1"/>
  <c r="V198" i="86" s="1"/>
  <c r="U198" i="86" a="1"/>
  <c r="U198" i="86" s="1"/>
  <c r="T198" i="86" a="1"/>
  <c r="T198" i="86" s="1"/>
  <c r="S198" i="86" a="1"/>
  <c r="S198" i="86" s="1"/>
  <c r="R198" i="86" a="1"/>
  <c r="R198" i="86" s="1"/>
  <c r="Q198" i="86" a="1"/>
  <c r="Q198" i="86" s="1"/>
  <c r="P198" i="86" a="1"/>
  <c r="P198" i="86" s="1"/>
  <c r="O198" i="86" a="1"/>
  <c r="O198" i="86" s="1"/>
  <c r="N198" i="86" a="1"/>
  <c r="N198" i="86" s="1"/>
  <c r="M198" i="86" a="1"/>
  <c r="M198" i="86" s="1"/>
  <c r="L198" i="86" a="1"/>
  <c r="L198" i="86" s="1"/>
  <c r="K198" i="86" a="1"/>
  <c r="K198" i="86" s="1"/>
  <c r="J198" i="86" a="1"/>
  <c r="J198" i="86" s="1"/>
  <c r="I198" i="86" a="1"/>
  <c r="I198" i="86" s="1"/>
  <c r="H198" i="86" a="1"/>
  <c r="H198" i="86" s="1"/>
  <c r="G198" i="86" a="1"/>
  <c r="G198" i="86" s="1"/>
  <c r="F198" i="86" a="1"/>
  <c r="F198" i="86" s="1"/>
  <c r="E198" i="86" a="1"/>
  <c r="E198" i="86" s="1"/>
  <c r="D198" i="86" a="1"/>
  <c r="D198" i="86" s="1"/>
  <c r="AH197" i="86" a="1"/>
  <c r="AH197" i="86" s="1"/>
  <c r="AG197" i="86" a="1"/>
  <c r="AG197" i="86" s="1"/>
  <c r="AF197" i="86" a="1"/>
  <c r="AF197" i="86" s="1"/>
  <c r="AE197" i="86" a="1"/>
  <c r="AE197" i="86" s="1"/>
  <c r="AD197" i="86" a="1"/>
  <c r="AD197" i="86" s="1"/>
  <c r="AC197" i="86" a="1"/>
  <c r="AC197" i="86" s="1"/>
  <c r="AB197" i="86" a="1"/>
  <c r="AB197" i="86" s="1"/>
  <c r="AA197" i="86" a="1"/>
  <c r="AA197" i="86" s="1"/>
  <c r="Z197" i="86" a="1"/>
  <c r="Z197" i="86" s="1"/>
  <c r="Y197" i="86" a="1"/>
  <c r="Y197" i="86" s="1"/>
  <c r="X197" i="86" a="1"/>
  <c r="X197" i="86" s="1"/>
  <c r="W197" i="86" a="1"/>
  <c r="W197" i="86" s="1"/>
  <c r="V197" i="86" a="1"/>
  <c r="V197" i="86" s="1"/>
  <c r="U197" i="86" a="1"/>
  <c r="U197" i="86" s="1"/>
  <c r="T197" i="86" a="1"/>
  <c r="T197" i="86" s="1"/>
  <c r="S197" i="86" a="1"/>
  <c r="S197" i="86" s="1"/>
  <c r="R197" i="86" a="1"/>
  <c r="R197" i="86" s="1"/>
  <c r="Q197" i="86" a="1"/>
  <c r="Q197" i="86" s="1"/>
  <c r="P197" i="86" a="1"/>
  <c r="P197" i="86" s="1"/>
  <c r="O197" i="86" a="1"/>
  <c r="O197" i="86" s="1"/>
  <c r="N197" i="86" a="1"/>
  <c r="N197" i="86" s="1"/>
  <c r="M197" i="86" a="1"/>
  <c r="M197" i="86" s="1"/>
  <c r="L197" i="86" a="1"/>
  <c r="L197" i="86" s="1"/>
  <c r="K197" i="86" a="1"/>
  <c r="K197" i="86" s="1"/>
  <c r="J197" i="86" a="1"/>
  <c r="J197" i="86" s="1"/>
  <c r="I197" i="86" a="1"/>
  <c r="I197" i="86" s="1"/>
  <c r="H197" i="86" a="1"/>
  <c r="H197" i="86" s="1"/>
  <c r="G197" i="86" a="1"/>
  <c r="G197" i="86" s="1"/>
  <c r="F197" i="86" a="1"/>
  <c r="F197" i="86" s="1"/>
  <c r="E197" i="86" a="1"/>
  <c r="E197" i="86" s="1"/>
  <c r="D197" i="86" a="1"/>
  <c r="D197" i="86" s="1"/>
  <c r="AH196" i="86" a="1"/>
  <c r="AH196" i="86" s="1"/>
  <c r="AG196" i="86" a="1"/>
  <c r="AG196" i="86" s="1"/>
  <c r="AF196" i="86" a="1"/>
  <c r="AF196" i="86" s="1"/>
  <c r="AE196" i="86" a="1"/>
  <c r="AE196" i="86" s="1"/>
  <c r="AD196" i="86" a="1"/>
  <c r="AD196" i="86" s="1"/>
  <c r="AC196" i="86" a="1"/>
  <c r="AC196" i="86" s="1"/>
  <c r="AB196" i="86" a="1"/>
  <c r="AB196" i="86" s="1"/>
  <c r="AA196" i="86" a="1"/>
  <c r="AA196" i="86" s="1"/>
  <c r="Z196" i="86" a="1"/>
  <c r="Z196" i="86" s="1"/>
  <c r="Y196" i="86" a="1"/>
  <c r="Y196" i="86" s="1"/>
  <c r="X196" i="86" a="1"/>
  <c r="X196" i="86" s="1"/>
  <c r="W196" i="86" a="1"/>
  <c r="W196" i="86" s="1"/>
  <c r="V196" i="86" a="1"/>
  <c r="V196" i="86" s="1"/>
  <c r="U196" i="86" a="1"/>
  <c r="U196" i="86" s="1"/>
  <c r="T196" i="86" a="1"/>
  <c r="T196" i="86" s="1"/>
  <c r="S196" i="86" a="1"/>
  <c r="S196" i="86" s="1"/>
  <c r="R196" i="86" a="1"/>
  <c r="R196" i="86" s="1"/>
  <c r="Q196" i="86" a="1"/>
  <c r="Q196" i="86" s="1"/>
  <c r="P196" i="86" a="1"/>
  <c r="P196" i="86" s="1"/>
  <c r="O196" i="86" a="1"/>
  <c r="O196" i="86" s="1"/>
  <c r="N196" i="86" a="1"/>
  <c r="N196" i="86" s="1"/>
  <c r="M196" i="86" a="1"/>
  <c r="M196" i="86" s="1"/>
  <c r="L196" i="86" a="1"/>
  <c r="L196" i="86" s="1"/>
  <c r="K196" i="86" a="1"/>
  <c r="K196" i="86" s="1"/>
  <c r="J196" i="86" a="1"/>
  <c r="J196" i="86" s="1"/>
  <c r="I196" i="86" a="1"/>
  <c r="I196" i="86" s="1"/>
  <c r="H196" i="86" a="1"/>
  <c r="H196" i="86" s="1"/>
  <c r="G196" i="86" a="1"/>
  <c r="G196" i="86" s="1"/>
  <c r="F196" i="86" a="1"/>
  <c r="F196" i="86" s="1"/>
  <c r="E196" i="86" a="1"/>
  <c r="E196" i="86" s="1"/>
  <c r="D196" i="86" a="1"/>
  <c r="D196" i="86" s="1"/>
  <c r="AH195" i="86" a="1"/>
  <c r="AH195" i="86" s="1"/>
  <c r="AG195" i="86" a="1"/>
  <c r="AG195" i="86" s="1"/>
  <c r="AF195" i="86" a="1"/>
  <c r="AF195" i="86" s="1"/>
  <c r="AE195" i="86" a="1"/>
  <c r="AE195" i="86" s="1"/>
  <c r="AD195" i="86" a="1"/>
  <c r="AD195" i="86" s="1"/>
  <c r="AC195" i="86" a="1"/>
  <c r="AC195" i="86" s="1"/>
  <c r="AB195" i="86" a="1"/>
  <c r="AB195" i="86" s="1"/>
  <c r="AA195" i="86" a="1"/>
  <c r="AA195" i="86" s="1"/>
  <c r="Z195" i="86" a="1"/>
  <c r="Z195" i="86" s="1"/>
  <c r="Y195" i="86" a="1"/>
  <c r="Y195" i="86" s="1"/>
  <c r="X195" i="86" a="1"/>
  <c r="X195" i="86" s="1"/>
  <c r="W195" i="86" a="1"/>
  <c r="W195" i="86" s="1"/>
  <c r="V195" i="86" a="1"/>
  <c r="V195" i="86" s="1"/>
  <c r="U195" i="86" a="1"/>
  <c r="U195" i="86" s="1"/>
  <c r="T195" i="86" a="1"/>
  <c r="T195" i="86" s="1"/>
  <c r="S195" i="86" a="1"/>
  <c r="S195" i="86" s="1"/>
  <c r="R195" i="86" a="1"/>
  <c r="R195" i="86" s="1"/>
  <c r="Q195" i="86" a="1"/>
  <c r="Q195" i="86" s="1"/>
  <c r="P195" i="86" a="1"/>
  <c r="P195" i="86" s="1"/>
  <c r="O195" i="86" a="1"/>
  <c r="O195" i="86" s="1"/>
  <c r="N195" i="86" a="1"/>
  <c r="N195" i="86" s="1"/>
  <c r="M195" i="86" a="1"/>
  <c r="M195" i="86" s="1"/>
  <c r="L195" i="86" a="1"/>
  <c r="L195" i="86" s="1"/>
  <c r="K195" i="86" a="1"/>
  <c r="K195" i="86" s="1"/>
  <c r="J195" i="86" a="1"/>
  <c r="J195" i="86" s="1"/>
  <c r="I195" i="86" a="1"/>
  <c r="I195" i="86" s="1"/>
  <c r="H195" i="86" a="1"/>
  <c r="H195" i="86" s="1"/>
  <c r="G195" i="86" a="1"/>
  <c r="G195" i="86" s="1"/>
  <c r="F195" i="86" a="1"/>
  <c r="F195" i="86" s="1"/>
  <c r="E195" i="86" a="1"/>
  <c r="E195" i="86" s="1"/>
  <c r="D195" i="86" a="1"/>
  <c r="D195" i="86" s="1"/>
  <c r="AH194" i="86" a="1"/>
  <c r="AH194" i="86" s="1"/>
  <c r="AG194" i="86" a="1"/>
  <c r="AG194" i="86" s="1"/>
  <c r="AF194" i="86" a="1"/>
  <c r="AF194" i="86" s="1"/>
  <c r="AE194" i="86" a="1"/>
  <c r="AE194" i="86" s="1"/>
  <c r="AD194" i="86" a="1"/>
  <c r="AD194" i="86" s="1"/>
  <c r="AC194" i="86" a="1"/>
  <c r="AC194" i="86" s="1"/>
  <c r="AB194" i="86" a="1"/>
  <c r="AB194" i="86" s="1"/>
  <c r="AA194" i="86" a="1"/>
  <c r="AA194" i="86" s="1"/>
  <c r="Z194" i="86" a="1"/>
  <c r="Z194" i="86" s="1"/>
  <c r="Y194" i="86" a="1"/>
  <c r="Y194" i="86" s="1"/>
  <c r="X194" i="86" a="1"/>
  <c r="X194" i="86" s="1"/>
  <c r="W194" i="86" a="1"/>
  <c r="W194" i="86" s="1"/>
  <c r="V194" i="86" a="1"/>
  <c r="V194" i="86" s="1"/>
  <c r="U194" i="86" a="1"/>
  <c r="U194" i="86" s="1"/>
  <c r="T194" i="86" a="1"/>
  <c r="T194" i="86" s="1"/>
  <c r="S194" i="86" a="1"/>
  <c r="S194" i="86" s="1"/>
  <c r="R194" i="86" a="1"/>
  <c r="R194" i="86" s="1"/>
  <c r="Q194" i="86" a="1"/>
  <c r="Q194" i="86" s="1"/>
  <c r="P194" i="86" a="1"/>
  <c r="P194" i="86" s="1"/>
  <c r="O194" i="86" a="1"/>
  <c r="O194" i="86" s="1"/>
  <c r="N194" i="86" a="1"/>
  <c r="N194" i="86" s="1"/>
  <c r="M194" i="86" a="1"/>
  <c r="M194" i="86" s="1"/>
  <c r="L194" i="86" a="1"/>
  <c r="L194" i="86" s="1"/>
  <c r="K194" i="86" a="1"/>
  <c r="K194" i="86" s="1"/>
  <c r="J194" i="86" a="1"/>
  <c r="J194" i="86" s="1"/>
  <c r="I194" i="86" a="1"/>
  <c r="I194" i="86" s="1"/>
  <c r="H194" i="86" a="1"/>
  <c r="H194" i="86" s="1"/>
  <c r="G194" i="86" a="1"/>
  <c r="G194" i="86" s="1"/>
  <c r="F194" i="86" a="1"/>
  <c r="F194" i="86" s="1"/>
  <c r="E194" i="86" a="1"/>
  <c r="E194" i="86" s="1"/>
  <c r="D194" i="86" a="1"/>
  <c r="D194" i="86" s="1"/>
  <c r="AH193" i="86" a="1"/>
  <c r="AH193" i="86" s="1"/>
  <c r="AG193" i="86" a="1"/>
  <c r="AG193" i="86" s="1"/>
  <c r="AF193" i="86" a="1"/>
  <c r="AF193" i="86" s="1"/>
  <c r="AE193" i="86" a="1"/>
  <c r="AE193" i="86" s="1"/>
  <c r="AD193" i="86" a="1"/>
  <c r="AD193" i="86" s="1"/>
  <c r="AC193" i="86" a="1"/>
  <c r="AC193" i="86" s="1"/>
  <c r="AB193" i="86" a="1"/>
  <c r="AB193" i="86" s="1"/>
  <c r="AA193" i="86" a="1"/>
  <c r="AA193" i="86" s="1"/>
  <c r="Z193" i="86" a="1"/>
  <c r="Z193" i="86" s="1"/>
  <c r="Y193" i="86" a="1"/>
  <c r="Y193" i="86" s="1"/>
  <c r="X193" i="86" a="1"/>
  <c r="X193" i="86" s="1"/>
  <c r="W193" i="86" a="1"/>
  <c r="W193" i="86" s="1"/>
  <c r="V193" i="86" a="1"/>
  <c r="V193" i="86" s="1"/>
  <c r="U193" i="86" a="1"/>
  <c r="U193" i="86" s="1"/>
  <c r="T193" i="86" a="1"/>
  <c r="T193" i="86" s="1"/>
  <c r="S193" i="86" a="1"/>
  <c r="S193" i="86" s="1"/>
  <c r="R193" i="86" a="1"/>
  <c r="R193" i="86" s="1"/>
  <c r="Q193" i="86" a="1"/>
  <c r="Q193" i="86" s="1"/>
  <c r="P193" i="86" a="1"/>
  <c r="P193" i="86" s="1"/>
  <c r="O193" i="86" a="1"/>
  <c r="O193" i="86" s="1"/>
  <c r="N193" i="86" a="1"/>
  <c r="N193" i="86" s="1"/>
  <c r="M193" i="86" a="1"/>
  <c r="M193" i="86" s="1"/>
  <c r="L193" i="86" a="1"/>
  <c r="L193" i="86" s="1"/>
  <c r="K193" i="86" a="1"/>
  <c r="K193" i="86" s="1"/>
  <c r="J193" i="86" a="1"/>
  <c r="J193" i="86" s="1"/>
  <c r="I193" i="86" a="1"/>
  <c r="I193" i="86" s="1"/>
  <c r="H193" i="86" a="1"/>
  <c r="H193" i="86" s="1"/>
  <c r="G193" i="86" a="1"/>
  <c r="G193" i="86" s="1"/>
  <c r="F193" i="86" a="1"/>
  <c r="F193" i="86" s="1"/>
  <c r="E193" i="86" a="1"/>
  <c r="E193" i="86" s="1"/>
  <c r="D193" i="86" a="1"/>
  <c r="D193" i="86" s="1"/>
  <c r="AH192" i="86" a="1"/>
  <c r="AH192" i="86" s="1"/>
  <c r="AG192" i="86" a="1"/>
  <c r="AG192" i="86" s="1"/>
  <c r="AF192" i="86" a="1"/>
  <c r="AF192" i="86" s="1"/>
  <c r="AE192" i="86" a="1"/>
  <c r="AE192" i="86" s="1"/>
  <c r="AD192" i="86" a="1"/>
  <c r="AD192" i="86" s="1"/>
  <c r="AC192" i="86" a="1"/>
  <c r="AC192" i="86" s="1"/>
  <c r="AB192" i="86" a="1"/>
  <c r="AB192" i="86" s="1"/>
  <c r="AA192" i="86" a="1"/>
  <c r="AA192" i="86" s="1"/>
  <c r="Z192" i="86" a="1"/>
  <c r="Z192" i="86" s="1"/>
  <c r="Y192" i="86" a="1"/>
  <c r="Y192" i="86" s="1"/>
  <c r="X192" i="86" a="1"/>
  <c r="X192" i="86" s="1"/>
  <c r="W192" i="86" a="1"/>
  <c r="W192" i="86" s="1"/>
  <c r="V192" i="86" a="1"/>
  <c r="V192" i="86" s="1"/>
  <c r="U192" i="86" a="1"/>
  <c r="U192" i="86" s="1"/>
  <c r="T192" i="86" a="1"/>
  <c r="T192" i="86" s="1"/>
  <c r="S192" i="86" a="1"/>
  <c r="S192" i="86" s="1"/>
  <c r="R192" i="86" a="1"/>
  <c r="R192" i="86" s="1"/>
  <c r="Q192" i="86" a="1"/>
  <c r="Q192" i="86" s="1"/>
  <c r="P192" i="86" a="1"/>
  <c r="P192" i="86" s="1"/>
  <c r="O192" i="86" a="1"/>
  <c r="O192" i="86" s="1"/>
  <c r="N192" i="86" a="1"/>
  <c r="N192" i="86" s="1"/>
  <c r="M192" i="86" a="1"/>
  <c r="M192" i="86" s="1"/>
  <c r="L192" i="86" a="1"/>
  <c r="L192" i="86" s="1"/>
  <c r="K192" i="86" a="1"/>
  <c r="K192" i="86" s="1"/>
  <c r="J192" i="86" a="1"/>
  <c r="J192" i="86" s="1"/>
  <c r="I192" i="86" a="1"/>
  <c r="I192" i="86" s="1"/>
  <c r="H192" i="86" a="1"/>
  <c r="H192" i="86" s="1"/>
  <c r="G192" i="86" a="1"/>
  <c r="G192" i="86" s="1"/>
  <c r="F192" i="86" a="1"/>
  <c r="F192" i="86" s="1"/>
  <c r="E192" i="86" a="1"/>
  <c r="E192" i="86" s="1"/>
  <c r="D192" i="86" a="1"/>
  <c r="D192" i="86" s="1"/>
  <c r="AH191" i="86" a="1"/>
  <c r="AH191" i="86" s="1"/>
  <c r="AG191" i="86" a="1"/>
  <c r="AG191" i="86" s="1"/>
  <c r="AF191" i="86" a="1"/>
  <c r="AF191" i="86" s="1"/>
  <c r="AE191" i="86" a="1"/>
  <c r="AE191" i="86" s="1"/>
  <c r="AD191" i="86" a="1"/>
  <c r="AD191" i="86" s="1"/>
  <c r="AC191" i="86" a="1"/>
  <c r="AC191" i="86" s="1"/>
  <c r="AB191" i="86" a="1"/>
  <c r="AB191" i="86" s="1"/>
  <c r="AA191" i="86" a="1"/>
  <c r="AA191" i="86" s="1"/>
  <c r="Z191" i="86" a="1"/>
  <c r="Z191" i="86" s="1"/>
  <c r="Y191" i="86" a="1"/>
  <c r="Y191" i="86" s="1"/>
  <c r="X191" i="86" a="1"/>
  <c r="X191" i="86" s="1"/>
  <c r="W191" i="86" a="1"/>
  <c r="W191" i="86" s="1"/>
  <c r="V191" i="86" a="1"/>
  <c r="V191" i="86" s="1"/>
  <c r="U191" i="86" a="1"/>
  <c r="U191" i="86" s="1"/>
  <c r="T191" i="86" a="1"/>
  <c r="T191" i="86" s="1"/>
  <c r="S191" i="86" a="1"/>
  <c r="S191" i="86" s="1"/>
  <c r="R191" i="86" a="1"/>
  <c r="R191" i="86" s="1"/>
  <c r="Q191" i="86" a="1"/>
  <c r="Q191" i="86" s="1"/>
  <c r="P191" i="86" a="1"/>
  <c r="P191" i="86" s="1"/>
  <c r="O191" i="86" a="1"/>
  <c r="O191" i="86" s="1"/>
  <c r="N191" i="86" a="1"/>
  <c r="N191" i="86" s="1"/>
  <c r="M191" i="86" a="1"/>
  <c r="M191" i="86" s="1"/>
  <c r="L191" i="86" a="1"/>
  <c r="L191" i="86" s="1"/>
  <c r="K191" i="86" a="1"/>
  <c r="K191" i="86" s="1"/>
  <c r="J191" i="86" a="1"/>
  <c r="J191" i="86" s="1"/>
  <c r="I191" i="86" a="1"/>
  <c r="I191" i="86" s="1"/>
  <c r="H191" i="86" a="1"/>
  <c r="H191" i="86" s="1"/>
  <c r="G191" i="86" a="1"/>
  <c r="G191" i="86" s="1"/>
  <c r="F191" i="86" a="1"/>
  <c r="F191" i="86" s="1"/>
  <c r="E191" i="86" a="1"/>
  <c r="E191" i="86" s="1"/>
  <c r="D191" i="86" a="1"/>
  <c r="D191" i="86" s="1"/>
  <c r="AH190" i="86" a="1"/>
  <c r="AH190" i="86" s="1"/>
  <c r="AG190" i="86" a="1"/>
  <c r="AG190" i="86" s="1"/>
  <c r="AF190" i="86" a="1"/>
  <c r="AF190" i="86" s="1"/>
  <c r="AE190" i="86" a="1"/>
  <c r="AE190" i="86" s="1"/>
  <c r="AD190" i="86" a="1"/>
  <c r="AD190" i="86" s="1"/>
  <c r="AC190" i="86" a="1"/>
  <c r="AC190" i="86" s="1"/>
  <c r="AB190" i="86" a="1"/>
  <c r="AB190" i="86" s="1"/>
  <c r="AA190" i="86" a="1"/>
  <c r="AA190" i="86" s="1"/>
  <c r="Z190" i="86" a="1"/>
  <c r="Z190" i="86" s="1"/>
  <c r="Y190" i="86" a="1"/>
  <c r="Y190" i="86" s="1"/>
  <c r="X190" i="86" a="1"/>
  <c r="X190" i="86" s="1"/>
  <c r="W190" i="86" a="1"/>
  <c r="W190" i="86" s="1"/>
  <c r="V190" i="86" a="1"/>
  <c r="V190" i="86" s="1"/>
  <c r="U190" i="86" a="1"/>
  <c r="U190" i="86" s="1"/>
  <c r="T190" i="86" a="1"/>
  <c r="T190" i="86" s="1"/>
  <c r="S190" i="86" a="1"/>
  <c r="S190" i="86" s="1"/>
  <c r="R190" i="86" a="1"/>
  <c r="R190" i="86" s="1"/>
  <c r="Q190" i="86" a="1"/>
  <c r="Q190" i="86" s="1"/>
  <c r="P190" i="86" a="1"/>
  <c r="P190" i="86" s="1"/>
  <c r="O190" i="86" a="1"/>
  <c r="O190" i="86" s="1"/>
  <c r="N190" i="86" a="1"/>
  <c r="N190" i="86" s="1"/>
  <c r="M190" i="86" a="1"/>
  <c r="M190" i="86" s="1"/>
  <c r="L190" i="86" a="1"/>
  <c r="L190" i="86" s="1"/>
  <c r="K190" i="86" a="1"/>
  <c r="K190" i="86" s="1"/>
  <c r="J190" i="86" a="1"/>
  <c r="J190" i="86" s="1"/>
  <c r="I190" i="86" a="1"/>
  <c r="I190" i="86" s="1"/>
  <c r="H190" i="86" a="1"/>
  <c r="H190" i="86" s="1"/>
  <c r="G190" i="86" a="1"/>
  <c r="G190" i="86" s="1"/>
  <c r="F190" i="86" a="1"/>
  <c r="F190" i="86" s="1"/>
  <c r="E190" i="86" a="1"/>
  <c r="E190" i="86" s="1"/>
  <c r="D190" i="86" a="1"/>
  <c r="D190" i="86" s="1"/>
  <c r="AH189" i="86" a="1"/>
  <c r="AH189" i="86" s="1"/>
  <c r="AG189" i="86" a="1"/>
  <c r="AG189" i="86" s="1"/>
  <c r="AF189" i="86" a="1"/>
  <c r="AF189" i="86" s="1"/>
  <c r="AE189" i="86" a="1"/>
  <c r="AE189" i="86" s="1"/>
  <c r="AD189" i="86" a="1"/>
  <c r="AD189" i="86" s="1"/>
  <c r="AC189" i="86" a="1"/>
  <c r="AC189" i="86" s="1"/>
  <c r="AB189" i="86" a="1"/>
  <c r="AB189" i="86" s="1"/>
  <c r="AA189" i="86" a="1"/>
  <c r="AA189" i="86" s="1"/>
  <c r="Z189" i="86" a="1"/>
  <c r="Z189" i="86" s="1"/>
  <c r="Y189" i="86" a="1"/>
  <c r="Y189" i="86" s="1"/>
  <c r="X189" i="86" a="1"/>
  <c r="X189" i="86" s="1"/>
  <c r="W189" i="86" a="1"/>
  <c r="W189" i="86" s="1"/>
  <c r="V189" i="86" a="1"/>
  <c r="V189" i="86" s="1"/>
  <c r="U189" i="86" a="1"/>
  <c r="U189" i="86" s="1"/>
  <c r="T189" i="86" a="1"/>
  <c r="T189" i="86" s="1"/>
  <c r="S189" i="86" a="1"/>
  <c r="S189" i="86" s="1"/>
  <c r="R189" i="86" a="1"/>
  <c r="R189" i="86" s="1"/>
  <c r="Q189" i="86" a="1"/>
  <c r="Q189" i="86" s="1"/>
  <c r="P189" i="86" a="1"/>
  <c r="P189" i="86" s="1"/>
  <c r="O189" i="86" a="1"/>
  <c r="O189" i="86" s="1"/>
  <c r="N189" i="86" a="1"/>
  <c r="N189" i="86" s="1"/>
  <c r="M189" i="86" a="1"/>
  <c r="M189" i="86" s="1"/>
  <c r="L189" i="86" a="1"/>
  <c r="L189" i="86" s="1"/>
  <c r="K189" i="86" a="1"/>
  <c r="K189" i="86" s="1"/>
  <c r="J189" i="86" a="1"/>
  <c r="J189" i="86" s="1"/>
  <c r="I189" i="86" a="1"/>
  <c r="I189" i="86" s="1"/>
  <c r="H189" i="86" a="1"/>
  <c r="H189" i="86" s="1"/>
  <c r="G189" i="86" a="1"/>
  <c r="G189" i="86" s="1"/>
  <c r="F189" i="86" a="1"/>
  <c r="F189" i="86" s="1"/>
  <c r="E189" i="86" a="1"/>
  <c r="E189" i="86" s="1"/>
  <c r="D189" i="86" a="1"/>
  <c r="D189" i="86" s="1"/>
  <c r="AH188" i="86" a="1"/>
  <c r="AH188" i="86" s="1"/>
  <c r="AG188" i="86" a="1"/>
  <c r="AG188" i="86" s="1"/>
  <c r="AF188" i="86" a="1"/>
  <c r="AF188" i="86" s="1"/>
  <c r="AE188" i="86" a="1"/>
  <c r="AE188" i="86" s="1"/>
  <c r="AD188" i="86" a="1"/>
  <c r="AD188" i="86" s="1"/>
  <c r="AC188" i="86" a="1"/>
  <c r="AC188" i="86" s="1"/>
  <c r="AB188" i="86" a="1"/>
  <c r="AB188" i="86" s="1"/>
  <c r="AA188" i="86" a="1"/>
  <c r="AA188" i="86" s="1"/>
  <c r="Z188" i="86" a="1"/>
  <c r="Z188" i="86" s="1"/>
  <c r="Y188" i="86" a="1"/>
  <c r="Y188" i="86" s="1"/>
  <c r="X188" i="86" a="1"/>
  <c r="X188" i="86" s="1"/>
  <c r="W188" i="86" a="1"/>
  <c r="W188" i="86" s="1"/>
  <c r="V188" i="86" a="1"/>
  <c r="V188" i="86" s="1"/>
  <c r="U188" i="86" a="1"/>
  <c r="U188" i="86" s="1"/>
  <c r="T188" i="86" a="1"/>
  <c r="T188" i="86" s="1"/>
  <c r="S188" i="86" a="1"/>
  <c r="S188" i="86" s="1"/>
  <c r="R188" i="86" a="1"/>
  <c r="R188" i="86" s="1"/>
  <c r="Q188" i="86" a="1"/>
  <c r="Q188" i="86" s="1"/>
  <c r="P188" i="86" a="1"/>
  <c r="P188" i="86" s="1"/>
  <c r="O188" i="86" a="1"/>
  <c r="O188" i="86" s="1"/>
  <c r="N188" i="86" a="1"/>
  <c r="N188" i="86" s="1"/>
  <c r="M188" i="86" a="1"/>
  <c r="M188" i="86" s="1"/>
  <c r="L188" i="86" a="1"/>
  <c r="L188" i="86" s="1"/>
  <c r="K188" i="86" a="1"/>
  <c r="K188" i="86" s="1"/>
  <c r="J188" i="86" a="1"/>
  <c r="J188" i="86" s="1"/>
  <c r="I188" i="86" a="1"/>
  <c r="I188" i="86" s="1"/>
  <c r="H188" i="86" a="1"/>
  <c r="H188" i="86" s="1"/>
  <c r="G188" i="86" a="1"/>
  <c r="G188" i="86" s="1"/>
  <c r="F188" i="86" a="1"/>
  <c r="F188" i="86" s="1"/>
  <c r="E188" i="86" a="1"/>
  <c r="E188" i="86" s="1"/>
  <c r="D188" i="86" a="1"/>
  <c r="D188" i="86" s="1"/>
  <c r="AH187" i="86" a="1"/>
  <c r="AH187" i="86" s="1"/>
  <c r="AG187" i="86" a="1"/>
  <c r="AG187" i="86" s="1"/>
  <c r="AF187" i="86" a="1"/>
  <c r="AF187" i="86" s="1"/>
  <c r="AE187" i="86" a="1"/>
  <c r="AE187" i="86" s="1"/>
  <c r="AD187" i="86" a="1"/>
  <c r="AD187" i="86" s="1"/>
  <c r="AC187" i="86" a="1"/>
  <c r="AC187" i="86" s="1"/>
  <c r="AB187" i="86" a="1"/>
  <c r="AB187" i="86" s="1"/>
  <c r="AA187" i="86" a="1"/>
  <c r="AA187" i="86" s="1"/>
  <c r="Z187" i="86" a="1"/>
  <c r="Z187" i="86" s="1"/>
  <c r="Y187" i="86" a="1"/>
  <c r="Y187" i="86" s="1"/>
  <c r="X187" i="86" a="1"/>
  <c r="X187" i="86" s="1"/>
  <c r="W187" i="86" a="1"/>
  <c r="W187" i="86" s="1"/>
  <c r="V187" i="86" a="1"/>
  <c r="V187" i="86" s="1"/>
  <c r="U187" i="86" a="1"/>
  <c r="U187" i="86" s="1"/>
  <c r="T187" i="86" a="1"/>
  <c r="T187" i="86" s="1"/>
  <c r="S187" i="86" a="1"/>
  <c r="S187" i="86" s="1"/>
  <c r="R187" i="86" a="1"/>
  <c r="R187" i="86" s="1"/>
  <c r="Q187" i="86" a="1"/>
  <c r="Q187" i="86" s="1"/>
  <c r="P187" i="86" a="1"/>
  <c r="P187" i="86" s="1"/>
  <c r="O187" i="86" a="1"/>
  <c r="O187" i="86" s="1"/>
  <c r="N187" i="86" a="1"/>
  <c r="N187" i="86" s="1"/>
  <c r="M187" i="86" a="1"/>
  <c r="M187" i="86" s="1"/>
  <c r="L187" i="86" a="1"/>
  <c r="L187" i="86" s="1"/>
  <c r="K187" i="86" a="1"/>
  <c r="K187" i="86" s="1"/>
  <c r="J187" i="86" a="1"/>
  <c r="J187" i="86" s="1"/>
  <c r="I187" i="86" a="1"/>
  <c r="I187" i="86" s="1"/>
  <c r="H187" i="86" a="1"/>
  <c r="H187" i="86" s="1"/>
  <c r="G187" i="86" a="1"/>
  <c r="G187" i="86" s="1"/>
  <c r="F187" i="86" a="1"/>
  <c r="F187" i="86" s="1"/>
  <c r="E187" i="86" a="1"/>
  <c r="E187" i="86" s="1"/>
  <c r="D187" i="86" a="1"/>
  <c r="D187" i="86" s="1"/>
  <c r="AH186" i="86" a="1"/>
  <c r="AH186" i="86" s="1"/>
  <c r="AG186" i="86" a="1"/>
  <c r="AG186" i="86" s="1"/>
  <c r="AF186" i="86" a="1"/>
  <c r="AF186" i="86" s="1"/>
  <c r="AE186" i="86" a="1"/>
  <c r="AE186" i="86" s="1"/>
  <c r="AD186" i="86" a="1"/>
  <c r="AD186" i="86" s="1"/>
  <c r="AC186" i="86" a="1"/>
  <c r="AC186" i="86" s="1"/>
  <c r="AB186" i="86" a="1"/>
  <c r="AB186" i="86" s="1"/>
  <c r="AA186" i="86" a="1"/>
  <c r="AA186" i="86" s="1"/>
  <c r="Z186" i="86" a="1"/>
  <c r="Z186" i="86" s="1"/>
  <c r="Y186" i="86" a="1"/>
  <c r="Y186" i="86" s="1"/>
  <c r="X186" i="86" a="1"/>
  <c r="X186" i="86" s="1"/>
  <c r="W186" i="86" a="1"/>
  <c r="W186" i="86" s="1"/>
  <c r="V186" i="86" a="1"/>
  <c r="V186" i="86" s="1"/>
  <c r="U186" i="86" a="1"/>
  <c r="U186" i="86" s="1"/>
  <c r="T186" i="86" a="1"/>
  <c r="T186" i="86" s="1"/>
  <c r="S186" i="86" a="1"/>
  <c r="S186" i="86" s="1"/>
  <c r="R186" i="86" a="1"/>
  <c r="R186" i="86" s="1"/>
  <c r="Q186" i="86" a="1"/>
  <c r="Q186" i="86" s="1"/>
  <c r="P186" i="86" a="1"/>
  <c r="P186" i="86" s="1"/>
  <c r="O186" i="86" a="1"/>
  <c r="O186" i="86" s="1"/>
  <c r="N186" i="86" a="1"/>
  <c r="N186" i="86" s="1"/>
  <c r="M186" i="86" a="1"/>
  <c r="M186" i="86" s="1"/>
  <c r="L186" i="86" a="1"/>
  <c r="L186" i="86" s="1"/>
  <c r="K186" i="86" a="1"/>
  <c r="K186" i="86" s="1"/>
  <c r="J186" i="86" a="1"/>
  <c r="J186" i="86" s="1"/>
  <c r="I186" i="86" a="1"/>
  <c r="I186" i="86" s="1"/>
  <c r="H186" i="86" a="1"/>
  <c r="H186" i="86" s="1"/>
  <c r="G186" i="86" a="1"/>
  <c r="G186" i="86" s="1"/>
  <c r="F186" i="86" a="1"/>
  <c r="F186" i="86" s="1"/>
  <c r="E186" i="86" a="1"/>
  <c r="E186" i="86" s="1"/>
  <c r="D186" i="86" a="1"/>
  <c r="D186" i="86" s="1"/>
  <c r="AH185" i="86" a="1"/>
  <c r="AH185" i="86" s="1"/>
  <c r="AG185" i="86" a="1"/>
  <c r="AG185" i="86" s="1"/>
  <c r="AF185" i="86" a="1"/>
  <c r="AF185" i="86" s="1"/>
  <c r="AE185" i="86" a="1"/>
  <c r="AE185" i="86" s="1"/>
  <c r="AD185" i="86" a="1"/>
  <c r="AD185" i="86" s="1"/>
  <c r="AC185" i="86" a="1"/>
  <c r="AC185" i="86" s="1"/>
  <c r="AB185" i="86" a="1"/>
  <c r="AB185" i="86" s="1"/>
  <c r="AA185" i="86" a="1"/>
  <c r="AA185" i="86" s="1"/>
  <c r="Z185" i="86" a="1"/>
  <c r="Z185" i="86" s="1"/>
  <c r="Y185" i="86" a="1"/>
  <c r="Y185" i="86" s="1"/>
  <c r="X185" i="86" a="1"/>
  <c r="X185" i="86" s="1"/>
  <c r="W185" i="86" a="1"/>
  <c r="W185" i="86" s="1"/>
  <c r="V185" i="86" a="1"/>
  <c r="V185" i="86" s="1"/>
  <c r="U185" i="86" a="1"/>
  <c r="U185" i="86" s="1"/>
  <c r="T185" i="86" a="1"/>
  <c r="T185" i="86" s="1"/>
  <c r="S185" i="86" a="1"/>
  <c r="S185" i="86" s="1"/>
  <c r="R185" i="86" a="1"/>
  <c r="R185" i="86" s="1"/>
  <c r="Q185" i="86" a="1"/>
  <c r="Q185" i="86" s="1"/>
  <c r="P185" i="86" a="1"/>
  <c r="P185" i="86" s="1"/>
  <c r="O185" i="86" a="1"/>
  <c r="O185" i="86" s="1"/>
  <c r="N185" i="86" a="1"/>
  <c r="N185" i="86" s="1"/>
  <c r="M185" i="86" a="1"/>
  <c r="M185" i="86" s="1"/>
  <c r="L185" i="86" a="1"/>
  <c r="L185" i="86" s="1"/>
  <c r="K185" i="86" a="1"/>
  <c r="K185" i="86" s="1"/>
  <c r="J185" i="86" a="1"/>
  <c r="J185" i="86" s="1"/>
  <c r="I185" i="86" a="1"/>
  <c r="I185" i="86" s="1"/>
  <c r="H185" i="86" a="1"/>
  <c r="H185" i="86" s="1"/>
  <c r="G185" i="86" a="1"/>
  <c r="G185" i="86" s="1"/>
  <c r="F185" i="86" a="1"/>
  <c r="F185" i="86" s="1"/>
  <c r="E185" i="86" a="1"/>
  <c r="E185" i="86" s="1"/>
  <c r="D185" i="86" a="1"/>
  <c r="D185" i="86" s="1"/>
  <c r="AH184" i="86" a="1"/>
  <c r="AH184" i="86" s="1"/>
  <c r="AG184" i="86" a="1"/>
  <c r="AG184" i="86" s="1"/>
  <c r="AF184" i="86" a="1"/>
  <c r="AF184" i="86" s="1"/>
  <c r="AE184" i="86" a="1"/>
  <c r="AE184" i="86" s="1"/>
  <c r="AD184" i="86" a="1"/>
  <c r="AD184" i="86" s="1"/>
  <c r="AC184" i="86" a="1"/>
  <c r="AC184" i="86" s="1"/>
  <c r="AB184" i="86" a="1"/>
  <c r="AB184" i="86" s="1"/>
  <c r="AA184" i="86" a="1"/>
  <c r="AA184" i="86" s="1"/>
  <c r="Z184" i="86" a="1"/>
  <c r="Z184" i="86" s="1"/>
  <c r="Y184" i="86" a="1"/>
  <c r="Y184" i="86" s="1"/>
  <c r="X184" i="86" a="1"/>
  <c r="X184" i="86" s="1"/>
  <c r="W184" i="86" a="1"/>
  <c r="W184" i="86" s="1"/>
  <c r="V184" i="86" a="1"/>
  <c r="V184" i="86" s="1"/>
  <c r="U184" i="86" a="1"/>
  <c r="U184" i="86" s="1"/>
  <c r="T184" i="86" a="1"/>
  <c r="T184" i="86" s="1"/>
  <c r="S184" i="86" a="1"/>
  <c r="S184" i="86" s="1"/>
  <c r="R184" i="86" a="1"/>
  <c r="R184" i="86" s="1"/>
  <c r="Q184" i="86" a="1"/>
  <c r="Q184" i="86" s="1"/>
  <c r="P184" i="86" a="1"/>
  <c r="P184" i="86" s="1"/>
  <c r="O184" i="86" a="1"/>
  <c r="O184" i="86" s="1"/>
  <c r="N184" i="86" a="1"/>
  <c r="N184" i="86" s="1"/>
  <c r="M184" i="86" a="1"/>
  <c r="M184" i="86" s="1"/>
  <c r="L184" i="86" a="1"/>
  <c r="L184" i="86" s="1"/>
  <c r="K184" i="86" a="1"/>
  <c r="K184" i="86" s="1"/>
  <c r="J184" i="86" a="1"/>
  <c r="J184" i="86" s="1"/>
  <c r="I184" i="86" a="1"/>
  <c r="I184" i="86" s="1"/>
  <c r="H184" i="86" a="1"/>
  <c r="H184" i="86" s="1"/>
  <c r="G184" i="86" a="1"/>
  <c r="G184" i="86" s="1"/>
  <c r="F184" i="86" a="1"/>
  <c r="F184" i="86" s="1"/>
  <c r="E184" i="86" a="1"/>
  <c r="E184" i="86" s="1"/>
  <c r="D184" i="86" a="1"/>
  <c r="D184" i="86" s="1"/>
  <c r="AH183" i="86" a="1"/>
  <c r="AH183" i="86" s="1"/>
  <c r="AG183" i="86" a="1"/>
  <c r="AG183" i="86" s="1"/>
  <c r="AF183" i="86" a="1"/>
  <c r="AF183" i="86" s="1"/>
  <c r="AE183" i="86" a="1"/>
  <c r="AE183" i="86" s="1"/>
  <c r="AD183" i="86" a="1"/>
  <c r="AD183" i="86" s="1"/>
  <c r="AC183" i="86" a="1"/>
  <c r="AC183" i="86" s="1"/>
  <c r="AB183" i="86" a="1"/>
  <c r="AB183" i="86" s="1"/>
  <c r="AA183" i="86" a="1"/>
  <c r="AA183" i="86" s="1"/>
  <c r="Z183" i="86" a="1"/>
  <c r="Z183" i="86" s="1"/>
  <c r="Y183" i="86" a="1"/>
  <c r="Y183" i="86" s="1"/>
  <c r="X183" i="86" a="1"/>
  <c r="X183" i="86" s="1"/>
  <c r="W183" i="86" a="1"/>
  <c r="W183" i="86" s="1"/>
  <c r="V183" i="86" a="1"/>
  <c r="V183" i="86" s="1"/>
  <c r="U183" i="86" a="1"/>
  <c r="U183" i="86" s="1"/>
  <c r="T183" i="86" a="1"/>
  <c r="T183" i="86" s="1"/>
  <c r="S183" i="86" a="1"/>
  <c r="S183" i="86" s="1"/>
  <c r="R183" i="86" a="1"/>
  <c r="R183" i="86" s="1"/>
  <c r="Q183" i="86" a="1"/>
  <c r="Q183" i="86" s="1"/>
  <c r="P183" i="86" a="1"/>
  <c r="P183" i="86" s="1"/>
  <c r="O183" i="86" a="1"/>
  <c r="O183" i="86" s="1"/>
  <c r="N183" i="86" a="1"/>
  <c r="N183" i="86" s="1"/>
  <c r="M183" i="86" a="1"/>
  <c r="M183" i="86" s="1"/>
  <c r="L183" i="86" a="1"/>
  <c r="L183" i="86" s="1"/>
  <c r="K183" i="86" a="1"/>
  <c r="K183" i="86" s="1"/>
  <c r="J183" i="86" a="1"/>
  <c r="J183" i="86" s="1"/>
  <c r="I183" i="86" a="1"/>
  <c r="I183" i="86" s="1"/>
  <c r="H183" i="86" a="1"/>
  <c r="H183" i="86" s="1"/>
  <c r="G183" i="86" a="1"/>
  <c r="G183" i="86" s="1"/>
  <c r="F183" i="86" a="1"/>
  <c r="F183" i="86" s="1"/>
  <c r="E183" i="86" a="1"/>
  <c r="E183" i="86" s="1"/>
  <c r="D183" i="86" a="1"/>
  <c r="D183" i="86" s="1"/>
  <c r="AH182" i="86" a="1"/>
  <c r="AH182" i="86" s="1"/>
  <c r="AG182" i="86" a="1"/>
  <c r="AG182" i="86" s="1"/>
  <c r="AF182" i="86" a="1"/>
  <c r="AF182" i="86" s="1"/>
  <c r="AE182" i="86" a="1"/>
  <c r="AE182" i="86" s="1"/>
  <c r="AD182" i="86" a="1"/>
  <c r="AD182" i="86" s="1"/>
  <c r="AC182" i="86" a="1"/>
  <c r="AC182" i="86" s="1"/>
  <c r="AB182" i="86" a="1"/>
  <c r="AB182" i="86" s="1"/>
  <c r="AA182" i="86" a="1"/>
  <c r="AA182" i="86" s="1"/>
  <c r="Z182" i="86" a="1"/>
  <c r="Z182" i="86" s="1"/>
  <c r="Y182" i="86" a="1"/>
  <c r="Y182" i="86" s="1"/>
  <c r="X182" i="86" a="1"/>
  <c r="X182" i="86" s="1"/>
  <c r="W182" i="86" a="1"/>
  <c r="W182" i="86" s="1"/>
  <c r="V182" i="86" a="1"/>
  <c r="V182" i="86" s="1"/>
  <c r="U182" i="86" a="1"/>
  <c r="U182" i="86" s="1"/>
  <c r="T182" i="86" a="1"/>
  <c r="T182" i="86" s="1"/>
  <c r="S182" i="86" a="1"/>
  <c r="S182" i="86" s="1"/>
  <c r="R182" i="86" a="1"/>
  <c r="R182" i="86" s="1"/>
  <c r="Q182" i="86" a="1"/>
  <c r="Q182" i="86" s="1"/>
  <c r="P182" i="86" a="1"/>
  <c r="P182" i="86" s="1"/>
  <c r="O182" i="86" a="1"/>
  <c r="O182" i="86" s="1"/>
  <c r="N182" i="86" a="1"/>
  <c r="N182" i="86" s="1"/>
  <c r="M182" i="86" a="1"/>
  <c r="M182" i="86" s="1"/>
  <c r="L182" i="86" a="1"/>
  <c r="L182" i="86" s="1"/>
  <c r="K182" i="86" a="1"/>
  <c r="K182" i="86" s="1"/>
  <c r="J182" i="86" a="1"/>
  <c r="J182" i="86" s="1"/>
  <c r="I182" i="86" a="1"/>
  <c r="I182" i="86" s="1"/>
  <c r="H182" i="86" a="1"/>
  <c r="H182" i="86" s="1"/>
  <c r="G182" i="86" a="1"/>
  <c r="G182" i="86" s="1"/>
  <c r="F182" i="86" a="1"/>
  <c r="F182" i="86" s="1"/>
  <c r="E182" i="86" a="1"/>
  <c r="E182" i="86" s="1"/>
  <c r="D182" i="86" a="1"/>
  <c r="D182" i="86" s="1"/>
  <c r="AH181" i="86" a="1"/>
  <c r="AH181" i="86" s="1"/>
  <c r="AG181" i="86" a="1"/>
  <c r="AG181" i="86" s="1"/>
  <c r="AF181" i="86" a="1"/>
  <c r="AF181" i="86" s="1"/>
  <c r="AE181" i="86" a="1"/>
  <c r="AE181" i="86" s="1"/>
  <c r="AD181" i="86" a="1"/>
  <c r="AD181" i="86" s="1"/>
  <c r="AC181" i="86" a="1"/>
  <c r="AC181" i="86" s="1"/>
  <c r="AB181" i="86" a="1"/>
  <c r="AB181" i="86" s="1"/>
  <c r="AA181" i="86" a="1"/>
  <c r="AA181" i="86" s="1"/>
  <c r="Z181" i="86" a="1"/>
  <c r="Z181" i="86" s="1"/>
  <c r="Y181" i="86" a="1"/>
  <c r="Y181" i="86" s="1"/>
  <c r="X181" i="86" a="1"/>
  <c r="X181" i="86" s="1"/>
  <c r="W181" i="86" a="1"/>
  <c r="W181" i="86" s="1"/>
  <c r="V181" i="86" a="1"/>
  <c r="V181" i="86" s="1"/>
  <c r="U181" i="86" a="1"/>
  <c r="U181" i="86" s="1"/>
  <c r="T181" i="86" a="1"/>
  <c r="T181" i="86" s="1"/>
  <c r="S181" i="86" a="1"/>
  <c r="S181" i="86" s="1"/>
  <c r="R181" i="86" a="1"/>
  <c r="R181" i="86" s="1"/>
  <c r="Q181" i="86" a="1"/>
  <c r="Q181" i="86" s="1"/>
  <c r="P181" i="86" a="1"/>
  <c r="P181" i="86" s="1"/>
  <c r="O181" i="86" a="1"/>
  <c r="O181" i="86" s="1"/>
  <c r="N181" i="86" a="1"/>
  <c r="N181" i="86" s="1"/>
  <c r="M181" i="86" a="1"/>
  <c r="M181" i="86" s="1"/>
  <c r="L181" i="86" a="1"/>
  <c r="L181" i="86" s="1"/>
  <c r="K181" i="86" a="1"/>
  <c r="K181" i="86" s="1"/>
  <c r="J181" i="86" a="1"/>
  <c r="J181" i="86" s="1"/>
  <c r="I181" i="86" a="1"/>
  <c r="I181" i="86" s="1"/>
  <c r="H181" i="86" a="1"/>
  <c r="H181" i="86" s="1"/>
  <c r="G181" i="86" a="1"/>
  <c r="G181" i="86" s="1"/>
  <c r="F181" i="86" a="1"/>
  <c r="F181" i="86" s="1"/>
  <c r="E181" i="86" a="1"/>
  <c r="E181" i="86" s="1"/>
  <c r="D181" i="86" a="1"/>
  <c r="D181" i="86" s="1"/>
  <c r="AH180" i="86" a="1"/>
  <c r="AH180" i="86" s="1"/>
  <c r="AG180" i="86" a="1"/>
  <c r="AG180" i="86" s="1"/>
  <c r="AF180" i="86" a="1"/>
  <c r="AF180" i="86" s="1"/>
  <c r="AE180" i="86" a="1"/>
  <c r="AE180" i="86" s="1"/>
  <c r="AD180" i="86" a="1"/>
  <c r="AD180" i="86" s="1"/>
  <c r="AC180" i="86" a="1"/>
  <c r="AC180" i="86" s="1"/>
  <c r="AB180" i="86" a="1"/>
  <c r="AB180" i="86" s="1"/>
  <c r="AA180" i="86" a="1"/>
  <c r="AA180" i="86" s="1"/>
  <c r="Z180" i="86" a="1"/>
  <c r="Z180" i="86" s="1"/>
  <c r="Y180" i="86" a="1"/>
  <c r="Y180" i="86" s="1"/>
  <c r="X180" i="86" a="1"/>
  <c r="X180" i="86" s="1"/>
  <c r="W180" i="86" a="1"/>
  <c r="W180" i="86" s="1"/>
  <c r="V180" i="86" a="1"/>
  <c r="V180" i="86" s="1"/>
  <c r="U180" i="86" a="1"/>
  <c r="U180" i="86" s="1"/>
  <c r="T180" i="86" a="1"/>
  <c r="T180" i="86" s="1"/>
  <c r="S180" i="86" a="1"/>
  <c r="S180" i="86" s="1"/>
  <c r="R180" i="86" a="1"/>
  <c r="R180" i="86" s="1"/>
  <c r="Q180" i="86" a="1"/>
  <c r="Q180" i="86" s="1"/>
  <c r="P180" i="86" a="1"/>
  <c r="P180" i="86" s="1"/>
  <c r="O180" i="86" a="1"/>
  <c r="O180" i="86" s="1"/>
  <c r="N180" i="86" a="1"/>
  <c r="N180" i="86" s="1"/>
  <c r="M180" i="86" a="1"/>
  <c r="M180" i="86" s="1"/>
  <c r="L180" i="86" a="1"/>
  <c r="L180" i="86" s="1"/>
  <c r="K180" i="86" a="1"/>
  <c r="K180" i="86" s="1"/>
  <c r="J180" i="86" a="1"/>
  <c r="J180" i="86" s="1"/>
  <c r="I180" i="86" a="1"/>
  <c r="I180" i="86" s="1"/>
  <c r="H180" i="86" a="1"/>
  <c r="H180" i="86" s="1"/>
  <c r="G180" i="86" a="1"/>
  <c r="G180" i="86" s="1"/>
  <c r="F180" i="86" a="1"/>
  <c r="F180" i="86" s="1"/>
  <c r="E180" i="86" a="1"/>
  <c r="E180" i="86" s="1"/>
  <c r="D180" i="86" a="1"/>
  <c r="D180" i="86" s="1"/>
  <c r="AH179" i="86" a="1"/>
  <c r="AH179" i="86" s="1"/>
  <c r="AG179" i="86" a="1"/>
  <c r="AG179" i="86" s="1"/>
  <c r="AF179" i="86" a="1"/>
  <c r="AF179" i="86" s="1"/>
  <c r="AE179" i="86" a="1"/>
  <c r="AE179" i="86" s="1"/>
  <c r="AD179" i="86" a="1"/>
  <c r="AD179" i="86" s="1"/>
  <c r="AC179" i="86" a="1"/>
  <c r="AC179" i="86" s="1"/>
  <c r="AB179" i="86" a="1"/>
  <c r="AB179" i="86" s="1"/>
  <c r="AA179" i="86" a="1"/>
  <c r="AA179" i="86" s="1"/>
  <c r="Z179" i="86" a="1"/>
  <c r="Z179" i="86" s="1"/>
  <c r="Y179" i="86" a="1"/>
  <c r="Y179" i="86" s="1"/>
  <c r="X179" i="86" a="1"/>
  <c r="X179" i="86" s="1"/>
  <c r="W179" i="86" a="1"/>
  <c r="W179" i="86" s="1"/>
  <c r="V179" i="86" a="1"/>
  <c r="V179" i="86" s="1"/>
  <c r="U179" i="86" a="1"/>
  <c r="U179" i="86" s="1"/>
  <c r="T179" i="86" a="1"/>
  <c r="T179" i="86" s="1"/>
  <c r="S179" i="86" a="1"/>
  <c r="S179" i="86" s="1"/>
  <c r="R179" i="86" a="1"/>
  <c r="R179" i="86" s="1"/>
  <c r="Q179" i="86" a="1"/>
  <c r="Q179" i="86" s="1"/>
  <c r="P179" i="86" a="1"/>
  <c r="P179" i="86" s="1"/>
  <c r="O179" i="86" a="1"/>
  <c r="O179" i="86" s="1"/>
  <c r="N179" i="86" a="1"/>
  <c r="N179" i="86" s="1"/>
  <c r="M179" i="86" a="1"/>
  <c r="M179" i="86" s="1"/>
  <c r="L179" i="86" a="1"/>
  <c r="L179" i="86" s="1"/>
  <c r="K179" i="86" a="1"/>
  <c r="K179" i="86" s="1"/>
  <c r="J179" i="86" a="1"/>
  <c r="J179" i="86" s="1"/>
  <c r="I179" i="86" a="1"/>
  <c r="I179" i="86" s="1"/>
  <c r="H179" i="86" a="1"/>
  <c r="H179" i="86" s="1"/>
  <c r="G179" i="86" a="1"/>
  <c r="G179" i="86" s="1"/>
  <c r="F179" i="86" a="1"/>
  <c r="F179" i="86" s="1"/>
  <c r="E179" i="86" a="1"/>
  <c r="E179" i="86" s="1"/>
  <c r="D179" i="86" a="1"/>
  <c r="D179" i="86" s="1"/>
  <c r="AH178" i="86" a="1"/>
  <c r="AH178" i="86" s="1"/>
  <c r="AG178" i="86" a="1"/>
  <c r="AG178" i="86" s="1"/>
  <c r="AF178" i="86" a="1"/>
  <c r="AF178" i="86" s="1"/>
  <c r="AE178" i="86" a="1"/>
  <c r="AE178" i="86" s="1"/>
  <c r="AD178" i="86" a="1"/>
  <c r="AD178" i="86" s="1"/>
  <c r="AC178" i="86" a="1"/>
  <c r="AC178" i="86" s="1"/>
  <c r="AB178" i="86" a="1"/>
  <c r="AB178" i="86" s="1"/>
  <c r="AA178" i="86" a="1"/>
  <c r="AA178" i="86" s="1"/>
  <c r="Z178" i="86" a="1"/>
  <c r="Z178" i="86" s="1"/>
  <c r="Y178" i="86" a="1"/>
  <c r="Y178" i="86" s="1"/>
  <c r="X178" i="86" a="1"/>
  <c r="X178" i="86" s="1"/>
  <c r="W178" i="86" a="1"/>
  <c r="W178" i="86" s="1"/>
  <c r="V178" i="86" a="1"/>
  <c r="V178" i="86" s="1"/>
  <c r="U178" i="86" a="1"/>
  <c r="U178" i="86" s="1"/>
  <c r="T178" i="86" a="1"/>
  <c r="T178" i="86" s="1"/>
  <c r="S178" i="86" a="1"/>
  <c r="S178" i="86" s="1"/>
  <c r="R178" i="86" a="1"/>
  <c r="R178" i="86" s="1"/>
  <c r="Q178" i="86" a="1"/>
  <c r="Q178" i="86" s="1"/>
  <c r="P178" i="86" a="1"/>
  <c r="P178" i="86" s="1"/>
  <c r="O178" i="86" a="1"/>
  <c r="O178" i="86" s="1"/>
  <c r="N178" i="86" a="1"/>
  <c r="N178" i="86" s="1"/>
  <c r="M178" i="86" a="1"/>
  <c r="M178" i="86" s="1"/>
  <c r="L178" i="86" a="1"/>
  <c r="L178" i="86" s="1"/>
  <c r="K178" i="86" a="1"/>
  <c r="K178" i="86" s="1"/>
  <c r="J178" i="86" a="1"/>
  <c r="J178" i="86" s="1"/>
  <c r="I178" i="86" a="1"/>
  <c r="I178" i="86" s="1"/>
  <c r="H178" i="86" a="1"/>
  <c r="H178" i="86" s="1"/>
  <c r="G178" i="86" a="1"/>
  <c r="G178" i="86" s="1"/>
  <c r="F178" i="86" a="1"/>
  <c r="F178" i="86" s="1"/>
  <c r="E178" i="86" a="1"/>
  <c r="E178" i="86" s="1"/>
  <c r="D178" i="86" a="1"/>
  <c r="D178" i="86" s="1"/>
  <c r="AH177" i="86" a="1"/>
  <c r="AH177" i="86" s="1"/>
  <c r="AG177" i="86" a="1"/>
  <c r="AG177" i="86" s="1"/>
  <c r="AF177" i="86" a="1"/>
  <c r="AF177" i="86" s="1"/>
  <c r="AE177" i="86" a="1"/>
  <c r="AE177" i="86" s="1"/>
  <c r="AD177" i="86" a="1"/>
  <c r="AD177" i="86" s="1"/>
  <c r="AC177" i="86" a="1"/>
  <c r="AC177" i="86" s="1"/>
  <c r="AB177" i="86" a="1"/>
  <c r="AB177" i="86" s="1"/>
  <c r="AA177" i="86" a="1"/>
  <c r="AA177" i="86" s="1"/>
  <c r="Z177" i="86" a="1"/>
  <c r="Z177" i="86" s="1"/>
  <c r="Y177" i="86" a="1"/>
  <c r="Y177" i="86" s="1"/>
  <c r="X177" i="86" a="1"/>
  <c r="X177" i="86" s="1"/>
  <c r="W177" i="86" a="1"/>
  <c r="W177" i="86" s="1"/>
  <c r="V177" i="86" a="1"/>
  <c r="V177" i="86" s="1"/>
  <c r="U177" i="86" a="1"/>
  <c r="U177" i="86" s="1"/>
  <c r="T177" i="86" a="1"/>
  <c r="T177" i="86" s="1"/>
  <c r="S177" i="86" a="1"/>
  <c r="S177" i="86" s="1"/>
  <c r="R177" i="86" a="1"/>
  <c r="R177" i="86" s="1"/>
  <c r="Q177" i="86" a="1"/>
  <c r="Q177" i="86" s="1"/>
  <c r="P177" i="86" a="1"/>
  <c r="P177" i="86" s="1"/>
  <c r="O177" i="86" a="1"/>
  <c r="O177" i="86" s="1"/>
  <c r="N177" i="86" a="1"/>
  <c r="N177" i="86" s="1"/>
  <c r="M177" i="86" a="1"/>
  <c r="M177" i="86" s="1"/>
  <c r="L177" i="86" a="1"/>
  <c r="L177" i="86" s="1"/>
  <c r="K177" i="86" a="1"/>
  <c r="K177" i="86" s="1"/>
  <c r="J177" i="86" a="1"/>
  <c r="J177" i="86" s="1"/>
  <c r="I177" i="86" a="1"/>
  <c r="I177" i="86" s="1"/>
  <c r="H177" i="86" a="1"/>
  <c r="H177" i="86" s="1"/>
  <c r="G177" i="86" a="1"/>
  <c r="G177" i="86" s="1"/>
  <c r="F177" i="86" a="1"/>
  <c r="F177" i="86" s="1"/>
  <c r="E177" i="86" a="1"/>
  <c r="E177" i="86" s="1"/>
  <c r="D177" i="86" a="1"/>
  <c r="D177" i="86" s="1"/>
  <c r="AH176" i="86" a="1"/>
  <c r="AH176" i="86" s="1"/>
  <c r="AG176" i="86" a="1"/>
  <c r="AG176" i="86" s="1"/>
  <c r="AF176" i="86" a="1"/>
  <c r="AF176" i="86" s="1"/>
  <c r="AE176" i="86" a="1"/>
  <c r="AE176" i="86" s="1"/>
  <c r="AD176" i="86" a="1"/>
  <c r="AD176" i="86" s="1"/>
  <c r="AC176" i="86" a="1"/>
  <c r="AC176" i="86" s="1"/>
  <c r="AB176" i="86" a="1"/>
  <c r="AB176" i="86" s="1"/>
  <c r="AA176" i="86" a="1"/>
  <c r="AA176" i="86" s="1"/>
  <c r="Z176" i="86" a="1"/>
  <c r="Z176" i="86" s="1"/>
  <c r="Y176" i="86" a="1"/>
  <c r="Y176" i="86" s="1"/>
  <c r="X176" i="86" a="1"/>
  <c r="X176" i="86" s="1"/>
  <c r="W176" i="86" a="1"/>
  <c r="W176" i="86" s="1"/>
  <c r="V176" i="86" a="1"/>
  <c r="V176" i="86" s="1"/>
  <c r="U176" i="86" a="1"/>
  <c r="U176" i="86" s="1"/>
  <c r="T176" i="86" a="1"/>
  <c r="T176" i="86" s="1"/>
  <c r="S176" i="86" a="1"/>
  <c r="S176" i="86" s="1"/>
  <c r="R176" i="86" a="1"/>
  <c r="R176" i="86" s="1"/>
  <c r="Q176" i="86" a="1"/>
  <c r="Q176" i="86" s="1"/>
  <c r="P176" i="86" a="1"/>
  <c r="P176" i="86" s="1"/>
  <c r="O176" i="86" a="1"/>
  <c r="O176" i="86" s="1"/>
  <c r="N176" i="86" a="1"/>
  <c r="N176" i="86" s="1"/>
  <c r="M176" i="86" a="1"/>
  <c r="M176" i="86" s="1"/>
  <c r="L176" i="86" a="1"/>
  <c r="L176" i="86" s="1"/>
  <c r="K176" i="86" a="1"/>
  <c r="K176" i="86" s="1"/>
  <c r="J176" i="86" a="1"/>
  <c r="J176" i="86" s="1"/>
  <c r="I176" i="86" a="1"/>
  <c r="I176" i="86" s="1"/>
  <c r="H176" i="86" a="1"/>
  <c r="H176" i="86" s="1"/>
  <c r="G176" i="86" a="1"/>
  <c r="G176" i="86" s="1"/>
  <c r="F176" i="86" a="1"/>
  <c r="F176" i="86" s="1"/>
  <c r="E176" i="86" a="1"/>
  <c r="E176" i="86" s="1"/>
  <c r="D176" i="86" a="1"/>
  <c r="D176" i="86" s="1"/>
  <c r="AH175" i="86" a="1"/>
  <c r="AH175" i="86" s="1"/>
  <c r="AG175" i="86" a="1"/>
  <c r="AG175" i="86" s="1"/>
  <c r="AF175" i="86" a="1"/>
  <c r="AF175" i="86" s="1"/>
  <c r="AE175" i="86" a="1"/>
  <c r="AE175" i="86" s="1"/>
  <c r="AD175" i="86" a="1"/>
  <c r="AD175" i="86" s="1"/>
  <c r="AC175" i="86" a="1"/>
  <c r="AC175" i="86" s="1"/>
  <c r="AB175" i="86" a="1"/>
  <c r="AB175" i="86" s="1"/>
  <c r="AA175" i="86" a="1"/>
  <c r="AA175" i="86" s="1"/>
  <c r="Z175" i="86" a="1"/>
  <c r="Z175" i="86" s="1"/>
  <c r="Y175" i="86" a="1"/>
  <c r="Y175" i="86" s="1"/>
  <c r="X175" i="86" a="1"/>
  <c r="X175" i="86" s="1"/>
  <c r="W175" i="86" a="1"/>
  <c r="W175" i="86" s="1"/>
  <c r="V175" i="86" a="1"/>
  <c r="V175" i="86" s="1"/>
  <c r="U175" i="86" a="1"/>
  <c r="U175" i="86" s="1"/>
  <c r="T175" i="86" a="1"/>
  <c r="T175" i="86" s="1"/>
  <c r="S175" i="86" a="1"/>
  <c r="S175" i="86" s="1"/>
  <c r="R175" i="86" a="1"/>
  <c r="R175" i="86" s="1"/>
  <c r="Q175" i="86" a="1"/>
  <c r="Q175" i="86" s="1"/>
  <c r="P175" i="86" a="1"/>
  <c r="P175" i="86" s="1"/>
  <c r="O175" i="86" a="1"/>
  <c r="O175" i="86" s="1"/>
  <c r="N175" i="86" a="1"/>
  <c r="N175" i="86" s="1"/>
  <c r="M175" i="86" a="1"/>
  <c r="M175" i="86" s="1"/>
  <c r="L175" i="86" a="1"/>
  <c r="L175" i="86" s="1"/>
  <c r="K175" i="86" a="1"/>
  <c r="K175" i="86" s="1"/>
  <c r="J175" i="86" a="1"/>
  <c r="J175" i="86" s="1"/>
  <c r="I175" i="86" a="1"/>
  <c r="I175" i="86" s="1"/>
  <c r="H175" i="86" a="1"/>
  <c r="H175" i="86" s="1"/>
  <c r="G175" i="86" a="1"/>
  <c r="G175" i="86" s="1"/>
  <c r="F175" i="86" a="1"/>
  <c r="F175" i="86" s="1"/>
  <c r="E175" i="86" a="1"/>
  <c r="E175" i="86" s="1"/>
  <c r="D175" i="86" a="1"/>
  <c r="D175" i="86" s="1"/>
  <c r="AH174" i="86" a="1"/>
  <c r="AH174" i="86" s="1"/>
  <c r="AG174" i="86" a="1"/>
  <c r="AG174" i="86" s="1"/>
  <c r="AF174" i="86" a="1"/>
  <c r="AF174" i="86" s="1"/>
  <c r="AE174" i="86" a="1"/>
  <c r="AE174" i="86" s="1"/>
  <c r="AD174" i="86" a="1"/>
  <c r="AD174" i="86" s="1"/>
  <c r="AC174" i="86" a="1"/>
  <c r="AC174" i="86" s="1"/>
  <c r="AB174" i="86" a="1"/>
  <c r="AB174" i="86" s="1"/>
  <c r="AA174" i="86" a="1"/>
  <c r="AA174" i="86" s="1"/>
  <c r="Z174" i="86" a="1"/>
  <c r="Z174" i="86" s="1"/>
  <c r="Y174" i="86" a="1"/>
  <c r="Y174" i="86" s="1"/>
  <c r="X174" i="86" a="1"/>
  <c r="X174" i="86" s="1"/>
  <c r="W174" i="86" a="1"/>
  <c r="W174" i="86" s="1"/>
  <c r="V174" i="86" a="1"/>
  <c r="V174" i="86" s="1"/>
  <c r="U174" i="86" a="1"/>
  <c r="U174" i="86" s="1"/>
  <c r="T174" i="86" a="1"/>
  <c r="T174" i="86" s="1"/>
  <c r="S174" i="86" a="1"/>
  <c r="S174" i="86" s="1"/>
  <c r="R174" i="86" a="1"/>
  <c r="R174" i="86" s="1"/>
  <c r="Q174" i="86" a="1"/>
  <c r="Q174" i="86" s="1"/>
  <c r="P174" i="86" a="1"/>
  <c r="P174" i="86" s="1"/>
  <c r="O174" i="86" a="1"/>
  <c r="O174" i="86" s="1"/>
  <c r="N174" i="86" a="1"/>
  <c r="N174" i="86" s="1"/>
  <c r="M174" i="86" a="1"/>
  <c r="M174" i="86" s="1"/>
  <c r="L174" i="86" a="1"/>
  <c r="L174" i="86" s="1"/>
  <c r="K174" i="86" a="1"/>
  <c r="K174" i="86" s="1"/>
  <c r="J174" i="86" a="1"/>
  <c r="J174" i="86" s="1"/>
  <c r="I174" i="86" a="1"/>
  <c r="I174" i="86" s="1"/>
  <c r="H174" i="86" a="1"/>
  <c r="H174" i="86" s="1"/>
  <c r="G174" i="86" a="1"/>
  <c r="G174" i="86" s="1"/>
  <c r="F174" i="86" a="1"/>
  <c r="F174" i="86" s="1"/>
  <c r="E174" i="86" a="1"/>
  <c r="E174" i="86" s="1"/>
  <c r="D174" i="86" a="1"/>
  <c r="D174" i="86" s="1"/>
  <c r="AH173" i="86" a="1"/>
  <c r="AH173" i="86" s="1"/>
  <c r="AG173" i="86" a="1"/>
  <c r="AG173" i="86" s="1"/>
  <c r="AF173" i="86" a="1"/>
  <c r="AF173" i="86" s="1"/>
  <c r="AE173" i="86" a="1"/>
  <c r="AE173" i="86" s="1"/>
  <c r="AD173" i="86" a="1"/>
  <c r="AD173" i="86" s="1"/>
  <c r="AC173" i="86" a="1"/>
  <c r="AC173" i="86" s="1"/>
  <c r="AB173" i="86" a="1"/>
  <c r="AB173" i="86" s="1"/>
  <c r="AA173" i="86" a="1"/>
  <c r="AA173" i="86" s="1"/>
  <c r="Z173" i="86" a="1"/>
  <c r="Z173" i="86" s="1"/>
  <c r="Y173" i="86" a="1"/>
  <c r="Y173" i="86" s="1"/>
  <c r="X173" i="86" a="1"/>
  <c r="X173" i="86" s="1"/>
  <c r="W173" i="86" a="1"/>
  <c r="W173" i="86" s="1"/>
  <c r="V173" i="86" a="1"/>
  <c r="V173" i="86" s="1"/>
  <c r="U173" i="86" a="1"/>
  <c r="U173" i="86" s="1"/>
  <c r="T173" i="86" a="1"/>
  <c r="T173" i="86" s="1"/>
  <c r="S173" i="86" a="1"/>
  <c r="S173" i="86" s="1"/>
  <c r="R173" i="86" a="1"/>
  <c r="R173" i="86" s="1"/>
  <c r="Q173" i="86" a="1"/>
  <c r="Q173" i="86" s="1"/>
  <c r="P173" i="86" a="1"/>
  <c r="P173" i="86" s="1"/>
  <c r="O173" i="86" a="1"/>
  <c r="O173" i="86" s="1"/>
  <c r="N173" i="86" a="1"/>
  <c r="N173" i="86" s="1"/>
  <c r="M173" i="86" a="1"/>
  <c r="M173" i="86" s="1"/>
  <c r="L173" i="86" a="1"/>
  <c r="L173" i="86" s="1"/>
  <c r="K173" i="86" a="1"/>
  <c r="K173" i="86" s="1"/>
  <c r="J173" i="86" a="1"/>
  <c r="J173" i="86" s="1"/>
  <c r="I173" i="86" a="1"/>
  <c r="I173" i="86" s="1"/>
  <c r="H173" i="86" a="1"/>
  <c r="H173" i="86" s="1"/>
  <c r="G173" i="86" a="1"/>
  <c r="G173" i="86" s="1"/>
  <c r="F173" i="86" a="1"/>
  <c r="F173" i="86" s="1"/>
  <c r="E173" i="86" a="1"/>
  <c r="E173" i="86" s="1"/>
  <c r="D173" i="86" a="1"/>
  <c r="D173" i="86" s="1"/>
  <c r="AH172" i="86" a="1"/>
  <c r="AH172" i="86" s="1"/>
  <c r="AG172" i="86" a="1"/>
  <c r="AG172" i="86" s="1"/>
  <c r="AF172" i="86" a="1"/>
  <c r="AF172" i="86" s="1"/>
  <c r="AE172" i="86" a="1"/>
  <c r="AE172" i="86" s="1"/>
  <c r="AD172" i="86" a="1"/>
  <c r="AD172" i="86" s="1"/>
  <c r="AC172" i="86" a="1"/>
  <c r="AC172" i="86" s="1"/>
  <c r="AB172" i="86" a="1"/>
  <c r="AB172" i="86" s="1"/>
  <c r="AA172" i="86" a="1"/>
  <c r="AA172" i="86" s="1"/>
  <c r="Z172" i="86" a="1"/>
  <c r="Z172" i="86" s="1"/>
  <c r="Y172" i="86" a="1"/>
  <c r="Y172" i="86" s="1"/>
  <c r="X172" i="86" a="1"/>
  <c r="X172" i="86" s="1"/>
  <c r="W172" i="86" a="1"/>
  <c r="W172" i="86" s="1"/>
  <c r="V172" i="86" a="1"/>
  <c r="V172" i="86" s="1"/>
  <c r="U172" i="86" a="1"/>
  <c r="U172" i="86" s="1"/>
  <c r="T172" i="86" a="1"/>
  <c r="T172" i="86" s="1"/>
  <c r="S172" i="86" a="1"/>
  <c r="S172" i="86" s="1"/>
  <c r="R172" i="86" a="1"/>
  <c r="R172" i="86" s="1"/>
  <c r="Q172" i="86" a="1"/>
  <c r="Q172" i="86" s="1"/>
  <c r="P172" i="86" a="1"/>
  <c r="P172" i="86" s="1"/>
  <c r="O172" i="86" a="1"/>
  <c r="O172" i="86" s="1"/>
  <c r="N172" i="86" a="1"/>
  <c r="N172" i="86" s="1"/>
  <c r="M172" i="86" a="1"/>
  <c r="M172" i="86" s="1"/>
  <c r="L172" i="86" a="1"/>
  <c r="L172" i="86" s="1"/>
  <c r="K172" i="86" a="1"/>
  <c r="K172" i="86" s="1"/>
  <c r="J172" i="86" a="1"/>
  <c r="J172" i="86" s="1"/>
  <c r="I172" i="86" a="1"/>
  <c r="I172" i="86" s="1"/>
  <c r="H172" i="86" a="1"/>
  <c r="H172" i="86" s="1"/>
  <c r="G172" i="86" a="1"/>
  <c r="G172" i="86" s="1"/>
  <c r="F172" i="86" a="1"/>
  <c r="F172" i="86" s="1"/>
  <c r="E172" i="86" a="1"/>
  <c r="E172" i="86" s="1"/>
  <c r="D172" i="86" a="1"/>
  <c r="D172" i="86" s="1"/>
  <c r="AH171" i="86" a="1"/>
  <c r="AH171" i="86" s="1"/>
  <c r="AG171" i="86" a="1"/>
  <c r="AG171" i="86" s="1"/>
  <c r="AF171" i="86" a="1"/>
  <c r="AF171" i="86" s="1"/>
  <c r="AE171" i="86" a="1"/>
  <c r="AE171" i="86" s="1"/>
  <c r="AD171" i="86" a="1"/>
  <c r="AD171" i="86" s="1"/>
  <c r="AC171" i="86" a="1"/>
  <c r="AC171" i="86" s="1"/>
  <c r="AB171" i="86" a="1"/>
  <c r="AB171" i="86" s="1"/>
  <c r="AA171" i="86" a="1"/>
  <c r="AA171" i="86" s="1"/>
  <c r="Z171" i="86" a="1"/>
  <c r="Z171" i="86" s="1"/>
  <c r="Y171" i="86" a="1"/>
  <c r="Y171" i="86" s="1"/>
  <c r="X171" i="86" a="1"/>
  <c r="X171" i="86" s="1"/>
  <c r="W171" i="86" a="1"/>
  <c r="W171" i="86" s="1"/>
  <c r="V171" i="86" a="1"/>
  <c r="V171" i="86" s="1"/>
  <c r="U171" i="86" a="1"/>
  <c r="U171" i="86" s="1"/>
  <c r="T171" i="86" a="1"/>
  <c r="T171" i="86" s="1"/>
  <c r="S171" i="86" a="1"/>
  <c r="S171" i="86" s="1"/>
  <c r="R171" i="86" a="1"/>
  <c r="R171" i="86" s="1"/>
  <c r="Q171" i="86" a="1"/>
  <c r="Q171" i="86" s="1"/>
  <c r="P171" i="86" a="1"/>
  <c r="P171" i="86" s="1"/>
  <c r="O171" i="86" a="1"/>
  <c r="O171" i="86" s="1"/>
  <c r="N171" i="86" a="1"/>
  <c r="N171" i="86" s="1"/>
  <c r="M171" i="86" a="1"/>
  <c r="M171" i="86" s="1"/>
  <c r="L171" i="86" a="1"/>
  <c r="L171" i="86" s="1"/>
  <c r="K171" i="86" a="1"/>
  <c r="K171" i="86" s="1"/>
  <c r="J171" i="86" a="1"/>
  <c r="J171" i="86" s="1"/>
  <c r="I171" i="86" a="1"/>
  <c r="I171" i="86" s="1"/>
  <c r="H171" i="86" a="1"/>
  <c r="H171" i="86" s="1"/>
  <c r="G171" i="86" a="1"/>
  <c r="G171" i="86" s="1"/>
  <c r="F171" i="86" a="1"/>
  <c r="F171" i="86" s="1"/>
  <c r="E171" i="86" a="1"/>
  <c r="E171" i="86" s="1"/>
  <c r="D171" i="86" a="1"/>
  <c r="D171" i="86" s="1"/>
  <c r="AH170" i="86" a="1"/>
  <c r="AH170" i="86" s="1"/>
  <c r="AG170" i="86" a="1"/>
  <c r="AG170" i="86" s="1"/>
  <c r="AF170" i="86" a="1"/>
  <c r="AF170" i="86" s="1"/>
  <c r="AE170" i="86" a="1"/>
  <c r="AE170" i="86" s="1"/>
  <c r="AD170" i="86" a="1"/>
  <c r="AD170" i="86" s="1"/>
  <c r="AC170" i="86" a="1"/>
  <c r="AC170" i="86" s="1"/>
  <c r="AB170" i="86" a="1"/>
  <c r="AB170" i="86" s="1"/>
  <c r="AA170" i="86" a="1"/>
  <c r="AA170" i="86" s="1"/>
  <c r="Z170" i="86" a="1"/>
  <c r="Z170" i="86" s="1"/>
  <c r="Y170" i="86" a="1"/>
  <c r="Y170" i="86" s="1"/>
  <c r="X170" i="86" a="1"/>
  <c r="X170" i="86" s="1"/>
  <c r="W170" i="86" a="1"/>
  <c r="W170" i="86" s="1"/>
  <c r="V170" i="86" a="1"/>
  <c r="V170" i="86" s="1"/>
  <c r="U170" i="86" a="1"/>
  <c r="U170" i="86" s="1"/>
  <c r="T170" i="86" a="1"/>
  <c r="T170" i="86" s="1"/>
  <c r="S170" i="86" a="1"/>
  <c r="S170" i="86" s="1"/>
  <c r="R170" i="86" a="1"/>
  <c r="R170" i="86" s="1"/>
  <c r="Q170" i="86" a="1"/>
  <c r="Q170" i="86" s="1"/>
  <c r="P170" i="86" a="1"/>
  <c r="P170" i="86" s="1"/>
  <c r="O170" i="86" a="1"/>
  <c r="O170" i="86" s="1"/>
  <c r="N170" i="86" a="1"/>
  <c r="N170" i="86" s="1"/>
  <c r="M170" i="86" a="1"/>
  <c r="M170" i="86" s="1"/>
  <c r="L170" i="86" a="1"/>
  <c r="L170" i="86" s="1"/>
  <c r="K170" i="86" a="1"/>
  <c r="K170" i="86" s="1"/>
  <c r="J170" i="86" a="1"/>
  <c r="J170" i="86" s="1"/>
  <c r="I170" i="86" a="1"/>
  <c r="I170" i="86" s="1"/>
  <c r="H170" i="86" a="1"/>
  <c r="H170" i="86" s="1"/>
  <c r="G170" i="86" a="1"/>
  <c r="G170" i="86" s="1"/>
  <c r="F170" i="86" a="1"/>
  <c r="F170" i="86" s="1"/>
  <c r="E170" i="86" a="1"/>
  <c r="E170" i="86" s="1"/>
  <c r="D170" i="86" a="1"/>
  <c r="D170" i="86" s="1"/>
  <c r="AH169" i="86" a="1"/>
  <c r="AH169" i="86" s="1"/>
  <c r="AG169" i="86" a="1"/>
  <c r="AG169" i="86" s="1"/>
  <c r="AF169" i="86" a="1"/>
  <c r="AF169" i="86" s="1"/>
  <c r="AE169" i="86" a="1"/>
  <c r="AE169" i="86" s="1"/>
  <c r="AD169" i="86" a="1"/>
  <c r="AD169" i="86" s="1"/>
  <c r="AC169" i="86" a="1"/>
  <c r="AC169" i="86" s="1"/>
  <c r="AB169" i="86" a="1"/>
  <c r="AB169" i="86" s="1"/>
  <c r="AA169" i="86" a="1"/>
  <c r="AA169" i="86" s="1"/>
  <c r="Z169" i="86" a="1"/>
  <c r="Z169" i="86" s="1"/>
  <c r="Y169" i="86" a="1"/>
  <c r="Y169" i="86" s="1"/>
  <c r="X169" i="86" a="1"/>
  <c r="X169" i="86" s="1"/>
  <c r="W169" i="86" a="1"/>
  <c r="W169" i="86" s="1"/>
  <c r="V169" i="86" a="1"/>
  <c r="V169" i="86" s="1"/>
  <c r="U169" i="86" a="1"/>
  <c r="U169" i="86" s="1"/>
  <c r="T169" i="86" a="1"/>
  <c r="T169" i="86" s="1"/>
  <c r="S169" i="86" a="1"/>
  <c r="S169" i="86" s="1"/>
  <c r="R169" i="86" a="1"/>
  <c r="R169" i="86" s="1"/>
  <c r="Q169" i="86" a="1"/>
  <c r="Q169" i="86" s="1"/>
  <c r="P169" i="86" a="1"/>
  <c r="P169" i="86" s="1"/>
  <c r="O169" i="86" a="1"/>
  <c r="O169" i="86" s="1"/>
  <c r="N169" i="86" a="1"/>
  <c r="N169" i="86" s="1"/>
  <c r="M169" i="86" a="1"/>
  <c r="M169" i="86" s="1"/>
  <c r="L169" i="86" a="1"/>
  <c r="L169" i="86" s="1"/>
  <c r="K169" i="86" a="1"/>
  <c r="K169" i="86" s="1"/>
  <c r="J169" i="86" a="1"/>
  <c r="J169" i="86" s="1"/>
  <c r="I169" i="86" a="1"/>
  <c r="I169" i="86" s="1"/>
  <c r="H169" i="86" a="1"/>
  <c r="H169" i="86" s="1"/>
  <c r="G169" i="86" a="1"/>
  <c r="G169" i="86" s="1"/>
  <c r="F169" i="86" a="1"/>
  <c r="F169" i="86" s="1"/>
  <c r="E169" i="86" a="1"/>
  <c r="E169" i="86" s="1"/>
  <c r="D169" i="86" a="1"/>
  <c r="D169" i="86" s="1"/>
  <c r="AH168" i="86" a="1"/>
  <c r="AH168" i="86" s="1"/>
  <c r="AG168" i="86" a="1"/>
  <c r="AG168" i="86" s="1"/>
  <c r="AF168" i="86" a="1"/>
  <c r="AF168" i="86" s="1"/>
  <c r="AE168" i="86" a="1"/>
  <c r="AE168" i="86" s="1"/>
  <c r="AD168" i="86" a="1"/>
  <c r="AD168" i="86" s="1"/>
  <c r="AC168" i="86" a="1"/>
  <c r="AC168" i="86" s="1"/>
  <c r="AB168" i="86" a="1"/>
  <c r="AB168" i="86" s="1"/>
  <c r="AA168" i="86" a="1"/>
  <c r="AA168" i="86" s="1"/>
  <c r="Z168" i="86" a="1"/>
  <c r="Z168" i="86" s="1"/>
  <c r="Y168" i="86" a="1"/>
  <c r="Y168" i="86" s="1"/>
  <c r="X168" i="86" a="1"/>
  <c r="X168" i="86" s="1"/>
  <c r="W168" i="86" a="1"/>
  <c r="W168" i="86" s="1"/>
  <c r="V168" i="86" a="1"/>
  <c r="V168" i="86" s="1"/>
  <c r="U168" i="86" a="1"/>
  <c r="U168" i="86" s="1"/>
  <c r="T168" i="86" a="1"/>
  <c r="T168" i="86" s="1"/>
  <c r="S168" i="86" a="1"/>
  <c r="S168" i="86" s="1"/>
  <c r="R168" i="86" a="1"/>
  <c r="R168" i="86" s="1"/>
  <c r="Q168" i="86" a="1"/>
  <c r="Q168" i="86" s="1"/>
  <c r="P168" i="86" a="1"/>
  <c r="P168" i="86" s="1"/>
  <c r="O168" i="86" a="1"/>
  <c r="O168" i="86" s="1"/>
  <c r="N168" i="86" a="1"/>
  <c r="N168" i="86" s="1"/>
  <c r="M168" i="86" a="1"/>
  <c r="M168" i="86" s="1"/>
  <c r="L168" i="86" a="1"/>
  <c r="L168" i="86" s="1"/>
  <c r="K168" i="86" a="1"/>
  <c r="K168" i="86" s="1"/>
  <c r="J168" i="86" a="1"/>
  <c r="J168" i="86" s="1"/>
  <c r="I168" i="86" a="1"/>
  <c r="I168" i="86" s="1"/>
  <c r="H168" i="86" a="1"/>
  <c r="H168" i="86" s="1"/>
  <c r="G168" i="86" a="1"/>
  <c r="G168" i="86" s="1"/>
  <c r="F168" i="86" a="1"/>
  <c r="F168" i="86" s="1"/>
  <c r="E168" i="86" a="1"/>
  <c r="E168" i="86" s="1"/>
  <c r="D168" i="86" a="1"/>
  <c r="D168" i="86" s="1"/>
  <c r="AH167" i="86" a="1"/>
  <c r="AH167" i="86" s="1"/>
  <c r="AG167" i="86" a="1"/>
  <c r="AG167" i="86" s="1"/>
  <c r="AF167" i="86" a="1"/>
  <c r="AF167" i="86" s="1"/>
  <c r="AE167" i="86" a="1"/>
  <c r="AE167" i="86" s="1"/>
  <c r="AD167" i="86" a="1"/>
  <c r="AD167" i="86" s="1"/>
  <c r="AC167" i="86" a="1"/>
  <c r="AC167" i="86" s="1"/>
  <c r="AB167" i="86" a="1"/>
  <c r="AB167" i="86" s="1"/>
  <c r="AA167" i="86" a="1"/>
  <c r="AA167" i="86" s="1"/>
  <c r="Z167" i="86" a="1"/>
  <c r="Z167" i="86" s="1"/>
  <c r="Y167" i="86" a="1"/>
  <c r="Y167" i="86" s="1"/>
  <c r="X167" i="86" a="1"/>
  <c r="X167" i="86" s="1"/>
  <c r="W167" i="86" a="1"/>
  <c r="W167" i="86" s="1"/>
  <c r="V167" i="86" a="1"/>
  <c r="V167" i="86" s="1"/>
  <c r="U167" i="86" a="1"/>
  <c r="U167" i="86" s="1"/>
  <c r="T167" i="86" a="1"/>
  <c r="T167" i="86" s="1"/>
  <c r="S167" i="86" a="1"/>
  <c r="S167" i="86" s="1"/>
  <c r="R167" i="86" a="1"/>
  <c r="R167" i="86" s="1"/>
  <c r="Q167" i="86" a="1"/>
  <c r="Q167" i="86" s="1"/>
  <c r="P167" i="86" a="1"/>
  <c r="P167" i="86" s="1"/>
  <c r="O167" i="86" a="1"/>
  <c r="O167" i="86" s="1"/>
  <c r="N167" i="86" a="1"/>
  <c r="N167" i="86" s="1"/>
  <c r="M167" i="86" a="1"/>
  <c r="M167" i="86" s="1"/>
  <c r="L167" i="86" a="1"/>
  <c r="L167" i="86" s="1"/>
  <c r="K167" i="86" a="1"/>
  <c r="K167" i="86" s="1"/>
  <c r="J167" i="86" a="1"/>
  <c r="J167" i="86" s="1"/>
  <c r="I167" i="86" a="1"/>
  <c r="I167" i="86" s="1"/>
  <c r="H167" i="86" a="1"/>
  <c r="H167" i="86" s="1"/>
  <c r="G167" i="86" a="1"/>
  <c r="G167" i="86" s="1"/>
  <c r="F167" i="86" a="1"/>
  <c r="F167" i="86" s="1"/>
  <c r="E167" i="86" a="1"/>
  <c r="E167" i="86" s="1"/>
  <c r="D167" i="86" a="1"/>
  <c r="D167" i="86" s="1"/>
  <c r="AH166" i="86" a="1"/>
  <c r="AH166" i="86" s="1"/>
  <c r="AG166" i="86" a="1"/>
  <c r="AG166" i="86" s="1"/>
  <c r="AF166" i="86" a="1"/>
  <c r="AF166" i="86" s="1"/>
  <c r="AE166" i="86" a="1"/>
  <c r="AE166" i="86" s="1"/>
  <c r="AD166" i="86" a="1"/>
  <c r="AD166" i="86" s="1"/>
  <c r="AC166" i="86" a="1"/>
  <c r="AC166" i="86" s="1"/>
  <c r="AB166" i="86" a="1"/>
  <c r="AB166" i="86" s="1"/>
  <c r="AA166" i="86" a="1"/>
  <c r="AA166" i="86" s="1"/>
  <c r="Z166" i="86" a="1"/>
  <c r="Z166" i="86" s="1"/>
  <c r="Y166" i="86" a="1"/>
  <c r="Y166" i="86" s="1"/>
  <c r="X166" i="86" a="1"/>
  <c r="X166" i="86" s="1"/>
  <c r="W166" i="86" a="1"/>
  <c r="W166" i="86" s="1"/>
  <c r="V166" i="86" a="1"/>
  <c r="V166" i="86" s="1"/>
  <c r="U166" i="86" a="1"/>
  <c r="U166" i="86" s="1"/>
  <c r="T166" i="86" a="1"/>
  <c r="T166" i="86" s="1"/>
  <c r="S166" i="86" a="1"/>
  <c r="S166" i="86" s="1"/>
  <c r="R166" i="86" a="1"/>
  <c r="R166" i="86" s="1"/>
  <c r="Q166" i="86" a="1"/>
  <c r="Q166" i="86" s="1"/>
  <c r="P166" i="86" a="1"/>
  <c r="P166" i="86" s="1"/>
  <c r="O166" i="86" a="1"/>
  <c r="O166" i="86" s="1"/>
  <c r="N166" i="86" a="1"/>
  <c r="N166" i="86" s="1"/>
  <c r="M166" i="86" a="1"/>
  <c r="M166" i="86" s="1"/>
  <c r="L166" i="86" a="1"/>
  <c r="L166" i="86" s="1"/>
  <c r="K166" i="86" a="1"/>
  <c r="K166" i="86" s="1"/>
  <c r="J166" i="86" a="1"/>
  <c r="J166" i="86" s="1"/>
  <c r="I166" i="86" a="1"/>
  <c r="I166" i="86" s="1"/>
  <c r="H166" i="86" a="1"/>
  <c r="H166" i="86" s="1"/>
  <c r="G166" i="86" a="1"/>
  <c r="G166" i="86" s="1"/>
  <c r="F166" i="86" a="1"/>
  <c r="F166" i="86" s="1"/>
  <c r="E166" i="86" a="1"/>
  <c r="E166" i="86" s="1"/>
  <c r="D166" i="86" a="1"/>
  <c r="D166" i="86" s="1"/>
  <c r="AH165" i="86" a="1"/>
  <c r="AH165" i="86" s="1"/>
  <c r="AG165" i="86" a="1"/>
  <c r="AG165" i="86" s="1"/>
  <c r="AF165" i="86" a="1"/>
  <c r="AF165" i="86" s="1"/>
  <c r="AE165" i="86" a="1"/>
  <c r="AE165" i="86" s="1"/>
  <c r="AD165" i="86" a="1"/>
  <c r="AD165" i="86" s="1"/>
  <c r="AC165" i="86" a="1"/>
  <c r="AC165" i="86" s="1"/>
  <c r="AB165" i="86" a="1"/>
  <c r="AB165" i="86" s="1"/>
  <c r="AA165" i="86" a="1"/>
  <c r="AA165" i="86" s="1"/>
  <c r="Z165" i="86" a="1"/>
  <c r="Z165" i="86" s="1"/>
  <c r="Y165" i="86" a="1"/>
  <c r="Y165" i="86" s="1"/>
  <c r="X165" i="86" a="1"/>
  <c r="X165" i="86" s="1"/>
  <c r="W165" i="86" a="1"/>
  <c r="W165" i="86" s="1"/>
  <c r="V165" i="86" a="1"/>
  <c r="V165" i="86" s="1"/>
  <c r="U165" i="86" a="1"/>
  <c r="U165" i="86" s="1"/>
  <c r="T165" i="86" a="1"/>
  <c r="T165" i="86" s="1"/>
  <c r="S165" i="86" a="1"/>
  <c r="S165" i="86" s="1"/>
  <c r="R165" i="86" a="1"/>
  <c r="R165" i="86" s="1"/>
  <c r="Q165" i="86" a="1"/>
  <c r="Q165" i="86" s="1"/>
  <c r="P165" i="86" a="1"/>
  <c r="P165" i="86" s="1"/>
  <c r="O165" i="86" a="1"/>
  <c r="O165" i="86" s="1"/>
  <c r="N165" i="86" a="1"/>
  <c r="N165" i="86" s="1"/>
  <c r="M165" i="86" a="1"/>
  <c r="M165" i="86" s="1"/>
  <c r="L165" i="86" a="1"/>
  <c r="L165" i="86" s="1"/>
  <c r="K165" i="86" a="1"/>
  <c r="K165" i="86" s="1"/>
  <c r="J165" i="86" a="1"/>
  <c r="J165" i="86" s="1"/>
  <c r="I165" i="86" a="1"/>
  <c r="I165" i="86" s="1"/>
  <c r="H165" i="86" a="1"/>
  <c r="H165" i="86" s="1"/>
  <c r="G165" i="86" a="1"/>
  <c r="G165" i="86" s="1"/>
  <c r="F165" i="86" a="1"/>
  <c r="F165" i="86" s="1"/>
  <c r="E165" i="86" a="1"/>
  <c r="E165" i="86" s="1"/>
  <c r="D165" i="86" a="1"/>
  <c r="D165" i="86" s="1"/>
  <c r="AH164" i="86" a="1"/>
  <c r="AH164" i="86" s="1"/>
  <c r="AG164" i="86" a="1"/>
  <c r="AG164" i="86" s="1"/>
  <c r="AF164" i="86" a="1"/>
  <c r="AF164" i="86" s="1"/>
  <c r="AE164" i="86" a="1"/>
  <c r="AE164" i="86" s="1"/>
  <c r="AD164" i="86" a="1"/>
  <c r="AD164" i="86" s="1"/>
  <c r="AC164" i="86" a="1"/>
  <c r="AC164" i="86" s="1"/>
  <c r="AB164" i="86" a="1"/>
  <c r="AB164" i="86" s="1"/>
  <c r="AA164" i="86" a="1"/>
  <c r="AA164" i="86" s="1"/>
  <c r="Z164" i="86" a="1"/>
  <c r="Z164" i="86" s="1"/>
  <c r="Y164" i="86" a="1"/>
  <c r="Y164" i="86" s="1"/>
  <c r="X164" i="86" a="1"/>
  <c r="X164" i="86" s="1"/>
  <c r="W164" i="86" a="1"/>
  <c r="W164" i="86" s="1"/>
  <c r="V164" i="86" a="1"/>
  <c r="V164" i="86" s="1"/>
  <c r="U164" i="86" a="1"/>
  <c r="U164" i="86" s="1"/>
  <c r="T164" i="86" a="1"/>
  <c r="T164" i="86" s="1"/>
  <c r="S164" i="86" a="1"/>
  <c r="S164" i="86" s="1"/>
  <c r="R164" i="86" a="1"/>
  <c r="R164" i="86" s="1"/>
  <c r="Q164" i="86" a="1"/>
  <c r="Q164" i="86" s="1"/>
  <c r="P164" i="86" a="1"/>
  <c r="P164" i="86" s="1"/>
  <c r="O164" i="86" a="1"/>
  <c r="O164" i="86" s="1"/>
  <c r="N164" i="86" a="1"/>
  <c r="N164" i="86" s="1"/>
  <c r="M164" i="86" a="1"/>
  <c r="M164" i="86" s="1"/>
  <c r="L164" i="86" a="1"/>
  <c r="L164" i="86" s="1"/>
  <c r="K164" i="86" a="1"/>
  <c r="K164" i="86" s="1"/>
  <c r="J164" i="86" a="1"/>
  <c r="J164" i="86" s="1"/>
  <c r="I164" i="86" a="1"/>
  <c r="I164" i="86" s="1"/>
  <c r="H164" i="86" a="1"/>
  <c r="H164" i="86" s="1"/>
  <c r="G164" i="86" a="1"/>
  <c r="G164" i="86" s="1"/>
  <c r="F164" i="86" a="1"/>
  <c r="F164" i="86" s="1"/>
  <c r="E164" i="86" a="1"/>
  <c r="E164" i="86" s="1"/>
  <c r="D164" i="86" a="1"/>
  <c r="D164" i="86" s="1"/>
  <c r="AH163" i="86" a="1"/>
  <c r="AH163" i="86" s="1"/>
  <c r="AG163" i="86" a="1"/>
  <c r="AG163" i="86" s="1"/>
  <c r="AF163" i="86" a="1"/>
  <c r="AF163" i="86" s="1"/>
  <c r="AE163" i="86" a="1"/>
  <c r="AE163" i="86" s="1"/>
  <c r="AD163" i="86" a="1"/>
  <c r="AD163" i="86" s="1"/>
  <c r="AC163" i="86" a="1"/>
  <c r="AC163" i="86" s="1"/>
  <c r="AB163" i="86" a="1"/>
  <c r="AB163" i="86" s="1"/>
  <c r="AA163" i="86" a="1"/>
  <c r="AA163" i="86" s="1"/>
  <c r="Z163" i="86" a="1"/>
  <c r="Z163" i="86" s="1"/>
  <c r="Y163" i="86" a="1"/>
  <c r="Y163" i="86" s="1"/>
  <c r="X163" i="86" a="1"/>
  <c r="X163" i="86" s="1"/>
  <c r="W163" i="86" a="1"/>
  <c r="W163" i="86" s="1"/>
  <c r="V163" i="86" a="1"/>
  <c r="V163" i="86" s="1"/>
  <c r="U163" i="86" a="1"/>
  <c r="U163" i="86" s="1"/>
  <c r="T163" i="86" a="1"/>
  <c r="T163" i="86" s="1"/>
  <c r="S163" i="86" a="1"/>
  <c r="S163" i="86" s="1"/>
  <c r="R163" i="86" a="1"/>
  <c r="R163" i="86" s="1"/>
  <c r="Q163" i="86" a="1"/>
  <c r="Q163" i="86" s="1"/>
  <c r="P163" i="86" a="1"/>
  <c r="P163" i="86" s="1"/>
  <c r="O163" i="86" a="1"/>
  <c r="O163" i="86" s="1"/>
  <c r="N163" i="86" a="1"/>
  <c r="N163" i="86" s="1"/>
  <c r="M163" i="86" a="1"/>
  <c r="M163" i="86" s="1"/>
  <c r="L163" i="86" a="1"/>
  <c r="L163" i="86" s="1"/>
  <c r="K163" i="86" a="1"/>
  <c r="K163" i="86" s="1"/>
  <c r="J163" i="86" a="1"/>
  <c r="J163" i="86" s="1"/>
  <c r="I163" i="86" a="1"/>
  <c r="I163" i="86" s="1"/>
  <c r="H163" i="86" a="1"/>
  <c r="H163" i="86" s="1"/>
  <c r="G163" i="86" a="1"/>
  <c r="G163" i="86" s="1"/>
  <c r="F163" i="86" a="1"/>
  <c r="F163" i="86" s="1"/>
  <c r="E163" i="86" a="1"/>
  <c r="E163" i="86" s="1"/>
  <c r="D163" i="86" a="1"/>
  <c r="D163" i="86" s="1"/>
  <c r="AH162" i="86" a="1"/>
  <c r="AH162" i="86" s="1"/>
  <c r="AG162" i="86" a="1"/>
  <c r="AG162" i="86" s="1"/>
  <c r="AF162" i="86" a="1"/>
  <c r="AF162" i="86" s="1"/>
  <c r="AE162" i="86" a="1"/>
  <c r="AE162" i="86" s="1"/>
  <c r="AD162" i="86" a="1"/>
  <c r="AD162" i="86" s="1"/>
  <c r="AC162" i="86" a="1"/>
  <c r="AC162" i="86" s="1"/>
  <c r="AB162" i="86" a="1"/>
  <c r="AB162" i="86" s="1"/>
  <c r="AA162" i="86" a="1"/>
  <c r="AA162" i="86" s="1"/>
  <c r="Z162" i="86" a="1"/>
  <c r="Z162" i="86" s="1"/>
  <c r="Y162" i="86" a="1"/>
  <c r="Y162" i="86" s="1"/>
  <c r="X162" i="86" a="1"/>
  <c r="X162" i="86" s="1"/>
  <c r="W162" i="86" a="1"/>
  <c r="W162" i="86" s="1"/>
  <c r="V162" i="86" a="1"/>
  <c r="V162" i="86" s="1"/>
  <c r="U162" i="86" a="1"/>
  <c r="U162" i="86" s="1"/>
  <c r="T162" i="86" a="1"/>
  <c r="T162" i="86" s="1"/>
  <c r="S162" i="86" a="1"/>
  <c r="S162" i="86" s="1"/>
  <c r="R162" i="86" a="1"/>
  <c r="R162" i="86" s="1"/>
  <c r="Q162" i="86" a="1"/>
  <c r="Q162" i="86" s="1"/>
  <c r="P162" i="86" a="1"/>
  <c r="P162" i="86" s="1"/>
  <c r="O162" i="86" a="1"/>
  <c r="O162" i="86" s="1"/>
  <c r="N162" i="86" a="1"/>
  <c r="N162" i="86" s="1"/>
  <c r="M162" i="86" a="1"/>
  <c r="M162" i="86" s="1"/>
  <c r="L162" i="86" a="1"/>
  <c r="L162" i="86" s="1"/>
  <c r="K162" i="86" a="1"/>
  <c r="K162" i="86" s="1"/>
  <c r="J162" i="86" a="1"/>
  <c r="J162" i="86" s="1"/>
  <c r="I162" i="86" a="1"/>
  <c r="I162" i="86" s="1"/>
  <c r="H162" i="86" a="1"/>
  <c r="H162" i="86" s="1"/>
  <c r="G162" i="86" a="1"/>
  <c r="G162" i="86" s="1"/>
  <c r="F162" i="86" a="1"/>
  <c r="F162" i="86" s="1"/>
  <c r="E162" i="86" a="1"/>
  <c r="E162" i="86" s="1"/>
  <c r="D162" i="86" a="1"/>
  <c r="D162" i="86" s="1"/>
  <c r="AH161" i="86" a="1"/>
  <c r="AH161" i="86" s="1"/>
  <c r="AG161" i="86" a="1"/>
  <c r="AG161" i="86" s="1"/>
  <c r="AF161" i="86" a="1"/>
  <c r="AF161" i="86" s="1"/>
  <c r="AE161" i="86" a="1"/>
  <c r="AE161" i="86" s="1"/>
  <c r="AD161" i="86" a="1"/>
  <c r="AD161" i="86" s="1"/>
  <c r="AC161" i="86" a="1"/>
  <c r="AC161" i="86" s="1"/>
  <c r="AB161" i="86" a="1"/>
  <c r="AB161" i="86" s="1"/>
  <c r="AA161" i="86" a="1"/>
  <c r="AA161" i="86" s="1"/>
  <c r="Z161" i="86" a="1"/>
  <c r="Z161" i="86" s="1"/>
  <c r="Y161" i="86" a="1"/>
  <c r="Y161" i="86" s="1"/>
  <c r="X161" i="86" a="1"/>
  <c r="X161" i="86" s="1"/>
  <c r="W161" i="86" a="1"/>
  <c r="W161" i="86" s="1"/>
  <c r="V161" i="86" a="1"/>
  <c r="V161" i="86" s="1"/>
  <c r="U161" i="86" a="1"/>
  <c r="U161" i="86" s="1"/>
  <c r="T161" i="86" a="1"/>
  <c r="T161" i="86" s="1"/>
  <c r="S161" i="86" a="1"/>
  <c r="S161" i="86" s="1"/>
  <c r="R161" i="86" a="1"/>
  <c r="R161" i="86" s="1"/>
  <c r="Q161" i="86" a="1"/>
  <c r="Q161" i="86" s="1"/>
  <c r="P161" i="86" a="1"/>
  <c r="P161" i="86" s="1"/>
  <c r="O161" i="86" a="1"/>
  <c r="O161" i="86" s="1"/>
  <c r="N161" i="86" a="1"/>
  <c r="N161" i="86" s="1"/>
  <c r="M161" i="86" a="1"/>
  <c r="M161" i="86" s="1"/>
  <c r="L161" i="86" a="1"/>
  <c r="L161" i="86" s="1"/>
  <c r="K161" i="86" a="1"/>
  <c r="K161" i="86" s="1"/>
  <c r="J161" i="86" a="1"/>
  <c r="J161" i="86" s="1"/>
  <c r="I161" i="86" a="1"/>
  <c r="I161" i="86" s="1"/>
  <c r="H161" i="86" a="1"/>
  <c r="H161" i="86" s="1"/>
  <c r="G161" i="86" a="1"/>
  <c r="G161" i="86" s="1"/>
  <c r="F161" i="86" a="1"/>
  <c r="F161" i="86" s="1"/>
  <c r="E161" i="86" a="1"/>
  <c r="E161" i="86" s="1"/>
  <c r="D161" i="86" a="1"/>
  <c r="D161" i="86" s="1"/>
  <c r="AH160" i="86" a="1"/>
  <c r="AH160" i="86" s="1"/>
  <c r="AG160" i="86" a="1"/>
  <c r="AG160" i="86" s="1"/>
  <c r="AF160" i="86" a="1"/>
  <c r="AF160" i="86" s="1"/>
  <c r="AE160" i="86" a="1"/>
  <c r="AE160" i="86" s="1"/>
  <c r="AD160" i="86" a="1"/>
  <c r="AD160" i="86" s="1"/>
  <c r="AC160" i="86" a="1"/>
  <c r="AC160" i="86" s="1"/>
  <c r="AB160" i="86" a="1"/>
  <c r="AB160" i="86" s="1"/>
  <c r="AA160" i="86" a="1"/>
  <c r="AA160" i="86" s="1"/>
  <c r="Z160" i="86" a="1"/>
  <c r="Z160" i="86" s="1"/>
  <c r="Y160" i="86" a="1"/>
  <c r="Y160" i="86" s="1"/>
  <c r="X160" i="86" a="1"/>
  <c r="X160" i="86" s="1"/>
  <c r="W160" i="86" a="1"/>
  <c r="W160" i="86" s="1"/>
  <c r="V160" i="86" a="1"/>
  <c r="V160" i="86" s="1"/>
  <c r="U160" i="86" a="1"/>
  <c r="U160" i="86" s="1"/>
  <c r="T160" i="86" a="1"/>
  <c r="T160" i="86" s="1"/>
  <c r="S160" i="86" a="1"/>
  <c r="S160" i="86" s="1"/>
  <c r="R160" i="86" a="1"/>
  <c r="R160" i="86" s="1"/>
  <c r="Q160" i="86" a="1"/>
  <c r="Q160" i="86" s="1"/>
  <c r="P160" i="86" a="1"/>
  <c r="P160" i="86" s="1"/>
  <c r="O160" i="86" a="1"/>
  <c r="O160" i="86" s="1"/>
  <c r="N160" i="86" a="1"/>
  <c r="N160" i="86" s="1"/>
  <c r="M160" i="86" a="1"/>
  <c r="M160" i="86" s="1"/>
  <c r="L160" i="86" a="1"/>
  <c r="L160" i="86" s="1"/>
  <c r="K160" i="86" a="1"/>
  <c r="K160" i="86" s="1"/>
  <c r="J160" i="86" a="1"/>
  <c r="J160" i="86" s="1"/>
  <c r="I160" i="86" a="1"/>
  <c r="I160" i="86" s="1"/>
  <c r="H160" i="86" a="1"/>
  <c r="H160" i="86" s="1"/>
  <c r="G160" i="86" a="1"/>
  <c r="G160" i="86" s="1"/>
  <c r="F160" i="86" a="1"/>
  <c r="F160" i="86" s="1"/>
  <c r="E160" i="86" a="1"/>
  <c r="E160" i="86" s="1"/>
  <c r="D160" i="86" a="1"/>
  <c r="D160" i="86" s="1"/>
  <c r="AH159" i="86" a="1"/>
  <c r="AH159" i="86" s="1"/>
  <c r="AG159" i="86" a="1"/>
  <c r="AG159" i="86" s="1"/>
  <c r="AF159" i="86" a="1"/>
  <c r="AF159" i="86" s="1"/>
  <c r="AE159" i="86" a="1"/>
  <c r="AE159" i="86" s="1"/>
  <c r="AD159" i="86" a="1"/>
  <c r="AD159" i="86" s="1"/>
  <c r="AC159" i="86" a="1"/>
  <c r="AC159" i="86" s="1"/>
  <c r="AB159" i="86" a="1"/>
  <c r="AB159" i="86" s="1"/>
  <c r="AA159" i="86" a="1"/>
  <c r="AA159" i="86" s="1"/>
  <c r="Z159" i="86" a="1"/>
  <c r="Z159" i="86" s="1"/>
  <c r="Y159" i="86" a="1"/>
  <c r="Y159" i="86" s="1"/>
  <c r="X159" i="86" a="1"/>
  <c r="X159" i="86" s="1"/>
  <c r="W159" i="86" a="1"/>
  <c r="W159" i="86" s="1"/>
  <c r="V159" i="86" a="1"/>
  <c r="V159" i="86" s="1"/>
  <c r="U159" i="86" a="1"/>
  <c r="U159" i="86" s="1"/>
  <c r="T159" i="86" a="1"/>
  <c r="T159" i="86" s="1"/>
  <c r="S159" i="86" a="1"/>
  <c r="S159" i="86" s="1"/>
  <c r="R159" i="86" a="1"/>
  <c r="R159" i="86" s="1"/>
  <c r="Q159" i="86" a="1"/>
  <c r="Q159" i="86" s="1"/>
  <c r="P159" i="86" a="1"/>
  <c r="P159" i="86" s="1"/>
  <c r="O159" i="86" a="1"/>
  <c r="O159" i="86" s="1"/>
  <c r="N159" i="86" a="1"/>
  <c r="N159" i="86" s="1"/>
  <c r="M159" i="86" a="1"/>
  <c r="M159" i="86" s="1"/>
  <c r="L159" i="86" a="1"/>
  <c r="L159" i="86" s="1"/>
  <c r="K159" i="86" a="1"/>
  <c r="K159" i="86" s="1"/>
  <c r="J159" i="86" a="1"/>
  <c r="J159" i="86" s="1"/>
  <c r="I159" i="86" a="1"/>
  <c r="I159" i="86" s="1"/>
  <c r="H159" i="86" a="1"/>
  <c r="H159" i="86" s="1"/>
  <c r="G159" i="86" a="1"/>
  <c r="G159" i="86" s="1"/>
  <c r="F159" i="86" a="1"/>
  <c r="F159" i="86" s="1"/>
  <c r="E159" i="86" a="1"/>
  <c r="E159" i="86" s="1"/>
  <c r="D159" i="86" a="1"/>
  <c r="D159" i="86" s="1"/>
  <c r="AH158" i="86" a="1"/>
  <c r="AH158" i="86" s="1"/>
  <c r="AG158" i="86" a="1"/>
  <c r="AG158" i="86" s="1"/>
  <c r="AF158" i="86" a="1"/>
  <c r="AF158" i="86" s="1"/>
  <c r="AE158" i="86" a="1"/>
  <c r="AE158" i="86" s="1"/>
  <c r="AD158" i="86" a="1"/>
  <c r="AD158" i="86" s="1"/>
  <c r="AC158" i="86" a="1"/>
  <c r="AC158" i="86" s="1"/>
  <c r="AB158" i="86" a="1"/>
  <c r="AB158" i="86" s="1"/>
  <c r="AA158" i="86" a="1"/>
  <c r="AA158" i="86" s="1"/>
  <c r="Z158" i="86" a="1"/>
  <c r="Z158" i="86" s="1"/>
  <c r="Y158" i="86" a="1"/>
  <c r="Y158" i="86" s="1"/>
  <c r="X158" i="86" a="1"/>
  <c r="X158" i="86" s="1"/>
  <c r="W158" i="86" a="1"/>
  <c r="W158" i="86" s="1"/>
  <c r="V158" i="86" a="1"/>
  <c r="V158" i="86" s="1"/>
  <c r="U158" i="86" a="1"/>
  <c r="U158" i="86" s="1"/>
  <c r="T158" i="86" a="1"/>
  <c r="T158" i="86" s="1"/>
  <c r="S158" i="86" a="1"/>
  <c r="S158" i="86" s="1"/>
  <c r="R158" i="86" a="1"/>
  <c r="R158" i="86" s="1"/>
  <c r="Q158" i="86" a="1"/>
  <c r="Q158" i="86" s="1"/>
  <c r="P158" i="86" a="1"/>
  <c r="P158" i="86" s="1"/>
  <c r="O158" i="86" a="1"/>
  <c r="O158" i="86" s="1"/>
  <c r="N158" i="86" a="1"/>
  <c r="N158" i="86" s="1"/>
  <c r="M158" i="86" a="1"/>
  <c r="M158" i="86" s="1"/>
  <c r="L158" i="86" a="1"/>
  <c r="L158" i="86" s="1"/>
  <c r="K158" i="86" a="1"/>
  <c r="K158" i="86" s="1"/>
  <c r="J158" i="86" a="1"/>
  <c r="J158" i="86" s="1"/>
  <c r="I158" i="86" a="1"/>
  <c r="I158" i="86" s="1"/>
  <c r="H158" i="86" a="1"/>
  <c r="H158" i="86" s="1"/>
  <c r="G158" i="86" a="1"/>
  <c r="G158" i="86" s="1"/>
  <c r="F158" i="86" a="1"/>
  <c r="F158" i="86" s="1"/>
  <c r="E158" i="86" a="1"/>
  <c r="E158" i="86" s="1"/>
  <c r="D158" i="86" a="1"/>
  <c r="D158" i="86" s="1"/>
  <c r="AH157" i="86" a="1"/>
  <c r="AH157" i="86" s="1"/>
  <c r="AG157" i="86" a="1"/>
  <c r="AG157" i="86" s="1"/>
  <c r="AF157" i="86" a="1"/>
  <c r="AF157" i="86" s="1"/>
  <c r="AE157" i="86" a="1"/>
  <c r="AE157" i="86" s="1"/>
  <c r="AD157" i="86" a="1"/>
  <c r="AD157" i="86" s="1"/>
  <c r="AC157" i="86" a="1"/>
  <c r="AC157" i="86" s="1"/>
  <c r="AB157" i="86" a="1"/>
  <c r="AB157" i="86" s="1"/>
  <c r="AA157" i="86" a="1"/>
  <c r="AA157" i="86" s="1"/>
  <c r="Z157" i="86" a="1"/>
  <c r="Z157" i="86" s="1"/>
  <c r="Y157" i="86" a="1"/>
  <c r="Y157" i="86" s="1"/>
  <c r="X157" i="86" a="1"/>
  <c r="X157" i="86" s="1"/>
  <c r="W157" i="86" a="1"/>
  <c r="W157" i="86" s="1"/>
  <c r="V157" i="86" a="1"/>
  <c r="V157" i="86" s="1"/>
  <c r="U157" i="86" a="1"/>
  <c r="U157" i="86" s="1"/>
  <c r="T157" i="86" a="1"/>
  <c r="T157" i="86" s="1"/>
  <c r="S157" i="86" a="1"/>
  <c r="S157" i="86" s="1"/>
  <c r="R157" i="86" a="1"/>
  <c r="R157" i="86" s="1"/>
  <c r="Q157" i="86" a="1"/>
  <c r="Q157" i="86" s="1"/>
  <c r="P157" i="86" a="1"/>
  <c r="P157" i="86" s="1"/>
  <c r="O157" i="86" a="1"/>
  <c r="O157" i="86" s="1"/>
  <c r="N157" i="86" a="1"/>
  <c r="N157" i="86" s="1"/>
  <c r="M157" i="86" a="1"/>
  <c r="M157" i="86" s="1"/>
  <c r="L157" i="86" a="1"/>
  <c r="L157" i="86" s="1"/>
  <c r="K157" i="86" a="1"/>
  <c r="K157" i="86" s="1"/>
  <c r="J157" i="86" a="1"/>
  <c r="J157" i="86" s="1"/>
  <c r="I157" i="86" a="1"/>
  <c r="I157" i="86" s="1"/>
  <c r="H157" i="86" a="1"/>
  <c r="H157" i="86" s="1"/>
  <c r="G157" i="86" a="1"/>
  <c r="G157" i="86" s="1"/>
  <c r="F157" i="86" a="1"/>
  <c r="F157" i="86" s="1"/>
  <c r="E157" i="86" a="1"/>
  <c r="E157" i="86" s="1"/>
  <c r="D157" i="86" a="1"/>
  <c r="D157" i="86" s="1"/>
  <c r="AH156" i="86" a="1"/>
  <c r="AH156" i="86" s="1"/>
  <c r="AG156" i="86" a="1"/>
  <c r="AG156" i="86" s="1"/>
  <c r="AF156" i="86" a="1"/>
  <c r="AF156" i="86" s="1"/>
  <c r="AE156" i="86" a="1"/>
  <c r="AE156" i="86" s="1"/>
  <c r="AD156" i="86" a="1"/>
  <c r="AD156" i="86" s="1"/>
  <c r="AC156" i="86" a="1"/>
  <c r="AC156" i="86" s="1"/>
  <c r="AB156" i="86" a="1"/>
  <c r="AB156" i="86" s="1"/>
  <c r="AA156" i="86" a="1"/>
  <c r="AA156" i="86" s="1"/>
  <c r="Z156" i="86" a="1"/>
  <c r="Z156" i="86" s="1"/>
  <c r="Y156" i="86" a="1"/>
  <c r="Y156" i="86" s="1"/>
  <c r="X156" i="86" a="1"/>
  <c r="X156" i="86" s="1"/>
  <c r="W156" i="86" a="1"/>
  <c r="W156" i="86" s="1"/>
  <c r="V156" i="86" a="1"/>
  <c r="V156" i="86" s="1"/>
  <c r="U156" i="86" a="1"/>
  <c r="U156" i="86" s="1"/>
  <c r="T156" i="86" a="1"/>
  <c r="T156" i="86" s="1"/>
  <c r="S156" i="86" a="1"/>
  <c r="S156" i="86" s="1"/>
  <c r="R156" i="86" a="1"/>
  <c r="R156" i="86" s="1"/>
  <c r="Q156" i="86" a="1"/>
  <c r="Q156" i="86" s="1"/>
  <c r="P156" i="86" a="1"/>
  <c r="P156" i="86" s="1"/>
  <c r="O156" i="86" a="1"/>
  <c r="O156" i="86" s="1"/>
  <c r="N156" i="86" a="1"/>
  <c r="N156" i="86" s="1"/>
  <c r="M156" i="86" a="1"/>
  <c r="M156" i="86" s="1"/>
  <c r="L156" i="86" a="1"/>
  <c r="L156" i="86" s="1"/>
  <c r="K156" i="86" a="1"/>
  <c r="K156" i="86" s="1"/>
  <c r="J156" i="86" a="1"/>
  <c r="J156" i="86" s="1"/>
  <c r="I156" i="86" a="1"/>
  <c r="I156" i="86" s="1"/>
  <c r="H156" i="86" a="1"/>
  <c r="H156" i="86" s="1"/>
  <c r="G156" i="86" a="1"/>
  <c r="G156" i="86" s="1"/>
  <c r="F156" i="86" a="1"/>
  <c r="F156" i="86" s="1"/>
  <c r="E156" i="86" a="1"/>
  <c r="E156" i="86" s="1"/>
  <c r="D156" i="86" a="1"/>
  <c r="D156" i="86" s="1"/>
  <c r="AH155" i="86" a="1"/>
  <c r="AH155" i="86" s="1"/>
  <c r="AG155" i="86" a="1"/>
  <c r="AG155" i="86" s="1"/>
  <c r="AF155" i="86" a="1"/>
  <c r="AF155" i="86" s="1"/>
  <c r="AE155" i="86" a="1"/>
  <c r="AE155" i="86" s="1"/>
  <c r="AD155" i="86" a="1"/>
  <c r="AD155" i="86" s="1"/>
  <c r="AC155" i="86" a="1"/>
  <c r="AC155" i="86" s="1"/>
  <c r="AB155" i="86" a="1"/>
  <c r="AB155" i="86" s="1"/>
  <c r="AA155" i="86" a="1"/>
  <c r="AA155" i="86" s="1"/>
  <c r="Z155" i="86" a="1"/>
  <c r="Z155" i="86" s="1"/>
  <c r="Y155" i="86" a="1"/>
  <c r="Y155" i="86" s="1"/>
  <c r="X155" i="86" a="1"/>
  <c r="X155" i="86" s="1"/>
  <c r="W155" i="86" a="1"/>
  <c r="W155" i="86" s="1"/>
  <c r="V155" i="86" a="1"/>
  <c r="V155" i="86" s="1"/>
  <c r="U155" i="86" a="1"/>
  <c r="U155" i="86" s="1"/>
  <c r="T155" i="86" a="1"/>
  <c r="T155" i="86" s="1"/>
  <c r="S155" i="86" a="1"/>
  <c r="S155" i="86" s="1"/>
  <c r="R155" i="86" a="1"/>
  <c r="R155" i="86" s="1"/>
  <c r="Q155" i="86" a="1"/>
  <c r="Q155" i="86" s="1"/>
  <c r="P155" i="86" a="1"/>
  <c r="P155" i="86" s="1"/>
  <c r="O155" i="86" a="1"/>
  <c r="O155" i="86" s="1"/>
  <c r="N155" i="86" a="1"/>
  <c r="N155" i="86" s="1"/>
  <c r="M155" i="86" a="1"/>
  <c r="M155" i="86" s="1"/>
  <c r="L155" i="86" a="1"/>
  <c r="L155" i="86" s="1"/>
  <c r="K155" i="86" a="1"/>
  <c r="K155" i="86" s="1"/>
  <c r="J155" i="86" a="1"/>
  <c r="J155" i="86" s="1"/>
  <c r="I155" i="86" a="1"/>
  <c r="I155" i="86" s="1"/>
  <c r="H155" i="86" a="1"/>
  <c r="H155" i="86" s="1"/>
  <c r="G155" i="86" a="1"/>
  <c r="G155" i="86" s="1"/>
  <c r="F155" i="86" a="1"/>
  <c r="F155" i="86" s="1"/>
  <c r="E155" i="86" a="1"/>
  <c r="E155" i="86" s="1"/>
  <c r="D155" i="86" a="1"/>
  <c r="D155" i="86" s="1"/>
  <c r="AH154" i="86" a="1"/>
  <c r="AH154" i="86" s="1"/>
  <c r="AG154" i="86" a="1"/>
  <c r="AG154" i="86" s="1"/>
  <c r="AF154" i="86" a="1"/>
  <c r="AF154" i="86" s="1"/>
  <c r="AE154" i="86" a="1"/>
  <c r="AE154" i="86" s="1"/>
  <c r="AD154" i="86" a="1"/>
  <c r="AD154" i="86" s="1"/>
  <c r="AC154" i="86" a="1"/>
  <c r="AC154" i="86" s="1"/>
  <c r="AB154" i="86" a="1"/>
  <c r="AB154" i="86" s="1"/>
  <c r="AA154" i="86" a="1"/>
  <c r="AA154" i="86" s="1"/>
  <c r="Z154" i="86" a="1"/>
  <c r="Z154" i="86" s="1"/>
  <c r="Y154" i="86" a="1"/>
  <c r="Y154" i="86" s="1"/>
  <c r="X154" i="86" a="1"/>
  <c r="X154" i="86" s="1"/>
  <c r="W154" i="86" a="1"/>
  <c r="W154" i="86" s="1"/>
  <c r="V154" i="86" a="1"/>
  <c r="V154" i="86" s="1"/>
  <c r="U154" i="86" a="1"/>
  <c r="U154" i="86" s="1"/>
  <c r="T154" i="86" a="1"/>
  <c r="T154" i="86" s="1"/>
  <c r="S154" i="86" a="1"/>
  <c r="S154" i="86" s="1"/>
  <c r="R154" i="86" a="1"/>
  <c r="R154" i="86" s="1"/>
  <c r="Q154" i="86" a="1"/>
  <c r="Q154" i="86" s="1"/>
  <c r="P154" i="86" a="1"/>
  <c r="P154" i="86" s="1"/>
  <c r="O154" i="86" a="1"/>
  <c r="O154" i="86" s="1"/>
  <c r="N154" i="86" a="1"/>
  <c r="N154" i="86" s="1"/>
  <c r="M154" i="86" a="1"/>
  <c r="M154" i="86" s="1"/>
  <c r="L154" i="86" a="1"/>
  <c r="L154" i="86" s="1"/>
  <c r="K154" i="86" a="1"/>
  <c r="K154" i="86" s="1"/>
  <c r="J154" i="86" a="1"/>
  <c r="J154" i="86" s="1"/>
  <c r="I154" i="86" a="1"/>
  <c r="I154" i="86" s="1"/>
  <c r="H154" i="86" a="1"/>
  <c r="H154" i="86" s="1"/>
  <c r="G154" i="86" a="1"/>
  <c r="G154" i="86" s="1"/>
  <c r="F154" i="86" a="1"/>
  <c r="F154" i="86" s="1"/>
  <c r="E154" i="86" a="1"/>
  <c r="E154" i="86" s="1"/>
  <c r="D154" i="86" a="1"/>
  <c r="D154" i="86" s="1"/>
  <c r="AH153" i="86" a="1"/>
  <c r="AH153" i="86" s="1"/>
  <c r="AG153" i="86" a="1"/>
  <c r="AG153" i="86" s="1"/>
  <c r="AF153" i="86" a="1"/>
  <c r="AF153" i="86" s="1"/>
  <c r="AE153" i="86" a="1"/>
  <c r="AE153" i="86" s="1"/>
  <c r="AD153" i="86" a="1"/>
  <c r="AD153" i="86" s="1"/>
  <c r="AC153" i="86" a="1"/>
  <c r="AC153" i="86" s="1"/>
  <c r="AB153" i="86" a="1"/>
  <c r="AB153" i="86" s="1"/>
  <c r="AA153" i="86" a="1"/>
  <c r="AA153" i="86" s="1"/>
  <c r="Z153" i="86" a="1"/>
  <c r="Z153" i="86" s="1"/>
  <c r="Y153" i="86" a="1"/>
  <c r="Y153" i="86" s="1"/>
  <c r="X153" i="86" a="1"/>
  <c r="X153" i="86" s="1"/>
  <c r="W153" i="86" a="1"/>
  <c r="W153" i="86" s="1"/>
  <c r="V153" i="86" a="1"/>
  <c r="V153" i="86" s="1"/>
  <c r="U153" i="86" a="1"/>
  <c r="U153" i="86" s="1"/>
  <c r="T153" i="86" a="1"/>
  <c r="T153" i="86" s="1"/>
  <c r="S153" i="86" a="1"/>
  <c r="S153" i="86" s="1"/>
  <c r="R153" i="86" a="1"/>
  <c r="R153" i="86" s="1"/>
  <c r="Q153" i="86" a="1"/>
  <c r="Q153" i="86" s="1"/>
  <c r="P153" i="86" a="1"/>
  <c r="P153" i="86" s="1"/>
  <c r="O153" i="86" a="1"/>
  <c r="O153" i="86" s="1"/>
  <c r="N153" i="86" a="1"/>
  <c r="N153" i="86" s="1"/>
  <c r="M153" i="86" a="1"/>
  <c r="M153" i="86" s="1"/>
  <c r="L153" i="86" a="1"/>
  <c r="L153" i="86" s="1"/>
  <c r="K153" i="86" a="1"/>
  <c r="K153" i="86" s="1"/>
  <c r="J153" i="86" a="1"/>
  <c r="J153" i="86" s="1"/>
  <c r="I153" i="86" a="1"/>
  <c r="I153" i="86" s="1"/>
  <c r="H153" i="86" a="1"/>
  <c r="H153" i="86" s="1"/>
  <c r="G153" i="86" a="1"/>
  <c r="G153" i="86" s="1"/>
  <c r="F153" i="86" a="1"/>
  <c r="F153" i="86" s="1"/>
  <c r="E153" i="86" a="1"/>
  <c r="E153" i="86" s="1"/>
  <c r="D153" i="86" a="1"/>
  <c r="D153" i="86" s="1"/>
  <c r="AH152" i="86" a="1"/>
  <c r="AH152" i="86" s="1"/>
  <c r="AG152" i="86" a="1"/>
  <c r="AG152" i="86" s="1"/>
  <c r="AF152" i="86" a="1"/>
  <c r="AF152" i="86" s="1"/>
  <c r="AE152" i="86" a="1"/>
  <c r="AE152" i="86" s="1"/>
  <c r="AD152" i="86" a="1"/>
  <c r="AD152" i="86" s="1"/>
  <c r="AC152" i="86" a="1"/>
  <c r="AC152" i="86" s="1"/>
  <c r="AB152" i="86" a="1"/>
  <c r="AB152" i="86" s="1"/>
  <c r="AA152" i="86" a="1"/>
  <c r="AA152" i="86" s="1"/>
  <c r="Z152" i="86" a="1"/>
  <c r="Z152" i="86" s="1"/>
  <c r="Y152" i="86" a="1"/>
  <c r="Y152" i="86" s="1"/>
  <c r="X152" i="86" a="1"/>
  <c r="X152" i="86" s="1"/>
  <c r="W152" i="86" a="1"/>
  <c r="W152" i="86" s="1"/>
  <c r="V152" i="86" a="1"/>
  <c r="V152" i="86" s="1"/>
  <c r="U152" i="86" a="1"/>
  <c r="U152" i="86" s="1"/>
  <c r="T152" i="86" a="1"/>
  <c r="T152" i="86" s="1"/>
  <c r="S152" i="86" a="1"/>
  <c r="S152" i="86" s="1"/>
  <c r="R152" i="86" a="1"/>
  <c r="R152" i="86" s="1"/>
  <c r="Q152" i="86" a="1"/>
  <c r="Q152" i="86" s="1"/>
  <c r="P152" i="86" a="1"/>
  <c r="P152" i="86" s="1"/>
  <c r="O152" i="86" a="1"/>
  <c r="O152" i="86" s="1"/>
  <c r="N152" i="86" a="1"/>
  <c r="N152" i="86" s="1"/>
  <c r="M152" i="86" a="1"/>
  <c r="M152" i="86" s="1"/>
  <c r="L152" i="86" a="1"/>
  <c r="L152" i="86" s="1"/>
  <c r="K152" i="86" a="1"/>
  <c r="K152" i="86" s="1"/>
  <c r="J152" i="86" a="1"/>
  <c r="J152" i="86" s="1"/>
  <c r="I152" i="86" a="1"/>
  <c r="I152" i="86" s="1"/>
  <c r="H152" i="86" a="1"/>
  <c r="H152" i="86" s="1"/>
  <c r="G152" i="86" a="1"/>
  <c r="G152" i="86" s="1"/>
  <c r="F152" i="86" a="1"/>
  <c r="F152" i="86" s="1"/>
  <c r="E152" i="86" a="1"/>
  <c r="E152" i="86" s="1"/>
  <c r="D152" i="86" a="1"/>
  <c r="D152" i="86" s="1"/>
  <c r="AH151" i="86" a="1"/>
  <c r="AH151" i="86" s="1"/>
  <c r="AG151" i="86" a="1"/>
  <c r="AG151" i="86" s="1"/>
  <c r="AF151" i="86" a="1"/>
  <c r="AF151" i="86" s="1"/>
  <c r="AE151" i="86" a="1"/>
  <c r="AE151" i="86" s="1"/>
  <c r="AD151" i="86" a="1"/>
  <c r="AD151" i="86" s="1"/>
  <c r="AC151" i="86" a="1"/>
  <c r="AC151" i="86" s="1"/>
  <c r="AB151" i="86" a="1"/>
  <c r="AB151" i="86" s="1"/>
  <c r="AA151" i="86" a="1"/>
  <c r="AA151" i="86" s="1"/>
  <c r="Z151" i="86" a="1"/>
  <c r="Z151" i="86" s="1"/>
  <c r="Y151" i="86" a="1"/>
  <c r="Y151" i="86" s="1"/>
  <c r="X151" i="86" a="1"/>
  <c r="X151" i="86" s="1"/>
  <c r="W151" i="86" a="1"/>
  <c r="W151" i="86" s="1"/>
  <c r="V151" i="86" a="1"/>
  <c r="V151" i="86" s="1"/>
  <c r="U151" i="86" a="1"/>
  <c r="U151" i="86" s="1"/>
  <c r="T151" i="86" a="1"/>
  <c r="T151" i="86" s="1"/>
  <c r="S151" i="86" a="1"/>
  <c r="S151" i="86" s="1"/>
  <c r="R151" i="86" a="1"/>
  <c r="R151" i="86" s="1"/>
  <c r="Q151" i="86" a="1"/>
  <c r="Q151" i="86" s="1"/>
  <c r="P151" i="86" a="1"/>
  <c r="P151" i="86" s="1"/>
  <c r="O151" i="86" a="1"/>
  <c r="O151" i="86" s="1"/>
  <c r="N151" i="86" a="1"/>
  <c r="N151" i="86" s="1"/>
  <c r="M151" i="86" a="1"/>
  <c r="M151" i="86" s="1"/>
  <c r="L151" i="86" a="1"/>
  <c r="L151" i="86" s="1"/>
  <c r="K151" i="86" a="1"/>
  <c r="K151" i="86" s="1"/>
  <c r="J151" i="86" a="1"/>
  <c r="J151" i="86" s="1"/>
  <c r="I151" i="86" a="1"/>
  <c r="I151" i="86" s="1"/>
  <c r="H151" i="86" a="1"/>
  <c r="H151" i="86" s="1"/>
  <c r="G151" i="86" a="1"/>
  <c r="G151" i="86" s="1"/>
  <c r="F151" i="86" a="1"/>
  <c r="F151" i="86" s="1"/>
  <c r="E151" i="86" a="1"/>
  <c r="E151" i="86" s="1"/>
  <c r="D151" i="86" a="1"/>
  <c r="D151" i="86" s="1"/>
  <c r="AH150" i="86" a="1"/>
  <c r="AH150" i="86" s="1"/>
  <c r="AG150" i="86" a="1"/>
  <c r="AG150" i="86" s="1"/>
  <c r="AF150" i="86" a="1"/>
  <c r="AF150" i="86" s="1"/>
  <c r="AE150" i="86" a="1"/>
  <c r="AE150" i="86" s="1"/>
  <c r="AD150" i="86" a="1"/>
  <c r="AD150" i="86" s="1"/>
  <c r="AC150" i="86" a="1"/>
  <c r="AC150" i="86" s="1"/>
  <c r="AB150" i="86" a="1"/>
  <c r="AB150" i="86" s="1"/>
  <c r="AA150" i="86" a="1"/>
  <c r="AA150" i="86" s="1"/>
  <c r="Z150" i="86" a="1"/>
  <c r="Z150" i="86" s="1"/>
  <c r="Y150" i="86" a="1"/>
  <c r="Y150" i="86" s="1"/>
  <c r="X150" i="86" a="1"/>
  <c r="X150" i="86" s="1"/>
  <c r="W150" i="86" a="1"/>
  <c r="W150" i="86" s="1"/>
  <c r="V150" i="86" a="1"/>
  <c r="V150" i="86" s="1"/>
  <c r="U150" i="86" a="1"/>
  <c r="U150" i="86" s="1"/>
  <c r="T150" i="86" a="1"/>
  <c r="T150" i="86" s="1"/>
  <c r="S150" i="86" a="1"/>
  <c r="S150" i="86" s="1"/>
  <c r="R150" i="86" a="1"/>
  <c r="R150" i="86" s="1"/>
  <c r="Q150" i="86" a="1"/>
  <c r="Q150" i="86" s="1"/>
  <c r="P150" i="86" a="1"/>
  <c r="P150" i="86" s="1"/>
  <c r="O150" i="86" a="1"/>
  <c r="O150" i="86" s="1"/>
  <c r="N150" i="86" a="1"/>
  <c r="N150" i="86" s="1"/>
  <c r="M150" i="86" a="1"/>
  <c r="M150" i="86" s="1"/>
  <c r="L150" i="86" a="1"/>
  <c r="L150" i="86" s="1"/>
  <c r="K150" i="86" a="1"/>
  <c r="K150" i="86" s="1"/>
  <c r="J150" i="86" a="1"/>
  <c r="J150" i="86" s="1"/>
  <c r="I150" i="86" a="1"/>
  <c r="I150" i="86" s="1"/>
  <c r="H150" i="86" a="1"/>
  <c r="H150" i="86" s="1"/>
  <c r="G150" i="86" a="1"/>
  <c r="G150" i="86" s="1"/>
  <c r="F150" i="86" a="1"/>
  <c r="F150" i="86" s="1"/>
  <c r="E150" i="86" a="1"/>
  <c r="E150" i="86" s="1"/>
  <c r="D150" i="86" a="1"/>
  <c r="D150" i="86" s="1"/>
  <c r="AH149" i="86" a="1"/>
  <c r="AH149" i="86" s="1"/>
  <c r="AG149" i="86" a="1"/>
  <c r="AG149" i="86" s="1"/>
  <c r="AF149" i="86" a="1"/>
  <c r="AF149" i="86" s="1"/>
  <c r="AE149" i="86" a="1"/>
  <c r="AE149" i="86" s="1"/>
  <c r="AD149" i="86" a="1"/>
  <c r="AD149" i="86" s="1"/>
  <c r="AC149" i="86" a="1"/>
  <c r="AC149" i="86" s="1"/>
  <c r="AB149" i="86" a="1"/>
  <c r="AB149" i="86" s="1"/>
  <c r="AA149" i="86" a="1"/>
  <c r="AA149" i="86" s="1"/>
  <c r="Z149" i="86" a="1"/>
  <c r="Z149" i="86" s="1"/>
  <c r="Y149" i="86" a="1"/>
  <c r="Y149" i="86" s="1"/>
  <c r="X149" i="86" a="1"/>
  <c r="X149" i="86" s="1"/>
  <c r="W149" i="86" a="1"/>
  <c r="W149" i="86" s="1"/>
  <c r="V149" i="86" a="1"/>
  <c r="V149" i="86" s="1"/>
  <c r="U149" i="86" a="1"/>
  <c r="U149" i="86" s="1"/>
  <c r="T149" i="86" a="1"/>
  <c r="T149" i="86" s="1"/>
  <c r="S149" i="86" a="1"/>
  <c r="S149" i="86" s="1"/>
  <c r="R149" i="86" a="1"/>
  <c r="R149" i="86" s="1"/>
  <c r="Q149" i="86" a="1"/>
  <c r="Q149" i="86" s="1"/>
  <c r="P149" i="86" a="1"/>
  <c r="P149" i="86" s="1"/>
  <c r="O149" i="86" a="1"/>
  <c r="O149" i="86" s="1"/>
  <c r="N149" i="86" a="1"/>
  <c r="N149" i="86" s="1"/>
  <c r="M149" i="86" a="1"/>
  <c r="M149" i="86" s="1"/>
  <c r="L149" i="86" a="1"/>
  <c r="L149" i="86" s="1"/>
  <c r="K149" i="86" a="1"/>
  <c r="K149" i="86" s="1"/>
  <c r="J149" i="86" a="1"/>
  <c r="J149" i="86" s="1"/>
  <c r="I149" i="86" a="1"/>
  <c r="I149" i="86" s="1"/>
  <c r="H149" i="86" a="1"/>
  <c r="H149" i="86" s="1"/>
  <c r="G149" i="86" a="1"/>
  <c r="G149" i="86" s="1"/>
  <c r="F149" i="86" a="1"/>
  <c r="F149" i="86" s="1"/>
  <c r="E149" i="86" a="1"/>
  <c r="E149" i="86" s="1"/>
  <c r="D149" i="86" a="1"/>
  <c r="D149" i="86" s="1"/>
  <c r="AH148" i="86" a="1"/>
  <c r="AH148" i="86" s="1"/>
  <c r="AG148" i="86" a="1"/>
  <c r="AG148" i="86" s="1"/>
  <c r="AF148" i="86" a="1"/>
  <c r="AF148" i="86" s="1"/>
  <c r="AE148" i="86" a="1"/>
  <c r="AE148" i="86" s="1"/>
  <c r="AD148" i="86" a="1"/>
  <c r="AD148" i="86" s="1"/>
  <c r="AC148" i="86" a="1"/>
  <c r="AC148" i="86" s="1"/>
  <c r="AB148" i="86" a="1"/>
  <c r="AB148" i="86" s="1"/>
  <c r="AA148" i="86" a="1"/>
  <c r="AA148" i="86" s="1"/>
  <c r="Z148" i="86" a="1"/>
  <c r="Z148" i="86" s="1"/>
  <c r="Y148" i="86" a="1"/>
  <c r="Y148" i="86" s="1"/>
  <c r="X148" i="86" a="1"/>
  <c r="X148" i="86" s="1"/>
  <c r="W148" i="86" a="1"/>
  <c r="W148" i="86" s="1"/>
  <c r="V148" i="86" a="1"/>
  <c r="V148" i="86" s="1"/>
  <c r="U148" i="86" a="1"/>
  <c r="U148" i="86" s="1"/>
  <c r="T148" i="86" a="1"/>
  <c r="T148" i="86" s="1"/>
  <c r="S148" i="86" a="1"/>
  <c r="S148" i="86" s="1"/>
  <c r="R148" i="86" a="1"/>
  <c r="R148" i="86" s="1"/>
  <c r="Q148" i="86" a="1"/>
  <c r="Q148" i="86" s="1"/>
  <c r="P148" i="86" a="1"/>
  <c r="P148" i="86" s="1"/>
  <c r="O148" i="86" a="1"/>
  <c r="O148" i="86" s="1"/>
  <c r="N148" i="86" a="1"/>
  <c r="N148" i="86" s="1"/>
  <c r="M148" i="86" a="1"/>
  <c r="M148" i="86" s="1"/>
  <c r="L148" i="86" a="1"/>
  <c r="L148" i="86" s="1"/>
  <c r="K148" i="86" a="1"/>
  <c r="K148" i="86" s="1"/>
  <c r="J148" i="86" a="1"/>
  <c r="J148" i="86" s="1"/>
  <c r="I148" i="86" a="1"/>
  <c r="I148" i="86" s="1"/>
  <c r="H148" i="86" a="1"/>
  <c r="H148" i="86" s="1"/>
  <c r="G148" i="86" a="1"/>
  <c r="G148" i="86" s="1"/>
  <c r="F148" i="86" a="1"/>
  <c r="F148" i="86" s="1"/>
  <c r="E148" i="86" a="1"/>
  <c r="E148" i="86" s="1"/>
  <c r="D148" i="86" a="1"/>
  <c r="D148" i="86" s="1"/>
  <c r="AH147" i="86" a="1"/>
  <c r="AH147" i="86" s="1"/>
  <c r="AG147" i="86" a="1"/>
  <c r="AG147" i="86" s="1"/>
  <c r="AF147" i="86" a="1"/>
  <c r="AF147" i="86" s="1"/>
  <c r="AE147" i="86" a="1"/>
  <c r="AE147" i="86" s="1"/>
  <c r="AD147" i="86" a="1"/>
  <c r="AD147" i="86" s="1"/>
  <c r="AC147" i="86" a="1"/>
  <c r="AC147" i="86" s="1"/>
  <c r="AB147" i="86" a="1"/>
  <c r="AB147" i="86" s="1"/>
  <c r="AA147" i="86" a="1"/>
  <c r="AA147" i="86" s="1"/>
  <c r="Z147" i="86" a="1"/>
  <c r="Z147" i="86" s="1"/>
  <c r="Y147" i="86" a="1"/>
  <c r="Y147" i="86" s="1"/>
  <c r="X147" i="86" a="1"/>
  <c r="X147" i="86" s="1"/>
  <c r="W147" i="86" a="1"/>
  <c r="W147" i="86" s="1"/>
  <c r="V147" i="86" a="1"/>
  <c r="V147" i="86" s="1"/>
  <c r="U147" i="86" a="1"/>
  <c r="U147" i="86" s="1"/>
  <c r="T147" i="86" a="1"/>
  <c r="T147" i="86" s="1"/>
  <c r="S147" i="86" a="1"/>
  <c r="S147" i="86" s="1"/>
  <c r="R147" i="86" a="1"/>
  <c r="R147" i="86" s="1"/>
  <c r="Q147" i="86" a="1"/>
  <c r="Q147" i="86" s="1"/>
  <c r="P147" i="86" a="1"/>
  <c r="P147" i="86" s="1"/>
  <c r="O147" i="86" a="1"/>
  <c r="O147" i="86" s="1"/>
  <c r="N147" i="86" a="1"/>
  <c r="N147" i="86" s="1"/>
  <c r="M147" i="86" a="1"/>
  <c r="M147" i="86" s="1"/>
  <c r="L147" i="86" a="1"/>
  <c r="L147" i="86" s="1"/>
  <c r="K147" i="86" a="1"/>
  <c r="K147" i="86" s="1"/>
  <c r="J147" i="86" a="1"/>
  <c r="J147" i="86" s="1"/>
  <c r="I147" i="86" a="1"/>
  <c r="I147" i="86" s="1"/>
  <c r="H147" i="86" a="1"/>
  <c r="H147" i="86" s="1"/>
  <c r="G147" i="86" a="1"/>
  <c r="G147" i="86" s="1"/>
  <c r="F147" i="86" a="1"/>
  <c r="F147" i="86" s="1"/>
  <c r="E147" i="86" a="1"/>
  <c r="E147" i="86" s="1"/>
  <c r="D147" i="86" a="1"/>
  <c r="D147" i="86" s="1"/>
  <c r="AH146" i="86" a="1"/>
  <c r="AH146" i="86" s="1"/>
  <c r="AG146" i="86" a="1"/>
  <c r="AG146" i="86" s="1"/>
  <c r="AF146" i="86" a="1"/>
  <c r="AF146" i="86" s="1"/>
  <c r="AE146" i="86" a="1"/>
  <c r="AE146" i="86" s="1"/>
  <c r="AD146" i="86" a="1"/>
  <c r="AD146" i="86" s="1"/>
  <c r="AC146" i="86" a="1"/>
  <c r="AC146" i="86" s="1"/>
  <c r="AB146" i="86" a="1"/>
  <c r="AB146" i="86" s="1"/>
  <c r="AA146" i="86" a="1"/>
  <c r="AA146" i="86" s="1"/>
  <c r="Z146" i="86" a="1"/>
  <c r="Z146" i="86" s="1"/>
  <c r="Y146" i="86" a="1"/>
  <c r="Y146" i="86" s="1"/>
  <c r="X146" i="86" a="1"/>
  <c r="X146" i="86" s="1"/>
  <c r="W146" i="86" a="1"/>
  <c r="W146" i="86" s="1"/>
  <c r="V146" i="86" a="1"/>
  <c r="V146" i="86" s="1"/>
  <c r="U146" i="86" a="1"/>
  <c r="U146" i="86" s="1"/>
  <c r="T146" i="86" a="1"/>
  <c r="T146" i="86" s="1"/>
  <c r="S146" i="86" a="1"/>
  <c r="S146" i="86" s="1"/>
  <c r="R146" i="86" a="1"/>
  <c r="R146" i="86" s="1"/>
  <c r="Q146" i="86" a="1"/>
  <c r="Q146" i="86" s="1"/>
  <c r="P146" i="86" a="1"/>
  <c r="P146" i="86" s="1"/>
  <c r="O146" i="86" a="1"/>
  <c r="O146" i="86" s="1"/>
  <c r="N146" i="86" a="1"/>
  <c r="N146" i="86" s="1"/>
  <c r="M146" i="86" a="1"/>
  <c r="M146" i="86" s="1"/>
  <c r="L146" i="86" a="1"/>
  <c r="L146" i="86" s="1"/>
  <c r="K146" i="86" a="1"/>
  <c r="K146" i="86" s="1"/>
  <c r="J146" i="86" a="1"/>
  <c r="J146" i="86" s="1"/>
  <c r="I146" i="86" a="1"/>
  <c r="I146" i="86" s="1"/>
  <c r="H146" i="86" a="1"/>
  <c r="H146" i="86" s="1"/>
  <c r="G146" i="86" a="1"/>
  <c r="G146" i="86" s="1"/>
  <c r="F146" i="86" a="1"/>
  <c r="F146" i="86" s="1"/>
  <c r="E146" i="86" a="1"/>
  <c r="E146" i="86" s="1"/>
  <c r="D146" i="86" a="1"/>
  <c r="D146" i="86" s="1"/>
  <c r="AH145" i="86" a="1"/>
  <c r="AH145" i="86" s="1"/>
  <c r="AG145" i="86" a="1"/>
  <c r="AG145" i="86" s="1"/>
  <c r="AF145" i="86" a="1"/>
  <c r="AF145" i="86" s="1"/>
  <c r="AE145" i="86" a="1"/>
  <c r="AE145" i="86" s="1"/>
  <c r="AD145" i="86" a="1"/>
  <c r="AD145" i="86" s="1"/>
  <c r="AC145" i="86" a="1"/>
  <c r="AC145" i="86" s="1"/>
  <c r="AB145" i="86" a="1"/>
  <c r="AB145" i="86" s="1"/>
  <c r="AA145" i="86" a="1"/>
  <c r="AA145" i="86" s="1"/>
  <c r="Z145" i="86" a="1"/>
  <c r="Z145" i="86" s="1"/>
  <c r="Y145" i="86" a="1"/>
  <c r="Y145" i="86" s="1"/>
  <c r="X145" i="86" a="1"/>
  <c r="X145" i="86" s="1"/>
  <c r="W145" i="86" a="1"/>
  <c r="W145" i="86" s="1"/>
  <c r="V145" i="86" a="1"/>
  <c r="V145" i="86" s="1"/>
  <c r="U145" i="86" a="1"/>
  <c r="U145" i="86" s="1"/>
  <c r="T145" i="86" a="1"/>
  <c r="T145" i="86" s="1"/>
  <c r="S145" i="86" a="1"/>
  <c r="S145" i="86" s="1"/>
  <c r="R145" i="86" a="1"/>
  <c r="R145" i="86" s="1"/>
  <c r="Q145" i="86" a="1"/>
  <c r="Q145" i="86" s="1"/>
  <c r="P145" i="86" a="1"/>
  <c r="P145" i="86" s="1"/>
  <c r="O145" i="86" a="1"/>
  <c r="O145" i="86" s="1"/>
  <c r="N145" i="86" a="1"/>
  <c r="N145" i="86" s="1"/>
  <c r="M145" i="86" a="1"/>
  <c r="M145" i="86" s="1"/>
  <c r="L145" i="86" a="1"/>
  <c r="L145" i="86" s="1"/>
  <c r="K145" i="86" a="1"/>
  <c r="K145" i="86" s="1"/>
  <c r="J145" i="86" a="1"/>
  <c r="J145" i="86" s="1"/>
  <c r="I145" i="86" a="1"/>
  <c r="I145" i="86" s="1"/>
  <c r="H145" i="86" a="1"/>
  <c r="H145" i="86" s="1"/>
  <c r="G145" i="86" a="1"/>
  <c r="G145" i="86" s="1"/>
  <c r="F145" i="86" a="1"/>
  <c r="F145" i="86" s="1"/>
  <c r="E145" i="86" a="1"/>
  <c r="E145" i="86" s="1"/>
  <c r="D145" i="86" a="1"/>
  <c r="D145" i="86" s="1"/>
  <c r="AH144" i="86" a="1"/>
  <c r="AH144" i="86" s="1"/>
  <c r="AG144" i="86" a="1"/>
  <c r="AG144" i="86" s="1"/>
  <c r="AF144" i="86" a="1"/>
  <c r="AF144" i="86" s="1"/>
  <c r="AE144" i="86" a="1"/>
  <c r="AE144" i="86" s="1"/>
  <c r="AD144" i="86" a="1"/>
  <c r="AD144" i="86" s="1"/>
  <c r="AC144" i="86" a="1"/>
  <c r="AC144" i="86" s="1"/>
  <c r="AB144" i="86" a="1"/>
  <c r="AB144" i="86" s="1"/>
  <c r="AA144" i="86" a="1"/>
  <c r="AA144" i="86" s="1"/>
  <c r="Z144" i="86" a="1"/>
  <c r="Z144" i="86" s="1"/>
  <c r="Y144" i="86" a="1"/>
  <c r="Y144" i="86" s="1"/>
  <c r="X144" i="86" a="1"/>
  <c r="X144" i="86" s="1"/>
  <c r="W144" i="86" a="1"/>
  <c r="W144" i="86" s="1"/>
  <c r="V144" i="86" a="1"/>
  <c r="V144" i="86" s="1"/>
  <c r="U144" i="86" a="1"/>
  <c r="U144" i="86" s="1"/>
  <c r="T144" i="86" a="1"/>
  <c r="T144" i="86" s="1"/>
  <c r="S144" i="86" a="1"/>
  <c r="S144" i="86" s="1"/>
  <c r="R144" i="86" a="1"/>
  <c r="R144" i="86" s="1"/>
  <c r="Q144" i="86" a="1"/>
  <c r="Q144" i="86" s="1"/>
  <c r="P144" i="86" a="1"/>
  <c r="P144" i="86" s="1"/>
  <c r="O144" i="86" a="1"/>
  <c r="O144" i="86" s="1"/>
  <c r="N144" i="86" a="1"/>
  <c r="N144" i="86" s="1"/>
  <c r="M144" i="86" a="1"/>
  <c r="M144" i="86" s="1"/>
  <c r="L144" i="86" a="1"/>
  <c r="L144" i="86" s="1"/>
  <c r="K144" i="86" a="1"/>
  <c r="K144" i="86" s="1"/>
  <c r="J144" i="86" a="1"/>
  <c r="J144" i="86" s="1"/>
  <c r="I144" i="86" a="1"/>
  <c r="I144" i="86" s="1"/>
  <c r="H144" i="86" a="1"/>
  <c r="H144" i="86" s="1"/>
  <c r="G144" i="86" a="1"/>
  <c r="G144" i="86" s="1"/>
  <c r="F144" i="86" a="1"/>
  <c r="F144" i="86" s="1"/>
  <c r="E144" i="86" a="1"/>
  <c r="E144" i="86" s="1"/>
  <c r="D144" i="86" a="1"/>
  <c r="D144" i="86" s="1"/>
  <c r="AH143" i="86" a="1"/>
  <c r="AH143" i="86" s="1"/>
  <c r="AG143" i="86" a="1"/>
  <c r="AG143" i="86" s="1"/>
  <c r="AF143" i="86" a="1"/>
  <c r="AF143" i="86" s="1"/>
  <c r="AE143" i="86" a="1"/>
  <c r="AE143" i="86" s="1"/>
  <c r="AD143" i="86" a="1"/>
  <c r="AD143" i="86" s="1"/>
  <c r="AC143" i="86" a="1"/>
  <c r="AC143" i="86" s="1"/>
  <c r="AB143" i="86" a="1"/>
  <c r="AB143" i="86" s="1"/>
  <c r="AA143" i="86" a="1"/>
  <c r="AA143" i="86" s="1"/>
  <c r="Z143" i="86" a="1"/>
  <c r="Z143" i="86" s="1"/>
  <c r="Y143" i="86" a="1"/>
  <c r="Y143" i="86" s="1"/>
  <c r="X143" i="86" a="1"/>
  <c r="X143" i="86" s="1"/>
  <c r="W143" i="86" a="1"/>
  <c r="W143" i="86" s="1"/>
  <c r="V143" i="86" a="1"/>
  <c r="V143" i="86" s="1"/>
  <c r="U143" i="86" a="1"/>
  <c r="U143" i="86" s="1"/>
  <c r="T143" i="86" a="1"/>
  <c r="T143" i="86" s="1"/>
  <c r="S143" i="86" a="1"/>
  <c r="S143" i="86" s="1"/>
  <c r="R143" i="86" a="1"/>
  <c r="R143" i="86" s="1"/>
  <c r="Q143" i="86" a="1"/>
  <c r="Q143" i="86" s="1"/>
  <c r="P143" i="86" a="1"/>
  <c r="P143" i="86" s="1"/>
  <c r="O143" i="86" a="1"/>
  <c r="O143" i="86" s="1"/>
  <c r="N143" i="86" a="1"/>
  <c r="N143" i="86" s="1"/>
  <c r="M143" i="86" a="1"/>
  <c r="M143" i="86" s="1"/>
  <c r="L143" i="86" a="1"/>
  <c r="L143" i="86" s="1"/>
  <c r="K143" i="86" a="1"/>
  <c r="K143" i="86" s="1"/>
  <c r="J143" i="86" a="1"/>
  <c r="J143" i="86" s="1"/>
  <c r="I143" i="86" a="1"/>
  <c r="I143" i="86" s="1"/>
  <c r="H143" i="86" a="1"/>
  <c r="H143" i="86" s="1"/>
  <c r="G143" i="86" a="1"/>
  <c r="G143" i="86" s="1"/>
  <c r="F143" i="86" a="1"/>
  <c r="F143" i="86" s="1"/>
  <c r="E143" i="86" a="1"/>
  <c r="E143" i="86" s="1"/>
  <c r="D143" i="86" a="1"/>
  <c r="D143" i="86" s="1"/>
  <c r="AH142" i="86" a="1"/>
  <c r="AH142" i="86" s="1"/>
  <c r="AG142" i="86" a="1"/>
  <c r="AG142" i="86" s="1"/>
  <c r="AF142" i="86" a="1"/>
  <c r="AF142" i="86" s="1"/>
  <c r="AE142" i="86" a="1"/>
  <c r="AE142" i="86" s="1"/>
  <c r="AD142" i="86" a="1"/>
  <c r="AD142" i="86" s="1"/>
  <c r="AC142" i="86" a="1"/>
  <c r="AC142" i="86" s="1"/>
  <c r="AB142" i="86" a="1"/>
  <c r="AB142" i="86" s="1"/>
  <c r="AA142" i="86" a="1"/>
  <c r="AA142" i="86" s="1"/>
  <c r="Z142" i="86" a="1"/>
  <c r="Z142" i="86" s="1"/>
  <c r="Y142" i="86" a="1"/>
  <c r="Y142" i="86" s="1"/>
  <c r="X142" i="86" a="1"/>
  <c r="X142" i="86" s="1"/>
  <c r="W142" i="86" a="1"/>
  <c r="W142" i="86" s="1"/>
  <c r="V142" i="86" a="1"/>
  <c r="V142" i="86" s="1"/>
  <c r="U142" i="86" a="1"/>
  <c r="U142" i="86" s="1"/>
  <c r="T142" i="86" a="1"/>
  <c r="T142" i="86" s="1"/>
  <c r="S142" i="86" a="1"/>
  <c r="S142" i="86" s="1"/>
  <c r="R142" i="86" a="1"/>
  <c r="R142" i="86" s="1"/>
  <c r="Q142" i="86" a="1"/>
  <c r="Q142" i="86" s="1"/>
  <c r="P142" i="86" a="1"/>
  <c r="P142" i="86" s="1"/>
  <c r="O142" i="86" a="1"/>
  <c r="O142" i="86" s="1"/>
  <c r="N142" i="86" a="1"/>
  <c r="N142" i="86" s="1"/>
  <c r="M142" i="86" a="1"/>
  <c r="M142" i="86" s="1"/>
  <c r="L142" i="86" a="1"/>
  <c r="L142" i="86" s="1"/>
  <c r="K142" i="86" a="1"/>
  <c r="K142" i="86" s="1"/>
  <c r="J142" i="86" a="1"/>
  <c r="J142" i="86" s="1"/>
  <c r="I142" i="86" a="1"/>
  <c r="I142" i="86" s="1"/>
  <c r="H142" i="86" a="1"/>
  <c r="H142" i="86" s="1"/>
  <c r="G142" i="86" a="1"/>
  <c r="G142" i="86" s="1"/>
  <c r="F142" i="86" a="1"/>
  <c r="F142" i="86" s="1"/>
  <c r="E142" i="86" a="1"/>
  <c r="E142" i="86" s="1"/>
  <c r="D142" i="86" a="1"/>
  <c r="D142" i="86" s="1"/>
  <c r="AH141" i="86" a="1"/>
  <c r="AH141" i="86" s="1"/>
  <c r="AG141" i="86" a="1"/>
  <c r="AG141" i="86" s="1"/>
  <c r="AF141" i="86" a="1"/>
  <c r="AF141" i="86" s="1"/>
  <c r="AE141" i="86" a="1"/>
  <c r="AE141" i="86" s="1"/>
  <c r="AD141" i="86" a="1"/>
  <c r="AD141" i="86" s="1"/>
  <c r="AC141" i="86" a="1"/>
  <c r="AC141" i="86" s="1"/>
  <c r="AB141" i="86" a="1"/>
  <c r="AB141" i="86" s="1"/>
  <c r="AA141" i="86" a="1"/>
  <c r="AA141" i="86" s="1"/>
  <c r="Z141" i="86" a="1"/>
  <c r="Z141" i="86" s="1"/>
  <c r="Y141" i="86" a="1"/>
  <c r="Y141" i="86" s="1"/>
  <c r="X141" i="86" a="1"/>
  <c r="X141" i="86" s="1"/>
  <c r="W141" i="86" a="1"/>
  <c r="W141" i="86" s="1"/>
  <c r="V141" i="86" a="1"/>
  <c r="V141" i="86" s="1"/>
  <c r="U141" i="86" a="1"/>
  <c r="U141" i="86" s="1"/>
  <c r="T141" i="86" a="1"/>
  <c r="T141" i="86" s="1"/>
  <c r="S141" i="86" a="1"/>
  <c r="S141" i="86" s="1"/>
  <c r="R141" i="86" a="1"/>
  <c r="R141" i="86" s="1"/>
  <c r="Q141" i="86" a="1"/>
  <c r="Q141" i="86" s="1"/>
  <c r="P141" i="86" a="1"/>
  <c r="P141" i="86" s="1"/>
  <c r="O141" i="86" a="1"/>
  <c r="O141" i="86" s="1"/>
  <c r="N141" i="86" a="1"/>
  <c r="N141" i="86" s="1"/>
  <c r="M141" i="86" a="1"/>
  <c r="M141" i="86" s="1"/>
  <c r="L141" i="86" a="1"/>
  <c r="L141" i="86" s="1"/>
  <c r="K141" i="86" a="1"/>
  <c r="K141" i="86" s="1"/>
  <c r="J141" i="86" a="1"/>
  <c r="J141" i="86" s="1"/>
  <c r="I141" i="86" a="1"/>
  <c r="I141" i="86" s="1"/>
  <c r="H141" i="86" a="1"/>
  <c r="H141" i="86" s="1"/>
  <c r="G141" i="86" a="1"/>
  <c r="G141" i="86" s="1"/>
  <c r="F141" i="86" a="1"/>
  <c r="F141" i="86" s="1"/>
  <c r="E141" i="86" a="1"/>
  <c r="E141" i="86" s="1"/>
  <c r="D141" i="86" a="1"/>
  <c r="D141" i="86" s="1"/>
  <c r="AH140" i="86" a="1"/>
  <c r="AH140" i="86" s="1"/>
  <c r="AG140" i="86" a="1"/>
  <c r="AG140" i="86" s="1"/>
  <c r="AF140" i="86" a="1"/>
  <c r="AF140" i="86" s="1"/>
  <c r="AE140" i="86" a="1"/>
  <c r="AE140" i="86" s="1"/>
  <c r="AD140" i="86" a="1"/>
  <c r="AD140" i="86" s="1"/>
  <c r="AC140" i="86" a="1"/>
  <c r="AC140" i="86" s="1"/>
  <c r="AB140" i="86" a="1"/>
  <c r="AB140" i="86" s="1"/>
  <c r="AA140" i="86" a="1"/>
  <c r="AA140" i="86" s="1"/>
  <c r="Z140" i="86" a="1"/>
  <c r="Z140" i="86" s="1"/>
  <c r="Y140" i="86" a="1"/>
  <c r="Y140" i="86" s="1"/>
  <c r="X140" i="86" a="1"/>
  <c r="X140" i="86" s="1"/>
  <c r="W140" i="86" a="1"/>
  <c r="W140" i="86" s="1"/>
  <c r="V140" i="86" a="1"/>
  <c r="V140" i="86" s="1"/>
  <c r="U140" i="86" a="1"/>
  <c r="U140" i="86" s="1"/>
  <c r="T140" i="86" a="1"/>
  <c r="T140" i="86" s="1"/>
  <c r="S140" i="86" a="1"/>
  <c r="S140" i="86" s="1"/>
  <c r="R140" i="86" a="1"/>
  <c r="R140" i="86" s="1"/>
  <c r="Q140" i="86" a="1"/>
  <c r="Q140" i="86" s="1"/>
  <c r="P140" i="86" a="1"/>
  <c r="P140" i="86" s="1"/>
  <c r="O140" i="86" a="1"/>
  <c r="O140" i="86" s="1"/>
  <c r="N140" i="86" a="1"/>
  <c r="N140" i="86" s="1"/>
  <c r="M140" i="86" a="1"/>
  <c r="M140" i="86" s="1"/>
  <c r="L140" i="86" a="1"/>
  <c r="L140" i="86" s="1"/>
  <c r="K140" i="86" a="1"/>
  <c r="K140" i="86" s="1"/>
  <c r="J140" i="86" a="1"/>
  <c r="J140" i="86" s="1"/>
  <c r="I140" i="86" a="1"/>
  <c r="I140" i="86" s="1"/>
  <c r="H140" i="86" a="1"/>
  <c r="H140" i="86" s="1"/>
  <c r="G140" i="86" a="1"/>
  <c r="G140" i="86" s="1"/>
  <c r="F140" i="86" a="1"/>
  <c r="F140" i="86" s="1"/>
  <c r="E140" i="86" a="1"/>
  <c r="E140" i="86" s="1"/>
  <c r="D140" i="86" a="1"/>
  <c r="D140" i="86" s="1"/>
  <c r="AH139" i="86" a="1"/>
  <c r="AH139" i="86" s="1"/>
  <c r="AG139" i="86" a="1"/>
  <c r="AG139" i="86" s="1"/>
  <c r="AF139" i="86" a="1"/>
  <c r="AF139" i="86" s="1"/>
  <c r="AE139" i="86" a="1"/>
  <c r="AE139" i="86" s="1"/>
  <c r="AD139" i="86" a="1"/>
  <c r="AD139" i="86" s="1"/>
  <c r="AC139" i="86" a="1"/>
  <c r="AC139" i="86" s="1"/>
  <c r="AB139" i="86" a="1"/>
  <c r="AB139" i="86" s="1"/>
  <c r="AA139" i="86" a="1"/>
  <c r="AA139" i="86" s="1"/>
  <c r="Z139" i="86" a="1"/>
  <c r="Z139" i="86" s="1"/>
  <c r="Y139" i="86" a="1"/>
  <c r="Y139" i="86" s="1"/>
  <c r="X139" i="86" a="1"/>
  <c r="X139" i="86" s="1"/>
  <c r="W139" i="86" a="1"/>
  <c r="W139" i="86" s="1"/>
  <c r="V139" i="86" a="1"/>
  <c r="V139" i="86" s="1"/>
  <c r="U139" i="86" a="1"/>
  <c r="U139" i="86" s="1"/>
  <c r="T139" i="86" a="1"/>
  <c r="T139" i="86" s="1"/>
  <c r="S139" i="86" a="1"/>
  <c r="S139" i="86" s="1"/>
  <c r="R139" i="86" a="1"/>
  <c r="R139" i="86" s="1"/>
  <c r="Q139" i="86" a="1"/>
  <c r="Q139" i="86" s="1"/>
  <c r="P139" i="86" a="1"/>
  <c r="P139" i="86" s="1"/>
  <c r="O139" i="86" a="1"/>
  <c r="O139" i="86" s="1"/>
  <c r="N139" i="86" a="1"/>
  <c r="N139" i="86" s="1"/>
  <c r="M139" i="86" a="1"/>
  <c r="M139" i="86" s="1"/>
  <c r="L139" i="86" a="1"/>
  <c r="L139" i="86" s="1"/>
  <c r="K139" i="86" a="1"/>
  <c r="K139" i="86" s="1"/>
  <c r="J139" i="86" a="1"/>
  <c r="J139" i="86" s="1"/>
  <c r="I139" i="86" a="1"/>
  <c r="I139" i="86" s="1"/>
  <c r="H139" i="86" a="1"/>
  <c r="H139" i="86" s="1"/>
  <c r="G139" i="86" a="1"/>
  <c r="G139" i="86" s="1"/>
  <c r="F139" i="86" a="1"/>
  <c r="F139" i="86" s="1"/>
  <c r="E139" i="86" a="1"/>
  <c r="E139" i="86" s="1"/>
  <c r="D139" i="86" a="1"/>
  <c r="D139" i="86" s="1"/>
  <c r="AH138" i="86" a="1"/>
  <c r="AH138" i="86" s="1"/>
  <c r="AG138" i="86" a="1"/>
  <c r="AG138" i="86" s="1"/>
  <c r="AF138" i="86" a="1"/>
  <c r="AF138" i="86" s="1"/>
  <c r="AE138" i="86" a="1"/>
  <c r="AE138" i="86" s="1"/>
  <c r="AD138" i="86" a="1"/>
  <c r="AD138" i="86" s="1"/>
  <c r="AC138" i="86" a="1"/>
  <c r="AC138" i="86" s="1"/>
  <c r="AB138" i="86" a="1"/>
  <c r="AB138" i="86" s="1"/>
  <c r="AA138" i="86" a="1"/>
  <c r="AA138" i="86" s="1"/>
  <c r="Z138" i="86" a="1"/>
  <c r="Z138" i="86" s="1"/>
  <c r="Y138" i="86" a="1"/>
  <c r="Y138" i="86" s="1"/>
  <c r="X138" i="86" a="1"/>
  <c r="X138" i="86" s="1"/>
  <c r="W138" i="86" a="1"/>
  <c r="W138" i="86" s="1"/>
  <c r="V138" i="86" a="1"/>
  <c r="V138" i="86" s="1"/>
  <c r="U138" i="86" a="1"/>
  <c r="U138" i="86" s="1"/>
  <c r="T138" i="86" a="1"/>
  <c r="T138" i="86" s="1"/>
  <c r="S138" i="86" a="1"/>
  <c r="S138" i="86" s="1"/>
  <c r="R138" i="86" a="1"/>
  <c r="R138" i="86" s="1"/>
  <c r="Q138" i="86" a="1"/>
  <c r="Q138" i="86" s="1"/>
  <c r="P138" i="86" a="1"/>
  <c r="P138" i="86" s="1"/>
  <c r="O138" i="86" a="1"/>
  <c r="O138" i="86" s="1"/>
  <c r="N138" i="86" a="1"/>
  <c r="N138" i="86" s="1"/>
  <c r="M138" i="86" a="1"/>
  <c r="M138" i="86" s="1"/>
  <c r="L138" i="86" a="1"/>
  <c r="L138" i="86" s="1"/>
  <c r="K138" i="86" a="1"/>
  <c r="K138" i="86" s="1"/>
  <c r="J138" i="86" a="1"/>
  <c r="J138" i="86" s="1"/>
  <c r="I138" i="86" a="1"/>
  <c r="I138" i="86" s="1"/>
  <c r="H138" i="86" a="1"/>
  <c r="H138" i="86" s="1"/>
  <c r="G138" i="86" a="1"/>
  <c r="G138" i="86" s="1"/>
  <c r="F138" i="86" a="1"/>
  <c r="F138" i="86" s="1"/>
  <c r="E138" i="86" a="1"/>
  <c r="E138" i="86" s="1"/>
  <c r="D138" i="86" a="1"/>
  <c r="D138" i="86" s="1"/>
  <c r="AH137" i="86" a="1"/>
  <c r="AH137" i="86" s="1"/>
  <c r="AG137" i="86" a="1"/>
  <c r="AG137" i="86" s="1"/>
  <c r="AF137" i="86" a="1"/>
  <c r="AF137" i="86" s="1"/>
  <c r="AE137" i="86" a="1"/>
  <c r="AE137" i="86" s="1"/>
  <c r="AD137" i="86" a="1"/>
  <c r="AD137" i="86" s="1"/>
  <c r="AC137" i="86" a="1"/>
  <c r="AC137" i="86" s="1"/>
  <c r="AB137" i="86" a="1"/>
  <c r="AB137" i="86" s="1"/>
  <c r="AA137" i="86" a="1"/>
  <c r="AA137" i="86" s="1"/>
  <c r="Z137" i="86" a="1"/>
  <c r="Z137" i="86" s="1"/>
  <c r="Y137" i="86" a="1"/>
  <c r="Y137" i="86" s="1"/>
  <c r="X137" i="86" a="1"/>
  <c r="X137" i="86" s="1"/>
  <c r="W137" i="86" a="1"/>
  <c r="W137" i="86" s="1"/>
  <c r="V137" i="86" a="1"/>
  <c r="V137" i="86" s="1"/>
  <c r="U137" i="86" a="1"/>
  <c r="U137" i="86" s="1"/>
  <c r="T137" i="86" a="1"/>
  <c r="T137" i="86" s="1"/>
  <c r="S137" i="86" a="1"/>
  <c r="S137" i="86" s="1"/>
  <c r="R137" i="86" a="1"/>
  <c r="R137" i="86" s="1"/>
  <c r="Q137" i="86" a="1"/>
  <c r="Q137" i="86" s="1"/>
  <c r="P137" i="86" a="1"/>
  <c r="P137" i="86" s="1"/>
  <c r="O137" i="86" a="1"/>
  <c r="O137" i="86" s="1"/>
  <c r="N137" i="86" a="1"/>
  <c r="N137" i="86" s="1"/>
  <c r="M137" i="86" a="1"/>
  <c r="M137" i="86" s="1"/>
  <c r="L137" i="86" a="1"/>
  <c r="L137" i="86" s="1"/>
  <c r="K137" i="86" a="1"/>
  <c r="K137" i="86" s="1"/>
  <c r="J137" i="86" a="1"/>
  <c r="J137" i="86" s="1"/>
  <c r="I137" i="86" a="1"/>
  <c r="I137" i="86" s="1"/>
  <c r="H137" i="86" a="1"/>
  <c r="H137" i="86" s="1"/>
  <c r="G137" i="86" a="1"/>
  <c r="G137" i="86" s="1"/>
  <c r="F137" i="86" a="1"/>
  <c r="F137" i="86" s="1"/>
  <c r="E137" i="86" a="1"/>
  <c r="E137" i="86" s="1"/>
  <c r="D137" i="86" a="1"/>
  <c r="D137" i="86" s="1"/>
  <c r="AH136" i="86" a="1"/>
  <c r="AH136" i="86" s="1"/>
  <c r="AG136" i="86" a="1"/>
  <c r="AG136" i="86" s="1"/>
  <c r="AF136" i="86" a="1"/>
  <c r="AF136" i="86" s="1"/>
  <c r="AE136" i="86" a="1"/>
  <c r="AE136" i="86" s="1"/>
  <c r="AD136" i="86" a="1"/>
  <c r="AD136" i="86" s="1"/>
  <c r="AC136" i="86" a="1"/>
  <c r="AC136" i="86" s="1"/>
  <c r="AB136" i="86" a="1"/>
  <c r="AB136" i="86" s="1"/>
  <c r="AA136" i="86" a="1"/>
  <c r="AA136" i="86" s="1"/>
  <c r="Z136" i="86" a="1"/>
  <c r="Z136" i="86" s="1"/>
  <c r="Y136" i="86" a="1"/>
  <c r="Y136" i="86" s="1"/>
  <c r="X136" i="86" a="1"/>
  <c r="X136" i="86" s="1"/>
  <c r="W136" i="86" a="1"/>
  <c r="W136" i="86" s="1"/>
  <c r="V136" i="86" a="1"/>
  <c r="V136" i="86" s="1"/>
  <c r="U136" i="86" a="1"/>
  <c r="U136" i="86" s="1"/>
  <c r="T136" i="86" a="1"/>
  <c r="T136" i="86" s="1"/>
  <c r="S136" i="86" a="1"/>
  <c r="S136" i="86" s="1"/>
  <c r="R136" i="86" a="1"/>
  <c r="R136" i="86" s="1"/>
  <c r="Q136" i="86" a="1"/>
  <c r="Q136" i="86" s="1"/>
  <c r="P136" i="86" a="1"/>
  <c r="P136" i="86" s="1"/>
  <c r="O136" i="86" a="1"/>
  <c r="O136" i="86" s="1"/>
  <c r="N136" i="86" a="1"/>
  <c r="N136" i="86" s="1"/>
  <c r="M136" i="86" a="1"/>
  <c r="M136" i="86" s="1"/>
  <c r="L136" i="86" a="1"/>
  <c r="L136" i="86" s="1"/>
  <c r="K136" i="86" a="1"/>
  <c r="K136" i="86" s="1"/>
  <c r="J136" i="86" a="1"/>
  <c r="J136" i="86" s="1"/>
  <c r="I136" i="86" a="1"/>
  <c r="I136" i="86" s="1"/>
  <c r="H136" i="86" a="1"/>
  <c r="H136" i="86" s="1"/>
  <c r="G136" i="86" a="1"/>
  <c r="G136" i="86" s="1"/>
  <c r="F136" i="86" a="1"/>
  <c r="F136" i="86" s="1"/>
  <c r="E136" i="86" a="1"/>
  <c r="E136" i="86" s="1"/>
  <c r="D136" i="86" a="1"/>
  <c r="D136" i="86" s="1"/>
  <c r="AH135" i="86" a="1"/>
  <c r="AH135" i="86" s="1"/>
  <c r="AG135" i="86" a="1"/>
  <c r="AG135" i="86" s="1"/>
  <c r="AF135" i="86" a="1"/>
  <c r="AF135" i="86" s="1"/>
  <c r="AE135" i="86" a="1"/>
  <c r="AE135" i="86" s="1"/>
  <c r="AD135" i="86" a="1"/>
  <c r="AD135" i="86" s="1"/>
  <c r="AC135" i="86" a="1"/>
  <c r="AC135" i="86" s="1"/>
  <c r="AB135" i="86" a="1"/>
  <c r="AB135" i="86" s="1"/>
  <c r="AA135" i="86" a="1"/>
  <c r="AA135" i="86" s="1"/>
  <c r="Z135" i="86" a="1"/>
  <c r="Z135" i="86" s="1"/>
  <c r="Y135" i="86" a="1"/>
  <c r="Y135" i="86" s="1"/>
  <c r="X135" i="86" a="1"/>
  <c r="X135" i="86" s="1"/>
  <c r="W135" i="86" a="1"/>
  <c r="W135" i="86" s="1"/>
  <c r="V135" i="86" a="1"/>
  <c r="V135" i="86" s="1"/>
  <c r="U135" i="86" a="1"/>
  <c r="U135" i="86" s="1"/>
  <c r="T135" i="86" a="1"/>
  <c r="T135" i="86" s="1"/>
  <c r="S135" i="86" a="1"/>
  <c r="S135" i="86" s="1"/>
  <c r="R135" i="86" a="1"/>
  <c r="R135" i="86" s="1"/>
  <c r="Q135" i="86" a="1"/>
  <c r="Q135" i="86" s="1"/>
  <c r="P135" i="86" a="1"/>
  <c r="P135" i="86" s="1"/>
  <c r="O135" i="86" a="1"/>
  <c r="O135" i="86" s="1"/>
  <c r="N135" i="86" a="1"/>
  <c r="N135" i="86" s="1"/>
  <c r="M135" i="86" a="1"/>
  <c r="M135" i="86" s="1"/>
  <c r="L135" i="86" a="1"/>
  <c r="L135" i="86" s="1"/>
  <c r="K135" i="86" a="1"/>
  <c r="K135" i="86" s="1"/>
  <c r="J135" i="86" a="1"/>
  <c r="J135" i="86" s="1"/>
  <c r="I135" i="86" a="1"/>
  <c r="I135" i="86" s="1"/>
  <c r="H135" i="86" a="1"/>
  <c r="H135" i="86" s="1"/>
  <c r="G135" i="86" a="1"/>
  <c r="G135" i="86" s="1"/>
  <c r="F135" i="86" a="1"/>
  <c r="F135" i="86" s="1"/>
  <c r="E135" i="86" a="1"/>
  <c r="E135" i="86" s="1"/>
  <c r="D135" i="86" a="1"/>
  <c r="D135" i="86" s="1"/>
  <c r="AH134" i="86" a="1"/>
  <c r="AH134" i="86" s="1"/>
  <c r="AG134" i="86" a="1"/>
  <c r="AG134" i="86" s="1"/>
  <c r="AF134" i="86" a="1"/>
  <c r="AF134" i="86" s="1"/>
  <c r="AE134" i="86" a="1"/>
  <c r="AE134" i="86" s="1"/>
  <c r="AD134" i="86" a="1"/>
  <c r="AD134" i="86" s="1"/>
  <c r="AC134" i="86" a="1"/>
  <c r="AC134" i="86" s="1"/>
  <c r="AB134" i="86" a="1"/>
  <c r="AB134" i="86" s="1"/>
  <c r="AA134" i="86" a="1"/>
  <c r="AA134" i="86" s="1"/>
  <c r="Z134" i="86" a="1"/>
  <c r="Z134" i="86" s="1"/>
  <c r="Y134" i="86" a="1"/>
  <c r="Y134" i="86" s="1"/>
  <c r="X134" i="86" a="1"/>
  <c r="X134" i="86" s="1"/>
  <c r="W134" i="86" a="1"/>
  <c r="W134" i="86" s="1"/>
  <c r="V134" i="86" a="1"/>
  <c r="V134" i="86" s="1"/>
  <c r="U134" i="86" a="1"/>
  <c r="U134" i="86" s="1"/>
  <c r="T134" i="86" a="1"/>
  <c r="T134" i="86" s="1"/>
  <c r="S134" i="86" a="1"/>
  <c r="S134" i="86" s="1"/>
  <c r="R134" i="86" a="1"/>
  <c r="R134" i="86" s="1"/>
  <c r="Q134" i="86" a="1"/>
  <c r="Q134" i="86" s="1"/>
  <c r="P134" i="86" a="1"/>
  <c r="P134" i="86" s="1"/>
  <c r="O134" i="86" a="1"/>
  <c r="O134" i="86" s="1"/>
  <c r="N134" i="86" a="1"/>
  <c r="N134" i="86" s="1"/>
  <c r="M134" i="86" a="1"/>
  <c r="M134" i="86" s="1"/>
  <c r="L134" i="86" a="1"/>
  <c r="L134" i="86" s="1"/>
  <c r="K134" i="86" a="1"/>
  <c r="K134" i="86" s="1"/>
  <c r="J134" i="86" a="1"/>
  <c r="J134" i="86" s="1"/>
  <c r="I134" i="86" a="1"/>
  <c r="I134" i="86" s="1"/>
  <c r="H134" i="86" a="1"/>
  <c r="H134" i="86" s="1"/>
  <c r="G134" i="86" a="1"/>
  <c r="G134" i="86" s="1"/>
  <c r="F134" i="86" a="1"/>
  <c r="F134" i="86" s="1"/>
  <c r="E134" i="86" a="1"/>
  <c r="E134" i="86" s="1"/>
  <c r="D134" i="86" a="1"/>
  <c r="D134" i="86" s="1"/>
  <c r="AH133" i="86" a="1"/>
  <c r="AH133" i="86" s="1"/>
  <c r="AG133" i="86" a="1"/>
  <c r="AG133" i="86" s="1"/>
  <c r="AF133" i="86" a="1"/>
  <c r="AF133" i="86" s="1"/>
  <c r="AE133" i="86" a="1"/>
  <c r="AE133" i="86" s="1"/>
  <c r="AD133" i="86" a="1"/>
  <c r="AD133" i="86" s="1"/>
  <c r="AC133" i="86" a="1"/>
  <c r="AC133" i="86" s="1"/>
  <c r="AB133" i="86" a="1"/>
  <c r="AB133" i="86" s="1"/>
  <c r="AA133" i="86" a="1"/>
  <c r="AA133" i="86" s="1"/>
  <c r="Z133" i="86" a="1"/>
  <c r="Z133" i="86" s="1"/>
  <c r="Y133" i="86" a="1"/>
  <c r="Y133" i="86" s="1"/>
  <c r="X133" i="86" a="1"/>
  <c r="X133" i="86" s="1"/>
  <c r="W133" i="86" a="1"/>
  <c r="W133" i="86" s="1"/>
  <c r="V133" i="86" a="1"/>
  <c r="V133" i="86" s="1"/>
  <c r="U133" i="86" a="1"/>
  <c r="U133" i="86" s="1"/>
  <c r="T133" i="86" a="1"/>
  <c r="T133" i="86" s="1"/>
  <c r="S133" i="86" a="1"/>
  <c r="S133" i="86" s="1"/>
  <c r="R133" i="86" a="1"/>
  <c r="R133" i="86" s="1"/>
  <c r="Q133" i="86" a="1"/>
  <c r="Q133" i="86" s="1"/>
  <c r="P133" i="86" a="1"/>
  <c r="P133" i="86" s="1"/>
  <c r="O133" i="86" a="1"/>
  <c r="O133" i="86" s="1"/>
  <c r="N133" i="86" a="1"/>
  <c r="N133" i="86" s="1"/>
  <c r="M133" i="86" a="1"/>
  <c r="M133" i="86" s="1"/>
  <c r="L133" i="86" a="1"/>
  <c r="L133" i="86" s="1"/>
  <c r="K133" i="86" a="1"/>
  <c r="K133" i="86" s="1"/>
  <c r="J133" i="86" a="1"/>
  <c r="J133" i="86" s="1"/>
  <c r="I133" i="86" a="1"/>
  <c r="I133" i="86" s="1"/>
  <c r="H133" i="86" a="1"/>
  <c r="H133" i="86" s="1"/>
  <c r="G133" i="86" a="1"/>
  <c r="G133" i="86" s="1"/>
  <c r="F133" i="86" a="1"/>
  <c r="F133" i="86" s="1"/>
  <c r="E133" i="86" a="1"/>
  <c r="E133" i="86" s="1"/>
  <c r="D133" i="86" a="1"/>
  <c r="D133" i="86" s="1"/>
  <c r="AH132" i="86" a="1"/>
  <c r="AH132" i="86" s="1"/>
  <c r="AG132" i="86" a="1"/>
  <c r="AG132" i="86" s="1"/>
  <c r="AF132" i="86" a="1"/>
  <c r="AF132" i="86" s="1"/>
  <c r="AE132" i="86" a="1"/>
  <c r="AE132" i="86" s="1"/>
  <c r="AD132" i="86" a="1"/>
  <c r="AD132" i="86" s="1"/>
  <c r="AC132" i="86" a="1"/>
  <c r="AC132" i="86" s="1"/>
  <c r="AB132" i="86" a="1"/>
  <c r="AB132" i="86" s="1"/>
  <c r="AA132" i="86" a="1"/>
  <c r="AA132" i="86" s="1"/>
  <c r="Z132" i="86" a="1"/>
  <c r="Z132" i="86" s="1"/>
  <c r="Y132" i="86" a="1"/>
  <c r="Y132" i="86" s="1"/>
  <c r="X132" i="86" a="1"/>
  <c r="X132" i="86" s="1"/>
  <c r="W132" i="86" a="1"/>
  <c r="W132" i="86" s="1"/>
  <c r="V132" i="86" a="1"/>
  <c r="V132" i="86" s="1"/>
  <c r="U132" i="86" a="1"/>
  <c r="U132" i="86" s="1"/>
  <c r="T132" i="86" a="1"/>
  <c r="T132" i="86" s="1"/>
  <c r="S132" i="86" a="1"/>
  <c r="S132" i="86" s="1"/>
  <c r="R132" i="86" a="1"/>
  <c r="R132" i="86" s="1"/>
  <c r="Q132" i="86" a="1"/>
  <c r="Q132" i="86" s="1"/>
  <c r="P132" i="86" a="1"/>
  <c r="P132" i="86" s="1"/>
  <c r="O132" i="86" a="1"/>
  <c r="O132" i="86" s="1"/>
  <c r="N132" i="86" a="1"/>
  <c r="N132" i="86" s="1"/>
  <c r="M132" i="86" a="1"/>
  <c r="M132" i="86" s="1"/>
  <c r="L132" i="86" a="1"/>
  <c r="L132" i="86" s="1"/>
  <c r="K132" i="86" a="1"/>
  <c r="K132" i="86" s="1"/>
  <c r="J132" i="86" a="1"/>
  <c r="J132" i="86" s="1"/>
  <c r="I132" i="86" a="1"/>
  <c r="I132" i="86" s="1"/>
  <c r="H132" i="86" a="1"/>
  <c r="H132" i="86" s="1"/>
  <c r="G132" i="86" a="1"/>
  <c r="G132" i="86" s="1"/>
  <c r="F132" i="86" a="1"/>
  <c r="F132" i="86" s="1"/>
  <c r="E132" i="86" a="1"/>
  <c r="E132" i="86" s="1"/>
  <c r="D132" i="86" a="1"/>
  <c r="D132" i="86" s="1"/>
  <c r="AH131" i="86" a="1"/>
  <c r="AH131" i="86" s="1"/>
  <c r="AG131" i="86" a="1"/>
  <c r="AG131" i="86" s="1"/>
  <c r="AF131" i="86" a="1"/>
  <c r="AF131" i="86" s="1"/>
  <c r="AE131" i="86" a="1"/>
  <c r="AE131" i="86" s="1"/>
  <c r="AD131" i="86" a="1"/>
  <c r="AD131" i="86" s="1"/>
  <c r="AC131" i="86" a="1"/>
  <c r="AC131" i="86" s="1"/>
  <c r="AB131" i="86" a="1"/>
  <c r="AB131" i="86" s="1"/>
  <c r="AA131" i="86" a="1"/>
  <c r="AA131" i="86" s="1"/>
  <c r="Z131" i="86" a="1"/>
  <c r="Z131" i="86" s="1"/>
  <c r="Y131" i="86" a="1"/>
  <c r="Y131" i="86" s="1"/>
  <c r="X131" i="86" a="1"/>
  <c r="X131" i="86" s="1"/>
  <c r="W131" i="86" a="1"/>
  <c r="W131" i="86" s="1"/>
  <c r="V131" i="86" a="1"/>
  <c r="V131" i="86" s="1"/>
  <c r="U131" i="86" a="1"/>
  <c r="U131" i="86" s="1"/>
  <c r="T131" i="86" a="1"/>
  <c r="T131" i="86" s="1"/>
  <c r="S131" i="86" a="1"/>
  <c r="S131" i="86" s="1"/>
  <c r="R131" i="86" a="1"/>
  <c r="R131" i="86" s="1"/>
  <c r="Q131" i="86" a="1"/>
  <c r="Q131" i="86" s="1"/>
  <c r="P131" i="86" a="1"/>
  <c r="P131" i="86" s="1"/>
  <c r="O131" i="86" a="1"/>
  <c r="O131" i="86" s="1"/>
  <c r="N131" i="86" a="1"/>
  <c r="N131" i="86" s="1"/>
  <c r="M131" i="86" a="1"/>
  <c r="M131" i="86" s="1"/>
  <c r="L131" i="86" a="1"/>
  <c r="L131" i="86" s="1"/>
  <c r="K131" i="86" a="1"/>
  <c r="K131" i="86" s="1"/>
  <c r="J131" i="86" a="1"/>
  <c r="J131" i="86" s="1"/>
  <c r="I131" i="86" a="1"/>
  <c r="I131" i="86" s="1"/>
  <c r="H131" i="86" a="1"/>
  <c r="H131" i="86" s="1"/>
  <c r="G131" i="86" a="1"/>
  <c r="G131" i="86" s="1"/>
  <c r="F131" i="86" a="1"/>
  <c r="F131" i="86" s="1"/>
  <c r="E131" i="86" a="1"/>
  <c r="E131" i="86" s="1"/>
  <c r="D131" i="86" a="1"/>
  <c r="D131" i="86" s="1"/>
  <c r="AH130" i="86" a="1"/>
  <c r="AH130" i="86" s="1"/>
  <c r="AG130" i="86" a="1"/>
  <c r="AG130" i="86" s="1"/>
  <c r="AF130" i="86" a="1"/>
  <c r="AF130" i="86" s="1"/>
  <c r="AE130" i="86" a="1"/>
  <c r="AE130" i="86" s="1"/>
  <c r="AD130" i="86" a="1"/>
  <c r="AD130" i="86" s="1"/>
  <c r="AC130" i="86" a="1"/>
  <c r="AC130" i="86" s="1"/>
  <c r="AB130" i="86" a="1"/>
  <c r="AB130" i="86" s="1"/>
  <c r="AA130" i="86" a="1"/>
  <c r="AA130" i="86" s="1"/>
  <c r="Z130" i="86" a="1"/>
  <c r="Z130" i="86" s="1"/>
  <c r="Y130" i="86" a="1"/>
  <c r="Y130" i="86" s="1"/>
  <c r="X130" i="86" a="1"/>
  <c r="X130" i="86" s="1"/>
  <c r="W130" i="86" a="1"/>
  <c r="W130" i="86" s="1"/>
  <c r="V130" i="86" a="1"/>
  <c r="V130" i="86" s="1"/>
  <c r="U130" i="86" a="1"/>
  <c r="U130" i="86" s="1"/>
  <c r="T130" i="86" a="1"/>
  <c r="T130" i="86" s="1"/>
  <c r="S130" i="86" a="1"/>
  <c r="S130" i="86" s="1"/>
  <c r="R130" i="86" a="1"/>
  <c r="R130" i="86" s="1"/>
  <c r="Q130" i="86" a="1"/>
  <c r="Q130" i="86" s="1"/>
  <c r="P130" i="86" a="1"/>
  <c r="P130" i="86" s="1"/>
  <c r="O130" i="86" a="1"/>
  <c r="O130" i="86" s="1"/>
  <c r="N130" i="86" a="1"/>
  <c r="N130" i="86" s="1"/>
  <c r="M130" i="86" a="1"/>
  <c r="M130" i="86" s="1"/>
  <c r="L130" i="86" a="1"/>
  <c r="L130" i="86" s="1"/>
  <c r="K130" i="86" a="1"/>
  <c r="K130" i="86" s="1"/>
  <c r="J130" i="86" a="1"/>
  <c r="J130" i="86" s="1"/>
  <c r="I130" i="86" a="1"/>
  <c r="I130" i="86" s="1"/>
  <c r="H130" i="86" a="1"/>
  <c r="H130" i="86" s="1"/>
  <c r="G130" i="86" a="1"/>
  <c r="G130" i="86" s="1"/>
  <c r="F130" i="86" a="1"/>
  <c r="F130" i="86" s="1"/>
  <c r="E130" i="86" a="1"/>
  <c r="E130" i="86" s="1"/>
  <c r="D130" i="86" a="1"/>
  <c r="D130" i="86" s="1"/>
  <c r="AH129" i="86" a="1"/>
  <c r="AH129" i="86" s="1"/>
  <c r="AG129" i="86" a="1"/>
  <c r="AG129" i="86" s="1"/>
  <c r="AF129" i="86" a="1"/>
  <c r="AF129" i="86" s="1"/>
  <c r="AE129" i="86" a="1"/>
  <c r="AE129" i="86" s="1"/>
  <c r="AD129" i="86" a="1"/>
  <c r="AD129" i="86" s="1"/>
  <c r="AC129" i="86" a="1"/>
  <c r="AC129" i="86" s="1"/>
  <c r="AB129" i="86" a="1"/>
  <c r="AB129" i="86" s="1"/>
  <c r="AA129" i="86" a="1"/>
  <c r="AA129" i="86" s="1"/>
  <c r="Z129" i="86" a="1"/>
  <c r="Z129" i="86" s="1"/>
  <c r="Y129" i="86" a="1"/>
  <c r="Y129" i="86" s="1"/>
  <c r="X129" i="86" a="1"/>
  <c r="X129" i="86" s="1"/>
  <c r="W129" i="86" a="1"/>
  <c r="W129" i="86" s="1"/>
  <c r="V129" i="86" a="1"/>
  <c r="V129" i="86" s="1"/>
  <c r="U129" i="86" a="1"/>
  <c r="U129" i="86" s="1"/>
  <c r="T129" i="86" a="1"/>
  <c r="T129" i="86" s="1"/>
  <c r="S129" i="86" a="1"/>
  <c r="S129" i="86" s="1"/>
  <c r="R129" i="86" a="1"/>
  <c r="R129" i="86" s="1"/>
  <c r="Q129" i="86" a="1"/>
  <c r="Q129" i="86" s="1"/>
  <c r="P129" i="86" a="1"/>
  <c r="P129" i="86" s="1"/>
  <c r="O129" i="86" a="1"/>
  <c r="O129" i="86" s="1"/>
  <c r="N129" i="86" a="1"/>
  <c r="N129" i="86" s="1"/>
  <c r="M129" i="86" a="1"/>
  <c r="M129" i="86" s="1"/>
  <c r="L129" i="86" a="1"/>
  <c r="L129" i="86" s="1"/>
  <c r="K129" i="86" a="1"/>
  <c r="K129" i="86" s="1"/>
  <c r="J129" i="86" a="1"/>
  <c r="J129" i="86" s="1"/>
  <c r="I129" i="86" a="1"/>
  <c r="I129" i="86" s="1"/>
  <c r="H129" i="86" a="1"/>
  <c r="H129" i="86" s="1"/>
  <c r="G129" i="86" a="1"/>
  <c r="G129" i="86" s="1"/>
  <c r="F129" i="86" a="1"/>
  <c r="F129" i="86" s="1"/>
  <c r="E129" i="86" a="1"/>
  <c r="E129" i="86" s="1"/>
  <c r="D129" i="86" a="1"/>
  <c r="D129" i="86" s="1"/>
  <c r="AH128" i="86" a="1"/>
  <c r="AH128" i="86" s="1"/>
  <c r="AG128" i="86" a="1"/>
  <c r="AG128" i="86" s="1"/>
  <c r="AF128" i="86" a="1"/>
  <c r="AF128" i="86" s="1"/>
  <c r="AE128" i="86" a="1"/>
  <c r="AE128" i="86" s="1"/>
  <c r="AD128" i="86" a="1"/>
  <c r="AD128" i="86" s="1"/>
  <c r="AC128" i="86" a="1"/>
  <c r="AC128" i="86" s="1"/>
  <c r="AB128" i="86" a="1"/>
  <c r="AB128" i="86" s="1"/>
  <c r="AA128" i="86" a="1"/>
  <c r="AA128" i="86" s="1"/>
  <c r="Z128" i="86" a="1"/>
  <c r="Z128" i="86" s="1"/>
  <c r="Y128" i="86" a="1"/>
  <c r="Y128" i="86" s="1"/>
  <c r="X128" i="86" a="1"/>
  <c r="X128" i="86" s="1"/>
  <c r="W128" i="86" a="1"/>
  <c r="W128" i="86" s="1"/>
  <c r="V128" i="86" a="1"/>
  <c r="V128" i="86" s="1"/>
  <c r="U128" i="86" a="1"/>
  <c r="U128" i="86" s="1"/>
  <c r="T128" i="86" a="1"/>
  <c r="T128" i="86" s="1"/>
  <c r="S128" i="86" a="1"/>
  <c r="S128" i="86" s="1"/>
  <c r="R128" i="86" a="1"/>
  <c r="R128" i="86" s="1"/>
  <c r="Q128" i="86" a="1"/>
  <c r="Q128" i="86" s="1"/>
  <c r="P128" i="86" a="1"/>
  <c r="P128" i="86" s="1"/>
  <c r="O128" i="86" a="1"/>
  <c r="O128" i="86" s="1"/>
  <c r="N128" i="86" a="1"/>
  <c r="N128" i="86" s="1"/>
  <c r="M128" i="86" a="1"/>
  <c r="M128" i="86" s="1"/>
  <c r="L128" i="86" a="1"/>
  <c r="L128" i="86" s="1"/>
  <c r="K128" i="86" a="1"/>
  <c r="K128" i="86" s="1"/>
  <c r="J128" i="86" a="1"/>
  <c r="J128" i="86" s="1"/>
  <c r="I128" i="86" a="1"/>
  <c r="I128" i="86" s="1"/>
  <c r="H128" i="86" a="1"/>
  <c r="H128" i="86" s="1"/>
  <c r="G128" i="86" a="1"/>
  <c r="G128" i="86" s="1"/>
  <c r="F128" i="86" a="1"/>
  <c r="F128" i="86" s="1"/>
  <c r="E128" i="86" a="1"/>
  <c r="E128" i="86" s="1"/>
  <c r="D128" i="86" a="1"/>
  <c r="D128" i="86" s="1"/>
  <c r="AH127" i="86" a="1"/>
  <c r="AH127" i="86" s="1"/>
  <c r="AG127" i="86" a="1"/>
  <c r="AG127" i="86" s="1"/>
  <c r="AF127" i="86" a="1"/>
  <c r="AF127" i="86" s="1"/>
  <c r="AE127" i="86" a="1"/>
  <c r="AE127" i="86" s="1"/>
  <c r="AD127" i="86" a="1"/>
  <c r="AD127" i="86" s="1"/>
  <c r="AC127" i="86" a="1"/>
  <c r="AC127" i="86" s="1"/>
  <c r="AB127" i="86" a="1"/>
  <c r="AB127" i="86" s="1"/>
  <c r="AA127" i="86" a="1"/>
  <c r="AA127" i="86" s="1"/>
  <c r="Z127" i="86" a="1"/>
  <c r="Z127" i="86" s="1"/>
  <c r="Y127" i="86" a="1"/>
  <c r="Y127" i="86" s="1"/>
  <c r="X127" i="86" a="1"/>
  <c r="X127" i="86" s="1"/>
  <c r="W127" i="86" a="1"/>
  <c r="W127" i="86" s="1"/>
  <c r="V127" i="86" a="1"/>
  <c r="V127" i="86" s="1"/>
  <c r="U127" i="86" a="1"/>
  <c r="U127" i="86" s="1"/>
  <c r="T127" i="86" a="1"/>
  <c r="T127" i="86" s="1"/>
  <c r="S127" i="86" a="1"/>
  <c r="S127" i="86" s="1"/>
  <c r="R127" i="86" a="1"/>
  <c r="R127" i="86" s="1"/>
  <c r="Q127" i="86" a="1"/>
  <c r="Q127" i="86" s="1"/>
  <c r="P127" i="86" a="1"/>
  <c r="P127" i="86" s="1"/>
  <c r="O127" i="86" a="1"/>
  <c r="O127" i="86" s="1"/>
  <c r="N127" i="86" a="1"/>
  <c r="N127" i="86" s="1"/>
  <c r="M127" i="86" a="1"/>
  <c r="M127" i="86" s="1"/>
  <c r="L127" i="86" a="1"/>
  <c r="L127" i="86" s="1"/>
  <c r="K127" i="86" a="1"/>
  <c r="K127" i="86" s="1"/>
  <c r="J127" i="86" a="1"/>
  <c r="J127" i="86" s="1"/>
  <c r="I127" i="86" a="1"/>
  <c r="I127" i="86" s="1"/>
  <c r="H127" i="86" a="1"/>
  <c r="H127" i="86" s="1"/>
  <c r="G127" i="86" a="1"/>
  <c r="G127" i="86" s="1"/>
  <c r="F127" i="86" a="1"/>
  <c r="F127" i="86" s="1"/>
  <c r="E127" i="86" a="1"/>
  <c r="E127" i="86" s="1"/>
  <c r="D127" i="86" a="1"/>
  <c r="D127" i="86" s="1"/>
  <c r="AH126" i="86" a="1"/>
  <c r="AH126" i="86" s="1"/>
  <c r="AG126" i="86" a="1"/>
  <c r="AG126" i="86" s="1"/>
  <c r="AF126" i="86" a="1"/>
  <c r="AF126" i="86" s="1"/>
  <c r="AE126" i="86" a="1"/>
  <c r="AE126" i="86" s="1"/>
  <c r="AD126" i="86" a="1"/>
  <c r="AD126" i="86" s="1"/>
  <c r="AC126" i="86" a="1"/>
  <c r="AC126" i="86" s="1"/>
  <c r="AB126" i="86" a="1"/>
  <c r="AB126" i="86" s="1"/>
  <c r="AA126" i="86" a="1"/>
  <c r="AA126" i="86" s="1"/>
  <c r="Z126" i="86" a="1"/>
  <c r="Z126" i="86" s="1"/>
  <c r="Y126" i="86" a="1"/>
  <c r="Y126" i="86" s="1"/>
  <c r="X126" i="86" a="1"/>
  <c r="X126" i="86" s="1"/>
  <c r="W126" i="86" a="1"/>
  <c r="W126" i="86" s="1"/>
  <c r="V126" i="86" a="1"/>
  <c r="V126" i="86" s="1"/>
  <c r="U126" i="86" a="1"/>
  <c r="U126" i="86" s="1"/>
  <c r="T126" i="86" a="1"/>
  <c r="T126" i="86" s="1"/>
  <c r="S126" i="86" a="1"/>
  <c r="S126" i="86" s="1"/>
  <c r="R126" i="86" a="1"/>
  <c r="R126" i="86" s="1"/>
  <c r="Q126" i="86" a="1"/>
  <c r="Q126" i="86" s="1"/>
  <c r="P126" i="86" a="1"/>
  <c r="P126" i="86" s="1"/>
  <c r="O126" i="86" a="1"/>
  <c r="O126" i="86" s="1"/>
  <c r="N126" i="86" a="1"/>
  <c r="N126" i="86" s="1"/>
  <c r="M126" i="86" a="1"/>
  <c r="M126" i="86" s="1"/>
  <c r="L126" i="86" a="1"/>
  <c r="L126" i="86" s="1"/>
  <c r="K126" i="86" a="1"/>
  <c r="K126" i="86" s="1"/>
  <c r="J126" i="86" a="1"/>
  <c r="J126" i="86" s="1"/>
  <c r="I126" i="86" a="1"/>
  <c r="I126" i="86" s="1"/>
  <c r="H126" i="86" a="1"/>
  <c r="H126" i="86" s="1"/>
  <c r="G126" i="86" a="1"/>
  <c r="G126" i="86" s="1"/>
  <c r="F126" i="86" a="1"/>
  <c r="F126" i="86" s="1"/>
  <c r="E126" i="86" a="1"/>
  <c r="E126" i="86" s="1"/>
  <c r="D126" i="86" a="1"/>
  <c r="D126" i="86" s="1"/>
  <c r="AH125" i="86" a="1"/>
  <c r="AH125" i="86" s="1"/>
  <c r="AG125" i="86" a="1"/>
  <c r="AG125" i="86" s="1"/>
  <c r="AF125" i="86" a="1"/>
  <c r="AF125" i="86" s="1"/>
  <c r="AE125" i="86" a="1"/>
  <c r="AE125" i="86" s="1"/>
  <c r="AD125" i="86" a="1"/>
  <c r="AD125" i="86" s="1"/>
  <c r="AC125" i="86" a="1"/>
  <c r="AC125" i="86" s="1"/>
  <c r="AB125" i="86" a="1"/>
  <c r="AB125" i="86" s="1"/>
  <c r="AA125" i="86" a="1"/>
  <c r="AA125" i="86" s="1"/>
  <c r="Z125" i="86" a="1"/>
  <c r="Z125" i="86" s="1"/>
  <c r="Y125" i="86" a="1"/>
  <c r="Y125" i="86" s="1"/>
  <c r="X125" i="86" a="1"/>
  <c r="X125" i="86" s="1"/>
  <c r="W125" i="86" a="1"/>
  <c r="W125" i="86" s="1"/>
  <c r="V125" i="86" a="1"/>
  <c r="V125" i="86" s="1"/>
  <c r="U125" i="86" a="1"/>
  <c r="U125" i="86" s="1"/>
  <c r="T125" i="86" a="1"/>
  <c r="T125" i="86" s="1"/>
  <c r="S125" i="86" a="1"/>
  <c r="S125" i="86" s="1"/>
  <c r="R125" i="86" a="1"/>
  <c r="R125" i="86" s="1"/>
  <c r="Q125" i="86" a="1"/>
  <c r="Q125" i="86" s="1"/>
  <c r="P125" i="86" a="1"/>
  <c r="P125" i="86" s="1"/>
  <c r="O125" i="86" a="1"/>
  <c r="O125" i="86" s="1"/>
  <c r="N125" i="86" a="1"/>
  <c r="N125" i="86" s="1"/>
  <c r="M125" i="86" a="1"/>
  <c r="M125" i="86" s="1"/>
  <c r="L125" i="86" a="1"/>
  <c r="L125" i="86" s="1"/>
  <c r="K125" i="86" a="1"/>
  <c r="K125" i="86" s="1"/>
  <c r="J125" i="86" a="1"/>
  <c r="J125" i="86" s="1"/>
  <c r="I125" i="86" a="1"/>
  <c r="I125" i="86" s="1"/>
  <c r="H125" i="86" a="1"/>
  <c r="H125" i="86" s="1"/>
  <c r="G125" i="86" a="1"/>
  <c r="G125" i="86" s="1"/>
  <c r="F125" i="86" a="1"/>
  <c r="F125" i="86" s="1"/>
  <c r="E125" i="86" a="1"/>
  <c r="E125" i="86" s="1"/>
  <c r="D125" i="86" a="1"/>
  <c r="D125" i="86" s="1"/>
  <c r="AH124" i="86" a="1"/>
  <c r="AH124" i="86" s="1"/>
  <c r="AG124" i="86" a="1"/>
  <c r="AG124" i="86" s="1"/>
  <c r="AF124" i="86" a="1"/>
  <c r="AF124" i="86" s="1"/>
  <c r="AE124" i="86" a="1"/>
  <c r="AE124" i="86" s="1"/>
  <c r="AD124" i="86" a="1"/>
  <c r="AD124" i="86" s="1"/>
  <c r="AC124" i="86" a="1"/>
  <c r="AC124" i="86" s="1"/>
  <c r="AB124" i="86" a="1"/>
  <c r="AB124" i="86" s="1"/>
  <c r="AA124" i="86" a="1"/>
  <c r="AA124" i="86" s="1"/>
  <c r="Z124" i="86" a="1"/>
  <c r="Z124" i="86" s="1"/>
  <c r="Y124" i="86" a="1"/>
  <c r="Y124" i="86" s="1"/>
  <c r="X124" i="86" a="1"/>
  <c r="X124" i="86" s="1"/>
  <c r="W124" i="86" a="1"/>
  <c r="W124" i="86" s="1"/>
  <c r="V124" i="86" a="1"/>
  <c r="V124" i="86" s="1"/>
  <c r="U124" i="86" a="1"/>
  <c r="U124" i="86" s="1"/>
  <c r="T124" i="86" a="1"/>
  <c r="T124" i="86" s="1"/>
  <c r="S124" i="86" a="1"/>
  <c r="S124" i="86" s="1"/>
  <c r="R124" i="86" a="1"/>
  <c r="R124" i="86" s="1"/>
  <c r="Q124" i="86" a="1"/>
  <c r="Q124" i="86" s="1"/>
  <c r="P124" i="86" a="1"/>
  <c r="P124" i="86" s="1"/>
  <c r="O124" i="86" a="1"/>
  <c r="O124" i="86" s="1"/>
  <c r="N124" i="86" a="1"/>
  <c r="N124" i="86" s="1"/>
  <c r="M124" i="86" a="1"/>
  <c r="M124" i="86" s="1"/>
  <c r="L124" i="86" a="1"/>
  <c r="L124" i="86" s="1"/>
  <c r="K124" i="86" a="1"/>
  <c r="K124" i="86" s="1"/>
  <c r="J124" i="86" a="1"/>
  <c r="J124" i="86" s="1"/>
  <c r="I124" i="86" a="1"/>
  <c r="I124" i="86" s="1"/>
  <c r="H124" i="86" a="1"/>
  <c r="H124" i="86" s="1"/>
  <c r="G124" i="86" a="1"/>
  <c r="G124" i="86" s="1"/>
  <c r="F124" i="86" a="1"/>
  <c r="F124" i="86" s="1"/>
  <c r="E124" i="86" a="1"/>
  <c r="E124" i="86" s="1"/>
  <c r="D124" i="86" a="1"/>
  <c r="D124" i="86" s="1"/>
  <c r="AH123" i="86" a="1"/>
  <c r="AH123" i="86" s="1"/>
  <c r="AG123" i="86" a="1"/>
  <c r="AG123" i="86" s="1"/>
  <c r="AF123" i="86" a="1"/>
  <c r="AF123" i="86" s="1"/>
  <c r="AE123" i="86" a="1"/>
  <c r="AE123" i="86" s="1"/>
  <c r="AD123" i="86" a="1"/>
  <c r="AD123" i="86" s="1"/>
  <c r="AC123" i="86" a="1"/>
  <c r="AC123" i="86" s="1"/>
  <c r="AB123" i="86" a="1"/>
  <c r="AB123" i="86" s="1"/>
  <c r="AA123" i="86" a="1"/>
  <c r="AA123" i="86" s="1"/>
  <c r="Z123" i="86" a="1"/>
  <c r="Z123" i="86" s="1"/>
  <c r="Y123" i="86" a="1"/>
  <c r="Y123" i="86" s="1"/>
  <c r="X123" i="86" a="1"/>
  <c r="X123" i="86" s="1"/>
  <c r="W123" i="86" a="1"/>
  <c r="W123" i="86" s="1"/>
  <c r="V123" i="86" a="1"/>
  <c r="V123" i="86" s="1"/>
  <c r="U123" i="86" a="1"/>
  <c r="U123" i="86" s="1"/>
  <c r="T123" i="86" a="1"/>
  <c r="T123" i="86" s="1"/>
  <c r="S123" i="86" a="1"/>
  <c r="S123" i="86" s="1"/>
  <c r="R123" i="86" a="1"/>
  <c r="R123" i="86" s="1"/>
  <c r="Q123" i="86" a="1"/>
  <c r="Q123" i="86" s="1"/>
  <c r="P123" i="86" a="1"/>
  <c r="P123" i="86" s="1"/>
  <c r="O123" i="86" a="1"/>
  <c r="O123" i="86" s="1"/>
  <c r="N123" i="86" a="1"/>
  <c r="N123" i="86" s="1"/>
  <c r="M123" i="86" a="1"/>
  <c r="M123" i="86" s="1"/>
  <c r="L123" i="86" a="1"/>
  <c r="L123" i="86" s="1"/>
  <c r="K123" i="86" a="1"/>
  <c r="K123" i="86" s="1"/>
  <c r="J123" i="86" a="1"/>
  <c r="J123" i="86" s="1"/>
  <c r="I123" i="86" a="1"/>
  <c r="I123" i="86" s="1"/>
  <c r="H123" i="86" a="1"/>
  <c r="H123" i="86" s="1"/>
  <c r="G123" i="86" a="1"/>
  <c r="G123" i="86" s="1"/>
  <c r="F123" i="86" a="1"/>
  <c r="F123" i="86" s="1"/>
  <c r="E123" i="86" a="1"/>
  <c r="E123" i="86" s="1"/>
  <c r="D123" i="86" a="1"/>
  <c r="D123" i="86" s="1"/>
  <c r="AH122" i="86" a="1"/>
  <c r="AH122" i="86" s="1"/>
  <c r="AG122" i="86" a="1"/>
  <c r="AG122" i="86" s="1"/>
  <c r="AF122" i="86" a="1"/>
  <c r="AF122" i="86" s="1"/>
  <c r="AE122" i="86" a="1"/>
  <c r="AE122" i="86" s="1"/>
  <c r="AD122" i="86" a="1"/>
  <c r="AD122" i="86" s="1"/>
  <c r="AC122" i="86" a="1"/>
  <c r="AC122" i="86" s="1"/>
  <c r="AB122" i="86" a="1"/>
  <c r="AB122" i="86" s="1"/>
  <c r="AA122" i="86" a="1"/>
  <c r="AA122" i="86" s="1"/>
  <c r="Z122" i="86" a="1"/>
  <c r="Z122" i="86" s="1"/>
  <c r="Y122" i="86" a="1"/>
  <c r="Y122" i="86" s="1"/>
  <c r="X122" i="86" a="1"/>
  <c r="X122" i="86" s="1"/>
  <c r="W122" i="86" a="1"/>
  <c r="W122" i="86" s="1"/>
  <c r="V122" i="86" a="1"/>
  <c r="V122" i="86" s="1"/>
  <c r="U122" i="86" a="1"/>
  <c r="U122" i="86" s="1"/>
  <c r="T122" i="86" a="1"/>
  <c r="T122" i="86" s="1"/>
  <c r="S122" i="86" a="1"/>
  <c r="S122" i="86" s="1"/>
  <c r="R122" i="86" a="1"/>
  <c r="R122" i="86" s="1"/>
  <c r="Q122" i="86" a="1"/>
  <c r="Q122" i="86" s="1"/>
  <c r="P122" i="86" a="1"/>
  <c r="P122" i="86" s="1"/>
  <c r="O122" i="86" a="1"/>
  <c r="O122" i="86" s="1"/>
  <c r="N122" i="86" a="1"/>
  <c r="N122" i="86" s="1"/>
  <c r="M122" i="86" a="1"/>
  <c r="M122" i="86" s="1"/>
  <c r="L122" i="86" a="1"/>
  <c r="L122" i="86" s="1"/>
  <c r="K122" i="86" a="1"/>
  <c r="K122" i="86" s="1"/>
  <c r="J122" i="86" a="1"/>
  <c r="J122" i="86" s="1"/>
  <c r="I122" i="86" a="1"/>
  <c r="I122" i="86" s="1"/>
  <c r="H122" i="86" a="1"/>
  <c r="H122" i="86" s="1"/>
  <c r="G122" i="86" a="1"/>
  <c r="G122" i="86" s="1"/>
  <c r="F122" i="86" a="1"/>
  <c r="F122" i="86" s="1"/>
  <c r="E122" i="86" a="1"/>
  <c r="E122" i="86" s="1"/>
  <c r="D122" i="86" a="1"/>
  <c r="D122" i="86" s="1"/>
  <c r="AH121" i="86" a="1"/>
  <c r="AH121" i="86" s="1"/>
  <c r="AG121" i="86" a="1"/>
  <c r="AG121" i="86" s="1"/>
  <c r="AF121" i="86" a="1"/>
  <c r="AF121" i="86" s="1"/>
  <c r="AE121" i="86" a="1"/>
  <c r="AE121" i="86" s="1"/>
  <c r="AD121" i="86" a="1"/>
  <c r="AD121" i="86" s="1"/>
  <c r="AC121" i="86" a="1"/>
  <c r="AC121" i="86" s="1"/>
  <c r="AB121" i="86" a="1"/>
  <c r="AB121" i="86" s="1"/>
  <c r="AA121" i="86" a="1"/>
  <c r="AA121" i="86" s="1"/>
  <c r="Z121" i="86" a="1"/>
  <c r="Z121" i="86" s="1"/>
  <c r="Y121" i="86" a="1"/>
  <c r="Y121" i="86" s="1"/>
  <c r="X121" i="86" a="1"/>
  <c r="X121" i="86" s="1"/>
  <c r="W121" i="86" a="1"/>
  <c r="W121" i="86" s="1"/>
  <c r="V121" i="86" a="1"/>
  <c r="V121" i="86" s="1"/>
  <c r="U121" i="86" a="1"/>
  <c r="U121" i="86" s="1"/>
  <c r="T121" i="86" a="1"/>
  <c r="T121" i="86" s="1"/>
  <c r="S121" i="86" a="1"/>
  <c r="S121" i="86" s="1"/>
  <c r="R121" i="86" a="1"/>
  <c r="R121" i="86" s="1"/>
  <c r="Q121" i="86" a="1"/>
  <c r="Q121" i="86" s="1"/>
  <c r="P121" i="86" a="1"/>
  <c r="P121" i="86" s="1"/>
  <c r="O121" i="86" a="1"/>
  <c r="O121" i="86" s="1"/>
  <c r="N121" i="86" a="1"/>
  <c r="N121" i="86" s="1"/>
  <c r="M121" i="86" a="1"/>
  <c r="M121" i="86" s="1"/>
  <c r="L121" i="86" a="1"/>
  <c r="L121" i="86" s="1"/>
  <c r="K121" i="86" a="1"/>
  <c r="K121" i="86" s="1"/>
  <c r="J121" i="86" a="1"/>
  <c r="J121" i="86" s="1"/>
  <c r="I121" i="86" a="1"/>
  <c r="I121" i="86" s="1"/>
  <c r="H121" i="86" a="1"/>
  <c r="H121" i="86" s="1"/>
  <c r="G121" i="86" a="1"/>
  <c r="G121" i="86" s="1"/>
  <c r="F121" i="86" a="1"/>
  <c r="F121" i="86" s="1"/>
  <c r="E121" i="86" a="1"/>
  <c r="E121" i="86" s="1"/>
  <c r="D121" i="86" a="1"/>
  <c r="D121" i="86" s="1"/>
  <c r="AH120" i="86" a="1"/>
  <c r="AH120" i="86" s="1"/>
  <c r="AG120" i="86" a="1"/>
  <c r="AG120" i="86" s="1"/>
  <c r="AF120" i="86" a="1"/>
  <c r="AF120" i="86" s="1"/>
  <c r="AE120" i="86" a="1"/>
  <c r="AE120" i="86" s="1"/>
  <c r="AD120" i="86" a="1"/>
  <c r="AD120" i="86" s="1"/>
  <c r="AC120" i="86" a="1"/>
  <c r="AC120" i="86" s="1"/>
  <c r="AB120" i="86" a="1"/>
  <c r="AB120" i="86" s="1"/>
  <c r="AA120" i="86" a="1"/>
  <c r="AA120" i="86" s="1"/>
  <c r="Z120" i="86" a="1"/>
  <c r="Z120" i="86" s="1"/>
  <c r="Y120" i="86" a="1"/>
  <c r="Y120" i="86" s="1"/>
  <c r="X120" i="86" a="1"/>
  <c r="X120" i="86" s="1"/>
  <c r="W120" i="86" a="1"/>
  <c r="W120" i="86" s="1"/>
  <c r="V120" i="86" a="1"/>
  <c r="V120" i="86" s="1"/>
  <c r="U120" i="86" a="1"/>
  <c r="U120" i="86" s="1"/>
  <c r="T120" i="86" a="1"/>
  <c r="T120" i="86" s="1"/>
  <c r="S120" i="86" a="1"/>
  <c r="S120" i="86" s="1"/>
  <c r="R120" i="86" a="1"/>
  <c r="R120" i="86" s="1"/>
  <c r="Q120" i="86" a="1"/>
  <c r="Q120" i="86" s="1"/>
  <c r="P120" i="86" a="1"/>
  <c r="P120" i="86" s="1"/>
  <c r="O120" i="86" a="1"/>
  <c r="O120" i="86" s="1"/>
  <c r="N120" i="86" a="1"/>
  <c r="N120" i="86" s="1"/>
  <c r="M120" i="86" a="1"/>
  <c r="M120" i="86" s="1"/>
  <c r="L120" i="86" a="1"/>
  <c r="L120" i="86" s="1"/>
  <c r="K120" i="86" a="1"/>
  <c r="K120" i="86" s="1"/>
  <c r="J120" i="86" a="1"/>
  <c r="J120" i="86" s="1"/>
  <c r="I120" i="86" a="1"/>
  <c r="I120" i="86" s="1"/>
  <c r="H120" i="86" a="1"/>
  <c r="H120" i="86" s="1"/>
  <c r="G120" i="86" a="1"/>
  <c r="G120" i="86" s="1"/>
  <c r="F120" i="86" a="1"/>
  <c r="F120" i="86" s="1"/>
  <c r="E120" i="86" a="1"/>
  <c r="E120" i="86" s="1"/>
  <c r="D120" i="86" a="1"/>
  <c r="D120" i="86" s="1"/>
  <c r="AH119" i="86" a="1"/>
  <c r="AH119" i="86" s="1"/>
  <c r="AG119" i="86" a="1"/>
  <c r="AG119" i="86" s="1"/>
  <c r="AF119" i="86" a="1"/>
  <c r="AF119" i="86" s="1"/>
  <c r="AE119" i="86" a="1"/>
  <c r="AE119" i="86" s="1"/>
  <c r="AD119" i="86" a="1"/>
  <c r="AD119" i="86" s="1"/>
  <c r="AC119" i="86" a="1"/>
  <c r="AC119" i="86" s="1"/>
  <c r="AB119" i="86" a="1"/>
  <c r="AB119" i="86" s="1"/>
  <c r="AA119" i="86" a="1"/>
  <c r="AA119" i="86" s="1"/>
  <c r="Z119" i="86" a="1"/>
  <c r="Z119" i="86" s="1"/>
  <c r="Y119" i="86" a="1"/>
  <c r="Y119" i="86" s="1"/>
  <c r="X119" i="86" a="1"/>
  <c r="X119" i="86" s="1"/>
  <c r="W119" i="86" a="1"/>
  <c r="W119" i="86" s="1"/>
  <c r="V119" i="86" a="1"/>
  <c r="V119" i="86" s="1"/>
  <c r="U119" i="86" a="1"/>
  <c r="U119" i="86" s="1"/>
  <c r="T119" i="86" a="1"/>
  <c r="T119" i="86" s="1"/>
  <c r="S119" i="86" a="1"/>
  <c r="S119" i="86" s="1"/>
  <c r="R119" i="86" a="1"/>
  <c r="R119" i="86" s="1"/>
  <c r="Q119" i="86" a="1"/>
  <c r="Q119" i="86" s="1"/>
  <c r="P119" i="86" a="1"/>
  <c r="P119" i="86" s="1"/>
  <c r="O119" i="86" a="1"/>
  <c r="O119" i="86" s="1"/>
  <c r="N119" i="86" a="1"/>
  <c r="N119" i="86" s="1"/>
  <c r="M119" i="86" a="1"/>
  <c r="M119" i="86" s="1"/>
  <c r="L119" i="86" a="1"/>
  <c r="L119" i="86" s="1"/>
  <c r="K119" i="86" a="1"/>
  <c r="K119" i="86" s="1"/>
  <c r="J119" i="86" a="1"/>
  <c r="J119" i="86" s="1"/>
  <c r="I119" i="86" a="1"/>
  <c r="I119" i="86" s="1"/>
  <c r="H119" i="86" a="1"/>
  <c r="H119" i="86" s="1"/>
  <c r="G119" i="86" a="1"/>
  <c r="G119" i="86" s="1"/>
  <c r="F119" i="86" a="1"/>
  <c r="F119" i="86" s="1"/>
  <c r="E119" i="86" a="1"/>
  <c r="E119" i="86" s="1"/>
  <c r="D119" i="86" a="1"/>
  <c r="D119" i="86" s="1"/>
  <c r="AH118" i="86" a="1"/>
  <c r="AH118" i="86" s="1"/>
  <c r="AG118" i="86" a="1"/>
  <c r="AG118" i="86" s="1"/>
  <c r="AF118" i="86" a="1"/>
  <c r="AF118" i="86" s="1"/>
  <c r="AE118" i="86" a="1"/>
  <c r="AE118" i="86" s="1"/>
  <c r="AD118" i="86" a="1"/>
  <c r="AD118" i="86" s="1"/>
  <c r="AC118" i="86" a="1"/>
  <c r="AC118" i="86" s="1"/>
  <c r="AB118" i="86" a="1"/>
  <c r="AB118" i="86" s="1"/>
  <c r="AA118" i="86" a="1"/>
  <c r="AA118" i="86" s="1"/>
  <c r="Z118" i="86" a="1"/>
  <c r="Z118" i="86" s="1"/>
  <c r="Y118" i="86" a="1"/>
  <c r="Y118" i="86" s="1"/>
  <c r="X118" i="86" a="1"/>
  <c r="X118" i="86" s="1"/>
  <c r="W118" i="86" a="1"/>
  <c r="W118" i="86" s="1"/>
  <c r="V118" i="86" a="1"/>
  <c r="V118" i="86" s="1"/>
  <c r="U118" i="86" a="1"/>
  <c r="U118" i="86" s="1"/>
  <c r="T118" i="86" a="1"/>
  <c r="T118" i="86" s="1"/>
  <c r="S118" i="86" a="1"/>
  <c r="S118" i="86" s="1"/>
  <c r="R118" i="86" a="1"/>
  <c r="R118" i="86" s="1"/>
  <c r="Q118" i="86" a="1"/>
  <c r="Q118" i="86" s="1"/>
  <c r="P118" i="86" a="1"/>
  <c r="P118" i="86" s="1"/>
  <c r="O118" i="86" a="1"/>
  <c r="O118" i="86" s="1"/>
  <c r="N118" i="86" a="1"/>
  <c r="N118" i="86" s="1"/>
  <c r="M118" i="86" a="1"/>
  <c r="M118" i="86" s="1"/>
  <c r="L118" i="86" a="1"/>
  <c r="L118" i="86" s="1"/>
  <c r="K118" i="86" a="1"/>
  <c r="K118" i="86" s="1"/>
  <c r="J118" i="86" a="1"/>
  <c r="J118" i="86" s="1"/>
  <c r="I118" i="86" a="1"/>
  <c r="I118" i="86" s="1"/>
  <c r="H118" i="86" a="1"/>
  <c r="H118" i="86" s="1"/>
  <c r="G118" i="86" a="1"/>
  <c r="G118" i="86" s="1"/>
  <c r="F118" i="86" a="1"/>
  <c r="F118" i="86" s="1"/>
  <c r="E118" i="86" a="1"/>
  <c r="E118" i="86" s="1"/>
  <c r="D118" i="86" a="1"/>
  <c r="D118" i="86" s="1"/>
  <c r="AH117" i="86" a="1"/>
  <c r="AH117" i="86" s="1"/>
  <c r="AG117" i="86" a="1"/>
  <c r="AG117" i="86" s="1"/>
  <c r="AF117" i="86" a="1"/>
  <c r="AF117" i="86" s="1"/>
  <c r="AE117" i="86" a="1"/>
  <c r="AE117" i="86" s="1"/>
  <c r="AD117" i="86" a="1"/>
  <c r="AD117" i="86" s="1"/>
  <c r="AC117" i="86" a="1"/>
  <c r="AC117" i="86" s="1"/>
  <c r="AB117" i="86" a="1"/>
  <c r="AB117" i="86" s="1"/>
  <c r="AA117" i="86" a="1"/>
  <c r="AA117" i="86" s="1"/>
  <c r="Z117" i="86" a="1"/>
  <c r="Z117" i="86" s="1"/>
  <c r="Y117" i="86" a="1"/>
  <c r="Y117" i="86" s="1"/>
  <c r="X117" i="86" a="1"/>
  <c r="X117" i="86" s="1"/>
  <c r="W117" i="86" a="1"/>
  <c r="W117" i="86" s="1"/>
  <c r="V117" i="86" a="1"/>
  <c r="V117" i="86" s="1"/>
  <c r="U117" i="86" a="1"/>
  <c r="U117" i="86" s="1"/>
  <c r="T117" i="86" a="1"/>
  <c r="T117" i="86" s="1"/>
  <c r="S117" i="86" a="1"/>
  <c r="S117" i="86" s="1"/>
  <c r="R117" i="86" a="1"/>
  <c r="R117" i="86" s="1"/>
  <c r="Q117" i="86" a="1"/>
  <c r="Q117" i="86" s="1"/>
  <c r="P117" i="86" a="1"/>
  <c r="P117" i="86" s="1"/>
  <c r="O117" i="86" a="1"/>
  <c r="O117" i="86" s="1"/>
  <c r="N117" i="86" a="1"/>
  <c r="N117" i="86" s="1"/>
  <c r="M117" i="86" a="1"/>
  <c r="M117" i="86" s="1"/>
  <c r="L117" i="86" a="1"/>
  <c r="L117" i="86" s="1"/>
  <c r="K117" i="86" a="1"/>
  <c r="K117" i="86" s="1"/>
  <c r="J117" i="86" a="1"/>
  <c r="J117" i="86" s="1"/>
  <c r="I117" i="86" a="1"/>
  <c r="I117" i="86" s="1"/>
  <c r="H117" i="86" a="1"/>
  <c r="H117" i="86" s="1"/>
  <c r="G117" i="86" a="1"/>
  <c r="G117" i="86" s="1"/>
  <c r="F117" i="86" a="1"/>
  <c r="F117" i="86" s="1"/>
  <c r="E117" i="86" a="1"/>
  <c r="E117" i="86" s="1"/>
  <c r="D117" i="86" a="1"/>
  <c r="D117" i="86" s="1"/>
  <c r="AH116" i="86" a="1"/>
  <c r="AH116" i="86" s="1"/>
  <c r="AG116" i="86" a="1"/>
  <c r="AG116" i="86" s="1"/>
  <c r="AF116" i="86" a="1"/>
  <c r="AF116" i="86" s="1"/>
  <c r="AE116" i="86" a="1"/>
  <c r="AE116" i="86" s="1"/>
  <c r="AD116" i="86" a="1"/>
  <c r="AD116" i="86" s="1"/>
  <c r="AC116" i="86" a="1"/>
  <c r="AC116" i="86" s="1"/>
  <c r="AB116" i="86" a="1"/>
  <c r="AB116" i="86" s="1"/>
  <c r="AA116" i="86" a="1"/>
  <c r="AA116" i="86" s="1"/>
  <c r="Z116" i="86" a="1"/>
  <c r="Z116" i="86" s="1"/>
  <c r="Y116" i="86" a="1"/>
  <c r="Y116" i="86" s="1"/>
  <c r="X116" i="86" a="1"/>
  <c r="X116" i="86" s="1"/>
  <c r="W116" i="86" a="1"/>
  <c r="W116" i="86" s="1"/>
  <c r="V116" i="86" a="1"/>
  <c r="V116" i="86" s="1"/>
  <c r="U116" i="86" a="1"/>
  <c r="U116" i="86" s="1"/>
  <c r="T116" i="86" a="1"/>
  <c r="T116" i="86" s="1"/>
  <c r="S116" i="86" a="1"/>
  <c r="S116" i="86" s="1"/>
  <c r="R116" i="86" a="1"/>
  <c r="R116" i="86" s="1"/>
  <c r="Q116" i="86" a="1"/>
  <c r="Q116" i="86" s="1"/>
  <c r="P116" i="86" a="1"/>
  <c r="P116" i="86" s="1"/>
  <c r="O116" i="86" a="1"/>
  <c r="O116" i="86" s="1"/>
  <c r="N116" i="86" a="1"/>
  <c r="N116" i="86" s="1"/>
  <c r="M116" i="86" a="1"/>
  <c r="M116" i="86" s="1"/>
  <c r="L116" i="86" a="1"/>
  <c r="L116" i="86" s="1"/>
  <c r="K116" i="86" a="1"/>
  <c r="K116" i="86" s="1"/>
  <c r="J116" i="86" a="1"/>
  <c r="J116" i="86" s="1"/>
  <c r="I116" i="86" a="1"/>
  <c r="I116" i="86" s="1"/>
  <c r="H116" i="86" a="1"/>
  <c r="H116" i="86" s="1"/>
  <c r="G116" i="86" a="1"/>
  <c r="G116" i="86" s="1"/>
  <c r="F116" i="86" a="1"/>
  <c r="F116" i="86" s="1"/>
  <c r="E116" i="86" a="1"/>
  <c r="E116" i="86" s="1"/>
  <c r="D116" i="86" a="1"/>
  <c r="D116" i="86" s="1"/>
  <c r="AH115" i="86" a="1"/>
  <c r="AH115" i="86" s="1"/>
  <c r="AG115" i="86" a="1"/>
  <c r="AG115" i="86" s="1"/>
  <c r="AF115" i="86" a="1"/>
  <c r="AF115" i="86" s="1"/>
  <c r="AE115" i="86" a="1"/>
  <c r="AE115" i="86" s="1"/>
  <c r="AD115" i="86" a="1"/>
  <c r="AD115" i="86" s="1"/>
  <c r="AC115" i="86" a="1"/>
  <c r="AC115" i="86" s="1"/>
  <c r="AB115" i="86" a="1"/>
  <c r="AB115" i="86" s="1"/>
  <c r="AA115" i="86" a="1"/>
  <c r="AA115" i="86" s="1"/>
  <c r="Z115" i="86" a="1"/>
  <c r="Z115" i="86" s="1"/>
  <c r="Y115" i="86" a="1"/>
  <c r="Y115" i="86" s="1"/>
  <c r="X115" i="86" a="1"/>
  <c r="X115" i="86" s="1"/>
  <c r="W115" i="86" a="1"/>
  <c r="W115" i="86" s="1"/>
  <c r="V115" i="86" a="1"/>
  <c r="V115" i="86" s="1"/>
  <c r="U115" i="86" a="1"/>
  <c r="U115" i="86" s="1"/>
  <c r="T115" i="86" a="1"/>
  <c r="T115" i="86" s="1"/>
  <c r="S115" i="86" a="1"/>
  <c r="S115" i="86" s="1"/>
  <c r="R115" i="86" a="1"/>
  <c r="R115" i="86" s="1"/>
  <c r="Q115" i="86" a="1"/>
  <c r="Q115" i="86" s="1"/>
  <c r="P115" i="86" a="1"/>
  <c r="P115" i="86" s="1"/>
  <c r="O115" i="86" a="1"/>
  <c r="O115" i="86" s="1"/>
  <c r="N115" i="86" a="1"/>
  <c r="N115" i="86" s="1"/>
  <c r="M115" i="86" a="1"/>
  <c r="M115" i="86" s="1"/>
  <c r="L115" i="86" a="1"/>
  <c r="L115" i="86" s="1"/>
  <c r="K115" i="86" a="1"/>
  <c r="K115" i="86" s="1"/>
  <c r="J115" i="86" a="1"/>
  <c r="J115" i="86" s="1"/>
  <c r="I115" i="86" a="1"/>
  <c r="I115" i="86" s="1"/>
  <c r="H115" i="86" a="1"/>
  <c r="H115" i="86" s="1"/>
  <c r="G115" i="86" a="1"/>
  <c r="G115" i="86" s="1"/>
  <c r="F115" i="86" a="1"/>
  <c r="F115" i="86" s="1"/>
  <c r="E115" i="86" a="1"/>
  <c r="E115" i="86" s="1"/>
  <c r="D115" i="86" a="1"/>
  <c r="D115" i="86" s="1"/>
  <c r="AH114" i="86" a="1"/>
  <c r="AH114" i="86" s="1"/>
  <c r="AG114" i="86" a="1"/>
  <c r="AG114" i="86" s="1"/>
  <c r="AF114" i="86" a="1"/>
  <c r="AF114" i="86" s="1"/>
  <c r="AE114" i="86" a="1"/>
  <c r="AE114" i="86" s="1"/>
  <c r="AD114" i="86" a="1"/>
  <c r="AD114" i="86" s="1"/>
  <c r="AC114" i="86" a="1"/>
  <c r="AC114" i="86" s="1"/>
  <c r="AB114" i="86" a="1"/>
  <c r="AB114" i="86" s="1"/>
  <c r="AA114" i="86" a="1"/>
  <c r="AA114" i="86" s="1"/>
  <c r="Z114" i="86" a="1"/>
  <c r="Z114" i="86" s="1"/>
  <c r="Y114" i="86" a="1"/>
  <c r="Y114" i="86" s="1"/>
  <c r="X114" i="86" a="1"/>
  <c r="X114" i="86" s="1"/>
  <c r="W114" i="86" a="1"/>
  <c r="W114" i="86" s="1"/>
  <c r="V114" i="86" a="1"/>
  <c r="V114" i="86" s="1"/>
  <c r="U114" i="86" a="1"/>
  <c r="U114" i="86" s="1"/>
  <c r="T114" i="86" a="1"/>
  <c r="T114" i="86" s="1"/>
  <c r="S114" i="86" a="1"/>
  <c r="S114" i="86" s="1"/>
  <c r="R114" i="86" a="1"/>
  <c r="R114" i="86" s="1"/>
  <c r="Q114" i="86" a="1"/>
  <c r="Q114" i="86" s="1"/>
  <c r="P114" i="86" a="1"/>
  <c r="P114" i="86" s="1"/>
  <c r="O114" i="86" a="1"/>
  <c r="O114" i="86" s="1"/>
  <c r="N114" i="86" a="1"/>
  <c r="N114" i="86" s="1"/>
  <c r="M114" i="86" a="1"/>
  <c r="M114" i="86" s="1"/>
  <c r="L114" i="86" a="1"/>
  <c r="L114" i="86" s="1"/>
  <c r="K114" i="86" a="1"/>
  <c r="K114" i="86" s="1"/>
  <c r="J114" i="86" a="1"/>
  <c r="J114" i="86" s="1"/>
  <c r="I114" i="86" a="1"/>
  <c r="I114" i="86" s="1"/>
  <c r="H114" i="86" a="1"/>
  <c r="H114" i="86" s="1"/>
  <c r="G114" i="86" a="1"/>
  <c r="G114" i="86" s="1"/>
  <c r="F114" i="86" a="1"/>
  <c r="F114" i="86" s="1"/>
  <c r="E114" i="86" a="1"/>
  <c r="E114" i="86" s="1"/>
  <c r="D114" i="86" a="1"/>
  <c r="D114" i="86" s="1"/>
  <c r="AH113" i="86" a="1"/>
  <c r="AH113" i="86" s="1"/>
  <c r="AG113" i="86" a="1"/>
  <c r="AG113" i="86" s="1"/>
  <c r="AF113" i="86" a="1"/>
  <c r="AF113" i="86" s="1"/>
  <c r="AE113" i="86" a="1"/>
  <c r="AE113" i="86" s="1"/>
  <c r="AD113" i="86" a="1"/>
  <c r="AD113" i="86" s="1"/>
  <c r="AC113" i="86" a="1"/>
  <c r="AC113" i="86" s="1"/>
  <c r="AB113" i="86" a="1"/>
  <c r="AB113" i="86" s="1"/>
  <c r="AA113" i="86" a="1"/>
  <c r="AA113" i="86" s="1"/>
  <c r="Z113" i="86" a="1"/>
  <c r="Z113" i="86" s="1"/>
  <c r="Y113" i="86" a="1"/>
  <c r="Y113" i="86" s="1"/>
  <c r="X113" i="86" a="1"/>
  <c r="X113" i="86" s="1"/>
  <c r="W113" i="86" a="1"/>
  <c r="W113" i="86" s="1"/>
  <c r="V113" i="86" a="1"/>
  <c r="V113" i="86" s="1"/>
  <c r="U113" i="86" a="1"/>
  <c r="U113" i="86" s="1"/>
  <c r="T113" i="86" a="1"/>
  <c r="T113" i="86" s="1"/>
  <c r="S113" i="86" a="1"/>
  <c r="S113" i="86" s="1"/>
  <c r="R113" i="86" a="1"/>
  <c r="R113" i="86" s="1"/>
  <c r="Q113" i="86" a="1"/>
  <c r="Q113" i="86" s="1"/>
  <c r="P113" i="86" a="1"/>
  <c r="P113" i="86" s="1"/>
  <c r="O113" i="86" a="1"/>
  <c r="O113" i="86" s="1"/>
  <c r="N113" i="86" a="1"/>
  <c r="N113" i="86" s="1"/>
  <c r="M113" i="86" a="1"/>
  <c r="M113" i="86" s="1"/>
  <c r="L113" i="86" a="1"/>
  <c r="L113" i="86" s="1"/>
  <c r="K113" i="86" a="1"/>
  <c r="K113" i="86" s="1"/>
  <c r="J113" i="86" a="1"/>
  <c r="J113" i="86" s="1"/>
  <c r="I113" i="86" a="1"/>
  <c r="I113" i="86" s="1"/>
  <c r="H113" i="86" a="1"/>
  <c r="H113" i="86" s="1"/>
  <c r="G113" i="86" a="1"/>
  <c r="G113" i="86" s="1"/>
  <c r="F113" i="86" a="1"/>
  <c r="F113" i="86" s="1"/>
  <c r="E113" i="86" a="1"/>
  <c r="E113" i="86" s="1"/>
  <c r="D113" i="86" a="1"/>
  <c r="D113" i="86" s="1"/>
  <c r="AH112" i="86" a="1"/>
  <c r="AH112" i="86" s="1"/>
  <c r="AG112" i="86" a="1"/>
  <c r="AG112" i="86" s="1"/>
  <c r="AF112" i="86" a="1"/>
  <c r="AF112" i="86" s="1"/>
  <c r="AE112" i="86" a="1"/>
  <c r="AE112" i="86" s="1"/>
  <c r="AD112" i="86" a="1"/>
  <c r="AD112" i="86" s="1"/>
  <c r="AC112" i="86" a="1"/>
  <c r="AC112" i="86" s="1"/>
  <c r="AB112" i="86" a="1"/>
  <c r="AB112" i="86" s="1"/>
  <c r="AA112" i="86" a="1"/>
  <c r="AA112" i="86" s="1"/>
  <c r="Z112" i="86" a="1"/>
  <c r="Z112" i="86" s="1"/>
  <c r="Y112" i="86" a="1"/>
  <c r="Y112" i="86" s="1"/>
  <c r="X112" i="86" a="1"/>
  <c r="X112" i="86" s="1"/>
  <c r="W112" i="86" a="1"/>
  <c r="W112" i="86" s="1"/>
  <c r="V112" i="86" a="1"/>
  <c r="V112" i="86" s="1"/>
  <c r="U112" i="86" a="1"/>
  <c r="U112" i="86" s="1"/>
  <c r="T112" i="86" a="1"/>
  <c r="T112" i="86" s="1"/>
  <c r="S112" i="86" a="1"/>
  <c r="S112" i="86" s="1"/>
  <c r="R112" i="86" a="1"/>
  <c r="R112" i="86" s="1"/>
  <c r="Q112" i="86" a="1"/>
  <c r="Q112" i="86" s="1"/>
  <c r="P112" i="86" a="1"/>
  <c r="P112" i="86" s="1"/>
  <c r="O112" i="86" a="1"/>
  <c r="O112" i="86" s="1"/>
  <c r="N112" i="86" a="1"/>
  <c r="N112" i="86" s="1"/>
  <c r="M112" i="86" a="1"/>
  <c r="M112" i="86" s="1"/>
  <c r="L112" i="86" a="1"/>
  <c r="L112" i="86" s="1"/>
  <c r="K112" i="86" a="1"/>
  <c r="K112" i="86" s="1"/>
  <c r="J112" i="86" a="1"/>
  <c r="J112" i="86" s="1"/>
  <c r="I112" i="86" a="1"/>
  <c r="I112" i="86" s="1"/>
  <c r="H112" i="86" a="1"/>
  <c r="H112" i="86" s="1"/>
  <c r="G112" i="86" a="1"/>
  <c r="G112" i="86" s="1"/>
  <c r="F112" i="86" a="1"/>
  <c r="F112" i="86" s="1"/>
  <c r="E112" i="86" a="1"/>
  <c r="E112" i="86" s="1"/>
  <c r="D112" i="86" a="1"/>
  <c r="D112" i="86" s="1"/>
  <c r="AH111" i="86" a="1"/>
  <c r="AH111" i="86" s="1"/>
  <c r="AG111" i="86" a="1"/>
  <c r="AG111" i="86" s="1"/>
  <c r="AF111" i="86" a="1"/>
  <c r="AF111" i="86" s="1"/>
  <c r="AE111" i="86" a="1"/>
  <c r="AE111" i="86" s="1"/>
  <c r="AD111" i="86" a="1"/>
  <c r="AD111" i="86" s="1"/>
  <c r="AC111" i="86" a="1"/>
  <c r="AC111" i="86" s="1"/>
  <c r="AB111" i="86" a="1"/>
  <c r="AB111" i="86" s="1"/>
  <c r="AA111" i="86" a="1"/>
  <c r="AA111" i="86" s="1"/>
  <c r="Z111" i="86" a="1"/>
  <c r="Z111" i="86" s="1"/>
  <c r="Y111" i="86" a="1"/>
  <c r="Y111" i="86" s="1"/>
  <c r="X111" i="86" a="1"/>
  <c r="X111" i="86" s="1"/>
  <c r="W111" i="86" a="1"/>
  <c r="W111" i="86" s="1"/>
  <c r="V111" i="86" a="1"/>
  <c r="V111" i="86" s="1"/>
  <c r="U111" i="86" a="1"/>
  <c r="U111" i="86" s="1"/>
  <c r="T111" i="86" a="1"/>
  <c r="T111" i="86" s="1"/>
  <c r="S111" i="86" a="1"/>
  <c r="S111" i="86" s="1"/>
  <c r="R111" i="86" a="1"/>
  <c r="R111" i="86" s="1"/>
  <c r="Q111" i="86" a="1"/>
  <c r="Q111" i="86" s="1"/>
  <c r="P111" i="86" a="1"/>
  <c r="P111" i="86" s="1"/>
  <c r="O111" i="86" a="1"/>
  <c r="O111" i="86" s="1"/>
  <c r="N111" i="86" a="1"/>
  <c r="N111" i="86" s="1"/>
  <c r="M111" i="86" a="1"/>
  <c r="M111" i="86" s="1"/>
  <c r="L111" i="86" a="1"/>
  <c r="L111" i="86" s="1"/>
  <c r="K111" i="86" a="1"/>
  <c r="K111" i="86" s="1"/>
  <c r="J111" i="86" a="1"/>
  <c r="J111" i="86" s="1"/>
  <c r="I111" i="86" a="1"/>
  <c r="I111" i="86" s="1"/>
  <c r="H111" i="86" a="1"/>
  <c r="H111" i="86" s="1"/>
  <c r="G111" i="86" a="1"/>
  <c r="G111" i="86" s="1"/>
  <c r="F111" i="86" a="1"/>
  <c r="F111" i="86" s="1"/>
  <c r="E111" i="86" a="1"/>
  <c r="E111" i="86" s="1"/>
  <c r="D111" i="86" a="1"/>
  <c r="D111" i="86" s="1"/>
  <c r="AH110" i="86" a="1"/>
  <c r="AH110" i="86" s="1"/>
  <c r="AG110" i="86" a="1"/>
  <c r="AG110" i="86" s="1"/>
  <c r="AF110" i="86" a="1"/>
  <c r="AF110" i="86" s="1"/>
  <c r="AE110" i="86" a="1"/>
  <c r="AE110" i="86" s="1"/>
  <c r="AD110" i="86" a="1"/>
  <c r="AD110" i="86" s="1"/>
  <c r="AC110" i="86" a="1"/>
  <c r="AC110" i="86" s="1"/>
  <c r="AB110" i="86" a="1"/>
  <c r="AB110" i="86" s="1"/>
  <c r="AA110" i="86" a="1"/>
  <c r="AA110" i="86" s="1"/>
  <c r="Z110" i="86" a="1"/>
  <c r="Z110" i="86" s="1"/>
  <c r="Y110" i="86" a="1"/>
  <c r="Y110" i="86" s="1"/>
  <c r="X110" i="86" a="1"/>
  <c r="X110" i="86" s="1"/>
  <c r="W110" i="86" a="1"/>
  <c r="W110" i="86" s="1"/>
  <c r="V110" i="86" a="1"/>
  <c r="V110" i="86" s="1"/>
  <c r="U110" i="86" a="1"/>
  <c r="U110" i="86" s="1"/>
  <c r="T110" i="86" a="1"/>
  <c r="T110" i="86" s="1"/>
  <c r="S110" i="86" a="1"/>
  <c r="S110" i="86" s="1"/>
  <c r="R110" i="86" a="1"/>
  <c r="R110" i="86" s="1"/>
  <c r="Q110" i="86" a="1"/>
  <c r="Q110" i="86" s="1"/>
  <c r="P110" i="86" a="1"/>
  <c r="P110" i="86" s="1"/>
  <c r="O110" i="86" a="1"/>
  <c r="O110" i="86" s="1"/>
  <c r="N110" i="86" a="1"/>
  <c r="N110" i="86" s="1"/>
  <c r="M110" i="86" a="1"/>
  <c r="M110" i="86" s="1"/>
  <c r="L110" i="86" a="1"/>
  <c r="L110" i="86" s="1"/>
  <c r="K110" i="86" a="1"/>
  <c r="K110" i="86" s="1"/>
  <c r="J110" i="86" a="1"/>
  <c r="J110" i="86" s="1"/>
  <c r="I110" i="86" a="1"/>
  <c r="I110" i="86" s="1"/>
  <c r="H110" i="86" a="1"/>
  <c r="H110" i="86" s="1"/>
  <c r="G110" i="86" a="1"/>
  <c r="G110" i="86" s="1"/>
  <c r="F110" i="86" a="1"/>
  <c r="F110" i="86" s="1"/>
  <c r="E110" i="86" a="1"/>
  <c r="E110" i="86" s="1"/>
  <c r="D110" i="86" a="1"/>
  <c r="D110" i="86" s="1"/>
  <c r="AH109" i="86" a="1"/>
  <c r="AH109" i="86" s="1"/>
  <c r="AG109" i="86" a="1"/>
  <c r="AG109" i="86" s="1"/>
  <c r="AF109" i="86" a="1"/>
  <c r="AF109" i="86" s="1"/>
  <c r="AE109" i="86" a="1"/>
  <c r="AE109" i="86" s="1"/>
  <c r="AD109" i="86" a="1"/>
  <c r="AD109" i="86" s="1"/>
  <c r="AC109" i="86" a="1"/>
  <c r="AC109" i="86" s="1"/>
  <c r="AB109" i="86" a="1"/>
  <c r="AB109" i="86" s="1"/>
  <c r="AA109" i="86" a="1"/>
  <c r="AA109" i="86" s="1"/>
  <c r="Z109" i="86" a="1"/>
  <c r="Z109" i="86" s="1"/>
  <c r="Y109" i="86" a="1"/>
  <c r="Y109" i="86" s="1"/>
  <c r="X109" i="86" a="1"/>
  <c r="X109" i="86" s="1"/>
  <c r="W109" i="86" a="1"/>
  <c r="W109" i="86" s="1"/>
  <c r="V109" i="86" a="1"/>
  <c r="V109" i="86" s="1"/>
  <c r="U109" i="86" a="1"/>
  <c r="U109" i="86" s="1"/>
  <c r="T109" i="86" a="1"/>
  <c r="T109" i="86" s="1"/>
  <c r="S109" i="86" a="1"/>
  <c r="S109" i="86" s="1"/>
  <c r="R109" i="86" a="1"/>
  <c r="R109" i="86" s="1"/>
  <c r="Q109" i="86" a="1"/>
  <c r="Q109" i="86" s="1"/>
  <c r="P109" i="86" a="1"/>
  <c r="P109" i="86" s="1"/>
  <c r="O109" i="86" a="1"/>
  <c r="O109" i="86" s="1"/>
  <c r="N109" i="86" a="1"/>
  <c r="N109" i="86" s="1"/>
  <c r="M109" i="86" a="1"/>
  <c r="M109" i="86" s="1"/>
  <c r="L109" i="86" a="1"/>
  <c r="L109" i="86" s="1"/>
  <c r="K109" i="86" a="1"/>
  <c r="K109" i="86" s="1"/>
  <c r="J109" i="86" a="1"/>
  <c r="J109" i="86" s="1"/>
  <c r="I109" i="86" a="1"/>
  <c r="I109" i="86" s="1"/>
  <c r="H109" i="86" a="1"/>
  <c r="H109" i="86" s="1"/>
  <c r="G109" i="86" a="1"/>
  <c r="G109" i="86" s="1"/>
  <c r="F109" i="86" a="1"/>
  <c r="F109" i="86" s="1"/>
  <c r="E109" i="86" a="1"/>
  <c r="E109" i="86" s="1"/>
  <c r="D109" i="86" a="1"/>
  <c r="D109" i="86" s="1"/>
  <c r="AH108" i="86" a="1"/>
  <c r="AH108" i="86" s="1"/>
  <c r="AG108" i="86" a="1"/>
  <c r="AG108" i="86" s="1"/>
  <c r="AF108" i="86" a="1"/>
  <c r="AF108" i="86" s="1"/>
  <c r="AE108" i="86" a="1"/>
  <c r="AE108" i="86" s="1"/>
  <c r="AD108" i="86" a="1"/>
  <c r="AD108" i="86" s="1"/>
  <c r="AC108" i="86" a="1"/>
  <c r="AC108" i="86" s="1"/>
  <c r="AB108" i="86" a="1"/>
  <c r="AB108" i="86" s="1"/>
  <c r="AA108" i="86" a="1"/>
  <c r="AA108" i="86" s="1"/>
  <c r="Z108" i="86" a="1"/>
  <c r="Z108" i="86" s="1"/>
  <c r="Y108" i="86" a="1"/>
  <c r="Y108" i="86" s="1"/>
  <c r="X108" i="86" a="1"/>
  <c r="X108" i="86" s="1"/>
  <c r="W108" i="86" a="1"/>
  <c r="W108" i="86" s="1"/>
  <c r="V108" i="86" a="1"/>
  <c r="V108" i="86" s="1"/>
  <c r="U108" i="86" a="1"/>
  <c r="U108" i="86" s="1"/>
  <c r="T108" i="86" a="1"/>
  <c r="T108" i="86" s="1"/>
  <c r="S108" i="86" a="1"/>
  <c r="S108" i="86" s="1"/>
  <c r="R108" i="86" a="1"/>
  <c r="R108" i="86" s="1"/>
  <c r="Q108" i="86" a="1"/>
  <c r="Q108" i="86" s="1"/>
  <c r="P108" i="86" a="1"/>
  <c r="P108" i="86" s="1"/>
  <c r="O108" i="86" a="1"/>
  <c r="O108" i="86" s="1"/>
  <c r="N108" i="86" a="1"/>
  <c r="N108" i="86" s="1"/>
  <c r="M108" i="86" a="1"/>
  <c r="M108" i="86" s="1"/>
  <c r="L108" i="86" a="1"/>
  <c r="L108" i="86" s="1"/>
  <c r="K108" i="86" a="1"/>
  <c r="K108" i="86" s="1"/>
  <c r="J108" i="86" a="1"/>
  <c r="J108" i="86" s="1"/>
  <c r="I108" i="86" a="1"/>
  <c r="I108" i="86" s="1"/>
  <c r="H108" i="86" a="1"/>
  <c r="H108" i="86" s="1"/>
  <c r="G108" i="86" a="1"/>
  <c r="G108" i="86" s="1"/>
  <c r="F108" i="86" a="1"/>
  <c r="F108" i="86" s="1"/>
  <c r="E108" i="86" a="1"/>
  <c r="E108" i="86" s="1"/>
  <c r="D108" i="86" a="1"/>
  <c r="D108" i="86" s="1"/>
  <c r="AH107" i="86" a="1"/>
  <c r="AH107" i="86" s="1"/>
  <c r="AG107" i="86" a="1"/>
  <c r="AG107" i="86" s="1"/>
  <c r="AF107" i="86" a="1"/>
  <c r="AF107" i="86" s="1"/>
  <c r="AE107" i="86" a="1"/>
  <c r="AE107" i="86" s="1"/>
  <c r="AD107" i="86" a="1"/>
  <c r="AD107" i="86" s="1"/>
  <c r="AC107" i="86" a="1"/>
  <c r="AC107" i="86" s="1"/>
  <c r="AB107" i="86" a="1"/>
  <c r="AB107" i="86" s="1"/>
  <c r="AA107" i="86" a="1"/>
  <c r="AA107" i="86" s="1"/>
  <c r="Z107" i="86" a="1"/>
  <c r="Z107" i="86" s="1"/>
  <c r="Y107" i="86" a="1"/>
  <c r="Y107" i="86" s="1"/>
  <c r="X107" i="86" a="1"/>
  <c r="X107" i="86" s="1"/>
  <c r="W107" i="86" a="1"/>
  <c r="W107" i="86" s="1"/>
  <c r="V107" i="86" a="1"/>
  <c r="V107" i="86" s="1"/>
  <c r="U107" i="86" a="1"/>
  <c r="U107" i="86" s="1"/>
  <c r="T107" i="86" a="1"/>
  <c r="T107" i="86" s="1"/>
  <c r="S107" i="86" a="1"/>
  <c r="S107" i="86" s="1"/>
  <c r="R107" i="86" a="1"/>
  <c r="R107" i="86" s="1"/>
  <c r="Q107" i="86" a="1"/>
  <c r="Q107" i="86" s="1"/>
  <c r="P107" i="86" a="1"/>
  <c r="P107" i="86" s="1"/>
  <c r="O107" i="86" a="1"/>
  <c r="O107" i="86" s="1"/>
  <c r="N107" i="86" a="1"/>
  <c r="N107" i="86" s="1"/>
  <c r="M107" i="86" a="1"/>
  <c r="M107" i="86" s="1"/>
  <c r="L107" i="86" a="1"/>
  <c r="L107" i="86" s="1"/>
  <c r="K107" i="86" a="1"/>
  <c r="K107" i="86" s="1"/>
  <c r="J107" i="86" a="1"/>
  <c r="J107" i="86" s="1"/>
  <c r="I107" i="86" a="1"/>
  <c r="I107" i="86" s="1"/>
  <c r="H107" i="86" a="1"/>
  <c r="H107" i="86" s="1"/>
  <c r="G107" i="86" a="1"/>
  <c r="G107" i="86" s="1"/>
  <c r="F107" i="86" a="1"/>
  <c r="F107" i="86" s="1"/>
  <c r="E107" i="86" a="1"/>
  <c r="E107" i="86" s="1"/>
  <c r="D107" i="86" a="1"/>
  <c r="D107" i="86" s="1"/>
  <c r="AH106" i="86" a="1"/>
  <c r="AH106" i="86" s="1"/>
  <c r="AG106" i="86" a="1"/>
  <c r="AG106" i="86" s="1"/>
  <c r="AF106" i="86" a="1"/>
  <c r="AF106" i="86" s="1"/>
  <c r="AE106" i="86" a="1"/>
  <c r="AE106" i="86" s="1"/>
  <c r="AD106" i="86" a="1"/>
  <c r="AD106" i="86" s="1"/>
  <c r="AC106" i="86" a="1"/>
  <c r="AC106" i="86" s="1"/>
  <c r="AB106" i="86" a="1"/>
  <c r="AB106" i="86" s="1"/>
  <c r="AA106" i="86" a="1"/>
  <c r="AA106" i="86" s="1"/>
  <c r="Z106" i="86" a="1"/>
  <c r="Z106" i="86" s="1"/>
  <c r="Y106" i="86" a="1"/>
  <c r="Y106" i="86" s="1"/>
  <c r="X106" i="86" a="1"/>
  <c r="X106" i="86" s="1"/>
  <c r="W106" i="86" a="1"/>
  <c r="W106" i="86" s="1"/>
  <c r="V106" i="86" a="1"/>
  <c r="V106" i="86" s="1"/>
  <c r="U106" i="86" a="1"/>
  <c r="U106" i="86" s="1"/>
  <c r="T106" i="86" a="1"/>
  <c r="T106" i="86" s="1"/>
  <c r="S106" i="86" a="1"/>
  <c r="S106" i="86" s="1"/>
  <c r="R106" i="86" a="1"/>
  <c r="R106" i="86" s="1"/>
  <c r="Q106" i="86" a="1"/>
  <c r="Q106" i="86" s="1"/>
  <c r="P106" i="86" a="1"/>
  <c r="P106" i="86" s="1"/>
  <c r="O106" i="86" a="1"/>
  <c r="O106" i="86" s="1"/>
  <c r="N106" i="86" a="1"/>
  <c r="N106" i="86" s="1"/>
  <c r="M106" i="86" a="1"/>
  <c r="M106" i="86" s="1"/>
  <c r="L106" i="86" a="1"/>
  <c r="L106" i="86" s="1"/>
  <c r="K106" i="86" a="1"/>
  <c r="K106" i="86" s="1"/>
  <c r="J106" i="86" a="1"/>
  <c r="J106" i="86" s="1"/>
  <c r="I106" i="86" a="1"/>
  <c r="I106" i="86" s="1"/>
  <c r="H106" i="86" a="1"/>
  <c r="H106" i="86" s="1"/>
  <c r="G106" i="86" a="1"/>
  <c r="G106" i="86" s="1"/>
  <c r="F106" i="86" a="1"/>
  <c r="F106" i="86" s="1"/>
  <c r="E106" i="86" a="1"/>
  <c r="E106" i="86" s="1"/>
  <c r="D106" i="86" a="1"/>
  <c r="D106" i="86" s="1"/>
  <c r="AH105" i="86" a="1"/>
  <c r="AH105" i="86" s="1"/>
  <c r="AG105" i="86" a="1"/>
  <c r="AG105" i="86" s="1"/>
  <c r="AF105" i="86" a="1"/>
  <c r="AF105" i="86" s="1"/>
  <c r="AE105" i="86" a="1"/>
  <c r="AE105" i="86" s="1"/>
  <c r="AD105" i="86" a="1"/>
  <c r="AD105" i="86" s="1"/>
  <c r="AC105" i="86" a="1"/>
  <c r="AC105" i="86" s="1"/>
  <c r="AB105" i="86" a="1"/>
  <c r="AB105" i="86" s="1"/>
  <c r="AA105" i="86" a="1"/>
  <c r="AA105" i="86" s="1"/>
  <c r="Z105" i="86" a="1"/>
  <c r="Z105" i="86" s="1"/>
  <c r="Y105" i="86" a="1"/>
  <c r="Y105" i="86" s="1"/>
  <c r="X105" i="86" a="1"/>
  <c r="X105" i="86" s="1"/>
  <c r="W105" i="86" a="1"/>
  <c r="W105" i="86" s="1"/>
  <c r="V105" i="86" a="1"/>
  <c r="V105" i="86" s="1"/>
  <c r="U105" i="86" a="1"/>
  <c r="U105" i="86" s="1"/>
  <c r="T105" i="86" a="1"/>
  <c r="T105" i="86" s="1"/>
  <c r="S105" i="86" a="1"/>
  <c r="S105" i="86" s="1"/>
  <c r="R105" i="86" a="1"/>
  <c r="R105" i="86" s="1"/>
  <c r="Q105" i="86" a="1"/>
  <c r="Q105" i="86" s="1"/>
  <c r="P105" i="86" a="1"/>
  <c r="P105" i="86" s="1"/>
  <c r="O105" i="86" a="1"/>
  <c r="O105" i="86" s="1"/>
  <c r="N105" i="86" a="1"/>
  <c r="N105" i="86" s="1"/>
  <c r="M105" i="86" a="1"/>
  <c r="M105" i="86" s="1"/>
  <c r="L105" i="86" a="1"/>
  <c r="L105" i="86" s="1"/>
  <c r="K105" i="86" a="1"/>
  <c r="K105" i="86" s="1"/>
  <c r="J105" i="86" a="1"/>
  <c r="J105" i="86" s="1"/>
  <c r="I105" i="86" a="1"/>
  <c r="I105" i="86" s="1"/>
  <c r="H105" i="86" a="1"/>
  <c r="H105" i="86" s="1"/>
  <c r="G105" i="86" a="1"/>
  <c r="G105" i="86" s="1"/>
  <c r="F105" i="86" a="1"/>
  <c r="F105" i="86" s="1"/>
  <c r="E105" i="86" a="1"/>
  <c r="E105" i="86" s="1"/>
  <c r="D105" i="86" a="1"/>
  <c r="D105" i="86" s="1"/>
  <c r="AH104" i="86" a="1"/>
  <c r="AH104" i="86" s="1"/>
  <c r="AG104" i="86" a="1"/>
  <c r="AG104" i="86" s="1"/>
  <c r="AF104" i="86" a="1"/>
  <c r="AF104" i="86" s="1"/>
  <c r="AE104" i="86" a="1"/>
  <c r="AE104" i="86" s="1"/>
  <c r="AD104" i="86" a="1"/>
  <c r="AD104" i="86" s="1"/>
  <c r="AC104" i="86" a="1"/>
  <c r="AC104" i="86" s="1"/>
  <c r="AB104" i="86" a="1"/>
  <c r="AB104" i="86" s="1"/>
  <c r="AA104" i="86" a="1"/>
  <c r="AA104" i="86" s="1"/>
  <c r="Z104" i="86" a="1"/>
  <c r="Z104" i="86" s="1"/>
  <c r="Y104" i="86" a="1"/>
  <c r="Y104" i="86" s="1"/>
  <c r="X104" i="86" a="1"/>
  <c r="X104" i="86" s="1"/>
  <c r="W104" i="86" a="1"/>
  <c r="W104" i="86" s="1"/>
  <c r="V104" i="86" a="1"/>
  <c r="V104" i="86" s="1"/>
  <c r="U104" i="86" a="1"/>
  <c r="U104" i="86" s="1"/>
  <c r="T104" i="86" a="1"/>
  <c r="T104" i="86" s="1"/>
  <c r="S104" i="86" a="1"/>
  <c r="S104" i="86" s="1"/>
  <c r="R104" i="86" a="1"/>
  <c r="R104" i="86" s="1"/>
  <c r="Q104" i="86" a="1"/>
  <c r="Q104" i="86" s="1"/>
  <c r="P104" i="86" a="1"/>
  <c r="P104" i="86" s="1"/>
  <c r="O104" i="86" a="1"/>
  <c r="O104" i="86" s="1"/>
  <c r="N104" i="86" a="1"/>
  <c r="N104" i="86" s="1"/>
  <c r="M104" i="86" a="1"/>
  <c r="M104" i="86" s="1"/>
  <c r="L104" i="86" a="1"/>
  <c r="L104" i="86" s="1"/>
  <c r="K104" i="86" a="1"/>
  <c r="K104" i="86" s="1"/>
  <c r="J104" i="86" a="1"/>
  <c r="J104" i="86" s="1"/>
  <c r="I104" i="86" a="1"/>
  <c r="I104" i="86" s="1"/>
  <c r="H104" i="86" a="1"/>
  <c r="H104" i="86" s="1"/>
  <c r="G104" i="86" a="1"/>
  <c r="G104" i="86" s="1"/>
  <c r="F104" i="86" a="1"/>
  <c r="F104" i="86" s="1"/>
  <c r="E104" i="86" a="1"/>
  <c r="E104" i="86" s="1"/>
  <c r="D104" i="86" a="1"/>
  <c r="D104" i="86" s="1"/>
  <c r="AH103" i="86" a="1"/>
  <c r="AH103" i="86" s="1"/>
  <c r="AG103" i="86" a="1"/>
  <c r="AG103" i="86" s="1"/>
  <c r="AF103" i="86" a="1"/>
  <c r="AF103" i="86" s="1"/>
  <c r="AE103" i="86" a="1"/>
  <c r="AE103" i="86" s="1"/>
  <c r="AD103" i="86" a="1"/>
  <c r="AD103" i="86" s="1"/>
  <c r="AC103" i="86" a="1"/>
  <c r="AC103" i="86" s="1"/>
  <c r="AB103" i="86" a="1"/>
  <c r="AB103" i="86" s="1"/>
  <c r="AA103" i="86" a="1"/>
  <c r="AA103" i="86" s="1"/>
  <c r="Z103" i="86" a="1"/>
  <c r="Z103" i="86" s="1"/>
  <c r="Y103" i="86" a="1"/>
  <c r="Y103" i="86" s="1"/>
  <c r="X103" i="86" a="1"/>
  <c r="X103" i="86" s="1"/>
  <c r="W103" i="86" a="1"/>
  <c r="W103" i="86" s="1"/>
  <c r="V103" i="86" a="1"/>
  <c r="V103" i="86" s="1"/>
  <c r="U103" i="86" a="1"/>
  <c r="U103" i="86" s="1"/>
  <c r="T103" i="86" a="1"/>
  <c r="T103" i="86" s="1"/>
  <c r="S103" i="86" a="1"/>
  <c r="S103" i="86" s="1"/>
  <c r="R103" i="86" a="1"/>
  <c r="R103" i="86" s="1"/>
  <c r="Q103" i="86" a="1"/>
  <c r="Q103" i="86" s="1"/>
  <c r="P103" i="86" a="1"/>
  <c r="P103" i="86" s="1"/>
  <c r="O103" i="86" a="1"/>
  <c r="O103" i="86" s="1"/>
  <c r="N103" i="86" a="1"/>
  <c r="N103" i="86" s="1"/>
  <c r="M103" i="86" a="1"/>
  <c r="M103" i="86" s="1"/>
  <c r="L103" i="86" a="1"/>
  <c r="L103" i="86" s="1"/>
  <c r="K103" i="86" a="1"/>
  <c r="K103" i="86" s="1"/>
  <c r="J103" i="86" a="1"/>
  <c r="J103" i="86" s="1"/>
  <c r="I103" i="86" a="1"/>
  <c r="I103" i="86" s="1"/>
  <c r="H103" i="86" a="1"/>
  <c r="H103" i="86" s="1"/>
  <c r="G103" i="86" a="1"/>
  <c r="G103" i="86" s="1"/>
  <c r="F103" i="86" a="1"/>
  <c r="F103" i="86" s="1"/>
  <c r="E103" i="86" a="1"/>
  <c r="E103" i="86" s="1"/>
  <c r="D103" i="86" a="1"/>
  <c r="D103" i="86" s="1"/>
  <c r="AH102" i="86" a="1"/>
  <c r="AH102" i="86" s="1"/>
  <c r="AG102" i="86" a="1"/>
  <c r="AG102" i="86" s="1"/>
  <c r="AF102" i="86" a="1"/>
  <c r="AF102" i="86" s="1"/>
  <c r="AE102" i="86" a="1"/>
  <c r="AE102" i="86" s="1"/>
  <c r="AD102" i="86" a="1"/>
  <c r="AD102" i="86" s="1"/>
  <c r="AC102" i="86" a="1"/>
  <c r="AC102" i="86" s="1"/>
  <c r="AB102" i="86" a="1"/>
  <c r="AB102" i="86" s="1"/>
  <c r="AA102" i="86" a="1"/>
  <c r="AA102" i="86" s="1"/>
  <c r="Z102" i="86" a="1"/>
  <c r="Z102" i="86" s="1"/>
  <c r="Y102" i="86" a="1"/>
  <c r="Y102" i="86" s="1"/>
  <c r="X102" i="86" a="1"/>
  <c r="X102" i="86" s="1"/>
  <c r="W102" i="86" a="1"/>
  <c r="W102" i="86" s="1"/>
  <c r="V102" i="86" a="1"/>
  <c r="V102" i="86" s="1"/>
  <c r="U102" i="86" a="1"/>
  <c r="U102" i="86" s="1"/>
  <c r="T102" i="86" a="1"/>
  <c r="T102" i="86" s="1"/>
  <c r="S102" i="86" a="1"/>
  <c r="S102" i="86" s="1"/>
  <c r="R102" i="86" a="1"/>
  <c r="R102" i="86" s="1"/>
  <c r="Q102" i="86" a="1"/>
  <c r="Q102" i="86" s="1"/>
  <c r="P102" i="86" a="1"/>
  <c r="P102" i="86" s="1"/>
  <c r="O102" i="86" a="1"/>
  <c r="O102" i="86" s="1"/>
  <c r="N102" i="86" a="1"/>
  <c r="N102" i="86" s="1"/>
  <c r="M102" i="86" a="1"/>
  <c r="M102" i="86" s="1"/>
  <c r="L102" i="86" a="1"/>
  <c r="L102" i="86" s="1"/>
  <c r="K102" i="86" a="1"/>
  <c r="K102" i="86" s="1"/>
  <c r="J102" i="86" a="1"/>
  <c r="J102" i="86" s="1"/>
  <c r="I102" i="86" a="1"/>
  <c r="I102" i="86" s="1"/>
  <c r="H102" i="86" a="1"/>
  <c r="H102" i="86" s="1"/>
  <c r="G102" i="86" a="1"/>
  <c r="G102" i="86" s="1"/>
  <c r="F102" i="86" a="1"/>
  <c r="F102" i="86" s="1"/>
  <c r="E102" i="86" a="1"/>
  <c r="E102" i="86" s="1"/>
  <c r="D102" i="86" a="1"/>
  <c r="D102" i="86" s="1"/>
  <c r="AH101" i="86" a="1"/>
  <c r="AH101" i="86" s="1"/>
  <c r="AG101" i="86" a="1"/>
  <c r="AG101" i="86" s="1"/>
  <c r="AF101" i="86" a="1"/>
  <c r="AF101" i="86" s="1"/>
  <c r="AE101" i="86" a="1"/>
  <c r="AE101" i="86" s="1"/>
  <c r="AD101" i="86" a="1"/>
  <c r="AD101" i="86" s="1"/>
  <c r="AC101" i="86" a="1"/>
  <c r="AC101" i="86" s="1"/>
  <c r="AB101" i="86" a="1"/>
  <c r="AB101" i="86" s="1"/>
  <c r="AA101" i="86" a="1"/>
  <c r="AA101" i="86" s="1"/>
  <c r="Z101" i="86" a="1"/>
  <c r="Z101" i="86" s="1"/>
  <c r="Y101" i="86" a="1"/>
  <c r="Y101" i="86" s="1"/>
  <c r="X101" i="86" a="1"/>
  <c r="X101" i="86" s="1"/>
  <c r="W101" i="86" a="1"/>
  <c r="W101" i="86" s="1"/>
  <c r="V101" i="86" a="1"/>
  <c r="V101" i="86" s="1"/>
  <c r="U101" i="86" a="1"/>
  <c r="U101" i="86" s="1"/>
  <c r="T101" i="86" a="1"/>
  <c r="T101" i="86" s="1"/>
  <c r="S101" i="86" a="1"/>
  <c r="S101" i="86" s="1"/>
  <c r="R101" i="86" a="1"/>
  <c r="R101" i="86" s="1"/>
  <c r="Q101" i="86" a="1"/>
  <c r="Q101" i="86" s="1"/>
  <c r="P101" i="86" a="1"/>
  <c r="P101" i="86" s="1"/>
  <c r="O101" i="86" a="1"/>
  <c r="O101" i="86" s="1"/>
  <c r="N101" i="86" a="1"/>
  <c r="N101" i="86" s="1"/>
  <c r="M101" i="86" a="1"/>
  <c r="M101" i="86" s="1"/>
  <c r="L101" i="86" a="1"/>
  <c r="L101" i="86" s="1"/>
  <c r="K101" i="86" a="1"/>
  <c r="K101" i="86" s="1"/>
  <c r="J101" i="86" a="1"/>
  <c r="J101" i="86" s="1"/>
  <c r="I101" i="86" a="1"/>
  <c r="I101" i="86" s="1"/>
  <c r="H101" i="86" a="1"/>
  <c r="H101" i="86" s="1"/>
  <c r="G101" i="86" a="1"/>
  <c r="G101" i="86" s="1"/>
  <c r="F101" i="86" a="1"/>
  <c r="F101" i="86" s="1"/>
  <c r="E101" i="86" a="1"/>
  <c r="E101" i="86" s="1"/>
  <c r="D101" i="86" a="1"/>
  <c r="D101" i="86" s="1"/>
  <c r="AH100" i="86" a="1"/>
  <c r="AH100" i="86" s="1"/>
  <c r="AG100" i="86" a="1"/>
  <c r="AG100" i="86" s="1"/>
  <c r="AF100" i="86" a="1"/>
  <c r="AF100" i="86" s="1"/>
  <c r="AE100" i="86" a="1"/>
  <c r="AE100" i="86" s="1"/>
  <c r="AD100" i="86" a="1"/>
  <c r="AD100" i="86" s="1"/>
  <c r="AC100" i="86" a="1"/>
  <c r="AC100" i="86" s="1"/>
  <c r="AB100" i="86" a="1"/>
  <c r="AB100" i="86" s="1"/>
  <c r="AA100" i="86" a="1"/>
  <c r="AA100" i="86" s="1"/>
  <c r="Z100" i="86" a="1"/>
  <c r="Z100" i="86" s="1"/>
  <c r="Y100" i="86" a="1"/>
  <c r="Y100" i="86" s="1"/>
  <c r="X100" i="86" a="1"/>
  <c r="X100" i="86" s="1"/>
  <c r="W100" i="86" a="1"/>
  <c r="W100" i="86" s="1"/>
  <c r="V100" i="86" a="1"/>
  <c r="V100" i="86" s="1"/>
  <c r="U100" i="86" a="1"/>
  <c r="U100" i="86" s="1"/>
  <c r="T100" i="86" a="1"/>
  <c r="T100" i="86" s="1"/>
  <c r="S100" i="86" a="1"/>
  <c r="S100" i="86" s="1"/>
  <c r="R100" i="86" a="1"/>
  <c r="R100" i="86" s="1"/>
  <c r="Q100" i="86" a="1"/>
  <c r="Q100" i="86" s="1"/>
  <c r="P100" i="86" a="1"/>
  <c r="P100" i="86" s="1"/>
  <c r="O100" i="86" a="1"/>
  <c r="O100" i="86" s="1"/>
  <c r="N100" i="86" a="1"/>
  <c r="N100" i="86" s="1"/>
  <c r="M100" i="86" a="1"/>
  <c r="M100" i="86" s="1"/>
  <c r="L100" i="86" a="1"/>
  <c r="L100" i="86" s="1"/>
  <c r="K100" i="86" a="1"/>
  <c r="K100" i="86" s="1"/>
  <c r="J100" i="86" a="1"/>
  <c r="J100" i="86" s="1"/>
  <c r="I100" i="86" a="1"/>
  <c r="I100" i="86" s="1"/>
  <c r="H100" i="86" a="1"/>
  <c r="H100" i="86" s="1"/>
  <c r="G100" i="86" a="1"/>
  <c r="G100" i="86" s="1"/>
  <c r="F100" i="86" a="1"/>
  <c r="F100" i="86" s="1"/>
  <c r="E100" i="86" a="1"/>
  <c r="E100" i="86" s="1"/>
  <c r="D100" i="86" a="1"/>
  <c r="D100" i="86" s="1"/>
  <c r="AH99" i="86" a="1"/>
  <c r="AH99" i="86" s="1"/>
  <c r="AG99" i="86" a="1"/>
  <c r="AG99" i="86" s="1"/>
  <c r="AF99" i="86" a="1"/>
  <c r="AF99" i="86" s="1"/>
  <c r="AE99" i="86" a="1"/>
  <c r="AE99" i="86" s="1"/>
  <c r="AD99" i="86" a="1"/>
  <c r="AD99" i="86" s="1"/>
  <c r="AC99" i="86" a="1"/>
  <c r="AC99" i="86" s="1"/>
  <c r="AB99" i="86" a="1"/>
  <c r="AB99" i="86" s="1"/>
  <c r="AA99" i="86" a="1"/>
  <c r="AA99" i="86" s="1"/>
  <c r="Z99" i="86" a="1"/>
  <c r="Z99" i="86" s="1"/>
  <c r="Y99" i="86" a="1"/>
  <c r="Y99" i="86" s="1"/>
  <c r="X99" i="86" a="1"/>
  <c r="X99" i="86" s="1"/>
  <c r="W99" i="86" a="1"/>
  <c r="W99" i="86" s="1"/>
  <c r="V99" i="86" a="1"/>
  <c r="V99" i="86" s="1"/>
  <c r="U99" i="86" a="1"/>
  <c r="U99" i="86" s="1"/>
  <c r="T99" i="86" a="1"/>
  <c r="T99" i="86" s="1"/>
  <c r="S99" i="86" a="1"/>
  <c r="S99" i="86" s="1"/>
  <c r="R99" i="86" a="1"/>
  <c r="R99" i="86" s="1"/>
  <c r="Q99" i="86" a="1"/>
  <c r="Q99" i="86" s="1"/>
  <c r="P99" i="86" a="1"/>
  <c r="P99" i="86" s="1"/>
  <c r="O99" i="86" a="1"/>
  <c r="O99" i="86" s="1"/>
  <c r="N99" i="86" a="1"/>
  <c r="N99" i="86" s="1"/>
  <c r="M99" i="86" a="1"/>
  <c r="M99" i="86" s="1"/>
  <c r="L99" i="86" a="1"/>
  <c r="L99" i="86" s="1"/>
  <c r="K99" i="86" a="1"/>
  <c r="K99" i="86" s="1"/>
  <c r="J99" i="86" a="1"/>
  <c r="J99" i="86" s="1"/>
  <c r="I99" i="86" a="1"/>
  <c r="I99" i="86" s="1"/>
  <c r="H99" i="86" a="1"/>
  <c r="H99" i="86" s="1"/>
  <c r="G99" i="86" a="1"/>
  <c r="G99" i="86" s="1"/>
  <c r="F99" i="86" a="1"/>
  <c r="F99" i="86" s="1"/>
  <c r="E99" i="86" a="1"/>
  <c r="E99" i="86" s="1"/>
  <c r="D99" i="86" a="1"/>
  <c r="D99" i="86" s="1"/>
  <c r="AH98" i="86" a="1"/>
  <c r="AH98" i="86" s="1"/>
  <c r="AG98" i="86" a="1"/>
  <c r="AG98" i="86" s="1"/>
  <c r="AF98" i="86" a="1"/>
  <c r="AF98" i="86" s="1"/>
  <c r="AE98" i="86" a="1"/>
  <c r="AE98" i="86" s="1"/>
  <c r="AD98" i="86" a="1"/>
  <c r="AD98" i="86" s="1"/>
  <c r="AC98" i="86" a="1"/>
  <c r="AC98" i="86" s="1"/>
  <c r="AB98" i="86" a="1"/>
  <c r="AB98" i="86" s="1"/>
  <c r="AA98" i="86" a="1"/>
  <c r="AA98" i="86" s="1"/>
  <c r="Z98" i="86" a="1"/>
  <c r="Z98" i="86" s="1"/>
  <c r="Y98" i="86" a="1"/>
  <c r="Y98" i="86" s="1"/>
  <c r="X98" i="86" a="1"/>
  <c r="X98" i="86" s="1"/>
  <c r="W98" i="86" a="1"/>
  <c r="W98" i="86" s="1"/>
  <c r="V98" i="86" a="1"/>
  <c r="V98" i="86" s="1"/>
  <c r="U98" i="86" a="1"/>
  <c r="U98" i="86" s="1"/>
  <c r="T98" i="86" a="1"/>
  <c r="T98" i="86" s="1"/>
  <c r="S98" i="86" a="1"/>
  <c r="S98" i="86" s="1"/>
  <c r="R98" i="86" a="1"/>
  <c r="R98" i="86" s="1"/>
  <c r="Q98" i="86" a="1"/>
  <c r="Q98" i="86" s="1"/>
  <c r="P98" i="86" a="1"/>
  <c r="P98" i="86" s="1"/>
  <c r="O98" i="86" a="1"/>
  <c r="O98" i="86" s="1"/>
  <c r="N98" i="86" a="1"/>
  <c r="N98" i="86" s="1"/>
  <c r="M98" i="86" a="1"/>
  <c r="M98" i="86" s="1"/>
  <c r="L98" i="86" a="1"/>
  <c r="L98" i="86" s="1"/>
  <c r="K98" i="86" a="1"/>
  <c r="K98" i="86" s="1"/>
  <c r="J98" i="86" a="1"/>
  <c r="J98" i="86" s="1"/>
  <c r="I98" i="86" a="1"/>
  <c r="I98" i="86" s="1"/>
  <c r="H98" i="86" a="1"/>
  <c r="H98" i="86" s="1"/>
  <c r="G98" i="86" a="1"/>
  <c r="G98" i="86" s="1"/>
  <c r="F98" i="86" a="1"/>
  <c r="F98" i="86" s="1"/>
  <c r="E98" i="86" a="1"/>
  <c r="E98" i="86" s="1"/>
  <c r="D98" i="86" a="1"/>
  <c r="D98" i="86" s="1"/>
  <c r="AH97" i="86" a="1"/>
  <c r="AH97" i="86" s="1"/>
  <c r="AG97" i="86" a="1"/>
  <c r="AG97" i="86" s="1"/>
  <c r="AF97" i="86" a="1"/>
  <c r="AF97" i="86" s="1"/>
  <c r="AE97" i="86" a="1"/>
  <c r="AE97" i="86" s="1"/>
  <c r="AD97" i="86" a="1"/>
  <c r="AD97" i="86" s="1"/>
  <c r="AC97" i="86" a="1"/>
  <c r="AC97" i="86" s="1"/>
  <c r="AB97" i="86" a="1"/>
  <c r="AB97" i="86" s="1"/>
  <c r="AA97" i="86" a="1"/>
  <c r="AA97" i="86" s="1"/>
  <c r="Z97" i="86" a="1"/>
  <c r="Z97" i="86" s="1"/>
  <c r="Y97" i="86" a="1"/>
  <c r="Y97" i="86" s="1"/>
  <c r="X97" i="86" a="1"/>
  <c r="X97" i="86" s="1"/>
  <c r="W97" i="86" a="1"/>
  <c r="W97" i="86" s="1"/>
  <c r="V97" i="86" a="1"/>
  <c r="V97" i="86" s="1"/>
  <c r="U97" i="86" a="1"/>
  <c r="U97" i="86" s="1"/>
  <c r="T97" i="86" a="1"/>
  <c r="T97" i="86" s="1"/>
  <c r="S97" i="86" a="1"/>
  <c r="S97" i="86" s="1"/>
  <c r="R97" i="86" a="1"/>
  <c r="R97" i="86" s="1"/>
  <c r="Q97" i="86" a="1"/>
  <c r="Q97" i="86" s="1"/>
  <c r="P97" i="86" a="1"/>
  <c r="P97" i="86" s="1"/>
  <c r="O97" i="86" a="1"/>
  <c r="O97" i="86" s="1"/>
  <c r="N97" i="86" a="1"/>
  <c r="N97" i="86" s="1"/>
  <c r="M97" i="86" a="1"/>
  <c r="M97" i="86" s="1"/>
  <c r="L97" i="86" a="1"/>
  <c r="L97" i="86" s="1"/>
  <c r="K97" i="86" a="1"/>
  <c r="K97" i="86" s="1"/>
  <c r="J97" i="86" a="1"/>
  <c r="J97" i="86" s="1"/>
  <c r="I97" i="86" a="1"/>
  <c r="I97" i="86" s="1"/>
  <c r="H97" i="86" a="1"/>
  <c r="H97" i="86" s="1"/>
  <c r="G97" i="86" a="1"/>
  <c r="G97" i="86" s="1"/>
  <c r="F97" i="86" a="1"/>
  <c r="F97" i="86" s="1"/>
  <c r="E97" i="86" a="1"/>
  <c r="E97" i="86" s="1"/>
  <c r="D97" i="86" a="1"/>
  <c r="D97" i="86" s="1"/>
  <c r="AH96" i="86" a="1"/>
  <c r="AH96" i="86" s="1"/>
  <c r="AG96" i="86" a="1"/>
  <c r="AG96" i="86" s="1"/>
  <c r="AF96" i="86" a="1"/>
  <c r="AF96" i="86" s="1"/>
  <c r="AE96" i="86" a="1"/>
  <c r="AE96" i="86" s="1"/>
  <c r="AD96" i="86" a="1"/>
  <c r="AD96" i="86" s="1"/>
  <c r="AC96" i="86" a="1"/>
  <c r="AC96" i="86" s="1"/>
  <c r="AB96" i="86" a="1"/>
  <c r="AB96" i="86" s="1"/>
  <c r="AA96" i="86" a="1"/>
  <c r="AA96" i="86" s="1"/>
  <c r="Z96" i="86" a="1"/>
  <c r="Z96" i="86" s="1"/>
  <c r="Y96" i="86" a="1"/>
  <c r="Y96" i="86" s="1"/>
  <c r="X96" i="86" a="1"/>
  <c r="X96" i="86" s="1"/>
  <c r="W96" i="86" a="1"/>
  <c r="W96" i="86" s="1"/>
  <c r="V96" i="86" a="1"/>
  <c r="V96" i="86" s="1"/>
  <c r="U96" i="86" a="1"/>
  <c r="U96" i="86" s="1"/>
  <c r="T96" i="86" a="1"/>
  <c r="T96" i="86" s="1"/>
  <c r="S96" i="86" a="1"/>
  <c r="S96" i="86" s="1"/>
  <c r="R96" i="86" a="1"/>
  <c r="R96" i="86" s="1"/>
  <c r="Q96" i="86" a="1"/>
  <c r="Q96" i="86" s="1"/>
  <c r="P96" i="86" a="1"/>
  <c r="P96" i="86" s="1"/>
  <c r="O96" i="86" a="1"/>
  <c r="O96" i="86" s="1"/>
  <c r="N96" i="86" a="1"/>
  <c r="N96" i="86" s="1"/>
  <c r="M96" i="86" a="1"/>
  <c r="M96" i="86" s="1"/>
  <c r="L96" i="86" a="1"/>
  <c r="L96" i="86" s="1"/>
  <c r="K96" i="86" a="1"/>
  <c r="K96" i="86" s="1"/>
  <c r="J96" i="86" a="1"/>
  <c r="J96" i="86" s="1"/>
  <c r="I96" i="86" a="1"/>
  <c r="I96" i="86" s="1"/>
  <c r="H96" i="86" a="1"/>
  <c r="H96" i="86" s="1"/>
  <c r="G96" i="86" a="1"/>
  <c r="G96" i="86" s="1"/>
  <c r="F96" i="86" a="1"/>
  <c r="F96" i="86" s="1"/>
  <c r="E96" i="86" a="1"/>
  <c r="E96" i="86" s="1"/>
  <c r="D96" i="86" a="1"/>
  <c r="D96" i="86" s="1"/>
  <c r="AH95" i="86" a="1"/>
  <c r="AH95" i="86" s="1"/>
  <c r="AG95" i="86" a="1"/>
  <c r="AG95" i="86" s="1"/>
  <c r="AF95" i="86" a="1"/>
  <c r="AF95" i="86" s="1"/>
  <c r="AE95" i="86" a="1"/>
  <c r="AE95" i="86" s="1"/>
  <c r="AD95" i="86" a="1"/>
  <c r="AD95" i="86" s="1"/>
  <c r="AC95" i="86" a="1"/>
  <c r="AC95" i="86" s="1"/>
  <c r="AB95" i="86" a="1"/>
  <c r="AB95" i="86" s="1"/>
  <c r="AA95" i="86" a="1"/>
  <c r="AA95" i="86" s="1"/>
  <c r="Z95" i="86" a="1"/>
  <c r="Z95" i="86" s="1"/>
  <c r="Y95" i="86" a="1"/>
  <c r="Y95" i="86" s="1"/>
  <c r="X95" i="86" a="1"/>
  <c r="X95" i="86" s="1"/>
  <c r="W95" i="86" a="1"/>
  <c r="W95" i="86" s="1"/>
  <c r="V95" i="86" a="1"/>
  <c r="V95" i="86" s="1"/>
  <c r="U95" i="86" a="1"/>
  <c r="U95" i="86" s="1"/>
  <c r="T95" i="86" a="1"/>
  <c r="T95" i="86" s="1"/>
  <c r="S95" i="86" a="1"/>
  <c r="S95" i="86" s="1"/>
  <c r="R95" i="86" a="1"/>
  <c r="R95" i="86" s="1"/>
  <c r="Q95" i="86" a="1"/>
  <c r="Q95" i="86" s="1"/>
  <c r="P95" i="86" a="1"/>
  <c r="P95" i="86" s="1"/>
  <c r="O95" i="86" a="1"/>
  <c r="O95" i="86" s="1"/>
  <c r="N95" i="86" a="1"/>
  <c r="N95" i="86" s="1"/>
  <c r="M95" i="86" a="1"/>
  <c r="M95" i="86" s="1"/>
  <c r="L95" i="86" a="1"/>
  <c r="L95" i="86" s="1"/>
  <c r="K95" i="86" a="1"/>
  <c r="K95" i="86" s="1"/>
  <c r="J95" i="86" a="1"/>
  <c r="J95" i="86" s="1"/>
  <c r="I95" i="86" a="1"/>
  <c r="I95" i="86" s="1"/>
  <c r="H95" i="86" a="1"/>
  <c r="H95" i="86" s="1"/>
  <c r="G95" i="86" a="1"/>
  <c r="G95" i="86" s="1"/>
  <c r="F95" i="86" a="1"/>
  <c r="F95" i="86" s="1"/>
  <c r="E95" i="86" a="1"/>
  <c r="E95" i="86" s="1"/>
  <c r="D95" i="86" a="1"/>
  <c r="D95" i="86" s="1"/>
  <c r="AH94" i="86" a="1"/>
  <c r="AH94" i="86" s="1"/>
  <c r="AG94" i="86" a="1"/>
  <c r="AG94" i="86" s="1"/>
  <c r="AF94" i="86" a="1"/>
  <c r="AF94" i="86" s="1"/>
  <c r="AE94" i="86" a="1"/>
  <c r="AE94" i="86" s="1"/>
  <c r="AD94" i="86" a="1"/>
  <c r="AD94" i="86" s="1"/>
  <c r="AC94" i="86" a="1"/>
  <c r="AC94" i="86" s="1"/>
  <c r="AB94" i="86" a="1"/>
  <c r="AB94" i="86" s="1"/>
  <c r="AA94" i="86" a="1"/>
  <c r="AA94" i="86" s="1"/>
  <c r="Z94" i="86" a="1"/>
  <c r="Z94" i="86" s="1"/>
  <c r="Y94" i="86" a="1"/>
  <c r="Y94" i="86" s="1"/>
  <c r="X94" i="86" a="1"/>
  <c r="X94" i="86" s="1"/>
  <c r="W94" i="86" a="1"/>
  <c r="W94" i="86" s="1"/>
  <c r="V94" i="86" a="1"/>
  <c r="V94" i="86" s="1"/>
  <c r="U94" i="86" a="1"/>
  <c r="U94" i="86" s="1"/>
  <c r="T94" i="86" a="1"/>
  <c r="T94" i="86" s="1"/>
  <c r="S94" i="86" a="1"/>
  <c r="S94" i="86" s="1"/>
  <c r="R94" i="86" a="1"/>
  <c r="R94" i="86" s="1"/>
  <c r="Q94" i="86" a="1"/>
  <c r="Q94" i="86" s="1"/>
  <c r="P94" i="86" a="1"/>
  <c r="P94" i="86" s="1"/>
  <c r="O94" i="86" a="1"/>
  <c r="O94" i="86" s="1"/>
  <c r="N94" i="86" a="1"/>
  <c r="N94" i="86" s="1"/>
  <c r="M94" i="86" a="1"/>
  <c r="M94" i="86" s="1"/>
  <c r="L94" i="86" a="1"/>
  <c r="L94" i="86" s="1"/>
  <c r="K94" i="86" a="1"/>
  <c r="K94" i="86" s="1"/>
  <c r="J94" i="86" a="1"/>
  <c r="J94" i="86" s="1"/>
  <c r="I94" i="86" a="1"/>
  <c r="I94" i="86" s="1"/>
  <c r="H94" i="86" a="1"/>
  <c r="H94" i="86" s="1"/>
  <c r="G94" i="86" a="1"/>
  <c r="G94" i="86" s="1"/>
  <c r="F94" i="86" a="1"/>
  <c r="F94" i="86" s="1"/>
  <c r="E94" i="86" a="1"/>
  <c r="E94" i="86" s="1"/>
  <c r="D94" i="86" a="1"/>
  <c r="D94" i="86" s="1"/>
  <c r="AH93" i="86" a="1"/>
  <c r="AH93" i="86" s="1"/>
  <c r="AG93" i="86" a="1"/>
  <c r="AG93" i="86" s="1"/>
  <c r="AF93" i="86" a="1"/>
  <c r="AF93" i="86" s="1"/>
  <c r="AE93" i="86" a="1"/>
  <c r="AE93" i="86" s="1"/>
  <c r="AD93" i="86" a="1"/>
  <c r="AD93" i="86" s="1"/>
  <c r="AC93" i="86" a="1"/>
  <c r="AC93" i="86" s="1"/>
  <c r="AB93" i="86" a="1"/>
  <c r="AB93" i="86" s="1"/>
  <c r="AA93" i="86" a="1"/>
  <c r="AA93" i="86" s="1"/>
  <c r="Z93" i="86" a="1"/>
  <c r="Z93" i="86" s="1"/>
  <c r="Y93" i="86" a="1"/>
  <c r="Y93" i="86" s="1"/>
  <c r="X93" i="86" a="1"/>
  <c r="X93" i="86" s="1"/>
  <c r="W93" i="86" a="1"/>
  <c r="W93" i="86" s="1"/>
  <c r="V93" i="86" a="1"/>
  <c r="V93" i="86" s="1"/>
  <c r="U93" i="86" a="1"/>
  <c r="U93" i="86" s="1"/>
  <c r="T93" i="86" a="1"/>
  <c r="T93" i="86" s="1"/>
  <c r="S93" i="86" a="1"/>
  <c r="S93" i="86" s="1"/>
  <c r="R93" i="86" a="1"/>
  <c r="R93" i="86" s="1"/>
  <c r="Q93" i="86" a="1"/>
  <c r="Q93" i="86" s="1"/>
  <c r="P93" i="86" a="1"/>
  <c r="P93" i="86" s="1"/>
  <c r="O93" i="86" a="1"/>
  <c r="O93" i="86" s="1"/>
  <c r="N93" i="86" a="1"/>
  <c r="N93" i="86" s="1"/>
  <c r="M93" i="86" a="1"/>
  <c r="M93" i="86" s="1"/>
  <c r="L93" i="86" a="1"/>
  <c r="L93" i="86" s="1"/>
  <c r="K93" i="86" a="1"/>
  <c r="K93" i="86" s="1"/>
  <c r="J93" i="86" a="1"/>
  <c r="J93" i="86" s="1"/>
  <c r="I93" i="86" a="1"/>
  <c r="I93" i="86" s="1"/>
  <c r="H93" i="86" a="1"/>
  <c r="H93" i="86" s="1"/>
  <c r="G93" i="86" a="1"/>
  <c r="G93" i="86" s="1"/>
  <c r="F93" i="86" a="1"/>
  <c r="F93" i="86" s="1"/>
  <c r="E93" i="86" a="1"/>
  <c r="E93" i="86" s="1"/>
  <c r="D93" i="86" a="1"/>
  <c r="D93" i="86" s="1"/>
  <c r="AH92" i="86" a="1"/>
  <c r="AH92" i="86" s="1"/>
  <c r="AG92" i="86" a="1"/>
  <c r="AG92" i="86" s="1"/>
  <c r="AF92" i="86" a="1"/>
  <c r="AF92" i="86" s="1"/>
  <c r="AE92" i="86" a="1"/>
  <c r="AE92" i="86" s="1"/>
  <c r="AD92" i="86" a="1"/>
  <c r="AD92" i="86" s="1"/>
  <c r="AC92" i="86" a="1"/>
  <c r="AC92" i="86" s="1"/>
  <c r="AB92" i="86" a="1"/>
  <c r="AB92" i="86" s="1"/>
  <c r="AA92" i="86" a="1"/>
  <c r="AA92" i="86" s="1"/>
  <c r="Z92" i="86" a="1"/>
  <c r="Z92" i="86" s="1"/>
  <c r="Y92" i="86" a="1"/>
  <c r="Y92" i="86" s="1"/>
  <c r="X92" i="86" a="1"/>
  <c r="X92" i="86" s="1"/>
  <c r="W92" i="86" a="1"/>
  <c r="W92" i="86" s="1"/>
  <c r="V92" i="86" a="1"/>
  <c r="V92" i="86" s="1"/>
  <c r="U92" i="86" a="1"/>
  <c r="U92" i="86" s="1"/>
  <c r="T92" i="86" a="1"/>
  <c r="T92" i="86" s="1"/>
  <c r="S92" i="86" a="1"/>
  <c r="S92" i="86" s="1"/>
  <c r="R92" i="86" a="1"/>
  <c r="R92" i="86" s="1"/>
  <c r="Q92" i="86" a="1"/>
  <c r="Q92" i="86" s="1"/>
  <c r="P92" i="86" a="1"/>
  <c r="P92" i="86" s="1"/>
  <c r="O92" i="86" a="1"/>
  <c r="O92" i="86" s="1"/>
  <c r="N92" i="86" a="1"/>
  <c r="N92" i="86" s="1"/>
  <c r="M92" i="86" a="1"/>
  <c r="M92" i="86" s="1"/>
  <c r="L92" i="86" a="1"/>
  <c r="L92" i="86" s="1"/>
  <c r="K92" i="86" a="1"/>
  <c r="K92" i="86" s="1"/>
  <c r="J92" i="86" a="1"/>
  <c r="J92" i="86" s="1"/>
  <c r="I92" i="86" a="1"/>
  <c r="I92" i="86" s="1"/>
  <c r="H92" i="86" a="1"/>
  <c r="H92" i="86" s="1"/>
  <c r="G92" i="86" a="1"/>
  <c r="G92" i="86" s="1"/>
  <c r="F92" i="86" a="1"/>
  <c r="F92" i="86" s="1"/>
  <c r="E92" i="86" a="1"/>
  <c r="E92" i="86" s="1"/>
  <c r="D92" i="86" a="1"/>
  <c r="D92" i="86" s="1"/>
  <c r="AH91" i="86" a="1"/>
  <c r="AH91" i="86" s="1"/>
  <c r="AG91" i="86" a="1"/>
  <c r="AG91" i="86" s="1"/>
  <c r="AF91" i="86" a="1"/>
  <c r="AF91" i="86" s="1"/>
  <c r="AE91" i="86" a="1"/>
  <c r="AE91" i="86" s="1"/>
  <c r="AD91" i="86" a="1"/>
  <c r="AD91" i="86" s="1"/>
  <c r="AC91" i="86" a="1"/>
  <c r="AC91" i="86" s="1"/>
  <c r="AB91" i="86" a="1"/>
  <c r="AB91" i="86" s="1"/>
  <c r="AA91" i="86" a="1"/>
  <c r="AA91" i="86" s="1"/>
  <c r="Z91" i="86" a="1"/>
  <c r="Z91" i="86" s="1"/>
  <c r="Y91" i="86" a="1"/>
  <c r="Y91" i="86" s="1"/>
  <c r="X91" i="86" a="1"/>
  <c r="X91" i="86" s="1"/>
  <c r="W91" i="86" a="1"/>
  <c r="W91" i="86" s="1"/>
  <c r="V91" i="86" a="1"/>
  <c r="V91" i="86" s="1"/>
  <c r="U91" i="86" a="1"/>
  <c r="U91" i="86" s="1"/>
  <c r="T91" i="86" a="1"/>
  <c r="T91" i="86" s="1"/>
  <c r="S91" i="86" a="1"/>
  <c r="S91" i="86" s="1"/>
  <c r="R91" i="86" a="1"/>
  <c r="R91" i="86" s="1"/>
  <c r="Q91" i="86" a="1"/>
  <c r="Q91" i="86" s="1"/>
  <c r="P91" i="86" a="1"/>
  <c r="P91" i="86" s="1"/>
  <c r="O91" i="86" a="1"/>
  <c r="O91" i="86" s="1"/>
  <c r="N91" i="86" a="1"/>
  <c r="N91" i="86" s="1"/>
  <c r="M91" i="86" a="1"/>
  <c r="M91" i="86" s="1"/>
  <c r="L91" i="86" a="1"/>
  <c r="L91" i="86" s="1"/>
  <c r="K91" i="86" a="1"/>
  <c r="K91" i="86" s="1"/>
  <c r="J91" i="86" a="1"/>
  <c r="J91" i="86" s="1"/>
  <c r="I91" i="86" a="1"/>
  <c r="I91" i="86" s="1"/>
  <c r="H91" i="86" a="1"/>
  <c r="H91" i="86" s="1"/>
  <c r="G91" i="86" a="1"/>
  <c r="G91" i="86" s="1"/>
  <c r="F91" i="86" a="1"/>
  <c r="F91" i="86" s="1"/>
  <c r="E91" i="86" a="1"/>
  <c r="E91" i="86" s="1"/>
  <c r="D91" i="86" a="1"/>
  <c r="D91" i="86" s="1"/>
  <c r="AH90" i="86" a="1"/>
  <c r="AH90" i="86" s="1"/>
  <c r="AG90" i="86" a="1"/>
  <c r="AG90" i="86" s="1"/>
  <c r="AF90" i="86" a="1"/>
  <c r="AF90" i="86" s="1"/>
  <c r="AE90" i="86" a="1"/>
  <c r="AE90" i="86" s="1"/>
  <c r="AD90" i="86" a="1"/>
  <c r="AD90" i="86" s="1"/>
  <c r="AC90" i="86" a="1"/>
  <c r="AC90" i="86" s="1"/>
  <c r="AB90" i="86" a="1"/>
  <c r="AB90" i="86" s="1"/>
  <c r="AA90" i="86" a="1"/>
  <c r="AA90" i="86" s="1"/>
  <c r="Z90" i="86" a="1"/>
  <c r="Z90" i="86" s="1"/>
  <c r="Y90" i="86" a="1"/>
  <c r="Y90" i="86" s="1"/>
  <c r="X90" i="86" a="1"/>
  <c r="X90" i="86" s="1"/>
  <c r="W90" i="86" a="1"/>
  <c r="W90" i="86" s="1"/>
  <c r="V90" i="86" a="1"/>
  <c r="V90" i="86" s="1"/>
  <c r="U90" i="86" a="1"/>
  <c r="U90" i="86" s="1"/>
  <c r="T90" i="86" a="1"/>
  <c r="T90" i="86" s="1"/>
  <c r="S90" i="86" a="1"/>
  <c r="S90" i="86" s="1"/>
  <c r="R90" i="86" a="1"/>
  <c r="R90" i="86" s="1"/>
  <c r="Q90" i="86" a="1"/>
  <c r="Q90" i="86" s="1"/>
  <c r="P90" i="86" a="1"/>
  <c r="P90" i="86" s="1"/>
  <c r="O90" i="86" a="1"/>
  <c r="O90" i="86" s="1"/>
  <c r="N90" i="86" a="1"/>
  <c r="N90" i="86" s="1"/>
  <c r="M90" i="86" a="1"/>
  <c r="M90" i="86" s="1"/>
  <c r="L90" i="86" a="1"/>
  <c r="L90" i="86" s="1"/>
  <c r="K90" i="86" a="1"/>
  <c r="K90" i="86" s="1"/>
  <c r="J90" i="86" a="1"/>
  <c r="J90" i="86" s="1"/>
  <c r="I90" i="86" a="1"/>
  <c r="I90" i="86" s="1"/>
  <c r="H90" i="86" a="1"/>
  <c r="H90" i="86" s="1"/>
  <c r="G90" i="86" a="1"/>
  <c r="G90" i="86" s="1"/>
  <c r="F90" i="86" a="1"/>
  <c r="F90" i="86" s="1"/>
  <c r="E90" i="86" a="1"/>
  <c r="E90" i="86" s="1"/>
  <c r="F21" i="79" s="1"/>
  <c r="D90" i="86" a="1"/>
  <c r="D90" i="86" s="1"/>
  <c r="F83" i="86" a="1"/>
  <c r="F83" i="86" s="1"/>
  <c r="E83" i="86" a="1"/>
  <c r="E83" i="86" s="1"/>
  <c r="J91" i="85" s="1"/>
  <c r="D83" i="86" a="1"/>
  <c r="D83" i="86" s="1"/>
  <c r="D82" i="86" a="1"/>
  <c r="D82" i="86" s="1"/>
  <c r="D81" i="86" a="1"/>
  <c r="D81" i="86" s="1"/>
  <c r="F78" i="86" a="1"/>
  <c r="F78" i="86" s="1"/>
  <c r="E78" i="86" a="1"/>
  <c r="E78" i="86" s="1"/>
  <c r="I69" i="107" s="1"/>
  <c r="D78" i="86" a="1"/>
  <c r="D78" i="86" s="1"/>
  <c r="D77" i="86" a="1"/>
  <c r="D77" i="86" s="1"/>
  <c r="D76" i="86" a="1"/>
  <c r="D76" i="86" s="1"/>
  <c r="F73" i="86" a="1"/>
  <c r="F73" i="86" s="1"/>
  <c r="E73" i="86" a="1"/>
  <c r="E73" i="86" s="1"/>
  <c r="I97" i="84" s="1"/>
  <c r="D73" i="86" a="1"/>
  <c r="D73" i="86" s="1"/>
  <c r="D72" i="86" a="1"/>
  <c r="D72" i="86" s="1"/>
  <c r="D71" i="86" a="1"/>
  <c r="D71" i="86" s="1"/>
  <c r="F68" i="86" a="1"/>
  <c r="F68" i="86" s="1"/>
  <c r="E68" i="86" a="1"/>
  <c r="E68" i="86" s="1"/>
  <c r="D68" i="86" a="1"/>
  <c r="D68" i="86" s="1"/>
  <c r="F67" i="86" a="1"/>
  <c r="F67" i="86" s="1"/>
  <c r="I19" i="83" s="1"/>
  <c r="E67" i="86" a="1"/>
  <c r="E67" i="86" s="1"/>
  <c r="I18" i="83" s="1"/>
  <c r="D67" i="86" a="1"/>
  <c r="D67" i="86" s="1"/>
  <c r="F66" i="86" a="1"/>
  <c r="F66" i="86" s="1"/>
  <c r="I16" i="83" s="1"/>
  <c r="E66" i="86" a="1"/>
  <c r="E66" i="86" s="1"/>
  <c r="I15" i="83" s="1"/>
  <c r="D66" i="86" a="1"/>
  <c r="D66" i="86" s="1"/>
  <c r="D64" i="86" a="1"/>
  <c r="D64" i="86" s="1"/>
  <c r="D63" i="86" a="1"/>
  <c r="D63" i="86" s="1"/>
  <c r="F60" i="86" a="1"/>
  <c r="F60" i="86" s="1"/>
  <c r="E60" i="86" a="1"/>
  <c r="E60" i="86" s="1"/>
  <c r="I50" i="81" s="1"/>
  <c r="D60" i="86" a="1"/>
  <c r="D60" i="86" s="1"/>
  <c r="D59" i="86" a="1"/>
  <c r="D59" i="86" s="1"/>
  <c r="D58" i="86" a="1"/>
  <c r="D58" i="86" s="1"/>
  <c r="E55" i="86" a="1"/>
  <c r="E55" i="86" s="1"/>
  <c r="D55" i="86" a="1"/>
  <c r="D55" i="86" s="1"/>
  <c r="E54" i="86" a="1"/>
  <c r="E54" i="86" s="1"/>
  <c r="D54" i="86" a="1"/>
  <c r="D54" i="86" s="1"/>
  <c r="E53" i="86" a="1"/>
  <c r="E53" i="86" s="1"/>
  <c r="D53" i="86" a="1"/>
  <c r="D53" i="86" s="1"/>
  <c r="E52" i="86" a="1"/>
  <c r="E52" i="86" s="1"/>
  <c r="D52" i="86" a="1"/>
  <c r="D52" i="86" s="1"/>
  <c r="E51" i="86" a="1"/>
  <c r="E51" i="86" s="1"/>
  <c r="D51" i="86" a="1"/>
  <c r="D51" i="86" s="1"/>
  <c r="D49" i="86" a="1"/>
  <c r="D49" i="86" s="1"/>
  <c r="D48" i="86" a="1"/>
  <c r="D48" i="86" s="1"/>
  <c r="I38" i="86" a="1"/>
  <c r="I38" i="86" s="1"/>
  <c r="H38" i="86" a="1"/>
  <c r="H38" i="86" s="1"/>
  <c r="G38" i="86" a="1"/>
  <c r="G38" i="86" s="1"/>
  <c r="F38" i="86" a="1"/>
  <c r="F38" i="86" s="1"/>
  <c r="E38" i="86" a="1"/>
  <c r="E38" i="86" s="1"/>
  <c r="D38" i="86" a="1"/>
  <c r="D38" i="86" s="1"/>
  <c r="G180" i="108" s="1"/>
  <c r="I37" i="86" a="1"/>
  <c r="I37" i="86" s="1"/>
  <c r="H37" i="86" a="1"/>
  <c r="H37" i="86" s="1"/>
  <c r="G37" i="86" a="1"/>
  <c r="G37" i="86" s="1"/>
  <c r="F37" i="86" a="1"/>
  <c r="F37" i="86" s="1"/>
  <c r="E37" i="86" a="1"/>
  <c r="E37" i="86" s="1"/>
  <c r="D37" i="86" a="1"/>
  <c r="D37" i="86" s="1"/>
  <c r="I36" i="86" a="1"/>
  <c r="I36" i="86" s="1"/>
  <c r="H36" i="86" a="1"/>
  <c r="H36" i="86" s="1"/>
  <c r="G36" i="86" a="1"/>
  <c r="G36" i="86" s="1"/>
  <c r="F36" i="86" a="1"/>
  <c r="F36" i="86" s="1"/>
  <c r="E36" i="86" a="1"/>
  <c r="E36" i="86" s="1"/>
  <c r="D36" i="86" a="1"/>
  <c r="D36" i="86" s="1"/>
  <c r="G190" i="108" s="1"/>
  <c r="I35" i="86" a="1"/>
  <c r="I35" i="86" s="1"/>
  <c r="H35" i="86" a="1"/>
  <c r="H35" i="86" s="1"/>
  <c r="G35" i="86" a="1"/>
  <c r="G35" i="86" s="1"/>
  <c r="F35" i="86" a="1"/>
  <c r="F35" i="86" s="1"/>
  <c r="E35" i="86" a="1"/>
  <c r="E35" i="86" s="1"/>
  <c r="D35" i="86" a="1"/>
  <c r="D35" i="86" s="1"/>
  <c r="G182" i="108" s="1"/>
  <c r="I34" i="86" a="1"/>
  <c r="I34" i="86" s="1"/>
  <c r="H34" i="86" a="1"/>
  <c r="H34" i="86" s="1"/>
  <c r="G34" i="86" a="1"/>
  <c r="G34" i="86" s="1"/>
  <c r="F34" i="86" a="1"/>
  <c r="F34" i="86" s="1"/>
  <c r="E34" i="86" a="1"/>
  <c r="E34" i="86" s="1"/>
  <c r="D34" i="86" a="1"/>
  <c r="D34" i="86" s="1"/>
  <c r="G184" i="108" s="1"/>
  <c r="I33" i="86" a="1"/>
  <c r="I33" i="86" s="1"/>
  <c r="H33" i="86" a="1"/>
  <c r="H33" i="86" s="1"/>
  <c r="G33" i="86" a="1"/>
  <c r="G33" i="86" s="1"/>
  <c r="F33" i="86" a="1"/>
  <c r="F33" i="86" s="1"/>
  <c r="E33" i="86" a="1"/>
  <c r="E33" i="86" s="1"/>
  <c r="D33" i="86" a="1"/>
  <c r="D33" i="86" s="1"/>
  <c r="G198" i="108" s="1"/>
  <c r="I32" i="86" a="1"/>
  <c r="I32" i="86" s="1"/>
  <c r="H32" i="86" a="1"/>
  <c r="H32" i="86" s="1"/>
  <c r="G32" i="86" a="1"/>
  <c r="G32" i="86" s="1"/>
  <c r="F32" i="86" a="1"/>
  <c r="F32" i="86" s="1"/>
  <c r="E32" i="86" a="1"/>
  <c r="E32" i="86" s="1"/>
  <c r="D32" i="86" a="1"/>
  <c r="D32" i="86" s="1"/>
  <c r="G191" i="108" s="1"/>
  <c r="I31" i="86" a="1"/>
  <c r="I31" i="86" s="1"/>
  <c r="H31" i="86" a="1"/>
  <c r="H31" i="86" s="1"/>
  <c r="G31" i="86" a="1"/>
  <c r="G31" i="86" s="1"/>
  <c r="F31" i="86" a="1"/>
  <c r="F31" i="86" s="1"/>
  <c r="E31" i="86" a="1"/>
  <c r="E31" i="86" s="1"/>
  <c r="D31" i="86" a="1"/>
  <c r="D31" i="86" s="1"/>
  <c r="G189" i="108" s="1"/>
  <c r="I30" i="86" a="1"/>
  <c r="I30" i="86" s="1"/>
  <c r="H30" i="86" a="1"/>
  <c r="H30" i="86" s="1"/>
  <c r="G30" i="86" a="1"/>
  <c r="G30" i="86" s="1"/>
  <c r="F30" i="86" a="1"/>
  <c r="F30" i="86" s="1"/>
  <c r="E30" i="86" a="1"/>
  <c r="E30" i="86" s="1"/>
  <c r="D30" i="86" a="1"/>
  <c r="D30" i="86" s="1"/>
  <c r="G188" i="108" s="1"/>
  <c r="I29" i="86" a="1"/>
  <c r="I29" i="86" s="1"/>
  <c r="H29" i="86" a="1"/>
  <c r="H29" i="86" s="1"/>
  <c r="G29" i="86" a="1"/>
  <c r="G29" i="86" s="1"/>
  <c r="F29" i="86" a="1"/>
  <c r="F29" i="86" s="1"/>
  <c r="E29" i="86" a="1"/>
  <c r="E29" i="86" s="1"/>
  <c r="D29" i="86" a="1"/>
  <c r="D29" i="86" s="1"/>
  <c r="G186" i="108" s="1"/>
  <c r="R28" i="86" a="1"/>
  <c r="R28" i="86" s="1"/>
  <c r="Q28" i="86" a="1"/>
  <c r="Q28" i="86" s="1"/>
  <c r="L28" i="86" a="1"/>
  <c r="L28" i="86" s="1"/>
  <c r="K28" i="86" a="1"/>
  <c r="K28" i="86" s="1"/>
  <c r="I28" i="86" a="1"/>
  <c r="I28" i="86" s="1"/>
  <c r="H28" i="86" a="1"/>
  <c r="H28" i="86" s="1"/>
  <c r="G28" i="86" a="1"/>
  <c r="G28" i="86" s="1"/>
  <c r="F28" i="86" a="1"/>
  <c r="F28" i="86" s="1"/>
  <c r="E28" i="86" a="1"/>
  <c r="E28" i="86" s="1"/>
  <c r="D28" i="86" a="1"/>
  <c r="D28" i="86" s="1"/>
  <c r="G187" i="108" s="1"/>
  <c r="R27" i="86" a="1"/>
  <c r="R27" i="86" s="1"/>
  <c r="Q27" i="86" a="1"/>
  <c r="Q27" i="86" s="1"/>
  <c r="L27" i="86" a="1"/>
  <c r="L27" i="86" s="1"/>
  <c r="K27" i="86" a="1"/>
  <c r="K27" i="86" s="1"/>
  <c r="I27" i="86" a="1"/>
  <c r="I27" i="86" s="1"/>
  <c r="H27" i="86" a="1"/>
  <c r="H27" i="86" s="1"/>
  <c r="G27" i="86" a="1"/>
  <c r="G27" i="86" s="1"/>
  <c r="F27" i="86" a="1"/>
  <c r="F27" i="86" s="1"/>
  <c r="E27" i="86" a="1"/>
  <c r="E27" i="86" s="1"/>
  <c r="D27" i="86" a="1"/>
  <c r="D27" i="86" s="1"/>
  <c r="G185" i="108" s="1"/>
  <c r="R26" i="86" a="1"/>
  <c r="R26" i="86" s="1"/>
  <c r="Q26" i="86" a="1"/>
  <c r="Q26" i="86" s="1"/>
  <c r="L26" i="86" a="1"/>
  <c r="L26" i="86" s="1"/>
  <c r="K26" i="86" a="1"/>
  <c r="K26" i="86" s="1"/>
  <c r="I26" i="86" a="1"/>
  <c r="I26" i="86" s="1"/>
  <c r="H26" i="86" a="1"/>
  <c r="H26" i="86" s="1"/>
  <c r="G26" i="86" a="1"/>
  <c r="G26" i="86" s="1"/>
  <c r="F26" i="86" a="1"/>
  <c r="F26" i="86" s="1"/>
  <c r="E26" i="86" a="1"/>
  <c r="E26" i="86" s="1"/>
  <c r="D26" i="86" a="1"/>
  <c r="D26" i="86" s="1"/>
  <c r="G179" i="108" s="1"/>
  <c r="R25" i="86" a="1"/>
  <c r="R25" i="86" s="1"/>
  <c r="Q25" i="86" a="1"/>
  <c r="Q25" i="86" s="1"/>
  <c r="L25" i="86" a="1"/>
  <c r="L25" i="86" s="1"/>
  <c r="K25" i="86" a="1"/>
  <c r="K25" i="86" s="1"/>
  <c r="I25" i="86" a="1"/>
  <c r="I25" i="86" s="1"/>
  <c r="H25" i="86" a="1"/>
  <c r="H25" i="86" s="1"/>
  <c r="G25" i="86" a="1"/>
  <c r="G25" i="86" s="1"/>
  <c r="F25" i="86" a="1"/>
  <c r="F25" i="86" s="1"/>
  <c r="E25" i="86" a="1"/>
  <c r="E25" i="86" s="1"/>
  <c r="D25" i="86" a="1"/>
  <c r="D25" i="86" s="1"/>
  <c r="G178" i="108" s="1"/>
  <c r="R24" i="86" a="1"/>
  <c r="R24" i="86" s="1"/>
  <c r="Q24" i="86" a="1"/>
  <c r="Q24" i="86" s="1"/>
  <c r="L24" i="86" a="1"/>
  <c r="L24" i="86" s="1"/>
  <c r="K24" i="86" a="1"/>
  <c r="K24" i="86" s="1"/>
  <c r="I24" i="86" a="1"/>
  <c r="I24" i="86" s="1"/>
  <c r="H24" i="86" a="1"/>
  <c r="H24" i="86" s="1"/>
  <c r="G24" i="86" a="1"/>
  <c r="G24" i="86" s="1"/>
  <c r="F24" i="86" a="1"/>
  <c r="F24" i="86" s="1"/>
  <c r="E24" i="86" a="1"/>
  <c r="E24" i="86" s="1"/>
  <c r="D24" i="86" a="1"/>
  <c r="D24" i="86" s="1"/>
  <c r="G193" i="108" s="1"/>
  <c r="V23" i="86" a="1"/>
  <c r="V23" i="86" s="1"/>
  <c r="R23" i="86" a="1"/>
  <c r="R23" i="86" s="1"/>
  <c r="Q23" i="86" a="1"/>
  <c r="Q23" i="86" s="1"/>
  <c r="L23" i="86" a="1"/>
  <c r="L23" i="86" s="1"/>
  <c r="K23" i="86" a="1"/>
  <c r="K23" i="86" s="1"/>
  <c r="I23" i="86" a="1"/>
  <c r="I23" i="86" s="1"/>
  <c r="H23" i="86" a="1"/>
  <c r="H23" i="86" s="1"/>
  <c r="G23" i="86" a="1"/>
  <c r="G23" i="86" s="1"/>
  <c r="F23" i="86" a="1"/>
  <c r="F23" i="86" s="1"/>
  <c r="E23" i="86" a="1"/>
  <c r="E23" i="86" s="1"/>
  <c r="D23" i="86" a="1"/>
  <c r="D23" i="86" s="1"/>
  <c r="G192" i="108" s="1"/>
  <c r="V22" i="86" a="1"/>
  <c r="V22" i="86" s="1"/>
  <c r="R22" i="86" a="1"/>
  <c r="R22" i="86" s="1"/>
  <c r="Q22" i="86" a="1"/>
  <c r="Q22" i="86" s="1"/>
  <c r="L22" i="86" a="1"/>
  <c r="L22" i="86" s="1"/>
  <c r="K22" i="86" a="1"/>
  <c r="K22" i="86" s="1"/>
  <c r="I22" i="86" a="1"/>
  <c r="I22" i="86" s="1"/>
  <c r="H22" i="86" a="1"/>
  <c r="H22" i="86" s="1"/>
  <c r="G22" i="86" a="1"/>
  <c r="G22" i="86" s="1"/>
  <c r="F22" i="86" a="1"/>
  <c r="F22" i="86" s="1"/>
  <c r="E22" i="86" a="1"/>
  <c r="E22" i="86" s="1"/>
  <c r="D22" i="86" a="1"/>
  <c r="D22" i="86" s="1"/>
  <c r="V21" i="86" a="1"/>
  <c r="V21" i="86" s="1"/>
  <c r="R21" i="86" a="1"/>
  <c r="R21" i="86" s="1"/>
  <c r="Q21" i="86" a="1"/>
  <c r="Q21" i="86" s="1"/>
  <c r="L21" i="86" a="1"/>
  <c r="L21" i="86" s="1"/>
  <c r="K21" i="86" a="1"/>
  <c r="K21" i="86" s="1"/>
  <c r="I21" i="86" a="1"/>
  <c r="I21" i="86" s="1"/>
  <c r="H21" i="86" a="1"/>
  <c r="H21" i="86" s="1"/>
  <c r="G21" i="86" a="1"/>
  <c r="G21" i="86" s="1"/>
  <c r="F21" i="86" a="1"/>
  <c r="F21" i="86" s="1"/>
  <c r="E21" i="86" a="1"/>
  <c r="E21" i="86" s="1"/>
  <c r="D21" i="86" a="1"/>
  <c r="D21" i="86" s="1"/>
  <c r="G181" i="108" s="1"/>
  <c r="V20" i="86" a="1"/>
  <c r="V20" i="86" s="1"/>
  <c r="R20" i="86" a="1"/>
  <c r="R20" i="86" s="1"/>
  <c r="Q20" i="86" a="1"/>
  <c r="Q20" i="86" s="1"/>
  <c r="L20" i="86" a="1"/>
  <c r="L20" i="86" s="1"/>
  <c r="K20" i="86" a="1"/>
  <c r="K20" i="86" s="1"/>
  <c r="I20" i="86" a="1"/>
  <c r="I20" i="86" s="1"/>
  <c r="H20" i="86" a="1"/>
  <c r="H20" i="86" s="1"/>
  <c r="G20" i="86" a="1"/>
  <c r="G20" i="86" s="1"/>
  <c r="F20" i="86" a="1"/>
  <c r="F20" i="86" s="1"/>
  <c r="E20" i="86" a="1"/>
  <c r="E20" i="86" s="1"/>
  <c r="D20" i="86" a="1"/>
  <c r="D20" i="86" s="1"/>
  <c r="P34" i="79" s="1"/>
  <c r="V18" i="86" a="1"/>
  <c r="V18" i="86" s="1"/>
  <c r="Q18" i="86" a="1"/>
  <c r="Q18" i="86" s="1"/>
  <c r="K18" i="86" a="1"/>
  <c r="K18" i="86" s="1"/>
  <c r="V17" i="86" a="1"/>
  <c r="V17" i="86" s="1"/>
  <c r="Q17" i="86" a="1"/>
  <c r="Q17" i="86" s="1"/>
  <c r="K17" i="86" a="1"/>
  <c r="K17" i="86" s="1"/>
  <c r="D7" i="86" a="1"/>
  <c r="D7" i="86" s="1"/>
  <c r="D6" i="86" a="1"/>
  <c r="D6" i="86" s="1"/>
  <c r="D5" i="86" a="1"/>
  <c r="D5" i="86" s="1"/>
  <c r="F99" i="85" a="1"/>
  <c r="F99" i="85" s="1"/>
  <c r="D96" i="85" a="1"/>
  <c r="D96" i="85" s="1"/>
  <c r="H89" i="85" a="1"/>
  <c r="H89" i="85" s="1"/>
  <c r="D89" i="85" a="1"/>
  <c r="D89" i="85" s="1"/>
  <c r="E87" i="85" a="1"/>
  <c r="E87" i="85" s="1"/>
  <c r="F94" i="85" s="1"/>
  <c r="E86" i="85" a="1"/>
  <c r="E86" i="85" s="1"/>
  <c r="D82" i="85" a="1"/>
  <c r="D82" i="85" s="1"/>
  <c r="D81" i="85" a="1"/>
  <c r="D81" i="85" s="1"/>
  <c r="D67" i="85"/>
  <c r="D66" i="85"/>
  <c r="D65" i="85"/>
  <c r="I59" i="85"/>
  <c r="I58" i="85"/>
  <c r="I55" i="85" a="1"/>
  <c r="I55" i="85" s="1"/>
  <c r="G55" i="85" a="1"/>
  <c r="G55" i="85" s="1"/>
  <c r="D55" i="85" a="1"/>
  <c r="D55" i="85" s="1"/>
  <c r="E53" i="85" a="1"/>
  <c r="E53" i="85" s="1"/>
  <c r="F77" i="85" s="1"/>
  <c r="E52" i="85" a="1"/>
  <c r="E52" i="85" s="1"/>
  <c r="D48" i="85" a="1"/>
  <c r="D48" i="85" s="1"/>
  <c r="D47" i="85" a="1"/>
  <c r="D47" i="85" s="1"/>
  <c r="I17" i="85"/>
  <c r="I16" i="85"/>
  <c r="I13" i="85" a="1"/>
  <c r="I13" i="85" s="1"/>
  <c r="G13" i="85" a="1"/>
  <c r="G13" i="85" s="1"/>
  <c r="D13" i="85" a="1"/>
  <c r="D13" i="85" s="1"/>
  <c r="E11" i="85" a="1"/>
  <c r="E11" i="85" s="1"/>
  <c r="F43" i="85" s="1"/>
  <c r="E10" i="85" a="1"/>
  <c r="E10" i="85" s="1"/>
  <c r="D6" i="85" a="1"/>
  <c r="D6" i="85" s="1"/>
  <c r="D5" i="85" a="1"/>
  <c r="D5" i="85" s="1"/>
  <c r="F151" i="84" a="1"/>
  <c r="F151" i="84" s="1"/>
  <c r="D148" i="84" a="1"/>
  <c r="D148" i="84" s="1"/>
  <c r="I127" i="84"/>
  <c r="I124" i="84" a="1"/>
  <c r="I124" i="84" s="1"/>
  <c r="G124" i="84" a="1"/>
  <c r="G124" i="84" s="1"/>
  <c r="D124" i="84" a="1"/>
  <c r="D124" i="84" s="1"/>
  <c r="E122" i="84" a="1"/>
  <c r="E122" i="84" s="1"/>
  <c r="F146" i="84" s="1"/>
  <c r="E121" i="84" a="1"/>
  <c r="E121" i="84" s="1"/>
  <c r="D117" i="84" a="1"/>
  <c r="D117" i="84" s="1"/>
  <c r="D116" i="84" a="1"/>
  <c r="D116" i="84" s="1"/>
  <c r="I96" i="84" a="1"/>
  <c r="I96" i="84" s="1"/>
  <c r="G96" i="84" a="1"/>
  <c r="G96" i="84" s="1"/>
  <c r="D96" i="84" a="1"/>
  <c r="D96" i="84" s="1"/>
  <c r="E94" i="84" a="1"/>
  <c r="E94" i="84" s="1"/>
  <c r="G102" i="84" s="1"/>
  <c r="E93" i="84" a="1"/>
  <c r="E93" i="84" s="1"/>
  <c r="D89" i="84" a="1"/>
  <c r="D89" i="84" s="1"/>
  <c r="D88" i="84" a="1"/>
  <c r="D88" i="84" s="1"/>
  <c r="F84" i="84" a="1"/>
  <c r="F84" i="84" s="1"/>
  <c r="D81" i="84" a="1"/>
  <c r="D81" i="84" s="1"/>
  <c r="J52" i="84"/>
  <c r="J49" i="84" a="1"/>
  <c r="J49" i="84" s="1"/>
  <c r="H49" i="84" a="1"/>
  <c r="H49" i="84" s="1"/>
  <c r="D49" i="84" a="1"/>
  <c r="D49" i="84" s="1"/>
  <c r="E47" i="84" a="1"/>
  <c r="E47" i="84" s="1"/>
  <c r="F79" i="84" s="1"/>
  <c r="E46" i="84" a="1"/>
  <c r="E46" i="84" s="1"/>
  <c r="D42" i="84" a="1"/>
  <c r="D42" i="84" s="1"/>
  <c r="D41" i="84" a="1"/>
  <c r="D41" i="84" s="1"/>
  <c r="I14" i="84" a="1"/>
  <c r="I14" i="84" s="1"/>
  <c r="I13" i="84" a="1"/>
  <c r="I13" i="84" s="1"/>
  <c r="G13" i="84" a="1"/>
  <c r="G13" i="84" s="1"/>
  <c r="D13" i="84" a="1"/>
  <c r="D13" i="84" s="1"/>
  <c r="E11" i="84" a="1"/>
  <c r="E11" i="84" s="1"/>
  <c r="E10" i="84" a="1"/>
  <c r="E10" i="84" s="1"/>
  <c r="D6" i="84" a="1"/>
  <c r="D6" i="84" s="1"/>
  <c r="D5" i="84" a="1"/>
  <c r="D5" i="84" s="1"/>
  <c r="I17" i="83" a="1"/>
  <c r="I17" i="83" s="1"/>
  <c r="I14" i="83" a="1"/>
  <c r="I14" i="83" s="1"/>
  <c r="I13" i="83" a="1"/>
  <c r="I13" i="83" s="1"/>
  <c r="G13" i="83" a="1"/>
  <c r="G13" i="83" s="1"/>
  <c r="D13" i="83" a="1"/>
  <c r="D13" i="83" s="1"/>
  <c r="E11" i="83" a="1"/>
  <c r="E11" i="83" s="1"/>
  <c r="E10" i="83" a="1"/>
  <c r="E10" i="83" s="1"/>
  <c r="D6" i="83" a="1"/>
  <c r="D6" i="83" s="1"/>
  <c r="D5" i="83" a="1"/>
  <c r="D5" i="83" s="1"/>
  <c r="F55" i="82" a="1"/>
  <c r="F55" i="82" s="1"/>
  <c r="D52" i="82" a="1"/>
  <c r="D52" i="82" s="1"/>
  <c r="K47" i="82"/>
  <c r="I44" i="82" a="1"/>
  <c r="I44" i="82" s="1"/>
  <c r="D44" i="82" a="1"/>
  <c r="D44" i="82" s="1"/>
  <c r="E42" i="82" a="1"/>
  <c r="E42" i="82" s="1"/>
  <c r="F50" i="82" s="1"/>
  <c r="E41" i="82" a="1"/>
  <c r="E41" i="82" s="1"/>
  <c r="D37" i="82" a="1"/>
  <c r="D37" i="82" s="1"/>
  <c r="D36" i="82" a="1"/>
  <c r="D36" i="82" s="1"/>
  <c r="I30" i="82" a="1"/>
  <c r="I30" i="82" s="1"/>
  <c r="I29" i="82" a="1"/>
  <c r="I29" i="82" s="1"/>
  <c r="I28" i="82" a="1"/>
  <c r="I28" i="82" s="1"/>
  <c r="E110" i="84" s="1"/>
  <c r="I27" i="82" a="1"/>
  <c r="I27" i="82" s="1"/>
  <c r="I26" i="82" a="1"/>
  <c r="I26" i="82" s="1"/>
  <c r="I25" i="82" a="1"/>
  <c r="I25" i="82" s="1"/>
  <c r="I24" i="82" a="1"/>
  <c r="I24" i="82" s="1"/>
  <c r="I23" i="82" a="1"/>
  <c r="I23" i="82" s="1"/>
  <c r="I15" i="82" a="1"/>
  <c r="I15" i="82" s="1"/>
  <c r="I14" i="82" a="1"/>
  <c r="I14" i="82" s="1"/>
  <c r="I13" i="82" a="1"/>
  <c r="I13" i="82" s="1"/>
  <c r="G13" i="82" a="1"/>
  <c r="G13" i="82" s="1"/>
  <c r="D13" i="82" a="1"/>
  <c r="D13" i="82" s="1"/>
  <c r="E11" i="82" a="1"/>
  <c r="E11" i="82" s="1"/>
  <c r="F32" i="82" s="1"/>
  <c r="E10" i="82" a="1"/>
  <c r="E10" i="82" s="1"/>
  <c r="D6" i="82" a="1"/>
  <c r="D6" i="82" s="1"/>
  <c r="D5" i="82" a="1"/>
  <c r="D5" i="82" s="1"/>
  <c r="I53" i="81" a="1"/>
  <c r="I53" i="81" s="1"/>
  <c r="I52" i="81"/>
  <c r="I49" i="81" a="1"/>
  <c r="I49" i="81" s="1"/>
  <c r="G49" i="81" a="1"/>
  <c r="G49" i="81" s="1"/>
  <c r="D49" i="81" a="1"/>
  <c r="D49" i="81" s="1"/>
  <c r="E47" i="81" a="1"/>
  <c r="E47" i="81" s="1"/>
  <c r="E46" i="81" a="1"/>
  <c r="E46" i="81" s="1"/>
  <c r="D42" i="81" a="1"/>
  <c r="D42" i="81" s="1"/>
  <c r="D41" i="81" a="1"/>
  <c r="D41" i="81" s="1"/>
  <c r="I14" i="81" a="1"/>
  <c r="I14" i="81" s="1"/>
  <c r="I13" i="81" a="1"/>
  <c r="I13" i="81" s="1"/>
  <c r="G13" i="81" a="1"/>
  <c r="G13" i="81" s="1"/>
  <c r="D13" i="81" a="1"/>
  <c r="D13" i="81" s="1"/>
  <c r="E11" i="81" a="1"/>
  <c r="E11" i="81" s="1"/>
  <c r="E10" i="81" a="1"/>
  <c r="E10" i="81" s="1"/>
  <c r="D6" i="81" a="1"/>
  <c r="D6" i="81" s="1"/>
  <c r="D5" i="81" a="1"/>
  <c r="D5" i="81" s="1"/>
  <c r="O113" i="80" a="1"/>
  <c r="O113" i="80" s="1"/>
  <c r="M110" i="80" a="1"/>
  <c r="M110" i="80" s="1"/>
  <c r="F85" i="80" a="1"/>
  <c r="F85" i="80" s="1"/>
  <c r="D82" i="80" a="1"/>
  <c r="D82" i="80" s="1"/>
  <c r="S80" i="80"/>
  <c r="S77" i="80" a="1"/>
  <c r="S77" i="80" s="1"/>
  <c r="Q77" i="80" a="1"/>
  <c r="Q77" i="80" s="1"/>
  <c r="M77" i="80" a="1"/>
  <c r="M77" i="80" s="1"/>
  <c r="N75" i="80" a="1"/>
  <c r="N75" i="80" s="1"/>
  <c r="N74" i="80" a="1"/>
  <c r="N74" i="80" s="1"/>
  <c r="M69" i="80" a="1"/>
  <c r="M69" i="80" s="1"/>
  <c r="M68" i="80" a="1"/>
  <c r="M68" i="80" s="1"/>
  <c r="I53" i="80"/>
  <c r="I52" i="80"/>
  <c r="I49" i="80" a="1"/>
  <c r="I49" i="80" s="1"/>
  <c r="G49" i="80" a="1"/>
  <c r="G49" i="80" s="1"/>
  <c r="D49" i="80" a="1"/>
  <c r="D49" i="80" s="1"/>
  <c r="E47" i="80" a="1"/>
  <c r="E47" i="80" s="1"/>
  <c r="E46" i="80" a="1"/>
  <c r="E46" i="80" s="1"/>
  <c r="D41" i="80" a="1"/>
  <c r="D41" i="80" s="1"/>
  <c r="D40" i="80" a="1"/>
  <c r="D40" i="80" s="1"/>
  <c r="R35" i="80" a="1"/>
  <c r="R35" i="80" s="1"/>
  <c r="P35" i="80" a="1"/>
  <c r="P35" i="80" s="1"/>
  <c r="M35" i="80" a="1"/>
  <c r="M35" i="80" s="1"/>
  <c r="N33" i="80" a="1"/>
  <c r="N33" i="80" s="1"/>
  <c r="V43" i="80" s="1"/>
  <c r="N32" i="80" a="1"/>
  <c r="N32" i="80" s="1"/>
  <c r="V44" i="80" s="1"/>
  <c r="M28" i="80" a="1"/>
  <c r="M28" i="80" s="1"/>
  <c r="M27" i="80" a="1"/>
  <c r="M27" i="80" s="1"/>
  <c r="R23" i="80" a="1"/>
  <c r="R23" i="80" s="1"/>
  <c r="P23" i="80" a="1"/>
  <c r="P23" i="80" s="1"/>
  <c r="M23" i="80" a="1"/>
  <c r="M23" i="80" s="1"/>
  <c r="N21" i="80" a="1"/>
  <c r="N21" i="80" s="1"/>
  <c r="S43" i="80" s="1"/>
  <c r="N20" i="80" a="1"/>
  <c r="N20" i="80" s="1"/>
  <c r="S44" i="80" s="1"/>
  <c r="M17" i="80" a="1"/>
  <c r="M17" i="80" s="1"/>
  <c r="M16" i="80" a="1"/>
  <c r="M16" i="80" s="1"/>
  <c r="I14" i="80" a="1"/>
  <c r="I14" i="80" s="1"/>
  <c r="I13" i="80" a="1"/>
  <c r="I13" i="80" s="1"/>
  <c r="G13" i="80" a="1"/>
  <c r="G13" i="80" s="1"/>
  <c r="D13" i="80" a="1"/>
  <c r="D13" i="80" s="1"/>
  <c r="R12" i="80" a="1"/>
  <c r="R12" i="80" s="1"/>
  <c r="P12" i="80" a="1"/>
  <c r="P12" i="80" s="1"/>
  <c r="M12" i="80" a="1"/>
  <c r="M12" i="80" s="1"/>
  <c r="E11" i="80" a="1"/>
  <c r="E11" i="80" s="1"/>
  <c r="N10" i="80" a="1"/>
  <c r="N10" i="80" s="1"/>
  <c r="R43" i="80" s="1"/>
  <c r="E10" i="80" a="1"/>
  <c r="E10" i="80" s="1"/>
  <c r="N9" i="80" a="1"/>
  <c r="N9" i="80" s="1"/>
  <c r="R44" i="80" s="1"/>
  <c r="M6" i="80" a="1"/>
  <c r="M6" i="80" s="1"/>
  <c r="D6" i="80" a="1"/>
  <c r="D6" i="80" s="1"/>
  <c r="M5" i="80" a="1"/>
  <c r="M5" i="80" s="1"/>
  <c r="D5" i="80" a="1"/>
  <c r="D5" i="80" s="1"/>
  <c r="G56" i="79"/>
  <c r="G55" i="79"/>
  <c r="G54" i="79"/>
  <c r="K44" i="79"/>
  <c r="K43" i="79"/>
  <c r="K42" i="79"/>
  <c r="E49" i="13"/>
  <c r="E48" i="13"/>
  <c r="E47" i="13"/>
  <c r="F38" i="13"/>
  <c r="E38" i="13"/>
  <c r="F37" i="13"/>
  <c r="E37" i="13"/>
  <c r="F36" i="13"/>
  <c r="E36" i="13"/>
  <c r="E561" i="106" a="1"/>
  <c r="E508" i="106"/>
  <c r="L8" i="92" a="1"/>
  <c r="E38" i="82" a="1"/>
  <c r="E418" i="106" a="1"/>
  <c r="E7" i="91" a="1"/>
  <c r="E43" i="81" a="1"/>
  <c r="E26" i="107" a="1"/>
  <c r="E355" i="106" a="1"/>
  <c r="E7" i="99" a="1"/>
  <c r="E7" i="85" a="1"/>
  <c r="E7" i="80" a="1"/>
  <c r="O61" i="107" a="1"/>
  <c r="E385" i="106" a="1"/>
  <c r="N26" i="98" a="1"/>
  <c r="E83" i="85"/>
  <c r="E61" i="107" a="1"/>
  <c r="E90" i="84" a="1"/>
  <c r="E79" i="107"/>
  <c r="E203" i="106" a="1"/>
  <c r="N49" i="98"/>
  <c r="E7" i="84" a="1"/>
  <c r="E290" i="106" a="1"/>
  <c r="E151" i="106" a="1"/>
  <c r="E7" i="92" a="1"/>
  <c r="E7" i="82" a="1"/>
  <c r="O26" i="107" a="1"/>
  <c r="E50" i="100"/>
  <c r="E42" i="107"/>
  <c r="E188" i="106" a="1"/>
  <c r="E118" i="84" a="1"/>
  <c r="E523" i="106"/>
  <c r="E27" i="100"/>
  <c r="L7" i="91" a="1"/>
  <c r="E7" i="81" a="1"/>
  <c r="E258" i="106" a="1"/>
  <c r="E49" i="85" a="1"/>
  <c r="O42" i="107"/>
  <c r="E323" i="106" a="1"/>
  <c r="E30" i="98"/>
  <c r="E43" i="84" a="1"/>
  <c r="O7" i="107"/>
  <c r="E540" i="106"/>
  <c r="E7" i="100" a="1"/>
  <c r="E8" i="88"/>
  <c r="E42" i="80" a="1"/>
  <c r="E7" i="107"/>
  <c r="E7" i="106" a="1"/>
  <c r="E30" i="99" a="1"/>
  <c r="E25" i="88"/>
  <c r="N70" i="80" a="1"/>
  <c r="E7" i="95" a="1"/>
  <c r="O79" i="107"/>
  <c r="N7" i="98" a="1"/>
  <c r="E100" i="106" a="1"/>
  <c r="E7" i="98" a="1"/>
  <c r="E594" i="106" a="1"/>
  <c r="E174" i="106" a="1"/>
  <c r="E99" i="95" a="1"/>
  <c r="E7" i="83" a="1"/>
  <c r="I14" i="98" l="1"/>
  <c r="I14" i="100"/>
  <c r="Q17" i="98"/>
  <c r="E19" i="97"/>
  <c r="E107" i="84"/>
  <c r="E70" i="85"/>
  <c r="G194" i="108"/>
  <c r="G197" i="108"/>
  <c r="G196" i="108"/>
  <c r="G195" i="108"/>
  <c r="E27" i="92"/>
  <c r="E34" i="92"/>
  <c r="E36" i="92"/>
  <c r="E29" i="92"/>
  <c r="M37" i="91" a="1"/>
  <c r="M37" i="91" s="1"/>
  <c r="L37" i="91" a="1"/>
  <c r="L37" i="91" s="1"/>
  <c r="M36" i="92" a="1"/>
  <c r="M36" i="92" s="1"/>
  <c r="L36" i="92" a="1"/>
  <c r="L36" i="92" s="1"/>
  <c r="H12" i="79"/>
  <c r="J13" i="79" a="1"/>
  <c r="J13" i="79" s="1"/>
  <c r="H14" i="79"/>
  <c r="F15" i="79"/>
  <c r="H16" i="79"/>
  <c r="H17" i="79"/>
  <c r="F18" i="79"/>
  <c r="F19" i="79"/>
  <c r="H20" i="79"/>
  <c r="O21" i="79" a="1"/>
  <c r="O21" i="79" s="1"/>
  <c r="J40" i="92"/>
  <c r="I40" i="92"/>
  <c r="H40" i="92"/>
  <c r="G40" i="92"/>
  <c r="M26" i="92" a="1"/>
  <c r="M26" i="92" s="1"/>
  <c r="M29" i="91" a="1"/>
  <c r="M29" i="91" s="1"/>
  <c r="L29" i="91" a="1"/>
  <c r="L29" i="91" s="1"/>
  <c r="N29" i="91" s="1" a="1"/>
  <c r="N29" i="91" s="1"/>
  <c r="J165" i="95" a="1"/>
  <c r="J165" i="95" s="1"/>
  <c r="J132" i="95" a="1"/>
  <c r="J132" i="95" s="1"/>
  <c r="J157" i="95" a="1"/>
  <c r="J157" i="95" s="1"/>
  <c r="D116" i="95" a="1"/>
  <c r="D116" i="95" s="1"/>
  <c r="J116" i="95" s="1" a="1"/>
  <c r="J116" i="95" s="1"/>
  <c r="D21" i="95" a="1"/>
  <c r="J178" i="95" a="1"/>
  <c r="J178" i="95" s="1"/>
  <c r="D157" i="95" a="1"/>
  <c r="D157" i="95" s="1"/>
  <c r="J120" i="95" a="1"/>
  <c r="J120" i="95" s="1"/>
  <c r="J177" i="95" a="1"/>
  <c r="J177" i="95" s="1"/>
  <c r="J168" i="95" a="1"/>
  <c r="J168" i="95" s="1"/>
  <c r="J118" i="95" a="1"/>
  <c r="J118" i="95" s="1"/>
  <c r="J160" i="95" a="1"/>
  <c r="J160" i="95" s="1"/>
  <c r="D59" i="95" a="1"/>
  <c r="J144" i="95" a="1"/>
  <c r="J144" i="95" s="1"/>
  <c r="I530" i="106" a="1"/>
  <c r="I530" i="106" s="1"/>
  <c r="J87" i="107"/>
  <c r="G430" i="106" a="1"/>
  <c r="G430" i="106" s="1"/>
  <c r="G438" i="106" a="1"/>
  <c r="G438" i="106" s="1"/>
  <c r="G437" i="106" a="1"/>
  <c r="G437" i="106" s="1"/>
  <c r="K12" i="79" a="1"/>
  <c r="K12" i="79" s="1"/>
  <c r="K13" i="79" a="1"/>
  <c r="K13" i="79" s="1"/>
  <c r="J14" i="79" a="1"/>
  <c r="J14" i="79" s="1"/>
  <c r="J15" i="79" a="1"/>
  <c r="J15" i="79" s="1"/>
  <c r="K16" i="79" a="1"/>
  <c r="K16" i="79" s="1"/>
  <c r="J17" i="79" a="1"/>
  <c r="J17" i="79" s="1"/>
  <c r="H18" i="79"/>
  <c r="H19" i="79"/>
  <c r="J20" i="79" a="1"/>
  <c r="J20" i="79" s="1"/>
  <c r="U21" i="79" a="1"/>
  <c r="U21" i="79" s="1"/>
  <c r="K39" i="92" a="1"/>
  <c r="K39" i="92" s="1"/>
  <c r="G39" i="91" a="1"/>
  <c r="G39" i="91" s="1"/>
  <c r="G36" i="91" a="1"/>
  <c r="G36" i="91" s="1"/>
  <c r="K34" i="91" a="1"/>
  <c r="K34" i="91" s="1"/>
  <c r="G30" i="91" a="1"/>
  <c r="G30" i="91" s="1"/>
  <c r="K28" i="91" a="1"/>
  <c r="K28" i="91" s="1"/>
  <c r="J34" i="91" a="1"/>
  <c r="J34" i="91" s="1"/>
  <c r="K31" i="91" a="1"/>
  <c r="K31" i="91" s="1"/>
  <c r="J28" i="91" a="1"/>
  <c r="J28" i="91" s="1"/>
  <c r="I34" i="91" a="1"/>
  <c r="I34" i="91" s="1"/>
  <c r="J31" i="91" a="1"/>
  <c r="J31" i="91" s="1"/>
  <c r="I28" i="91" a="1"/>
  <c r="I28" i="91" s="1"/>
  <c r="H25" i="91" a="1"/>
  <c r="H25" i="91" s="1"/>
  <c r="H34" i="91" a="1"/>
  <c r="H34" i="91" s="1"/>
  <c r="I31" i="91" a="1"/>
  <c r="I31" i="91" s="1"/>
  <c r="H28" i="91" a="1"/>
  <c r="H28" i="91" s="1"/>
  <c r="G37" i="91" a="1"/>
  <c r="G37" i="91" s="1"/>
  <c r="G34" i="91" a="1"/>
  <c r="G34" i="91" s="1"/>
  <c r="H31" i="91" a="1"/>
  <c r="H31" i="91" s="1"/>
  <c r="G28" i="91" a="1"/>
  <c r="G28" i="91" s="1"/>
  <c r="K35" i="91" a="1"/>
  <c r="K35" i="91" s="1"/>
  <c r="G31" i="91" a="1"/>
  <c r="G31" i="91" s="1"/>
  <c r="K29" i="91" a="1"/>
  <c r="K29" i="91" s="1"/>
  <c r="E25" i="91"/>
  <c r="J25" i="91" s="1" a="1"/>
  <c r="J25" i="91" s="1"/>
  <c r="E37" i="91"/>
  <c r="H37" i="91" s="1" a="1"/>
  <c r="H37" i="91" s="1"/>
  <c r="N37" i="91" s="1" a="1"/>
  <c r="N37" i="91" s="1"/>
  <c r="J35" i="91" a="1"/>
  <c r="J35" i="91" s="1"/>
  <c r="K32" i="91" a="1"/>
  <c r="K32" i="91" s="1"/>
  <c r="J29" i="91" a="1"/>
  <c r="J29" i="91" s="1"/>
  <c r="H35" i="91" a="1"/>
  <c r="H35" i="91" s="1"/>
  <c r="I32" i="91" a="1"/>
  <c r="I32" i="91" s="1"/>
  <c r="H29" i="91" a="1"/>
  <c r="H29" i="91" s="1"/>
  <c r="G35" i="91" a="1"/>
  <c r="G35" i="91" s="1"/>
  <c r="H32" i="91" a="1"/>
  <c r="H32" i="91" s="1"/>
  <c r="G29" i="91" a="1"/>
  <c r="G29" i="91" s="1"/>
  <c r="K27" i="91" a="1"/>
  <c r="K27" i="91" s="1"/>
  <c r="K39" i="91" a="1"/>
  <c r="K39" i="91" s="1"/>
  <c r="K36" i="91" a="1"/>
  <c r="K36" i="91" s="1"/>
  <c r="G32" i="91" a="1"/>
  <c r="G32" i="91" s="1"/>
  <c r="K30" i="91" a="1"/>
  <c r="K30" i="91" s="1"/>
  <c r="J27" i="91" a="1"/>
  <c r="J27" i="91" s="1"/>
  <c r="J39" i="91" a="1"/>
  <c r="J39" i="91" s="1"/>
  <c r="J36" i="91" a="1"/>
  <c r="J36" i="91" s="1"/>
  <c r="J30" i="91" a="1"/>
  <c r="J30" i="91" s="1"/>
  <c r="I27" i="91" a="1"/>
  <c r="I27" i="91" s="1"/>
  <c r="I39" i="91" a="1"/>
  <c r="I39" i="91" s="1"/>
  <c r="I36" i="91" a="1"/>
  <c r="I36" i="91" s="1"/>
  <c r="I30" i="91" a="1"/>
  <c r="I30" i="91" s="1"/>
  <c r="H27" i="91" a="1"/>
  <c r="H27" i="91" s="1"/>
  <c r="H39" i="91" a="1"/>
  <c r="H39" i="91" s="1"/>
  <c r="H36" i="91" a="1"/>
  <c r="H36" i="91" s="1"/>
  <c r="H30" i="91" a="1"/>
  <c r="H30" i="91" s="1"/>
  <c r="G27" i="91" a="1"/>
  <c r="G27" i="91" s="1"/>
  <c r="M33" i="92" a="1"/>
  <c r="M33" i="92" s="1"/>
  <c r="M30" i="92" a="1"/>
  <c r="M30" i="92" s="1"/>
  <c r="I17" i="96"/>
  <c r="E116" i="95" a="1"/>
  <c r="E116" i="95" s="1"/>
  <c r="E21" i="95" a="1"/>
  <c r="E157" i="95" a="1"/>
  <c r="E157" i="95" s="1"/>
  <c r="E59" i="95" a="1"/>
  <c r="I15" i="98" a="1"/>
  <c r="I15" i="98" s="1"/>
  <c r="I20" i="98" a="1"/>
  <c r="I20" i="98" s="1"/>
  <c r="I19" i="98" a="1"/>
  <c r="I19" i="98" s="1"/>
  <c r="I18" i="98" a="1"/>
  <c r="I18" i="98" s="1"/>
  <c r="K90" i="108"/>
  <c r="M89" i="108" s="1"/>
  <c r="AB126" i="106" a="1"/>
  <c r="AB126" i="106" s="1"/>
  <c r="T123" i="106" a="1"/>
  <c r="T123" i="106" s="1"/>
  <c r="AB119" i="106" a="1"/>
  <c r="AB119" i="106" s="1"/>
  <c r="X126" i="106" a="1"/>
  <c r="X126" i="106" s="1"/>
  <c r="P123" i="106" a="1"/>
  <c r="P123" i="106" s="1"/>
  <c r="X119" i="106" a="1"/>
  <c r="X119" i="106" s="1"/>
  <c r="T126" i="106" a="1"/>
  <c r="T126" i="106" s="1"/>
  <c r="AB122" i="106" a="1"/>
  <c r="AB122" i="106" s="1"/>
  <c r="T119" i="106" a="1"/>
  <c r="T119" i="106" s="1"/>
  <c r="P126" i="106" a="1"/>
  <c r="P126" i="106" s="1"/>
  <c r="X122" i="106" a="1"/>
  <c r="X122" i="106" s="1"/>
  <c r="P119" i="106" a="1"/>
  <c r="P119" i="106" s="1"/>
  <c r="AB125" i="106" a="1"/>
  <c r="AB125" i="106" s="1"/>
  <c r="T122" i="106" a="1"/>
  <c r="T122" i="106" s="1"/>
  <c r="X125" i="106" a="1"/>
  <c r="X125" i="106" s="1"/>
  <c r="P122" i="106" a="1"/>
  <c r="P122" i="106" s="1"/>
  <c r="AB128" i="106" a="1"/>
  <c r="AB128" i="106" s="1"/>
  <c r="T125" i="106" a="1"/>
  <c r="T125" i="106" s="1"/>
  <c r="AB121" i="106" a="1"/>
  <c r="AB121" i="106" s="1"/>
  <c r="F121" i="106" s="1"/>
  <c r="G121" i="106" s="1" a="1"/>
  <c r="G121" i="106" s="1"/>
  <c r="X128" i="106" a="1"/>
  <c r="X128" i="106" s="1"/>
  <c r="P125" i="106" a="1"/>
  <c r="P125" i="106" s="1"/>
  <c r="X121" i="106" a="1"/>
  <c r="X121" i="106" s="1"/>
  <c r="T128" i="106" a="1"/>
  <c r="T128" i="106" s="1"/>
  <c r="AB124" i="106" a="1"/>
  <c r="AB124" i="106" s="1"/>
  <c r="T121" i="106" a="1"/>
  <c r="T121" i="106" s="1"/>
  <c r="P128" i="106" a="1"/>
  <c r="P128" i="106" s="1"/>
  <c r="X124" i="106" a="1"/>
  <c r="X124" i="106" s="1"/>
  <c r="P121" i="106" a="1"/>
  <c r="P121" i="106" s="1"/>
  <c r="AB127" i="106" a="1"/>
  <c r="AB127" i="106" s="1"/>
  <c r="T124" i="106" a="1"/>
  <c r="T124" i="106" s="1"/>
  <c r="AB120" i="106" a="1"/>
  <c r="AB120" i="106" s="1"/>
  <c r="F120" i="106" s="1"/>
  <c r="G120" i="106" s="1" a="1"/>
  <c r="G120" i="106" s="1"/>
  <c r="X127" i="106" a="1"/>
  <c r="X127" i="106" s="1"/>
  <c r="P124" i="106" a="1"/>
  <c r="P124" i="106" s="1"/>
  <c r="X120" i="106" a="1"/>
  <c r="X120" i="106" s="1"/>
  <c r="T127" i="106" a="1"/>
  <c r="T127" i="106" s="1"/>
  <c r="AB123" i="106" a="1"/>
  <c r="AB123" i="106" s="1"/>
  <c r="T120" i="106" a="1"/>
  <c r="T120" i="106" s="1"/>
  <c r="P127" i="106" a="1"/>
  <c r="P127" i="106" s="1"/>
  <c r="X123" i="106" a="1"/>
  <c r="X123" i="106" s="1"/>
  <c r="P120" i="106" a="1"/>
  <c r="P120" i="106" s="1"/>
  <c r="M12" i="79" a="1"/>
  <c r="M12" i="79" s="1"/>
  <c r="L13" i="79" a="1"/>
  <c r="L13" i="79" s="1"/>
  <c r="K14" i="79" a="1"/>
  <c r="K14" i="79" s="1"/>
  <c r="K15" i="79" a="1"/>
  <c r="K15" i="79" s="1"/>
  <c r="L16" i="79" a="1"/>
  <c r="L16" i="79" s="1"/>
  <c r="K17" i="79" a="1"/>
  <c r="K17" i="79" s="1"/>
  <c r="J18" i="79" a="1"/>
  <c r="J18" i="79" s="1"/>
  <c r="K19" i="79" a="1"/>
  <c r="K19" i="79" s="1"/>
  <c r="K20" i="79" a="1"/>
  <c r="K20" i="79" s="1"/>
  <c r="M35" i="91" a="1"/>
  <c r="M35" i="91" s="1"/>
  <c r="L35" i="91" a="1"/>
  <c r="L35" i="91" s="1"/>
  <c r="M37" i="92" a="1"/>
  <c r="M37" i="92" s="1"/>
  <c r="I25" i="106" a="1"/>
  <c r="I25" i="106" s="1"/>
  <c r="I24" i="106" a="1"/>
  <c r="I24" i="106" s="1"/>
  <c r="I23" i="106" a="1"/>
  <c r="I23" i="106" s="1"/>
  <c r="E76" i="106" a="1"/>
  <c r="E76" i="106" s="1"/>
  <c r="E58" i="106" a="1"/>
  <c r="E58" i="106" s="1"/>
  <c r="J67" i="106" s="1" a="1"/>
  <c r="J67" i="106" s="1"/>
  <c r="E39" i="106" a="1"/>
  <c r="E39" i="106" s="1"/>
  <c r="I32" i="106" a="1"/>
  <c r="I32" i="106" s="1"/>
  <c r="J32" i="106" s="1" a="1"/>
  <c r="J32" i="106" s="1"/>
  <c r="I31" i="106" a="1"/>
  <c r="I31" i="106" s="1"/>
  <c r="I30" i="106" a="1"/>
  <c r="I30" i="106" s="1"/>
  <c r="I29" i="106" a="1"/>
  <c r="I29" i="106" s="1"/>
  <c r="I28" i="106" a="1"/>
  <c r="I28" i="106" s="1"/>
  <c r="M28" i="106" s="1" a="1"/>
  <c r="M28" i="106" s="1"/>
  <c r="I27" i="106" a="1"/>
  <c r="I27" i="106" s="1"/>
  <c r="I26" i="106" a="1"/>
  <c r="I26" i="106" s="1"/>
  <c r="N12" i="79" a="1"/>
  <c r="N12" i="79" s="1"/>
  <c r="M13" i="79" a="1"/>
  <c r="M13" i="79" s="1"/>
  <c r="L14" i="79" a="1"/>
  <c r="L14" i="79" s="1"/>
  <c r="M15" i="79" a="1"/>
  <c r="M15" i="79" s="1"/>
  <c r="M16" i="79" a="1"/>
  <c r="M16" i="79" s="1"/>
  <c r="L17" i="79" a="1"/>
  <c r="L17" i="79" s="1"/>
  <c r="L18" i="79" a="1"/>
  <c r="L18" i="79" s="1"/>
  <c r="M19" i="79" a="1"/>
  <c r="M19" i="79" s="1"/>
  <c r="L20" i="79" a="1"/>
  <c r="L20" i="79" s="1"/>
  <c r="P28" i="79"/>
  <c r="M26" i="91" a="1"/>
  <c r="M26" i="91" s="1"/>
  <c r="M30" i="91" a="1"/>
  <c r="M30" i="91" s="1"/>
  <c r="O12" i="79" a="1"/>
  <c r="O12" i="79" s="1"/>
  <c r="N13" i="79" a="1"/>
  <c r="N13" i="79" s="1"/>
  <c r="N14" i="79" a="1"/>
  <c r="N14" i="79" s="1"/>
  <c r="O15" i="79" a="1"/>
  <c r="O15" i="79" s="1"/>
  <c r="N16" i="79" a="1"/>
  <c r="N16" i="79" s="1"/>
  <c r="M17" i="79" a="1"/>
  <c r="M17" i="79" s="1"/>
  <c r="M18" i="79" a="1"/>
  <c r="M18" i="79" s="1"/>
  <c r="N19" i="79" a="1"/>
  <c r="N19" i="79" s="1"/>
  <c r="M20" i="79" a="1"/>
  <c r="M20" i="79" s="1"/>
  <c r="M38" i="91" a="1"/>
  <c r="M38" i="91" s="1"/>
  <c r="L38" i="91" a="1"/>
  <c r="L38" i="91" s="1"/>
  <c r="M31" i="92" a="1"/>
  <c r="M31" i="92" s="1"/>
  <c r="L31" i="92" a="1"/>
  <c r="L31" i="92" s="1"/>
  <c r="G455" i="106" a="1"/>
  <c r="G455" i="106" s="1"/>
  <c r="G454" i="106" a="1"/>
  <c r="G454" i="106" s="1"/>
  <c r="G453" i="106" a="1"/>
  <c r="G453" i="106" s="1"/>
  <c r="G452" i="106" a="1"/>
  <c r="G452" i="106" s="1"/>
  <c r="H452" i="106" s="1" a="1"/>
  <c r="H452" i="106" s="1"/>
  <c r="G451" i="106" a="1"/>
  <c r="G451" i="106" s="1"/>
  <c r="G450" i="106" a="1"/>
  <c r="G450" i="106" s="1"/>
  <c r="H450" i="106" s="1" a="1"/>
  <c r="H450" i="106" s="1"/>
  <c r="G449" i="106" a="1"/>
  <c r="G449" i="106" s="1"/>
  <c r="G448" i="106" a="1"/>
  <c r="G448" i="106" s="1"/>
  <c r="H448" i="106" s="1" a="1"/>
  <c r="H448" i="106" s="1"/>
  <c r="G457" i="106" a="1"/>
  <c r="G457" i="106" s="1"/>
  <c r="G456" i="106" a="1"/>
  <c r="G456" i="106" s="1"/>
  <c r="F466" i="106" a="1"/>
  <c r="F466" i="106" s="1"/>
  <c r="D17" i="97"/>
  <c r="P12" i="79" a="1"/>
  <c r="P12" i="79" s="1"/>
  <c r="O13" i="79" a="1"/>
  <c r="O13" i="79" s="1"/>
  <c r="O14" i="79" a="1"/>
  <c r="O14" i="79" s="1"/>
  <c r="P15" i="79" a="1"/>
  <c r="P15" i="79" s="1"/>
  <c r="O16" i="79" a="1"/>
  <c r="O16" i="79" s="1"/>
  <c r="N17" i="79" a="1"/>
  <c r="N17" i="79" s="1"/>
  <c r="O18" i="79" a="1"/>
  <c r="O18" i="79" s="1"/>
  <c r="O19" i="79" a="1"/>
  <c r="O19" i="79" s="1"/>
  <c r="N20" i="79" a="1"/>
  <c r="N20" i="79" s="1"/>
  <c r="I29" i="91" a="1"/>
  <c r="I29" i="91" s="1"/>
  <c r="E28" i="92"/>
  <c r="E35" i="92"/>
  <c r="M27" i="92" a="1"/>
  <c r="M27" i="92" s="1"/>
  <c r="L27" i="92" a="1"/>
  <c r="L27" i="92" s="1"/>
  <c r="M38" i="92" a="1"/>
  <c r="M38" i="92" s="1"/>
  <c r="L38" i="92" a="1"/>
  <c r="L38" i="92" s="1"/>
  <c r="R12" i="103"/>
  <c r="O18" i="103"/>
  <c r="F17" i="97"/>
  <c r="Q12" i="79" a="1"/>
  <c r="Q12" i="79" s="1"/>
  <c r="P13" i="79" a="1"/>
  <c r="P13" i="79" s="1"/>
  <c r="Q14" i="79" a="1"/>
  <c r="Q14" i="79" s="1"/>
  <c r="Q15" i="79" a="1"/>
  <c r="Q15" i="79" s="1"/>
  <c r="P16" i="79" a="1"/>
  <c r="P16" i="79" s="1"/>
  <c r="P17" i="79" a="1"/>
  <c r="P17" i="79" s="1"/>
  <c r="Q18" i="79" a="1"/>
  <c r="Q18" i="79" s="1"/>
  <c r="P19" i="79" a="1"/>
  <c r="P19" i="79" s="1"/>
  <c r="O20" i="79" a="1"/>
  <c r="O20" i="79" s="1"/>
  <c r="M34" i="92" a="1"/>
  <c r="M34" i="92" s="1"/>
  <c r="L34" i="92" a="1"/>
  <c r="L34" i="92" s="1"/>
  <c r="L31" i="91" a="1"/>
  <c r="L31" i="91" s="1"/>
  <c r="N31" i="91" s="1" a="1"/>
  <c r="N31" i="91" s="1"/>
  <c r="M31" i="91" a="1"/>
  <c r="M31" i="91" s="1"/>
  <c r="I58" i="100" a="1"/>
  <c r="I58" i="100" s="1"/>
  <c r="I35" i="100" a="1"/>
  <c r="I35" i="100" s="1"/>
  <c r="F163" i="106" a="1"/>
  <c r="F163" i="106" s="1"/>
  <c r="F162" i="106" a="1"/>
  <c r="F162" i="106" s="1"/>
  <c r="F164" i="106" a="1"/>
  <c r="F164" i="106" s="1"/>
  <c r="F480" i="106" a="1"/>
  <c r="F480" i="106" s="1"/>
  <c r="G480" i="106" s="1" a="1"/>
  <c r="G480" i="106" s="1"/>
  <c r="F479" i="106" a="1"/>
  <c r="F479" i="106" s="1"/>
  <c r="F481" i="106" a="1"/>
  <c r="F481" i="106" s="1"/>
  <c r="R12" i="79" a="1"/>
  <c r="R12" i="79" s="1"/>
  <c r="R13" i="79" a="1"/>
  <c r="R13" i="79" s="1"/>
  <c r="S14" i="79" a="1"/>
  <c r="S14" i="79" s="1"/>
  <c r="R15" i="79" a="1"/>
  <c r="R15" i="79" s="1"/>
  <c r="Q16" i="79" a="1"/>
  <c r="Q16" i="79" s="1"/>
  <c r="Q17" i="79" a="1"/>
  <c r="Q17" i="79" s="1"/>
  <c r="R18" i="79" a="1"/>
  <c r="R18" i="79" s="1"/>
  <c r="Q19" i="79" a="1"/>
  <c r="Q19" i="79" s="1"/>
  <c r="P20" i="79" a="1"/>
  <c r="P20" i="79" s="1"/>
  <c r="J32" i="91" a="1"/>
  <c r="J32" i="91" s="1"/>
  <c r="E30" i="92"/>
  <c r="E37" i="92"/>
  <c r="J39" i="92"/>
  <c r="I39" i="92"/>
  <c r="H39" i="92"/>
  <c r="G39" i="92"/>
  <c r="M36" i="91" a="1"/>
  <c r="M36" i="91" s="1"/>
  <c r="L36" i="91" a="1"/>
  <c r="L36" i="91" s="1"/>
  <c r="M39" i="92" a="1"/>
  <c r="M39" i="92" s="1"/>
  <c r="F22" i="97"/>
  <c r="S12" i="79" a="1"/>
  <c r="S12" i="79" s="1"/>
  <c r="S13" i="79" a="1"/>
  <c r="S13" i="79" s="1"/>
  <c r="T14" i="79" a="1"/>
  <c r="T14" i="79" s="1"/>
  <c r="S15" i="79" a="1"/>
  <c r="S15" i="79" s="1"/>
  <c r="R16" i="79" a="1"/>
  <c r="R16" i="79" s="1"/>
  <c r="S17" i="79" a="1"/>
  <c r="S17" i="79" s="1"/>
  <c r="S18" i="79" a="1"/>
  <c r="S18" i="79" s="1"/>
  <c r="R19" i="79" a="1"/>
  <c r="R19" i="79" s="1"/>
  <c r="S20" i="79" a="1"/>
  <c r="S20" i="79" s="1"/>
  <c r="E73" i="85"/>
  <c r="M25" i="92" a="1"/>
  <c r="M25" i="92" s="1"/>
  <c r="L25" i="92" a="1"/>
  <c r="L25" i="92" s="1"/>
  <c r="L27" i="91" a="1"/>
  <c r="L27" i="91" s="1"/>
  <c r="N27" i="91" s="1" a="1"/>
  <c r="N27" i="91" s="1"/>
  <c r="M32" i="91" a="1"/>
  <c r="M32" i="91" s="1"/>
  <c r="L32" i="91" a="1"/>
  <c r="L32" i="91" s="1"/>
  <c r="O35" i="107" a="1"/>
  <c r="O35" i="107" s="1"/>
  <c r="S48" i="107" s="1"/>
  <c r="F468" i="106" a="1"/>
  <c r="F468" i="106" s="1"/>
  <c r="D270" i="106" a="1"/>
  <c r="D24" i="97"/>
  <c r="T12" i="79" a="1"/>
  <c r="T12" i="79" s="1"/>
  <c r="U13" i="79" a="1"/>
  <c r="U13" i="79" s="1"/>
  <c r="U14" i="79" a="1"/>
  <c r="U14" i="79" s="1"/>
  <c r="T15" i="79" a="1"/>
  <c r="T15" i="79" s="1"/>
  <c r="T16" i="79" a="1"/>
  <c r="T16" i="79" s="1"/>
  <c r="U17" i="79" a="1"/>
  <c r="U17" i="79" s="1"/>
  <c r="T18" i="79" a="1"/>
  <c r="T18" i="79" s="1"/>
  <c r="S19" i="79" a="1"/>
  <c r="S19" i="79" s="1"/>
  <c r="U20" i="79" a="1"/>
  <c r="U20" i="79" s="1"/>
  <c r="G177" i="108"/>
  <c r="G176" i="108"/>
  <c r="G175" i="108"/>
  <c r="G174" i="108"/>
  <c r="E33" i="92"/>
  <c r="E26" i="92"/>
  <c r="E38" i="92"/>
  <c r="E31" i="92"/>
  <c r="M32" i="92" a="1"/>
  <c r="M32" i="92" s="1"/>
  <c r="L28" i="92" a="1"/>
  <c r="L28" i="92" s="1"/>
  <c r="M28" i="92" a="1"/>
  <c r="M28" i="92" s="1"/>
  <c r="M40" i="92" a="1"/>
  <c r="M40" i="92" s="1"/>
  <c r="O15" i="103"/>
  <c r="I33" i="107"/>
  <c r="D25" i="97"/>
  <c r="W13" i="79" a="1"/>
  <c r="W13" i="79" s="1"/>
  <c r="U15" i="79" a="1"/>
  <c r="U15" i="79" s="1"/>
  <c r="U16" i="79" a="1"/>
  <c r="U16" i="79" s="1"/>
  <c r="U18" i="79" a="1"/>
  <c r="U18" i="79" s="1"/>
  <c r="T19" i="79" a="1"/>
  <c r="T19" i="79" s="1"/>
  <c r="Y20" i="79"/>
  <c r="I35" i="91" a="1"/>
  <c r="I35" i="91" s="1"/>
  <c r="E74" i="85"/>
  <c r="E111" i="84"/>
  <c r="E75" i="85"/>
  <c r="E112" i="84"/>
  <c r="I177" i="108"/>
  <c r="H197" i="108"/>
  <c r="E33" i="91"/>
  <c r="G33" i="91" s="1" a="1"/>
  <c r="G33" i="91" s="1"/>
  <c r="E26" i="91"/>
  <c r="J26" i="91" s="1" a="1"/>
  <c r="J26" i="91" s="1"/>
  <c r="E38" i="91"/>
  <c r="G38" i="91" s="1" a="1"/>
  <c r="G38" i="91" s="1"/>
  <c r="M34" i="91" a="1"/>
  <c r="M34" i="91" s="1"/>
  <c r="L34" i="91" a="1"/>
  <c r="L34" i="91" s="1"/>
  <c r="O34" i="91" s="1" a="1"/>
  <c r="O34" i="91" s="1"/>
  <c r="M35" i="92" a="1"/>
  <c r="M35" i="92" s="1"/>
  <c r="R15" i="103"/>
  <c r="F139" i="106" a="1"/>
  <c r="F139" i="106" s="1"/>
  <c r="F138" i="106" a="1"/>
  <c r="F138" i="106" s="1"/>
  <c r="F137" i="106" a="1"/>
  <c r="F137" i="106" s="1"/>
  <c r="F136" i="106" a="1"/>
  <c r="F136" i="106" s="1"/>
  <c r="F467" i="106" a="1"/>
  <c r="F467" i="106" s="1"/>
  <c r="E301" i="106" a="1"/>
  <c r="E301" i="106" s="1"/>
  <c r="E300" i="106" a="1"/>
  <c r="E300" i="106" s="1"/>
  <c r="E302" i="106" a="1"/>
  <c r="E302" i="106" s="1"/>
  <c r="D26" i="97"/>
  <c r="W12" i="79" a="1"/>
  <c r="W12" i="79" s="1"/>
  <c r="X12" i="79" s="1"/>
  <c r="Y13" i="79"/>
  <c r="W14" i="79" a="1"/>
  <c r="W14" i="79" s="1"/>
  <c r="X14" i="79" s="1"/>
  <c r="W16" i="79" a="1"/>
  <c r="W16" i="79" s="1"/>
  <c r="W17" i="79" a="1"/>
  <c r="W17" i="79" s="1"/>
  <c r="Z20" i="79"/>
  <c r="E108" i="84"/>
  <c r="E71" i="85"/>
  <c r="E68" i="85"/>
  <c r="E105" i="84"/>
  <c r="E25" i="92"/>
  <c r="E32" i="92"/>
  <c r="M25" i="91" a="1"/>
  <c r="M25" i="91" s="1"/>
  <c r="L25" i="91" a="1"/>
  <c r="L25" i="91" s="1"/>
  <c r="M28" i="91" a="1"/>
  <c r="M28" i="91" s="1"/>
  <c r="L28" i="91" a="1"/>
  <c r="L28" i="91" s="1"/>
  <c r="O28" i="91" s="1" a="1"/>
  <c r="O28" i="91" s="1"/>
  <c r="I57" i="100" a="1"/>
  <c r="I57" i="100" s="1"/>
  <c r="Z12" i="79"/>
  <c r="Z13" i="79"/>
  <c r="Y14" i="79"/>
  <c r="Y15" i="79"/>
  <c r="Z16" i="79"/>
  <c r="Y17" i="79"/>
  <c r="W18" i="79" a="1"/>
  <c r="W18" i="79" s="1"/>
  <c r="W19" i="79" a="1"/>
  <c r="W19" i="79" s="1"/>
  <c r="I38" i="91" a="1"/>
  <c r="I38" i="91" s="1"/>
  <c r="E72" i="85"/>
  <c r="E109" i="84"/>
  <c r="F109" i="84" s="1" a="1"/>
  <c r="F109" i="84" s="1"/>
  <c r="E141" i="84" s="1"/>
  <c r="H194" i="108"/>
  <c r="I174" i="108"/>
  <c r="P27" i="79"/>
  <c r="P26" i="79"/>
  <c r="D60" i="80" a="1"/>
  <c r="D60" i="80" s="1"/>
  <c r="P25" i="79"/>
  <c r="D19" i="84" a="1"/>
  <c r="D58" i="81" a="1"/>
  <c r="D58" i="81" s="1"/>
  <c r="D23" i="85" a="1"/>
  <c r="D23" i="85" s="1"/>
  <c r="D59" i="84" a="1"/>
  <c r="D59" i="84" s="1"/>
  <c r="D19" i="80" a="1"/>
  <c r="P33" i="79"/>
  <c r="P32" i="79"/>
  <c r="D19" i="81" a="1"/>
  <c r="P31" i="79"/>
  <c r="G183" i="108"/>
  <c r="AE244" i="106" s="1" a="1"/>
  <c r="AE244" i="106" s="1"/>
  <c r="P30" i="79"/>
  <c r="P29" i="79"/>
  <c r="N21" i="79" a="1"/>
  <c r="N21" i="79" s="1"/>
  <c r="R20" i="79" a="1"/>
  <c r="R20" i="79" s="1"/>
  <c r="M21" i="79" a="1"/>
  <c r="M21" i="79" s="1"/>
  <c r="Q20" i="79" a="1"/>
  <c r="Q20" i="79" s="1"/>
  <c r="U19" i="79" a="1"/>
  <c r="U19" i="79" s="1"/>
  <c r="Z18" i="79"/>
  <c r="K18" i="79" a="1"/>
  <c r="K18" i="79" s="1"/>
  <c r="O17" i="79" a="1"/>
  <c r="O17" i="79" s="1"/>
  <c r="S16" i="79" a="1"/>
  <c r="S16" i="79" s="1"/>
  <c r="W15" i="79" a="1"/>
  <c r="W15" i="79" s="1"/>
  <c r="H15" i="79"/>
  <c r="M14" i="79" a="1"/>
  <c r="M14" i="79" s="1"/>
  <c r="Q13" i="79" a="1"/>
  <c r="Q13" i="79" s="1"/>
  <c r="U12" i="79" a="1"/>
  <c r="U12" i="79" s="1"/>
  <c r="L21" i="79" a="1"/>
  <c r="L21" i="79" s="1"/>
  <c r="Z21" i="79"/>
  <c r="K21" i="79" a="1"/>
  <c r="K21" i="79" s="1"/>
  <c r="Y21" i="79"/>
  <c r="J21" i="79" a="1"/>
  <c r="J21" i="79" s="1"/>
  <c r="W21" i="79" a="1"/>
  <c r="W21" i="79" s="1"/>
  <c r="T21" i="79" a="1"/>
  <c r="T21" i="79" s="1"/>
  <c r="S21" i="79" a="1"/>
  <c r="S21" i="79" s="1"/>
  <c r="W20" i="79" a="1"/>
  <c r="W20" i="79" s="1"/>
  <c r="R21" i="79" a="1"/>
  <c r="R21" i="79" s="1"/>
  <c r="F20" i="79"/>
  <c r="L19" i="79" a="1"/>
  <c r="L19" i="79" s="1"/>
  <c r="P18" i="79" a="1"/>
  <c r="P18" i="79" s="1"/>
  <c r="T17" i="79" a="1"/>
  <c r="T17" i="79" s="1"/>
  <c r="Y16" i="79"/>
  <c r="J16" i="79" a="1"/>
  <c r="J16" i="79" s="1"/>
  <c r="N15" i="79" a="1"/>
  <c r="N15" i="79" s="1"/>
  <c r="R14" i="79" a="1"/>
  <c r="R14" i="79" s="1"/>
  <c r="F13" i="79"/>
  <c r="L12" i="79" a="1"/>
  <c r="L12" i="79" s="1"/>
  <c r="Q21" i="79" a="1"/>
  <c r="Q21" i="79" s="1"/>
  <c r="P21" i="79" a="1"/>
  <c r="P21" i="79" s="1"/>
  <c r="T20" i="79" a="1"/>
  <c r="T20" i="79" s="1"/>
  <c r="Y19" i="79"/>
  <c r="J19" i="79" a="1"/>
  <c r="J19" i="79" s="1"/>
  <c r="N18" i="79" a="1"/>
  <c r="N18" i="79" s="1"/>
  <c r="R17" i="79" a="1"/>
  <c r="R17" i="79" s="1"/>
  <c r="F16" i="79"/>
  <c r="L15" i="79" a="1"/>
  <c r="L15" i="79" s="1"/>
  <c r="P14" i="79" a="1"/>
  <c r="P14" i="79" s="1"/>
  <c r="T13" i="79" a="1"/>
  <c r="T13" i="79" s="1"/>
  <c r="Y12" i="79"/>
  <c r="J12" i="79" a="1"/>
  <c r="J12" i="79" s="1"/>
  <c r="I176" i="108"/>
  <c r="H196" i="108"/>
  <c r="E69" i="85"/>
  <c r="E106" i="84"/>
  <c r="F106" i="84" s="1" a="1"/>
  <c r="F106" i="84" s="1"/>
  <c r="E138" i="84" s="1"/>
  <c r="I175" i="108"/>
  <c r="H195" i="108"/>
  <c r="M33" i="91" a="1"/>
  <c r="M33" i="91" s="1"/>
  <c r="M29" i="92" a="1"/>
  <c r="M29" i="92" s="1"/>
  <c r="L29" i="92" a="1"/>
  <c r="L29" i="92" s="1"/>
  <c r="G370" i="106" a="1"/>
  <c r="G370" i="106" s="1"/>
  <c r="G369" i="106" a="1"/>
  <c r="G369" i="106" s="1"/>
  <c r="H369" i="106" s="1" a="1"/>
  <c r="H369" i="106" s="1"/>
  <c r="G368" i="106" a="1"/>
  <c r="G368" i="106" s="1"/>
  <c r="G367" i="106" a="1"/>
  <c r="G367" i="106" s="1"/>
  <c r="G376" i="106" a="1"/>
  <c r="G376" i="106" s="1"/>
  <c r="H376" i="106" s="1" a="1"/>
  <c r="H376" i="106" s="1"/>
  <c r="G375" i="106" a="1"/>
  <c r="G375" i="106" s="1"/>
  <c r="G374" i="106" a="1"/>
  <c r="G374" i="106" s="1"/>
  <c r="G373" i="106" a="1"/>
  <c r="G373" i="106" s="1"/>
  <c r="G372" i="106" a="1"/>
  <c r="G372" i="106" s="1"/>
  <c r="H372" i="106" s="1" a="1"/>
  <c r="H372" i="106" s="1"/>
  <c r="G371" i="106" a="1"/>
  <c r="G371" i="106" s="1"/>
  <c r="F12" i="79"/>
  <c r="H13" i="79"/>
  <c r="F14" i="79"/>
  <c r="Z14" i="79"/>
  <c r="Z15" i="79"/>
  <c r="F17" i="79"/>
  <c r="Z17" i="79"/>
  <c r="Y18" i="79"/>
  <c r="Z19" i="79"/>
  <c r="H21" i="79"/>
  <c r="AE239" i="106" a="1"/>
  <c r="AE239" i="106" s="1"/>
  <c r="AE246" i="106" a="1"/>
  <c r="AE246" i="106" s="1"/>
  <c r="G435" i="106" a="1"/>
  <c r="G435" i="106" s="1"/>
  <c r="S240" i="106" a="1"/>
  <c r="S240" i="106" s="1"/>
  <c r="G436" i="106" a="1"/>
  <c r="G436" i="106" s="1"/>
  <c r="G439" i="106" a="1"/>
  <c r="G439" i="106" s="1"/>
  <c r="AA241" i="106" a="1"/>
  <c r="AA241" i="106" s="1"/>
  <c r="I19" i="90"/>
  <c r="W242" i="106" a="1"/>
  <c r="W242" i="106" s="1"/>
  <c r="G431" i="106" a="1"/>
  <c r="G431" i="106" s="1"/>
  <c r="H431" i="106" s="1" a="1"/>
  <c r="H431" i="106" s="1"/>
  <c r="AA242" i="106" a="1"/>
  <c r="AA242" i="106" s="1"/>
  <c r="G432" i="106" a="1"/>
  <c r="G432" i="106" s="1"/>
  <c r="G433" i="106" a="1"/>
  <c r="G433" i="106" s="1"/>
  <c r="G434" i="106" a="1"/>
  <c r="G434" i="106" s="1"/>
  <c r="H434" i="106" s="1" a="1"/>
  <c r="H434" i="106" s="1"/>
  <c r="K40" i="92" a="1"/>
  <c r="K40" i="92" s="1"/>
  <c r="I15" i="100" a="1"/>
  <c r="I15" i="100" s="1"/>
  <c r="E21" i="100" s="1" a="1"/>
  <c r="E21" i="100" s="1"/>
  <c r="I16" i="100" a="1"/>
  <c r="I16" i="100" s="1"/>
  <c r="E35" i="107" a="1"/>
  <c r="E35" i="107" s="1"/>
  <c r="I48" i="107" s="1"/>
  <c r="J609" i="106" a="1"/>
  <c r="J609" i="106" s="1"/>
  <c r="H430" i="106" a="1"/>
  <c r="H430" i="106" s="1"/>
  <c r="G139" i="106" a="1"/>
  <c r="G139" i="106" s="1"/>
  <c r="G468" i="106" a="1"/>
  <c r="G468" i="106" s="1"/>
  <c r="E167" i="106"/>
  <c r="G470" i="106" a="1"/>
  <c r="G470" i="106" s="1"/>
  <c r="I138" i="106" a="1"/>
  <c r="I138" i="106" s="1"/>
  <c r="G479" i="106" a="1"/>
  <c r="G479" i="106" s="1"/>
  <c r="G466" i="106" a="1"/>
  <c r="G466" i="106" s="1"/>
  <c r="E61" i="107"/>
  <c r="O61" i="107"/>
  <c r="E26" i="107"/>
  <c r="O26" i="107"/>
  <c r="P90" i="107"/>
  <c r="F90" i="107"/>
  <c r="P19" i="107"/>
  <c r="F19" i="107"/>
  <c r="P55" i="107"/>
  <c r="F55" i="107"/>
  <c r="G138" i="106" a="1"/>
  <c r="G138" i="106" s="1"/>
  <c r="G469" i="106" a="1"/>
  <c r="G469" i="106" s="1"/>
  <c r="F74" i="107"/>
  <c r="G163" i="106" a="1"/>
  <c r="G163" i="106" s="1"/>
  <c r="G164" i="106" a="1"/>
  <c r="G164" i="106" s="1"/>
  <c r="G65" i="106" a="1"/>
  <c r="G65" i="106" s="1"/>
  <c r="G136" i="106" a="1"/>
  <c r="G136" i="106" s="1"/>
  <c r="G45" i="106" a="1"/>
  <c r="G45" i="106" s="1"/>
  <c r="J68" i="106" a="1"/>
  <c r="J68" i="106" s="1"/>
  <c r="G137" i="106" a="1"/>
  <c r="G137" i="106" s="1"/>
  <c r="J88" i="106" a="1"/>
  <c r="J88" i="106" s="1"/>
  <c r="E151" i="106"/>
  <c r="E174" i="106"/>
  <c r="E188" i="106"/>
  <c r="E203" i="106"/>
  <c r="E323" i="106"/>
  <c r="E100" i="106"/>
  <c r="E258" i="106"/>
  <c r="E385" i="106"/>
  <c r="E355" i="106"/>
  <c r="E7" i="106"/>
  <c r="E418" i="106"/>
  <c r="E290" i="106"/>
  <c r="E561" i="106"/>
  <c r="E594" i="106"/>
  <c r="F642" i="106"/>
  <c r="F641" i="106"/>
  <c r="F639" i="106"/>
  <c r="F621" i="106"/>
  <c r="F638" i="106"/>
  <c r="F620" i="106"/>
  <c r="F131" i="106"/>
  <c r="F145" i="106"/>
  <c r="F130" i="106"/>
  <c r="F144" i="106"/>
  <c r="F142" i="106"/>
  <c r="F141" i="106"/>
  <c r="M32" i="106" a="1"/>
  <c r="M32" i="106" s="1"/>
  <c r="G162" i="106" a="1"/>
  <c r="G162" i="106" s="1"/>
  <c r="F484" i="106"/>
  <c r="F473" i="106"/>
  <c r="F317" i="106"/>
  <c r="F501" i="106"/>
  <c r="F378" i="106"/>
  <c r="F348" i="106"/>
  <c r="F483" i="106"/>
  <c r="F472" i="106"/>
  <c r="F460" i="106"/>
  <c r="F442" i="106"/>
  <c r="F411" i="106"/>
  <c r="F316" i="106"/>
  <c r="F533" i="106"/>
  <c r="F347" i="106"/>
  <c r="F248" i="106"/>
  <c r="F459" i="106"/>
  <c r="F441" i="106"/>
  <c r="F410" i="106"/>
  <c r="F555" i="106"/>
  <c r="F284" i="106"/>
  <c r="F283" i="106"/>
  <c r="F502" i="106"/>
  <c r="F518" i="106"/>
  <c r="F167" i="106"/>
  <c r="F379" i="106"/>
  <c r="F252" i="106"/>
  <c r="F166" i="106"/>
  <c r="F251" i="106"/>
  <c r="F249" i="106"/>
  <c r="J23" i="106" a="1"/>
  <c r="J23" i="106" s="1"/>
  <c r="G48" i="106" a="1"/>
  <c r="G48" i="106" s="1"/>
  <c r="G51" i="106" a="1"/>
  <c r="G51" i="106" s="1"/>
  <c r="J43" i="106" a="1"/>
  <c r="J43" i="106" s="1"/>
  <c r="G46" i="106" a="1"/>
  <c r="G46" i="106" s="1"/>
  <c r="G49" i="106" a="1"/>
  <c r="G49" i="106" s="1"/>
  <c r="G61" i="106" a="1"/>
  <c r="G61" i="106" s="1"/>
  <c r="J61" i="106" a="1"/>
  <c r="J61" i="106" s="1"/>
  <c r="F91" i="106"/>
  <c r="F72" i="106"/>
  <c r="F90" i="106"/>
  <c r="F35" i="106"/>
  <c r="F34" i="106"/>
  <c r="F94" i="106"/>
  <c r="F54" i="106"/>
  <c r="F93" i="106"/>
  <c r="F73" i="106"/>
  <c r="F53" i="106"/>
  <c r="J455" i="106" a="1"/>
  <c r="J455" i="106" s="1"/>
  <c r="H455" i="106" a="1"/>
  <c r="H455" i="106" s="1"/>
  <c r="I139" i="106" a="1"/>
  <c r="I139" i="106" s="1"/>
  <c r="G86" i="106" a="1"/>
  <c r="G86" i="106" s="1"/>
  <c r="G82" i="106" a="1"/>
  <c r="G82" i="106" s="1"/>
  <c r="G84" i="106" a="1"/>
  <c r="G84" i="106" s="1"/>
  <c r="J48" i="106" a="1"/>
  <c r="J48" i="106" s="1"/>
  <c r="J64" i="106" a="1"/>
  <c r="J64" i="106" s="1"/>
  <c r="G68" i="106" a="1"/>
  <c r="G68" i="106" s="1"/>
  <c r="G83" i="106" a="1"/>
  <c r="G83" i="106" s="1"/>
  <c r="J86" i="106" a="1"/>
  <c r="J86" i="106" s="1"/>
  <c r="J403" i="106" a="1"/>
  <c r="J403" i="106" s="1"/>
  <c r="J45" i="106" a="1"/>
  <c r="J45" i="106" s="1"/>
  <c r="J24" i="106" a="1"/>
  <c r="J24" i="106" s="1"/>
  <c r="G80" i="106" a="1"/>
  <c r="G80" i="106" s="1"/>
  <c r="J83" i="106" a="1"/>
  <c r="J83" i="106" s="1"/>
  <c r="G87" i="106" a="1"/>
  <c r="G87" i="106" s="1"/>
  <c r="G300" i="106"/>
  <c r="F296" i="106"/>
  <c r="J406" i="106" a="1"/>
  <c r="J406" i="106" s="1"/>
  <c r="I469" i="106" a="1"/>
  <c r="I469" i="106" s="1"/>
  <c r="G43" i="106" a="1"/>
  <c r="G43" i="106" s="1"/>
  <c r="K342" i="106" a="1"/>
  <c r="K342" i="106" s="1"/>
  <c r="K337" i="106" a="1"/>
  <c r="K337" i="106" s="1"/>
  <c r="K341" i="106" a="1"/>
  <c r="K341" i="106" s="1"/>
  <c r="K340" i="106" a="1"/>
  <c r="K340" i="106" s="1"/>
  <c r="I480" i="106" a="1"/>
  <c r="I480" i="106" s="1"/>
  <c r="E484" i="106" s="1"/>
  <c r="J49" i="106" a="1"/>
  <c r="J49" i="106" s="1"/>
  <c r="G62" i="106" a="1"/>
  <c r="G62" i="106" s="1"/>
  <c r="J65" i="106" a="1"/>
  <c r="J65" i="106" s="1"/>
  <c r="G69" i="106" a="1"/>
  <c r="G69" i="106" s="1"/>
  <c r="J80" i="106" a="1"/>
  <c r="J80" i="106" s="1"/>
  <c r="J87" i="106" a="1"/>
  <c r="J87" i="106" s="1"/>
  <c r="K336" i="106" a="1"/>
  <c r="K336" i="106" s="1"/>
  <c r="K344" i="106" a="1"/>
  <c r="K344" i="106" s="1"/>
  <c r="N573" i="106"/>
  <c r="F573" i="106"/>
  <c r="H433" i="106" a="1"/>
  <c r="H433" i="106" s="1"/>
  <c r="H435" i="106" a="1"/>
  <c r="H435" i="106" s="1"/>
  <c r="H432" i="106" a="1"/>
  <c r="H432" i="106" s="1"/>
  <c r="E533" i="106" a="1"/>
  <c r="E533" i="106" s="1"/>
  <c r="M27" i="106" a="1"/>
  <c r="M27" i="106" s="1"/>
  <c r="M29" i="106" a="1"/>
  <c r="M29" i="106" s="1"/>
  <c r="M31" i="106" a="1"/>
  <c r="M31" i="106" s="1"/>
  <c r="J46" i="106" a="1"/>
  <c r="J46" i="106" s="1"/>
  <c r="G50" i="106" a="1"/>
  <c r="G50" i="106" s="1"/>
  <c r="J62" i="106" a="1"/>
  <c r="J62" i="106" s="1"/>
  <c r="J69" i="106" a="1"/>
  <c r="J69" i="106" s="1"/>
  <c r="G81" i="106" a="1"/>
  <c r="G81" i="106" s="1"/>
  <c r="J84" i="106" a="1"/>
  <c r="J84" i="106" s="1"/>
  <c r="G88" i="106" a="1"/>
  <c r="G88" i="106" s="1"/>
  <c r="I120" i="106" a="1"/>
  <c r="I120" i="106" s="1"/>
  <c r="F124" i="106"/>
  <c r="J401" i="106" a="1"/>
  <c r="J401" i="106" s="1"/>
  <c r="J405" i="106" a="1"/>
  <c r="J405" i="106" s="1"/>
  <c r="J400" i="106" a="1"/>
  <c r="J400" i="106" s="1"/>
  <c r="J404" i="106" a="1"/>
  <c r="J404" i="106" s="1"/>
  <c r="J408" i="106" a="1"/>
  <c r="J408" i="106" s="1"/>
  <c r="J402" i="106" a="1"/>
  <c r="J402" i="106" s="1"/>
  <c r="K338" i="106" a="1"/>
  <c r="K338" i="106" s="1"/>
  <c r="H368" i="106" a="1"/>
  <c r="H368" i="106" s="1"/>
  <c r="J370" i="106" a="1"/>
  <c r="J370" i="106" s="1"/>
  <c r="J399" i="106" a="1"/>
  <c r="J399" i="106" s="1"/>
  <c r="I467" i="106" a="1"/>
  <c r="I467" i="106" s="1"/>
  <c r="G467" i="106" a="1"/>
  <c r="G467" i="106" s="1"/>
  <c r="M25" i="106" a="1"/>
  <c r="M25" i="106" s="1"/>
  <c r="G44" i="106" a="1"/>
  <c r="G44" i="106" s="1"/>
  <c r="G47" i="106" a="1"/>
  <c r="G47" i="106" s="1"/>
  <c r="J50" i="106" a="1"/>
  <c r="J50" i="106" s="1"/>
  <c r="J81" i="106" a="1"/>
  <c r="J81" i="106" s="1"/>
  <c r="G85" i="106" a="1"/>
  <c r="G85" i="106" s="1"/>
  <c r="F119" i="106"/>
  <c r="G119" i="106" s="1" a="1"/>
  <c r="G119" i="106" s="1"/>
  <c r="F122" i="106"/>
  <c r="I122" i="106" s="1" a="1"/>
  <c r="I122" i="106" s="1"/>
  <c r="F126" i="106"/>
  <c r="K405" i="106"/>
  <c r="K400" i="106"/>
  <c r="K404" i="106"/>
  <c r="K408" i="106"/>
  <c r="K399" i="106"/>
  <c r="K406" i="106"/>
  <c r="G481" i="106" a="1"/>
  <c r="G481" i="106" s="1"/>
  <c r="F125" i="106"/>
  <c r="I125" i="106" s="1" a="1"/>
  <c r="I125" i="106" s="1"/>
  <c r="J376" i="106" a="1"/>
  <c r="J376" i="106" s="1"/>
  <c r="J369" i="106" a="1"/>
  <c r="J369" i="106" s="1"/>
  <c r="H449" i="106" a="1"/>
  <c r="H449" i="106" s="1"/>
  <c r="H451" i="106" a="1"/>
  <c r="H451" i="106" s="1"/>
  <c r="H453" i="106" a="1"/>
  <c r="H453" i="106" s="1"/>
  <c r="J44" i="106" a="1"/>
  <c r="J44" i="106" s="1"/>
  <c r="J47" i="106" a="1"/>
  <c r="J47" i="106" s="1"/>
  <c r="G67" i="106" a="1"/>
  <c r="G67" i="106" s="1"/>
  <c r="J70" i="106" a="1"/>
  <c r="J70" i="106" s="1"/>
  <c r="J85" i="106" a="1"/>
  <c r="J85" i="106" s="1"/>
  <c r="K339" i="106" a="1"/>
  <c r="K339" i="106" s="1"/>
  <c r="H373" i="106" a="1"/>
  <c r="H373" i="106" s="1"/>
  <c r="K401" i="106"/>
  <c r="J51" i="106" a="1"/>
  <c r="J51" i="106" s="1"/>
  <c r="G64" i="106" a="1"/>
  <c r="G64" i="106" s="1"/>
  <c r="J82" i="106" a="1"/>
  <c r="J82" i="106" s="1"/>
  <c r="M30" i="106" a="1"/>
  <c r="M30" i="106" s="1"/>
  <c r="K402" i="106"/>
  <c r="J633" i="106" a="1"/>
  <c r="J633" i="106" s="1"/>
  <c r="J627" i="106" a="1"/>
  <c r="J627" i="106" s="1"/>
  <c r="K495" i="106" a="1"/>
  <c r="K495" i="106" s="1"/>
  <c r="J634" i="106" a="1"/>
  <c r="J634" i="106" s="1"/>
  <c r="J628" i="106" a="1"/>
  <c r="J628" i="106" s="1"/>
  <c r="J635" i="106" a="1"/>
  <c r="J635" i="106" s="1"/>
  <c r="L344" i="106"/>
  <c r="J432" i="106" a="1"/>
  <c r="J432" i="106" s="1"/>
  <c r="J450" i="106" a="1"/>
  <c r="J450" i="106" s="1"/>
  <c r="K497" i="106" a="1"/>
  <c r="K497" i="106" s="1"/>
  <c r="J629" i="106" a="1"/>
  <c r="J629" i="106" s="1"/>
  <c r="J636" i="106" a="1"/>
  <c r="J636" i="106" s="1"/>
  <c r="J630" i="106" a="1"/>
  <c r="J630" i="106" s="1"/>
  <c r="L345" i="106"/>
  <c r="J435" i="106" a="1"/>
  <c r="J435" i="106" s="1"/>
  <c r="J453" i="106" a="1"/>
  <c r="J453" i="106" s="1"/>
  <c r="K492" i="106" a="1"/>
  <c r="K492" i="106" s="1"/>
  <c r="K499" i="106" a="1"/>
  <c r="K499" i="106" s="1"/>
  <c r="L341" i="106"/>
  <c r="J614" i="106" a="1"/>
  <c r="J614" i="106" s="1"/>
  <c r="E621" i="106" s="1"/>
  <c r="J632" i="106" a="1"/>
  <c r="J632" i="106" s="1"/>
  <c r="L11" i="103"/>
  <c r="O11" i="103"/>
  <c r="L14" i="103"/>
  <c r="R14" i="103"/>
  <c r="O10" i="103"/>
  <c r="L13" i="103"/>
  <c r="L10" i="103"/>
  <c r="O13" i="103"/>
  <c r="L16" i="103"/>
  <c r="E7" i="100"/>
  <c r="E7" i="99"/>
  <c r="E30" i="99"/>
  <c r="P48" i="99"/>
  <c r="F48" i="99"/>
  <c r="E7" i="98"/>
  <c r="N7" i="98"/>
  <c r="N26" i="98"/>
  <c r="F24" i="98"/>
  <c r="O43" i="98"/>
  <c r="F42" i="98"/>
  <c r="E30" i="97"/>
  <c r="E20" i="97"/>
  <c r="E99" i="95"/>
  <c r="E7" i="95"/>
  <c r="F192" i="95"/>
  <c r="F151" i="95"/>
  <c r="E7" i="92"/>
  <c r="L8" i="92"/>
  <c r="F50" i="92"/>
  <c r="D39" i="92"/>
  <c r="L39" i="92" s="1" a="1"/>
  <c r="L39" i="92" s="1"/>
  <c r="D42" i="92"/>
  <c r="F51" i="92"/>
  <c r="D30" i="92"/>
  <c r="L30" i="92" s="1" a="1"/>
  <c r="L30" i="92" s="1"/>
  <c r="D37" i="92"/>
  <c r="L37" i="92" s="1" a="1"/>
  <c r="L37" i="92" s="1"/>
  <c r="F43" i="92"/>
  <c r="F52" i="92"/>
  <c r="D35" i="92"/>
  <c r="L35" i="92" s="1" a="1"/>
  <c r="L35" i="92" s="1"/>
  <c r="F44" i="92"/>
  <c r="F55" i="92"/>
  <c r="D26" i="92"/>
  <c r="L26" i="92" s="1" a="1"/>
  <c r="L26" i="92" s="1"/>
  <c r="D33" i="92"/>
  <c r="F45" i="92"/>
  <c r="D40" i="92"/>
  <c r="F56" i="92"/>
  <c r="F46" i="92"/>
  <c r="D48" i="92"/>
  <c r="F57" i="92"/>
  <c r="F49" i="92"/>
  <c r="E7" i="91"/>
  <c r="L7" i="91"/>
  <c r="P29" i="91" a="1"/>
  <c r="P29" i="91" s="1"/>
  <c r="O29" i="91" a="1"/>
  <c r="O29" i="91" s="1"/>
  <c r="O31" i="91" a="1"/>
  <c r="O31" i="91" s="1"/>
  <c r="P27" i="91" a="1"/>
  <c r="P27" i="91" s="1"/>
  <c r="D30" i="91"/>
  <c r="L30" i="91" s="1" a="1"/>
  <c r="L30" i="91" s="1"/>
  <c r="F43" i="91"/>
  <c r="N36" i="91" a="1"/>
  <c r="N36" i="91" s="1"/>
  <c r="D39" i="91"/>
  <c r="L39" i="91" s="1" a="1"/>
  <c r="L39" i="91" s="1"/>
  <c r="F52" i="91"/>
  <c r="F62" i="91"/>
  <c r="O27" i="91" a="1"/>
  <c r="O27" i="91" s="1"/>
  <c r="Q35" i="91" a="1"/>
  <c r="Q35" i="91" s="1"/>
  <c r="F44" i="91"/>
  <c r="D54" i="91"/>
  <c r="O36" i="91" a="1"/>
  <c r="O36" i="91" s="1"/>
  <c r="F63" i="91"/>
  <c r="D38" i="91"/>
  <c r="F45" i="91"/>
  <c r="F55" i="91"/>
  <c r="Q34" i="91" a="1"/>
  <c r="Q34" i="91" s="1"/>
  <c r="F64" i="91"/>
  <c r="F46" i="91"/>
  <c r="F56" i="91"/>
  <c r="N34" i="91" a="1"/>
  <c r="N34" i="91" s="1"/>
  <c r="Q36" i="91" a="1"/>
  <c r="Q36" i="91" s="1"/>
  <c r="F67" i="91"/>
  <c r="F57" i="91"/>
  <c r="I18" i="90"/>
  <c r="L32" i="92" s="1" a="1"/>
  <c r="L32" i="92" s="1"/>
  <c r="F49" i="91"/>
  <c r="F68" i="91"/>
  <c r="F58" i="91"/>
  <c r="F50" i="91"/>
  <c r="D60" i="91"/>
  <c r="F69" i="91"/>
  <c r="D26" i="91"/>
  <c r="L26" i="91" s="1" a="1"/>
  <c r="L26" i="91" s="1"/>
  <c r="F51" i="91"/>
  <c r="F61" i="91"/>
  <c r="I17" i="90"/>
  <c r="L40" i="92" s="1" a="1"/>
  <c r="L40" i="92" s="1"/>
  <c r="I20" i="90"/>
  <c r="L33" i="91" s="1" a="1"/>
  <c r="L33" i="91" s="1"/>
  <c r="I21" i="90"/>
  <c r="E18" i="88" a="1"/>
  <c r="E18" i="88" s="1"/>
  <c r="I57" i="85"/>
  <c r="I15" i="85"/>
  <c r="E49" i="85"/>
  <c r="E7" i="85"/>
  <c r="F112" i="84" a="1"/>
  <c r="F112" i="84" s="1"/>
  <c r="E144" i="84" s="1"/>
  <c r="F107" i="84" a="1"/>
  <c r="F107" i="84" s="1"/>
  <c r="E139" i="84" s="1"/>
  <c r="F108" i="84" a="1"/>
  <c r="F108" i="84" s="1"/>
  <c r="E140" i="84" s="1"/>
  <c r="F111" i="84" a="1"/>
  <c r="F111" i="84" s="1"/>
  <c r="E143" i="84" s="1"/>
  <c r="E118" i="84"/>
  <c r="E7" i="84"/>
  <c r="E43" i="84"/>
  <c r="E90" i="84"/>
  <c r="F105" i="84" a="1"/>
  <c r="F105" i="84" s="1"/>
  <c r="E137" i="84" s="1"/>
  <c r="F110" i="84" a="1"/>
  <c r="F110" i="84" s="1"/>
  <c r="E142" i="84" s="1"/>
  <c r="G59" i="84"/>
  <c r="E7" i="83"/>
  <c r="E7" i="82"/>
  <c r="E38" i="82"/>
  <c r="E43" i="81"/>
  <c r="E7" i="81"/>
  <c r="F78" i="81"/>
  <c r="F58" i="81"/>
  <c r="X13" i="79"/>
  <c r="E7" i="80"/>
  <c r="N70" i="80"/>
  <c r="E42" i="80"/>
  <c r="O108" i="80"/>
  <c r="F80" i="80"/>
  <c r="F60" i="80"/>
  <c r="D40" i="79"/>
  <c r="E8" i="76" a="1"/>
  <c r="E8" i="76" s="1"/>
  <c r="S81" i="80" s="1"/>
  <c r="E10" i="76" a="1"/>
  <c r="E10" i="76" s="1"/>
  <c r="E9" i="76" a="1"/>
  <c r="E9" i="76" s="1"/>
  <c r="D19" i="81" l="1"/>
  <c r="F19" i="81" s="1" a="1"/>
  <c r="F19" i="81" s="1"/>
  <c r="F29" i="81" a="1"/>
  <c r="F29" i="81" s="1"/>
  <c r="F28" i="81" a="1"/>
  <c r="F28" i="81" s="1"/>
  <c r="F27" i="81" a="1"/>
  <c r="F27" i="81" s="1"/>
  <c r="F26" i="81" a="1"/>
  <c r="F26" i="81" s="1"/>
  <c r="F25" i="81" a="1"/>
  <c r="F25" i="81" s="1"/>
  <c r="F24" i="81" a="1"/>
  <c r="F24" i="81" s="1"/>
  <c r="F37" i="81" a="1"/>
  <c r="F37" i="81" s="1"/>
  <c r="F23" i="81" a="1"/>
  <c r="F23" i="81" s="1"/>
  <c r="F34" i="81" a="1"/>
  <c r="F34" i="81" s="1"/>
  <c r="F20" i="81" a="1"/>
  <c r="F20" i="81" s="1"/>
  <c r="F33" i="81" a="1"/>
  <c r="F33" i="81" s="1"/>
  <c r="F32" i="81" a="1"/>
  <c r="F32" i="81" s="1"/>
  <c r="F31" i="81" a="1"/>
  <c r="F31" i="81" s="1"/>
  <c r="F30" i="81" a="1"/>
  <c r="F30" i="81" s="1"/>
  <c r="F36" i="81" a="1"/>
  <c r="F36" i="81" s="1"/>
  <c r="F35" i="81" a="1"/>
  <c r="F35" i="81" s="1"/>
  <c r="F22" i="81" a="1"/>
  <c r="F22" i="81" s="1"/>
  <c r="F21" i="81" a="1"/>
  <c r="F21" i="81" s="1"/>
  <c r="J374" i="106" a="1"/>
  <c r="J374" i="106" s="1"/>
  <c r="H374" i="106" a="1"/>
  <c r="H374" i="106" s="1"/>
  <c r="I21" i="79"/>
  <c r="P31" i="91" a="1"/>
  <c r="P31" i="91" s="1"/>
  <c r="Q31" i="91" a="1"/>
  <c r="Q31" i="91" s="1"/>
  <c r="Q27" i="91" a="1"/>
  <c r="Q27" i="91" s="1"/>
  <c r="K31" i="92"/>
  <c r="J31" i="92"/>
  <c r="I31" i="92"/>
  <c r="H31" i="92"/>
  <c r="G31" i="92"/>
  <c r="P31" i="92" s="1" a="1"/>
  <c r="P31" i="92" s="1"/>
  <c r="Q29" i="91" a="1"/>
  <c r="Q29" i="91" s="1"/>
  <c r="S238" i="106" a="1"/>
  <c r="S238" i="106" s="1"/>
  <c r="S239" i="106" a="1"/>
  <c r="S239" i="106" s="1"/>
  <c r="W238" i="106" a="1"/>
  <c r="W238" i="106" s="1"/>
  <c r="AE237" i="106" a="1"/>
  <c r="AE237" i="106" s="1"/>
  <c r="AE240" i="106" a="1"/>
  <c r="AE240" i="106" s="1"/>
  <c r="S243" i="106" a="1"/>
  <c r="S243" i="106" s="1"/>
  <c r="S244" i="106" a="1"/>
  <c r="S244" i="106" s="1"/>
  <c r="AA239" i="106" a="1"/>
  <c r="AA239" i="106" s="1"/>
  <c r="W240" i="106" a="1"/>
  <c r="W240" i="106" s="1"/>
  <c r="AE241" i="106" a="1"/>
  <c r="AE241" i="106" s="1"/>
  <c r="W239" i="106" a="1"/>
  <c r="W239" i="106" s="1"/>
  <c r="AA240" i="106" a="1"/>
  <c r="AA240" i="106" s="1"/>
  <c r="S242" i="106" a="1"/>
  <c r="S242" i="106" s="1"/>
  <c r="AA245" i="106" a="1"/>
  <c r="AA245" i="106" s="1"/>
  <c r="W244" i="106" a="1"/>
  <c r="W244" i="106" s="1"/>
  <c r="AE238" i="106" a="1"/>
  <c r="AE238" i="106" s="1"/>
  <c r="AA246" i="106" a="1"/>
  <c r="AA246" i="106" s="1"/>
  <c r="W243" i="106" a="1"/>
  <c r="W243" i="106" s="1"/>
  <c r="W241" i="106" a="1"/>
  <c r="W241" i="106" s="1"/>
  <c r="AE245" i="106" a="1"/>
  <c r="AE245" i="106" s="1"/>
  <c r="AD221" i="106" a="1"/>
  <c r="AD221" i="106" s="1"/>
  <c r="J33" i="91" a="1"/>
  <c r="J33" i="91" s="1"/>
  <c r="K37" i="91" a="1"/>
  <c r="K37" i="91" s="1"/>
  <c r="Q37" i="91" s="1" a="1"/>
  <c r="Q37" i="91" s="1"/>
  <c r="J137" i="95" a="1"/>
  <c r="J137" i="95" s="1"/>
  <c r="J123" i="95" a="1"/>
  <c r="J123" i="95" s="1"/>
  <c r="K29" i="92"/>
  <c r="Q29" i="92" s="1" a="1"/>
  <c r="Q29" i="92" s="1"/>
  <c r="J29" i="92"/>
  <c r="I29" i="92"/>
  <c r="H29" i="92"/>
  <c r="G29" i="92"/>
  <c r="K25" i="91" a="1"/>
  <c r="K25" i="91" s="1"/>
  <c r="K38" i="91" a="1"/>
  <c r="K38" i="91" s="1"/>
  <c r="J176" i="95" a="1"/>
  <c r="J176" i="95" s="1"/>
  <c r="J163" i="95" a="1"/>
  <c r="J163" i="95" s="1"/>
  <c r="J174" i="95" a="1"/>
  <c r="J174" i="95" s="1"/>
  <c r="I36" i="92"/>
  <c r="H36" i="92"/>
  <c r="G36" i="92"/>
  <c r="K36" i="92"/>
  <c r="J36" i="92"/>
  <c r="Z221" i="106" a="1"/>
  <c r="Z221" i="106" s="1"/>
  <c r="V221" i="106" a="1"/>
  <c r="V221" i="106" s="1"/>
  <c r="K26" i="91" a="1"/>
  <c r="K26" i="91" s="1"/>
  <c r="I37" i="91" a="1"/>
  <c r="I37" i="91" s="1"/>
  <c r="O37" i="91" s="1" a="1"/>
  <c r="O37" i="91" s="1"/>
  <c r="J135" i="95" a="1"/>
  <c r="J135" i="95" s="1"/>
  <c r="J179" i="95" a="1"/>
  <c r="J179" i="95" s="1"/>
  <c r="J133" i="95" a="1"/>
  <c r="J133" i="95" s="1"/>
  <c r="K34" i="92"/>
  <c r="J34" i="92"/>
  <c r="I34" i="92"/>
  <c r="H34" i="92"/>
  <c r="G34" i="92"/>
  <c r="N34" i="92" s="1" a="1"/>
  <c r="N34" i="92" s="1"/>
  <c r="D19" i="80"/>
  <c r="F19" i="80" s="1" a="1"/>
  <c r="F19" i="80" s="1"/>
  <c r="F24" i="80" a="1"/>
  <c r="F24" i="80" s="1"/>
  <c r="F37" i="80" a="1"/>
  <c r="F37" i="80" s="1"/>
  <c r="F23" i="80" a="1"/>
  <c r="F23" i="80" s="1"/>
  <c r="F36" i="80" a="1"/>
  <c r="F36" i="80" s="1"/>
  <c r="F22" i="80" a="1"/>
  <c r="F22" i="80" s="1"/>
  <c r="F35" i="80" a="1"/>
  <c r="F35" i="80" s="1"/>
  <c r="F21" i="80" a="1"/>
  <c r="F21" i="80" s="1"/>
  <c r="F34" i="80" a="1"/>
  <c r="F34" i="80" s="1"/>
  <c r="F20" i="80" a="1"/>
  <c r="F20" i="80" s="1"/>
  <c r="F33" i="80" a="1"/>
  <c r="F33" i="80" s="1"/>
  <c r="F32" i="80" a="1"/>
  <c r="F32" i="80" s="1"/>
  <c r="F29" i="80" a="1"/>
  <c r="F29" i="80" s="1"/>
  <c r="F28" i="80" a="1"/>
  <c r="F28" i="80" s="1"/>
  <c r="F27" i="80" a="1"/>
  <c r="F27" i="80" s="1"/>
  <c r="F26" i="80" a="1"/>
  <c r="F26" i="80" s="1"/>
  <c r="F25" i="80" a="1"/>
  <c r="F25" i="80" s="1"/>
  <c r="F31" i="80" a="1"/>
  <c r="F31" i="80" s="1"/>
  <c r="F30" i="80" a="1"/>
  <c r="F30" i="80" s="1"/>
  <c r="K38" i="92"/>
  <c r="J38" i="92"/>
  <c r="I38" i="92"/>
  <c r="H38" i="92"/>
  <c r="G38" i="92"/>
  <c r="Y221" i="106" a="1"/>
  <c r="H38" i="91" a="1"/>
  <c r="H38" i="91" s="1"/>
  <c r="I25" i="91" a="1"/>
  <c r="I25" i="91" s="1"/>
  <c r="J161" i="95" a="1"/>
  <c r="J161" i="95" s="1"/>
  <c r="J121" i="95" a="1"/>
  <c r="J121" i="95" s="1"/>
  <c r="J159" i="95" a="1"/>
  <c r="J159" i="95" s="1"/>
  <c r="G27" i="92"/>
  <c r="N27" i="92" s="1" a="1"/>
  <c r="N27" i="92" s="1"/>
  <c r="K27" i="92"/>
  <c r="Q27" i="92" s="1" a="1"/>
  <c r="Q27" i="92" s="1"/>
  <c r="J27" i="92"/>
  <c r="I27" i="92"/>
  <c r="H27" i="92"/>
  <c r="K32" i="92"/>
  <c r="J32" i="92"/>
  <c r="I32" i="92"/>
  <c r="H32" i="92"/>
  <c r="G32" i="92"/>
  <c r="O32" i="92" s="1" a="1"/>
  <c r="O32" i="92" s="1"/>
  <c r="K26" i="92"/>
  <c r="J26" i="92"/>
  <c r="I26" i="92"/>
  <c r="H26" i="92"/>
  <c r="G26" i="92"/>
  <c r="H33" i="91" a="1"/>
  <c r="H33" i="91" s="1"/>
  <c r="I26" i="91" a="1"/>
  <c r="I26" i="91" s="1"/>
  <c r="V20" i="79"/>
  <c r="X20" i="79" s="1"/>
  <c r="J117" i="95" a="1"/>
  <c r="J117" i="95" s="1"/>
  <c r="J119" i="95" a="1"/>
  <c r="J119" i="95" s="1"/>
  <c r="J138" i="95" a="1"/>
  <c r="J138" i="95" s="1"/>
  <c r="J166" i="95" a="1"/>
  <c r="J166" i="95" s="1"/>
  <c r="J124" i="95" a="1"/>
  <c r="J124" i="95" s="1"/>
  <c r="J126" i="95" a="1"/>
  <c r="J126" i="95" s="1"/>
  <c r="J185" i="95" a="1"/>
  <c r="J185" i="95" s="1"/>
  <c r="U221" i="106" a="1"/>
  <c r="AA244" i="106" a="1"/>
  <c r="AA244" i="106" s="1"/>
  <c r="S241" i="106" a="1"/>
  <c r="S241" i="106" s="1"/>
  <c r="AG221" i="106" a="1"/>
  <c r="E59" i="95"/>
  <c r="H59" i="95" s="1" a="1"/>
  <c r="H59" i="95" s="1"/>
  <c r="H86" i="95" a="1"/>
  <c r="H86" i="95" s="1"/>
  <c r="H78" i="95" a="1"/>
  <c r="H78" i="95" s="1"/>
  <c r="H71" i="95" a="1"/>
  <c r="H71" i="95" s="1"/>
  <c r="H63" i="95" a="1"/>
  <c r="H63" i="95" s="1"/>
  <c r="H85" i="95" a="1"/>
  <c r="H85" i="95" s="1"/>
  <c r="H77" i="95" a="1"/>
  <c r="H77" i="95" s="1"/>
  <c r="H69" i="95" a="1"/>
  <c r="H69" i="95" s="1"/>
  <c r="H62" i="95" a="1"/>
  <c r="H62" i="95" s="1"/>
  <c r="H92" i="95" a="1"/>
  <c r="H92" i="95" s="1"/>
  <c r="H84" i="95" a="1"/>
  <c r="H84" i="95" s="1"/>
  <c r="H76" i="95" a="1"/>
  <c r="H76" i="95" s="1"/>
  <c r="H68" i="95" a="1"/>
  <c r="H68" i="95" s="1"/>
  <c r="H61" i="95" a="1"/>
  <c r="H61" i="95" s="1"/>
  <c r="H91" i="95" a="1"/>
  <c r="H91" i="95" s="1"/>
  <c r="H83" i="95" a="1"/>
  <c r="H83" i="95" s="1"/>
  <c r="H75" i="95" a="1"/>
  <c r="H75" i="95" s="1"/>
  <c r="H67" i="95" a="1"/>
  <c r="H67" i="95" s="1"/>
  <c r="H60" i="95" a="1"/>
  <c r="H60" i="95" s="1"/>
  <c r="H90" i="95" a="1"/>
  <c r="H90" i="95" s="1"/>
  <c r="H82" i="95" a="1"/>
  <c r="H82" i="95" s="1"/>
  <c r="H74" i="95" a="1"/>
  <c r="H74" i="95" s="1"/>
  <c r="H66" i="95" a="1"/>
  <c r="H66" i="95" s="1"/>
  <c r="H89" i="95" a="1"/>
  <c r="H89" i="95" s="1"/>
  <c r="H80" i="95" a="1"/>
  <c r="H80" i="95" s="1"/>
  <c r="H73" i="95" a="1"/>
  <c r="H73" i="95" s="1"/>
  <c r="H65" i="95" a="1"/>
  <c r="H65" i="95" s="1"/>
  <c r="H88" i="95" a="1"/>
  <c r="H88" i="95" s="1"/>
  <c r="H79" i="95" a="1"/>
  <c r="H79" i="95" s="1"/>
  <c r="H72" i="95" a="1"/>
  <c r="H72" i="95" s="1"/>
  <c r="H64" i="95" a="1"/>
  <c r="H64" i="95" s="1"/>
  <c r="K33" i="91" a="1"/>
  <c r="K33" i="91" s="1"/>
  <c r="G19" i="79"/>
  <c r="I19" i="79" s="1"/>
  <c r="F33" i="79"/>
  <c r="G33" i="79" s="1"/>
  <c r="G16" i="79"/>
  <c r="I16" i="79" s="1"/>
  <c r="H55" i="79"/>
  <c r="F30" i="79"/>
  <c r="G30" i="79" s="1"/>
  <c r="G13" i="79"/>
  <c r="I13" i="79" s="1"/>
  <c r="F29" i="79"/>
  <c r="G29" i="79" s="1"/>
  <c r="G12" i="79"/>
  <c r="I12" i="79" s="1"/>
  <c r="F27" i="79"/>
  <c r="G27" i="79" s="1"/>
  <c r="F44" i="79"/>
  <c r="G44" i="79" s="1"/>
  <c r="F25" i="79"/>
  <c r="F42" i="79"/>
  <c r="G42" i="79" s="1"/>
  <c r="G18" i="79"/>
  <c r="I18" i="79" s="1"/>
  <c r="G21" i="79"/>
  <c r="F34" i="79"/>
  <c r="G34" i="79" s="1"/>
  <c r="G17" i="79"/>
  <c r="F26" i="79"/>
  <c r="G26" i="79" s="1"/>
  <c r="H56" i="79"/>
  <c r="F32" i="79"/>
  <c r="G32" i="79" s="1"/>
  <c r="G15" i="79"/>
  <c r="I15" i="79" s="1"/>
  <c r="F31" i="79"/>
  <c r="G31" i="79" s="1"/>
  <c r="G14" i="79"/>
  <c r="I14" i="79" s="1"/>
  <c r="H54" i="79"/>
  <c r="F28" i="79"/>
  <c r="G28" i="79" s="1"/>
  <c r="F43" i="79"/>
  <c r="G43" i="79" s="1"/>
  <c r="G20" i="79"/>
  <c r="I20" i="79" s="1"/>
  <c r="P28" i="91" a="1"/>
  <c r="P28" i="91" s="1"/>
  <c r="O27" i="92" a="1"/>
  <c r="O27" i="92" s="1"/>
  <c r="N31" i="92" a="1"/>
  <c r="N31" i="92" s="1"/>
  <c r="J63" i="106" a="1"/>
  <c r="J63" i="106" s="1"/>
  <c r="W246" i="106" a="1"/>
  <c r="W246" i="106" s="1"/>
  <c r="AA238" i="106" a="1"/>
  <c r="AA238" i="106" s="1"/>
  <c r="AA237" i="106" a="1"/>
  <c r="AA237" i="106" s="1"/>
  <c r="D19" i="84"/>
  <c r="F19" i="84" s="1" a="1"/>
  <c r="F19" i="84" s="1"/>
  <c r="G19" i="84" s="1" a="1"/>
  <c r="G19" i="84" s="1"/>
  <c r="F34" i="84" a="1"/>
  <c r="F34" i="84" s="1"/>
  <c r="G34" i="84" s="1" a="1"/>
  <c r="G34" i="84" s="1"/>
  <c r="F27" i="84" a="1"/>
  <c r="F27" i="84" s="1"/>
  <c r="G27" i="84" s="1" a="1"/>
  <c r="G27" i="84" s="1"/>
  <c r="F20" i="84" a="1"/>
  <c r="F20" i="84" s="1"/>
  <c r="G20" i="84" s="1" a="1"/>
  <c r="G20" i="84" s="1"/>
  <c r="F33" i="84" a="1"/>
  <c r="F33" i="84" s="1"/>
  <c r="G33" i="84" s="1" a="1"/>
  <c r="G33" i="84" s="1"/>
  <c r="F26" i="84" a="1"/>
  <c r="F26" i="84" s="1"/>
  <c r="G26" i="84" s="1" a="1"/>
  <c r="G26" i="84" s="1"/>
  <c r="F32" i="84" a="1"/>
  <c r="F32" i="84" s="1"/>
  <c r="G32" i="84" s="1" a="1"/>
  <c r="G32" i="84" s="1"/>
  <c r="F25" i="84" a="1"/>
  <c r="F25" i="84" s="1"/>
  <c r="G25" i="84" s="1" a="1"/>
  <c r="G25" i="84" s="1"/>
  <c r="F37" i="84" a="1"/>
  <c r="F37" i="84" s="1"/>
  <c r="G37" i="84" s="1" a="1"/>
  <c r="G37" i="84" s="1"/>
  <c r="F30" i="84" a="1"/>
  <c r="F30" i="84" s="1"/>
  <c r="G30" i="84" s="1" a="1"/>
  <c r="G30" i="84" s="1"/>
  <c r="F23" i="84" a="1"/>
  <c r="F23" i="84" s="1"/>
  <c r="G23" i="84" s="1" a="1"/>
  <c r="G23" i="84" s="1"/>
  <c r="F36" i="84" a="1"/>
  <c r="F36" i="84" s="1"/>
  <c r="G36" i="84" s="1" a="1"/>
  <c r="G36" i="84" s="1"/>
  <c r="F29" i="84" a="1"/>
  <c r="F29" i="84" s="1"/>
  <c r="G29" i="84" s="1" a="1"/>
  <c r="G29" i="84" s="1"/>
  <c r="F22" i="84" a="1"/>
  <c r="F22" i="84" s="1"/>
  <c r="G22" i="84" s="1" a="1"/>
  <c r="G22" i="84" s="1"/>
  <c r="F35" i="84" a="1"/>
  <c r="F35" i="84" s="1"/>
  <c r="G35" i="84" s="1" a="1"/>
  <c r="G35" i="84" s="1"/>
  <c r="F28" i="84" a="1"/>
  <c r="F28" i="84" s="1"/>
  <c r="G28" i="84" s="1" a="1"/>
  <c r="G28" i="84" s="1"/>
  <c r="F21" i="84" a="1"/>
  <c r="F21" i="84" s="1"/>
  <c r="G21" i="84" s="1" a="1"/>
  <c r="G21" i="84" s="1"/>
  <c r="F31" i="84" a="1"/>
  <c r="F31" i="84" s="1"/>
  <c r="G31" i="84" s="1" a="1"/>
  <c r="G31" i="84" s="1"/>
  <c r="F24" i="84" a="1"/>
  <c r="F24" i="84" s="1"/>
  <c r="G24" i="84" s="1" a="1"/>
  <c r="G24" i="84" s="1"/>
  <c r="D270" i="106"/>
  <c r="F275" i="106" a="1"/>
  <c r="F275" i="106" s="1"/>
  <c r="E275" i="106"/>
  <c r="I275" i="106" s="1" a="1"/>
  <c r="I275" i="106" s="1"/>
  <c r="F281" i="106" a="1"/>
  <c r="F281" i="106" s="1"/>
  <c r="F274" i="106" a="1"/>
  <c r="F274" i="106" s="1"/>
  <c r="E281" i="106"/>
  <c r="E274" i="106"/>
  <c r="I274" i="106" s="1" a="1"/>
  <c r="I274" i="106" s="1"/>
  <c r="F280" i="106" a="1"/>
  <c r="F280" i="106" s="1"/>
  <c r="F273" i="106" a="1"/>
  <c r="F273" i="106" s="1"/>
  <c r="E280" i="106"/>
  <c r="E273" i="106"/>
  <c r="F279" i="106" a="1"/>
  <c r="F279" i="106" s="1"/>
  <c r="F272" i="106" a="1"/>
  <c r="F272" i="106" s="1"/>
  <c r="E279" i="106"/>
  <c r="E272" i="106"/>
  <c r="I272" i="106" s="1" a="1"/>
  <c r="I272" i="106" s="1"/>
  <c r="F278" i="106" a="1"/>
  <c r="F278" i="106" s="1"/>
  <c r="F271" i="106" a="1"/>
  <c r="F271" i="106" s="1"/>
  <c r="E278" i="106"/>
  <c r="G278" i="106" s="1" a="1"/>
  <c r="G278" i="106" s="1"/>
  <c r="E271" i="106"/>
  <c r="G271" i="106" s="1" a="1"/>
  <c r="G271" i="106" s="1"/>
  <c r="F277" i="106" a="1"/>
  <c r="F277" i="106" s="1"/>
  <c r="E277" i="106"/>
  <c r="F276" i="106" a="1"/>
  <c r="F276" i="106" s="1"/>
  <c r="E276" i="106"/>
  <c r="I276" i="106" s="1" a="1"/>
  <c r="I276" i="106" s="1"/>
  <c r="K37" i="92"/>
  <c r="J37" i="92"/>
  <c r="I37" i="92"/>
  <c r="H37" i="92"/>
  <c r="G37" i="92"/>
  <c r="H26" i="91" a="1"/>
  <c r="H26" i="91" s="1"/>
  <c r="G26" i="91" a="1"/>
  <c r="G26" i="91" s="1"/>
  <c r="G25" i="91" a="1"/>
  <c r="G25" i="91" s="1"/>
  <c r="Q25" i="91" s="1" a="1"/>
  <c r="Q25" i="91" s="1"/>
  <c r="J37" i="91" a="1"/>
  <c r="J37" i="91" s="1"/>
  <c r="P37" i="91" s="1" a="1"/>
  <c r="P37" i="91" s="1"/>
  <c r="V17" i="79"/>
  <c r="X17" i="79" s="1"/>
  <c r="J175" i="95" a="1"/>
  <c r="J175" i="95" s="1"/>
  <c r="J127" i="95" a="1"/>
  <c r="J127" i="95" s="1"/>
  <c r="J164" i="95" a="1"/>
  <c r="J164" i="95" s="1"/>
  <c r="H33" i="92"/>
  <c r="G33" i="92"/>
  <c r="K33" i="92"/>
  <c r="J33" i="92"/>
  <c r="I33" i="92"/>
  <c r="AC221" i="106" a="1"/>
  <c r="G66" i="106" a="1"/>
  <c r="G66" i="106" s="1"/>
  <c r="O221" i="106" a="1"/>
  <c r="O221" i="106" s="1"/>
  <c r="Q28" i="91" a="1"/>
  <c r="Q28" i="91" s="1"/>
  <c r="G70" i="106" a="1"/>
  <c r="G70" i="106" s="1"/>
  <c r="AE242" i="106" a="1"/>
  <c r="AE242" i="106" s="1"/>
  <c r="F242" i="106" s="1" a="1"/>
  <c r="F242" i="106" s="1"/>
  <c r="W245" i="106" a="1"/>
  <c r="W245" i="106" s="1"/>
  <c r="AE243" i="106" a="1"/>
  <c r="AE243" i="106" s="1"/>
  <c r="V16" i="79"/>
  <c r="X16" i="79" s="1"/>
  <c r="O55" i="80" a="1"/>
  <c r="H30" i="92"/>
  <c r="G30" i="92"/>
  <c r="K30" i="92"/>
  <c r="J30" i="92"/>
  <c r="I30" i="92"/>
  <c r="K35" i="92"/>
  <c r="J35" i="92"/>
  <c r="I35" i="92"/>
  <c r="H35" i="92"/>
  <c r="G35" i="92"/>
  <c r="P35" i="92" s="1" a="1"/>
  <c r="P35" i="92" s="1"/>
  <c r="E21" i="95"/>
  <c r="H21" i="95" s="1" a="1"/>
  <c r="H21" i="95" s="1"/>
  <c r="H53" i="95" a="1"/>
  <c r="H53" i="95" s="1"/>
  <c r="H45" i="95" a="1"/>
  <c r="H45" i="95" s="1"/>
  <c r="H37" i="95" a="1"/>
  <c r="H37" i="95" s="1"/>
  <c r="H29" i="95" a="1"/>
  <c r="H29" i="95" s="1"/>
  <c r="H22" i="95" a="1"/>
  <c r="H22" i="95" s="1"/>
  <c r="H52" i="95" a="1"/>
  <c r="H52" i="95" s="1"/>
  <c r="H44" i="95" a="1"/>
  <c r="H44" i="95" s="1"/>
  <c r="H36" i="95" a="1"/>
  <c r="H36" i="95" s="1"/>
  <c r="H28" i="95" a="1"/>
  <c r="H28" i="95" s="1"/>
  <c r="H51" i="95" a="1"/>
  <c r="H51" i="95" s="1"/>
  <c r="H42" i="95" a="1"/>
  <c r="H42" i="95" s="1"/>
  <c r="H35" i="95" a="1"/>
  <c r="H35" i="95" s="1"/>
  <c r="H27" i="95" a="1"/>
  <c r="H27" i="95" s="1"/>
  <c r="H50" i="95" a="1"/>
  <c r="H50" i="95" s="1"/>
  <c r="H41" i="95" a="1"/>
  <c r="H41" i="95" s="1"/>
  <c r="H34" i="95" a="1"/>
  <c r="H34" i="95" s="1"/>
  <c r="H26" i="95" a="1"/>
  <c r="H26" i="95" s="1"/>
  <c r="H48" i="95" a="1"/>
  <c r="H48" i="95" s="1"/>
  <c r="H40" i="95" a="1"/>
  <c r="H40" i="95" s="1"/>
  <c r="H33" i="95" a="1"/>
  <c r="H33" i="95" s="1"/>
  <c r="H25" i="95" a="1"/>
  <c r="H25" i="95" s="1"/>
  <c r="H47" i="95" a="1"/>
  <c r="H47" i="95" s="1"/>
  <c r="H39" i="95" a="1"/>
  <c r="H39" i="95" s="1"/>
  <c r="H31" i="95" a="1"/>
  <c r="H31" i="95" s="1"/>
  <c r="H24" i="95" a="1"/>
  <c r="H24" i="95" s="1"/>
  <c r="H54" i="95" a="1"/>
  <c r="H54" i="95" s="1"/>
  <c r="H46" i="95" a="1"/>
  <c r="H46" i="95" s="1"/>
  <c r="H38" i="95" a="1"/>
  <c r="H38" i="95" s="1"/>
  <c r="H30" i="95" a="1"/>
  <c r="H30" i="95" s="1"/>
  <c r="H23" i="95" a="1"/>
  <c r="H23" i="95" s="1"/>
  <c r="D59" i="95"/>
  <c r="G59" i="95" s="1" a="1"/>
  <c r="G59" i="95" s="1"/>
  <c r="G88" i="95" a="1"/>
  <c r="G88" i="95" s="1"/>
  <c r="I88" i="95" s="1" a="1"/>
  <c r="I88" i="95" s="1"/>
  <c r="H186" i="95" s="1"/>
  <c r="G79" i="95" a="1"/>
  <c r="G79" i="95" s="1"/>
  <c r="G72" i="95" a="1"/>
  <c r="G72" i="95" s="1"/>
  <c r="G64" i="95" a="1"/>
  <c r="G64" i="95" s="1"/>
  <c r="G86" i="95" a="1"/>
  <c r="G86" i="95" s="1"/>
  <c r="G78" i="95" a="1"/>
  <c r="G78" i="95" s="1"/>
  <c r="G71" i="95" a="1"/>
  <c r="G71" i="95" s="1"/>
  <c r="G63" i="95" a="1"/>
  <c r="G63" i="95" s="1"/>
  <c r="G85" i="95" a="1"/>
  <c r="G85" i="95" s="1"/>
  <c r="G77" i="95" a="1"/>
  <c r="G77" i="95" s="1"/>
  <c r="I77" i="95" s="1" a="1"/>
  <c r="I77" i="95" s="1"/>
  <c r="H175" i="95" s="1"/>
  <c r="I175" i="95" s="1"/>
  <c r="K175" i="95" s="1" a="1"/>
  <c r="K175" i="95" s="1"/>
  <c r="G69" i="95" a="1"/>
  <c r="G69" i="95" s="1"/>
  <c r="I69" i="95" s="1" a="1"/>
  <c r="I69" i="95" s="1"/>
  <c r="H167" i="95" s="1"/>
  <c r="G62" i="95" a="1"/>
  <c r="G62" i="95" s="1"/>
  <c r="I62" i="95" s="1" a="1"/>
  <c r="I62" i="95" s="1"/>
  <c r="H160" i="95" s="1"/>
  <c r="G92" i="95" a="1"/>
  <c r="G92" i="95" s="1"/>
  <c r="I92" i="95" s="1" a="1"/>
  <c r="I92" i="95" s="1"/>
  <c r="H190" i="95" s="1"/>
  <c r="G84" i="95" a="1"/>
  <c r="G84" i="95" s="1"/>
  <c r="I84" i="95" s="1" a="1"/>
  <c r="I84" i="95" s="1"/>
  <c r="H182" i="95" s="1"/>
  <c r="G76" i="95" a="1"/>
  <c r="G76" i="95" s="1"/>
  <c r="I76" i="95" s="1" a="1"/>
  <c r="I76" i="95" s="1"/>
  <c r="H174" i="95" s="1"/>
  <c r="G68" i="95" a="1"/>
  <c r="G68" i="95" s="1"/>
  <c r="I68" i="95" s="1" a="1"/>
  <c r="I68" i="95" s="1"/>
  <c r="H166" i="95" s="1"/>
  <c r="G61" i="95" a="1"/>
  <c r="G61" i="95" s="1"/>
  <c r="I61" i="95" s="1" a="1"/>
  <c r="I61" i="95" s="1"/>
  <c r="H159" i="95" s="1"/>
  <c r="G91" i="95" a="1"/>
  <c r="G91" i="95" s="1"/>
  <c r="I91" i="95" s="1" a="1"/>
  <c r="I91" i="95" s="1"/>
  <c r="H189" i="95" s="1"/>
  <c r="G83" i="95" a="1"/>
  <c r="G83" i="95" s="1"/>
  <c r="I83" i="95" s="1" a="1"/>
  <c r="I83" i="95" s="1"/>
  <c r="H181" i="95" s="1"/>
  <c r="G75" i="95" a="1"/>
  <c r="G75" i="95" s="1"/>
  <c r="I75" i="95" s="1" a="1"/>
  <c r="I75" i="95" s="1"/>
  <c r="H173" i="95" s="1"/>
  <c r="G67" i="95" a="1"/>
  <c r="G67" i="95" s="1"/>
  <c r="I67" i="95" s="1" a="1"/>
  <c r="I67" i="95" s="1"/>
  <c r="H165" i="95" s="1"/>
  <c r="G60" i="95" a="1"/>
  <c r="G60" i="95" s="1"/>
  <c r="I60" i="95" s="1" a="1"/>
  <c r="I60" i="95" s="1"/>
  <c r="H158" i="95" s="1"/>
  <c r="G90" i="95" a="1"/>
  <c r="G90" i="95" s="1"/>
  <c r="I90" i="95" s="1" a="1"/>
  <c r="I90" i="95" s="1"/>
  <c r="H188" i="95" s="1"/>
  <c r="G82" i="95" a="1"/>
  <c r="G82" i="95" s="1"/>
  <c r="I82" i="95" s="1" a="1"/>
  <c r="I82" i="95" s="1"/>
  <c r="H180" i="95" s="1"/>
  <c r="G74" i="95" a="1"/>
  <c r="G74" i="95" s="1"/>
  <c r="G66" i="95" a="1"/>
  <c r="G66" i="95" s="1"/>
  <c r="G89" i="95" a="1"/>
  <c r="G89" i="95" s="1"/>
  <c r="I89" i="95" s="1" a="1"/>
  <c r="I89" i="95" s="1"/>
  <c r="H187" i="95" s="1"/>
  <c r="G80" i="95" a="1"/>
  <c r="G80" i="95" s="1"/>
  <c r="I80" i="95" s="1" a="1"/>
  <c r="I80" i="95" s="1"/>
  <c r="H178" i="95" s="1"/>
  <c r="G73" i="95" a="1"/>
  <c r="G73" i="95" s="1"/>
  <c r="I73" i="95" s="1" a="1"/>
  <c r="I73" i="95" s="1"/>
  <c r="H171" i="95" s="1"/>
  <c r="G65" i="95" a="1"/>
  <c r="G65" i="95" s="1"/>
  <c r="I65" i="95" s="1" a="1"/>
  <c r="I65" i="95" s="1"/>
  <c r="H163" i="95" s="1"/>
  <c r="J136" i="95" a="1"/>
  <c r="J136" i="95" s="1"/>
  <c r="J122" i="95" a="1"/>
  <c r="J122" i="95" s="1"/>
  <c r="V13" i="79"/>
  <c r="N28" i="91" a="1"/>
  <c r="N28" i="91" s="1"/>
  <c r="J66" i="106" a="1"/>
  <c r="J66" i="106" s="1"/>
  <c r="K28" i="92"/>
  <c r="J28" i="92"/>
  <c r="I28" i="92"/>
  <c r="O28" i="92" s="1" a="1"/>
  <c r="O28" i="92" s="1"/>
  <c r="H28" i="92"/>
  <c r="G28" i="92"/>
  <c r="N28" i="92" s="1" a="1"/>
  <c r="N28" i="92" s="1"/>
  <c r="I33" i="91" a="1"/>
  <c r="I33" i="91" s="1"/>
  <c r="J38" i="91" a="1"/>
  <c r="J38" i="91" s="1"/>
  <c r="V15" i="79"/>
  <c r="X15" i="79" s="1"/>
  <c r="O45" i="80" s="1" a="1"/>
  <c r="J134" i="95" a="1"/>
  <c r="J134" i="95" s="1"/>
  <c r="J162" i="95" a="1"/>
  <c r="J162" i="95" s="1"/>
  <c r="J173" i="95" a="1"/>
  <c r="J173" i="95" s="1"/>
  <c r="Q221" i="106" a="1"/>
  <c r="V12" i="79"/>
  <c r="K25" i="92"/>
  <c r="J25" i="92"/>
  <c r="I25" i="92"/>
  <c r="H25" i="92"/>
  <c r="N25" i="92" s="1" a="1"/>
  <c r="N25" i="92" s="1"/>
  <c r="G25" i="92"/>
  <c r="P25" i="92" s="1" a="1"/>
  <c r="P25" i="92" s="1"/>
  <c r="V21" i="79"/>
  <c r="X21" i="79" s="1"/>
  <c r="AK221" i="106" a="1"/>
  <c r="I60" i="85"/>
  <c r="J53" i="84"/>
  <c r="I54" i="80"/>
  <c r="I18" i="85"/>
  <c r="S83" i="80"/>
  <c r="I128" i="84"/>
  <c r="G63" i="106" a="1"/>
  <c r="G63" i="106" s="1"/>
  <c r="AL221" i="106" a="1"/>
  <c r="AL221" i="106" s="1"/>
  <c r="W237" i="106" a="1"/>
  <c r="W237" i="106" s="1"/>
  <c r="S237" i="106" a="1"/>
  <c r="S237" i="106" s="1"/>
  <c r="V18" i="79"/>
  <c r="X18" i="79" s="1"/>
  <c r="V14" i="79"/>
  <c r="Q33" i="92" a="1"/>
  <c r="Q33" i="92" s="1"/>
  <c r="S246" i="106" a="1"/>
  <c r="S246" i="106" s="1"/>
  <c r="S245" i="106" a="1"/>
  <c r="S245" i="106" s="1"/>
  <c r="AA243" i="106" a="1"/>
  <c r="AA243" i="106" s="1"/>
  <c r="P221" i="106" a="1"/>
  <c r="P221" i="106" s="1"/>
  <c r="AH221" i="106" a="1"/>
  <c r="AH221" i="106" s="1"/>
  <c r="J167" i="95" a="1"/>
  <c r="J167" i="95" s="1"/>
  <c r="J158" i="95" a="1"/>
  <c r="J158" i="95" s="1"/>
  <c r="R221" i="106" a="1"/>
  <c r="R221" i="106" s="1"/>
  <c r="V19" i="79"/>
  <c r="X19" i="79" s="1"/>
  <c r="L33" i="92" a="1"/>
  <c r="L33" i="92" s="1"/>
  <c r="J125" i="95" a="1"/>
  <c r="J125" i="95" s="1"/>
  <c r="D21" i="95"/>
  <c r="G175" i="95" a="1"/>
  <c r="G175" i="95" s="1"/>
  <c r="G143" i="95" a="1"/>
  <c r="G143" i="95" s="1"/>
  <c r="G124" i="95" a="1"/>
  <c r="G124" i="95" s="1"/>
  <c r="G117" i="95" a="1"/>
  <c r="G117" i="95" s="1"/>
  <c r="G54" i="95" a="1"/>
  <c r="G54" i="95" s="1"/>
  <c r="I54" i="95" s="1" a="1"/>
  <c r="I54" i="95" s="1"/>
  <c r="H149" i="95" s="1"/>
  <c r="G46" i="95" a="1"/>
  <c r="G46" i="95" s="1"/>
  <c r="G38" i="95" a="1"/>
  <c r="G38" i="95" s="1"/>
  <c r="G30" i="95" a="1"/>
  <c r="G30" i="95" s="1"/>
  <c r="G23" i="95" a="1"/>
  <c r="G23" i="95" s="1"/>
  <c r="I23" i="95" s="1" a="1"/>
  <c r="I23" i="95" s="1"/>
  <c r="H118" i="95" s="1"/>
  <c r="G184" i="95" a="1"/>
  <c r="G184" i="95" s="1"/>
  <c r="G166" i="95" a="1"/>
  <c r="G166" i="95" s="1"/>
  <c r="G159" i="95" a="1"/>
  <c r="G159" i="95" s="1"/>
  <c r="G142" i="95" a="1"/>
  <c r="G142" i="95" s="1"/>
  <c r="G133" i="95" a="1"/>
  <c r="G133" i="95" s="1"/>
  <c r="G183" i="95" a="1"/>
  <c r="G183" i="95" s="1"/>
  <c r="G174" i="95" a="1"/>
  <c r="G174" i="95" s="1"/>
  <c r="G141" i="95" a="1"/>
  <c r="G141" i="95" s="1"/>
  <c r="G123" i="95" a="1"/>
  <c r="G123" i="95" s="1"/>
  <c r="G53" i="95" a="1"/>
  <c r="G53" i="95" s="1"/>
  <c r="I53" i="95" s="1" a="1"/>
  <c r="I53" i="95" s="1"/>
  <c r="H148" i="95" s="1"/>
  <c r="G45" i="95" a="1"/>
  <c r="G45" i="95" s="1"/>
  <c r="I45" i="95" s="1" a="1"/>
  <c r="I45" i="95" s="1"/>
  <c r="H140" i="95" s="1"/>
  <c r="G37" i="95" a="1"/>
  <c r="G37" i="95" s="1"/>
  <c r="G29" i="95" a="1"/>
  <c r="G29" i="95" s="1"/>
  <c r="G22" i="95" a="1"/>
  <c r="G22" i="95" s="1"/>
  <c r="I22" i="95" s="1" a="1"/>
  <c r="I22" i="95" s="1"/>
  <c r="H117" i="95" s="1"/>
  <c r="G182" i="95" a="1"/>
  <c r="G182" i="95" s="1"/>
  <c r="G165" i="95" a="1"/>
  <c r="G165" i="95" s="1"/>
  <c r="G158" i="95" a="1"/>
  <c r="G158" i="95" s="1"/>
  <c r="G140" i="95" a="1"/>
  <c r="G140" i="95" s="1"/>
  <c r="G132" i="95" a="1"/>
  <c r="G132" i="95" s="1"/>
  <c r="G181" i="95" a="1"/>
  <c r="G181" i="95" s="1"/>
  <c r="G139" i="95" a="1"/>
  <c r="G139" i="95" s="1"/>
  <c r="G131" i="95" a="1"/>
  <c r="G131" i="95" s="1"/>
  <c r="G122" i="95" a="1"/>
  <c r="G122" i="95" s="1"/>
  <c r="G52" i="95" a="1"/>
  <c r="G52" i="95" s="1"/>
  <c r="I52" i="95" s="1" a="1"/>
  <c r="I52" i="95" s="1"/>
  <c r="H147" i="95" s="1"/>
  <c r="G44" i="95" a="1"/>
  <c r="G44" i="95" s="1"/>
  <c r="I44" i="95" s="1" a="1"/>
  <c r="I44" i="95" s="1"/>
  <c r="H139" i="95" s="1"/>
  <c r="G36" i="95" a="1"/>
  <c r="G36" i="95" s="1"/>
  <c r="I36" i="95" s="1" a="1"/>
  <c r="I36" i="95" s="1"/>
  <c r="H131" i="95" s="1"/>
  <c r="G28" i="95" a="1"/>
  <c r="G28" i="95" s="1"/>
  <c r="G180" i="95" a="1"/>
  <c r="G180" i="95" s="1"/>
  <c r="G173" i="95" a="1"/>
  <c r="G173" i="95" s="1"/>
  <c r="G164" i="95" a="1"/>
  <c r="G164" i="95" s="1"/>
  <c r="G130" i="95" a="1"/>
  <c r="G130" i="95" s="1"/>
  <c r="G172" i="95" a="1"/>
  <c r="G172" i="95" s="1"/>
  <c r="G129" i="95" a="1"/>
  <c r="G129" i="95" s="1"/>
  <c r="G121" i="95" a="1"/>
  <c r="G121" i="95" s="1"/>
  <c r="G51" i="95" a="1"/>
  <c r="G51" i="95" s="1"/>
  <c r="I51" i="95" s="1" a="1"/>
  <c r="I51" i="95" s="1"/>
  <c r="H146" i="95" s="1"/>
  <c r="G42" i="95" a="1"/>
  <c r="G42" i="95" s="1"/>
  <c r="G35" i="95" a="1"/>
  <c r="G35" i="95" s="1"/>
  <c r="I35" i="95" s="1" a="1"/>
  <c r="I35" i="95" s="1"/>
  <c r="H130" i="95" s="1"/>
  <c r="G27" i="95" a="1"/>
  <c r="G27" i="95" s="1"/>
  <c r="G171" i="95" a="1"/>
  <c r="G171" i="95" s="1"/>
  <c r="G163" i="95" a="1"/>
  <c r="G163" i="95" s="1"/>
  <c r="G137" i="95" a="1"/>
  <c r="G137" i="95" s="1"/>
  <c r="G128" i="95" a="1"/>
  <c r="G128" i="95" s="1"/>
  <c r="G178" i="95" a="1"/>
  <c r="G178" i="95" s="1"/>
  <c r="G170" i="95" a="1"/>
  <c r="G170" i="95" s="1"/>
  <c r="G149" i="95" a="1"/>
  <c r="G149" i="95" s="1"/>
  <c r="G120" i="95" a="1"/>
  <c r="G120" i="95" s="1"/>
  <c r="G50" i="95" a="1"/>
  <c r="G50" i="95" s="1"/>
  <c r="I50" i="95" s="1" a="1"/>
  <c r="I50" i="95" s="1"/>
  <c r="H145" i="95" s="1"/>
  <c r="I144" i="95" s="1"/>
  <c r="K144" i="95" s="1" a="1"/>
  <c r="K144" i="95" s="1"/>
  <c r="G41" i="95" a="1"/>
  <c r="G41" i="95" s="1"/>
  <c r="G34" i="95" a="1"/>
  <c r="G34" i="95" s="1"/>
  <c r="I34" i="95" s="1" a="1"/>
  <c r="I34" i="95" s="1"/>
  <c r="H129" i="95" s="1"/>
  <c r="G26" i="95" a="1"/>
  <c r="G26" i="95" s="1"/>
  <c r="G190" i="95" a="1"/>
  <c r="G190" i="95" s="1"/>
  <c r="G169" i="95" a="1"/>
  <c r="G169" i="95" s="1"/>
  <c r="G162" i="95" a="1"/>
  <c r="G162" i="95" s="1"/>
  <c r="G148" i="95" a="1"/>
  <c r="G148" i="95" s="1"/>
  <c r="G136" i="95" a="1"/>
  <c r="G136" i="95" s="1"/>
  <c r="G189" i="95" a="1"/>
  <c r="G189" i="95" s="1"/>
  <c r="G177" i="95" a="1"/>
  <c r="G177" i="95" s="1"/>
  <c r="G147" i="95" a="1"/>
  <c r="G147" i="95" s="1"/>
  <c r="G126" i="95" a="1"/>
  <c r="G126" i="95" s="1"/>
  <c r="G119" i="95" a="1"/>
  <c r="G119" i="95" s="1"/>
  <c r="G48" i="95" a="1"/>
  <c r="G48" i="95" s="1"/>
  <c r="I48" i="95" s="1" a="1"/>
  <c r="I48" i="95" s="1"/>
  <c r="H143" i="95" s="1"/>
  <c r="G40" i="95" a="1"/>
  <c r="G40" i="95" s="1"/>
  <c r="G33" i="95" a="1"/>
  <c r="G33" i="95" s="1"/>
  <c r="G25" i="95" a="1"/>
  <c r="G25" i="95" s="1"/>
  <c r="G188" i="95" a="1"/>
  <c r="G188" i="95" s="1"/>
  <c r="G161" i="95" a="1"/>
  <c r="G161" i="95" s="1"/>
  <c r="G146" i="95" a="1"/>
  <c r="G146" i="95" s="1"/>
  <c r="G135" i="95" a="1"/>
  <c r="G135" i="95" s="1"/>
  <c r="G187" i="95" a="1"/>
  <c r="G187" i="95" s="1"/>
  <c r="G176" i="95" a="1"/>
  <c r="G176" i="95" s="1"/>
  <c r="G145" i="95" a="1"/>
  <c r="G145" i="95" s="1"/>
  <c r="G125" i="95" a="1"/>
  <c r="G125" i="95" s="1"/>
  <c r="G118" i="95" a="1"/>
  <c r="G118" i="95" s="1"/>
  <c r="G47" i="95" a="1"/>
  <c r="G47" i="95" s="1"/>
  <c r="I47" i="95" s="1" a="1"/>
  <c r="I47" i="95" s="1"/>
  <c r="H142" i="95" s="1"/>
  <c r="G39" i="95" a="1"/>
  <c r="G39" i="95" s="1"/>
  <c r="I39" i="95" s="1" a="1"/>
  <c r="I39" i="95" s="1"/>
  <c r="H134" i="95" s="1"/>
  <c r="I134" i="95" s="1"/>
  <c r="K134" i="95" s="1" a="1"/>
  <c r="K134" i="95" s="1"/>
  <c r="G31" i="95" a="1"/>
  <c r="G31" i="95" s="1"/>
  <c r="I31" i="95" s="1" a="1"/>
  <c r="I31" i="95" s="1"/>
  <c r="H126" i="95" s="1"/>
  <c r="G24" i="95" a="1"/>
  <c r="G24" i="95" s="1"/>
  <c r="I24" i="95" s="1" a="1"/>
  <c r="I24" i="95" s="1"/>
  <c r="H119" i="95" s="1"/>
  <c r="G186" i="95" a="1"/>
  <c r="G186" i="95" s="1"/>
  <c r="G167" i="95" a="1"/>
  <c r="G167" i="95" s="1"/>
  <c r="G160" i="95" a="1"/>
  <c r="G160" i="95" s="1"/>
  <c r="G134" i="95" a="1"/>
  <c r="G134" i="95" s="1"/>
  <c r="E483" i="106"/>
  <c r="P34" i="92" a="1"/>
  <c r="P34" i="92" s="1"/>
  <c r="O34" i="92" a="1"/>
  <c r="O34" i="92" s="1"/>
  <c r="P32" i="92" a="1"/>
  <c r="P32" i="92" s="1"/>
  <c r="N32" i="92" a="1"/>
  <c r="N32" i="92" s="1"/>
  <c r="P27" i="92" a="1"/>
  <c r="P27" i="92" s="1"/>
  <c r="P36" i="91" a="1"/>
  <c r="P36" i="91" s="1"/>
  <c r="N35" i="91" a="1"/>
  <c r="N35" i="91" s="1"/>
  <c r="O35" i="91" a="1"/>
  <c r="O35" i="91" s="1"/>
  <c r="E56" i="91" s="1"/>
  <c r="P35" i="91" a="1"/>
  <c r="P35" i="91" s="1"/>
  <c r="Q32" i="91" a="1"/>
  <c r="Q32" i="91" s="1"/>
  <c r="F243" i="106" a="1"/>
  <c r="F243" i="106" s="1"/>
  <c r="F128" i="106"/>
  <c r="I128" i="106" s="1" a="1"/>
  <c r="I128" i="106" s="1"/>
  <c r="E473" i="106"/>
  <c r="E502" i="106"/>
  <c r="E166" i="106"/>
  <c r="G125" i="106" a="1"/>
  <c r="G125" i="106" s="1"/>
  <c r="E141" i="106"/>
  <c r="J27" i="106" a="1"/>
  <c r="J27" i="106" s="1"/>
  <c r="J373" i="106" a="1"/>
  <c r="J373" i="106" s="1"/>
  <c r="E142" i="106"/>
  <c r="G275" i="106" a="1"/>
  <c r="G275" i="106" s="1"/>
  <c r="J368" i="106" a="1"/>
  <c r="J368" i="106" s="1"/>
  <c r="I278" i="106" a="1"/>
  <c r="I278" i="106" s="1"/>
  <c r="J30" i="106" a="1"/>
  <c r="J30" i="106" s="1"/>
  <c r="F123" i="106"/>
  <c r="I123" i="106" s="1" a="1"/>
  <c r="I123" i="106" s="1"/>
  <c r="J28" i="106" a="1"/>
  <c r="J28" i="106" s="1"/>
  <c r="F245" i="106" a="1"/>
  <c r="F245" i="106" s="1"/>
  <c r="E472" i="106"/>
  <c r="E639" i="106"/>
  <c r="E642" i="106" s="1"/>
  <c r="H370" i="106" a="1"/>
  <c r="H370" i="106" s="1"/>
  <c r="I126" i="95"/>
  <c r="K126" i="95" s="1" a="1"/>
  <c r="K126" i="95" s="1"/>
  <c r="G274" i="106" a="1"/>
  <c r="G274" i="106" s="1"/>
  <c r="J372" i="106" a="1"/>
  <c r="J372" i="106" s="1"/>
  <c r="G276" i="106" a="1"/>
  <c r="G276" i="106" s="1"/>
  <c r="F127" i="106"/>
  <c r="I127" i="106" s="1" a="1"/>
  <c r="I127" i="106" s="1"/>
  <c r="I124" i="106" a="1"/>
  <c r="I124" i="106" s="1"/>
  <c r="G124" i="106" a="1"/>
  <c r="G124" i="106" s="1"/>
  <c r="G126" i="106" a="1"/>
  <c r="G126" i="106" s="1"/>
  <c r="I126" i="106" a="1"/>
  <c r="I126" i="106" s="1"/>
  <c r="F246" i="106" a="1"/>
  <c r="F246" i="106" s="1"/>
  <c r="I271" i="106" a="1"/>
  <c r="I271" i="106" s="1"/>
  <c r="F241" i="106" a="1"/>
  <c r="F241" i="106" s="1"/>
  <c r="J31" i="106" a="1"/>
  <c r="J31" i="106" s="1"/>
  <c r="J371" i="106" a="1"/>
  <c r="J371" i="106" s="1"/>
  <c r="H371" i="106" a="1"/>
  <c r="H371" i="106" s="1"/>
  <c r="I280" i="106" a="1"/>
  <c r="I280" i="106" s="1"/>
  <c r="G280" i="106" a="1"/>
  <c r="G280" i="106" s="1"/>
  <c r="J436" i="106" a="1"/>
  <c r="J436" i="106" s="1"/>
  <c r="H436" i="106" a="1"/>
  <c r="H436" i="106" s="1"/>
  <c r="I281" i="106" a="1"/>
  <c r="I281" i="106" s="1"/>
  <c r="G281" i="106" a="1"/>
  <c r="G281" i="106" s="1"/>
  <c r="J29" i="106" a="1"/>
  <c r="J29" i="106" s="1"/>
  <c r="F240" i="106" a="1"/>
  <c r="F240" i="106" s="1"/>
  <c r="I273" i="106" a="1"/>
  <c r="I273" i="106" s="1"/>
  <c r="G273" i="106" a="1"/>
  <c r="G273" i="106" s="1"/>
  <c r="G79" i="106" a="1"/>
  <c r="G79" i="106" s="1"/>
  <c r="E90" i="106" s="1"/>
  <c r="J79" i="106" a="1"/>
  <c r="J79" i="106" s="1"/>
  <c r="E91" i="106" s="1"/>
  <c r="F238" i="106" a="1"/>
  <c r="F238" i="106" s="1"/>
  <c r="J457" i="106" a="1"/>
  <c r="J457" i="106" s="1"/>
  <c r="H457" i="106" a="1"/>
  <c r="H457" i="106" s="1"/>
  <c r="I277" i="106" a="1"/>
  <c r="I277" i="106" s="1"/>
  <c r="G277" i="106" a="1"/>
  <c r="G277" i="106" s="1"/>
  <c r="G42" i="106" a="1"/>
  <c r="G42" i="106" s="1"/>
  <c r="E53" i="106" s="1"/>
  <c r="J42" i="106" a="1"/>
  <c r="J42" i="106" s="1"/>
  <c r="E54" i="106" s="1"/>
  <c r="E411" i="106"/>
  <c r="J25" i="106" a="1"/>
  <c r="J25" i="106" s="1"/>
  <c r="F237" i="106" a="1"/>
  <c r="F237" i="106" s="1"/>
  <c r="G272" i="106" a="1"/>
  <c r="G272" i="106" s="1"/>
  <c r="J454" i="106" a="1"/>
  <c r="J454" i="106" s="1"/>
  <c r="H454" i="106" a="1"/>
  <c r="H454" i="106" s="1"/>
  <c r="F239" i="106" a="1"/>
  <c r="F239" i="106" s="1"/>
  <c r="M26" i="106" a="1"/>
  <c r="M26" i="106" s="1"/>
  <c r="E35" i="106" s="1"/>
  <c r="J26" i="106" a="1"/>
  <c r="J26" i="106" s="1"/>
  <c r="E73" i="106"/>
  <c r="H456" i="106" a="1"/>
  <c r="H456" i="106" s="1"/>
  <c r="J456" i="106" a="1"/>
  <c r="J456" i="106" s="1"/>
  <c r="J439" i="106" a="1"/>
  <c r="J439" i="106" s="1"/>
  <c r="H439" i="106" a="1"/>
  <c r="H439" i="106" s="1"/>
  <c r="J367" i="106" a="1"/>
  <c r="J367" i="106" s="1"/>
  <c r="H367" i="106" a="1"/>
  <c r="H367" i="106" s="1"/>
  <c r="G122" i="106" a="1"/>
  <c r="G122" i="106" s="1"/>
  <c r="E72" i="106"/>
  <c r="J437" i="106" a="1"/>
  <c r="J437" i="106" s="1"/>
  <c r="H437" i="106" a="1"/>
  <c r="H437" i="106" s="1"/>
  <c r="F244" i="106" a="1"/>
  <c r="F244" i="106" s="1"/>
  <c r="J375" i="106" a="1"/>
  <c r="J375" i="106" s="1"/>
  <c r="H375" i="106" a="1"/>
  <c r="H375" i="106" s="1"/>
  <c r="I279" i="106" a="1"/>
  <c r="I279" i="106" s="1"/>
  <c r="G279" i="106" a="1"/>
  <c r="G279" i="106" s="1"/>
  <c r="E348" i="106"/>
  <c r="H438" i="106" a="1"/>
  <c r="H438" i="106" s="1"/>
  <c r="J438" i="106" a="1"/>
  <c r="J438" i="106" s="1"/>
  <c r="I56" i="100"/>
  <c r="I33" i="100"/>
  <c r="I64" i="95" a="1"/>
  <c r="I64" i="95" s="1"/>
  <c r="H162" i="95" s="1"/>
  <c r="I162" i="95" s="1"/>
  <c r="K162" i="95" s="1" a="1"/>
  <c r="K162" i="95" s="1"/>
  <c r="I160" i="95"/>
  <c r="K160" i="95" s="1" a="1"/>
  <c r="K160" i="95" s="1"/>
  <c r="I117" i="95"/>
  <c r="K117" i="95" s="1" a="1"/>
  <c r="K117" i="95" s="1"/>
  <c r="I119" i="95"/>
  <c r="K119" i="95" s="1" a="1"/>
  <c r="K119" i="95" s="1"/>
  <c r="I178" i="95"/>
  <c r="K178" i="95" s="1" a="1"/>
  <c r="K178" i="95" s="1"/>
  <c r="I33" i="95" a="1"/>
  <c r="I33" i="95" s="1"/>
  <c r="H128" i="95" s="1"/>
  <c r="I118" i="95"/>
  <c r="K118" i="95" s="1" a="1"/>
  <c r="K118" i="95" s="1"/>
  <c r="I72" i="95" a="1"/>
  <c r="I72" i="95" s="1"/>
  <c r="H170" i="95" s="1"/>
  <c r="I79" i="95" a="1"/>
  <c r="I79" i="95" s="1"/>
  <c r="H177" i="95" s="1"/>
  <c r="I177" i="95" s="1"/>
  <c r="K177" i="95" s="1" a="1"/>
  <c r="K177" i="95" s="1"/>
  <c r="E40" i="97"/>
  <c r="E36" i="97"/>
  <c r="E35" i="97" s="1"/>
  <c r="Q14" i="98" s="1"/>
  <c r="N20" i="98" s="1" a="1"/>
  <c r="N20" i="98" s="1"/>
  <c r="R36" i="98" s="1"/>
  <c r="N43" i="98" s="1" a="1"/>
  <c r="N43" i="98" s="1"/>
  <c r="I86" i="95" a="1"/>
  <c r="I86" i="95" s="1"/>
  <c r="H184" i="95" s="1"/>
  <c r="I63" i="95" a="1"/>
  <c r="I63" i="95" s="1"/>
  <c r="H161" i="95" s="1"/>
  <c r="I161" i="95" s="1"/>
  <c r="K161" i="95" s="1" a="1"/>
  <c r="K161" i="95" s="1"/>
  <c r="I40" i="95" a="1"/>
  <c r="I40" i="95" s="1"/>
  <c r="H135" i="95" s="1"/>
  <c r="I135" i="95" s="1"/>
  <c r="K135" i="95" s="1" a="1"/>
  <c r="K135" i="95" s="1"/>
  <c r="I66" i="95" a="1"/>
  <c r="I66" i="95" s="1"/>
  <c r="H164" i="95" s="1"/>
  <c r="I164" i="95" s="1"/>
  <c r="K164" i="95" s="1" a="1"/>
  <c r="K164" i="95" s="1"/>
  <c r="I166" i="95"/>
  <c r="K166" i="95" s="1" a="1"/>
  <c r="K166" i="95" s="1"/>
  <c r="I25" i="95" a="1"/>
  <c r="I25" i="95" s="1"/>
  <c r="H120" i="95" s="1"/>
  <c r="I120" i="95" s="1"/>
  <c r="K120" i="95" s="1" a="1"/>
  <c r="K120" i="95" s="1"/>
  <c r="I59" i="95" a="1"/>
  <c r="I59" i="95" s="1"/>
  <c r="H157" i="95" s="1"/>
  <c r="I163" i="95"/>
  <c r="K163" i="95" s="1" a="1"/>
  <c r="K163" i="95" s="1"/>
  <c r="I85" i="95" a="1"/>
  <c r="I85" i="95" s="1"/>
  <c r="H183" i="95" s="1"/>
  <c r="I174" i="95"/>
  <c r="K174" i="95" s="1" a="1"/>
  <c r="K174" i="95" s="1"/>
  <c r="I74" i="95" a="1"/>
  <c r="I74" i="95" s="1"/>
  <c r="H172" i="95" s="1"/>
  <c r="I159" i="95"/>
  <c r="K159" i="95" s="1" a="1"/>
  <c r="K159" i="95" s="1"/>
  <c r="I78" i="95" a="1"/>
  <c r="I78" i="95" s="1"/>
  <c r="H176" i="95" s="1"/>
  <c r="I176" i="95" s="1"/>
  <c r="K176" i="95" s="1" a="1"/>
  <c r="K176" i="95" s="1"/>
  <c r="I185" i="95"/>
  <c r="K185" i="95" s="1" a="1"/>
  <c r="K185" i="95" s="1"/>
  <c r="I167" i="95"/>
  <c r="K167" i="95" s="1" a="1"/>
  <c r="K167" i="95" s="1"/>
  <c r="I71" i="95" a="1"/>
  <c r="I71" i="95" s="1"/>
  <c r="H169" i="95" s="1"/>
  <c r="P30" i="92" a="1"/>
  <c r="P30" i="92" s="1"/>
  <c r="O30" i="92" a="1"/>
  <c r="O30" i="92" s="1"/>
  <c r="N30" i="92" a="1"/>
  <c r="N30" i="92" s="1"/>
  <c r="Q30" i="92" a="1"/>
  <c r="Q30" i="92" s="1"/>
  <c r="P39" i="92" a="1"/>
  <c r="P39" i="92" s="1"/>
  <c r="O39" i="92" a="1"/>
  <c r="O39" i="92" s="1"/>
  <c r="N39" i="92" a="1"/>
  <c r="N39" i="92" s="1"/>
  <c r="Q39" i="92" a="1"/>
  <c r="Q39" i="92" s="1"/>
  <c r="P26" i="92" a="1"/>
  <c r="P26" i="92" s="1"/>
  <c r="O26" i="92" a="1"/>
  <c r="O26" i="92" s="1"/>
  <c r="N26" i="92" a="1"/>
  <c r="N26" i="92" s="1"/>
  <c r="Q26" i="92" a="1"/>
  <c r="Q26" i="92" s="1"/>
  <c r="P40" i="92" a="1"/>
  <c r="P40" i="92" s="1"/>
  <c r="O40" i="92" a="1"/>
  <c r="O40" i="92" s="1"/>
  <c r="N40" i="92" a="1"/>
  <c r="N40" i="92" s="1"/>
  <c r="Q40" i="92" a="1"/>
  <c r="Q40" i="92" s="1"/>
  <c r="Q28" i="92" a="1"/>
  <c r="Q28" i="92" s="1"/>
  <c r="P37" i="92" a="1"/>
  <c r="P37" i="92" s="1"/>
  <c r="O37" i="92" a="1"/>
  <c r="O37" i="92" s="1"/>
  <c r="N37" i="92" a="1"/>
  <c r="N37" i="92" s="1"/>
  <c r="O36" i="92" a="1"/>
  <c r="O36" i="92" s="1"/>
  <c r="N36" i="92" a="1"/>
  <c r="N36" i="92" s="1"/>
  <c r="P36" i="92" a="1"/>
  <c r="P36" i="92" s="1"/>
  <c r="P28" i="92" a="1"/>
  <c r="P28" i="92" s="1"/>
  <c r="Q25" i="92" a="1"/>
  <c r="Q25" i="92" s="1"/>
  <c r="O35" i="92" a="1"/>
  <c r="O35" i="92" s="1"/>
  <c r="N35" i="92" a="1"/>
  <c r="N35" i="92" s="1"/>
  <c r="Q37" i="92" a="1"/>
  <c r="Q37" i="92" s="1"/>
  <c r="O25" i="92" a="1"/>
  <c r="O25" i="92" s="1"/>
  <c r="P33" i="92" a="1"/>
  <c r="P33" i="92" s="1"/>
  <c r="O33" i="92" a="1"/>
  <c r="O33" i="92" s="1"/>
  <c r="N33" i="92" a="1"/>
  <c r="N33" i="92" s="1"/>
  <c r="O29" i="92" a="1"/>
  <c r="O29" i="92" s="1"/>
  <c r="N29" i="92" a="1"/>
  <c r="N29" i="92" s="1"/>
  <c r="P29" i="92" a="1"/>
  <c r="P29" i="92" s="1"/>
  <c r="Q35" i="92" a="1"/>
  <c r="Q35" i="92" s="1"/>
  <c r="Q38" i="91" a="1"/>
  <c r="Q38" i="91" s="1"/>
  <c r="P38" i="91" a="1"/>
  <c r="P38" i="91" s="1"/>
  <c r="O38" i="91" a="1"/>
  <c r="O38" i="91" s="1"/>
  <c r="N38" i="91" a="1"/>
  <c r="N38" i="91" s="1"/>
  <c r="E55" i="91"/>
  <c r="E58" i="91"/>
  <c r="P30" i="91" a="1"/>
  <c r="P30" i="91" s="1"/>
  <c r="O30" i="91" a="1"/>
  <c r="O30" i="91" s="1"/>
  <c r="N30" i="91" a="1"/>
  <c r="N30" i="91" s="1"/>
  <c r="Q30" i="91" a="1"/>
  <c r="Q30" i="91" s="1"/>
  <c r="O32" i="91" a="1"/>
  <c r="O32" i="91" s="1"/>
  <c r="N32" i="91" a="1"/>
  <c r="N32" i="91" s="1"/>
  <c r="P32" i="91" a="1"/>
  <c r="P32" i="91" s="1"/>
  <c r="Q39" i="91" a="1"/>
  <c r="Q39" i="91" s="1"/>
  <c r="P39" i="91" a="1"/>
  <c r="P39" i="91" s="1"/>
  <c r="O39" i="91" a="1"/>
  <c r="O39" i="91" s="1"/>
  <c r="N39" i="91" a="1"/>
  <c r="N39" i="91" s="1"/>
  <c r="P33" i="91" a="1"/>
  <c r="P33" i="91" s="1"/>
  <c r="E51" i="91" s="1"/>
  <c r="O33" i="91" a="1"/>
  <c r="O33" i="91" s="1"/>
  <c r="E50" i="91" s="1"/>
  <c r="N33" i="91" a="1"/>
  <c r="N33" i="91" s="1"/>
  <c r="E49" i="91" s="1"/>
  <c r="Q33" i="91" a="1"/>
  <c r="Q33" i="91" s="1"/>
  <c r="E52" i="91" s="1"/>
  <c r="P34" i="91" a="1"/>
  <c r="P34" i="91" s="1"/>
  <c r="E57" i="91" s="1"/>
  <c r="Q26" i="91" a="1"/>
  <c r="Q26" i="91" s="1"/>
  <c r="P26" i="91" a="1"/>
  <c r="P26" i="91" s="1"/>
  <c r="O26" i="91" a="1"/>
  <c r="O26" i="91" s="1"/>
  <c r="N26" i="91" a="1"/>
  <c r="N26" i="91" s="1"/>
  <c r="O45" i="80" l="1"/>
  <c r="W49" i="80"/>
  <c r="W48" i="80"/>
  <c r="S49" i="80" a="1"/>
  <c r="S49" i="80" s="1"/>
  <c r="R47" i="80" a="1"/>
  <c r="R47" i="80" s="1"/>
  <c r="S47" i="80" a="1"/>
  <c r="S47" i="80" s="1"/>
  <c r="T49" i="80"/>
  <c r="R46" i="80" a="1"/>
  <c r="R46" i="80" s="1"/>
  <c r="R48" i="80" a="1"/>
  <c r="R48" i="80" s="1"/>
  <c r="T48" i="80"/>
  <c r="U48" i="80" s="1"/>
  <c r="V49" i="80" a="1"/>
  <c r="V49" i="80" s="1"/>
  <c r="T47" i="80"/>
  <c r="V47" i="80" s="1" a="1"/>
  <c r="V47" i="80" s="1"/>
  <c r="S46" i="80" a="1"/>
  <c r="S46" i="80" s="1"/>
  <c r="V48" i="80" a="1"/>
  <c r="V48" i="80" s="1"/>
  <c r="S48" i="80" a="1"/>
  <c r="S48" i="80" s="1"/>
  <c r="T46" i="80"/>
  <c r="U46" i="80" s="1"/>
  <c r="R49" i="80" a="1"/>
  <c r="R49" i="80" s="1"/>
  <c r="I138" i="95"/>
  <c r="K138" i="95" s="1" a="1"/>
  <c r="K138" i="95" s="1"/>
  <c r="I28" i="95" a="1"/>
  <c r="I28" i="95" s="1"/>
  <c r="H123" i="95" s="1"/>
  <c r="I123" i="95" s="1"/>
  <c r="K123" i="95" s="1" a="1"/>
  <c r="K123" i="95" s="1"/>
  <c r="I29" i="95" a="1"/>
  <c r="I29" i="95" s="1"/>
  <c r="H124" i="95" s="1"/>
  <c r="I124" i="95" s="1"/>
  <c r="K124" i="95" s="1" a="1"/>
  <c r="K124" i="95" s="1"/>
  <c r="I30" i="95" a="1"/>
  <c r="I30" i="95" s="1"/>
  <c r="H125" i="95" s="1"/>
  <c r="I125" i="95" s="1"/>
  <c r="K125" i="95" s="1" a="1"/>
  <c r="K125" i="95" s="1"/>
  <c r="I54" i="79"/>
  <c r="G20" i="82" a="1"/>
  <c r="J54" i="79"/>
  <c r="F20" i="82" a="1"/>
  <c r="F20" i="82" s="1"/>
  <c r="O25" i="91" a="1"/>
  <c r="O25" i="91" s="1"/>
  <c r="E44" i="91" s="1"/>
  <c r="I37" i="95" a="1"/>
  <c r="I37" i="95" s="1"/>
  <c r="H132" i="95" s="1"/>
  <c r="I132" i="95" s="1"/>
  <c r="K132" i="95" s="1" a="1"/>
  <c r="K132" i="95" s="1"/>
  <c r="I38" i="95" a="1"/>
  <c r="I38" i="95" s="1"/>
  <c r="H133" i="95" s="1"/>
  <c r="I133" i="95" s="1"/>
  <c r="K133" i="95" s="1" a="1"/>
  <c r="K133" i="95" s="1"/>
  <c r="Q36" i="92" a="1"/>
  <c r="Q36" i="92" s="1"/>
  <c r="P25" i="91" a="1"/>
  <c r="P25" i="91" s="1"/>
  <c r="I46" i="95" a="1"/>
  <c r="I46" i="95" s="1"/>
  <c r="H141" i="95" s="1"/>
  <c r="U221" i="106"/>
  <c r="W221" i="106" s="1" a="1"/>
  <c r="W221" i="106" s="1"/>
  <c r="W225" i="106" a="1"/>
  <c r="W225" i="106" s="1"/>
  <c r="W227" i="106" a="1"/>
  <c r="W227" i="106" s="1"/>
  <c r="W229" i="106" a="1"/>
  <c r="W229" i="106" s="1"/>
  <c r="W222" i="106" a="1"/>
  <c r="W222" i="106" s="1"/>
  <c r="W224" i="106" a="1"/>
  <c r="W224" i="106" s="1"/>
  <c r="W226" i="106" a="1"/>
  <c r="W226" i="106" s="1"/>
  <c r="W228" i="106" a="1"/>
  <c r="W228" i="106" s="1"/>
  <c r="W230" i="106" a="1"/>
  <c r="W230" i="106" s="1"/>
  <c r="W223" i="106" a="1"/>
  <c r="W223" i="106" s="1"/>
  <c r="N25" i="91" a="1"/>
  <c r="N25" i="91" s="1"/>
  <c r="I27" i="95" a="1"/>
  <c r="I27" i="95" s="1"/>
  <c r="H122" i="95" s="1"/>
  <c r="I122" i="95" s="1"/>
  <c r="K122" i="95" s="1" a="1"/>
  <c r="K122" i="95" s="1"/>
  <c r="O55" i="80"/>
  <c r="W59" i="80"/>
  <c r="W58" i="80"/>
  <c r="R59" i="80" a="1"/>
  <c r="R59" i="80" s="1"/>
  <c r="R56" i="80" a="1"/>
  <c r="R56" i="80" s="1"/>
  <c r="S57" i="80" a="1"/>
  <c r="S57" i="80" s="1"/>
  <c r="S56" i="80" a="1"/>
  <c r="S56" i="80" s="1"/>
  <c r="T58" i="80"/>
  <c r="R57" i="80" a="1"/>
  <c r="R57" i="80" s="1"/>
  <c r="T59" i="80"/>
  <c r="V59" i="80" a="1"/>
  <c r="V59" i="80" s="1"/>
  <c r="V58" i="80" a="1"/>
  <c r="V58" i="80" s="1"/>
  <c r="S58" i="80" a="1"/>
  <c r="S58" i="80" s="1"/>
  <c r="S59" i="80" a="1"/>
  <c r="S59" i="80" s="1"/>
  <c r="T56" i="80"/>
  <c r="V56" i="80" s="1" a="1"/>
  <c r="V56" i="80" s="1"/>
  <c r="R58" i="80" a="1"/>
  <c r="R58" i="80" s="1"/>
  <c r="T57" i="80"/>
  <c r="V57" i="80" s="1" a="1"/>
  <c r="V57" i="80" s="1"/>
  <c r="I26" i="95" a="1"/>
  <c r="I26" i="95" s="1"/>
  <c r="H121" i="95" s="1"/>
  <c r="I121" i="95" s="1"/>
  <c r="K121" i="95" s="1" a="1"/>
  <c r="K121" i="95" s="1"/>
  <c r="I42" i="95" a="1"/>
  <c r="I42" i="95" s="1"/>
  <c r="H137" i="95" s="1"/>
  <c r="I137" i="95" s="1"/>
  <c r="K137" i="95" s="1" a="1"/>
  <c r="K137" i="95" s="1"/>
  <c r="AK221" i="106"/>
  <c r="AM221" i="106" s="1" a="1"/>
  <c r="AM221" i="106" s="1"/>
  <c r="AM229" i="106" a="1"/>
  <c r="AM229" i="106" s="1"/>
  <c r="AM222" i="106" a="1"/>
  <c r="AM222" i="106" s="1"/>
  <c r="AM224" i="106" a="1"/>
  <c r="AM224" i="106" s="1"/>
  <c r="AM226" i="106" a="1"/>
  <c r="AM226" i="106" s="1"/>
  <c r="AM228" i="106" a="1"/>
  <c r="AM228" i="106" s="1"/>
  <c r="AM230" i="106" a="1"/>
  <c r="AM230" i="106" s="1"/>
  <c r="AM223" i="106" a="1"/>
  <c r="AM223" i="106" s="1"/>
  <c r="AM225" i="106" a="1"/>
  <c r="AM225" i="106" s="1"/>
  <c r="AM227" i="106" a="1"/>
  <c r="AM227" i="106" s="1"/>
  <c r="I56" i="79"/>
  <c r="J56" i="79"/>
  <c r="I55" i="79"/>
  <c r="J55" i="79"/>
  <c r="Y221" i="106"/>
  <c r="AA221" i="106" s="1" a="1"/>
  <c r="AA221" i="106" s="1"/>
  <c r="AA227" i="106" a="1"/>
  <c r="AA227" i="106" s="1"/>
  <c r="AA229" i="106" a="1"/>
  <c r="AA229" i="106" s="1"/>
  <c r="AA222" i="106" a="1"/>
  <c r="AA222" i="106" s="1"/>
  <c r="AA224" i="106" a="1"/>
  <c r="AA224" i="106" s="1"/>
  <c r="AA226" i="106" a="1"/>
  <c r="AA226" i="106" s="1"/>
  <c r="AA228" i="106" a="1"/>
  <c r="AA228" i="106" s="1"/>
  <c r="AA230" i="106" a="1"/>
  <c r="AA230" i="106" s="1"/>
  <c r="AA223" i="106" a="1"/>
  <c r="AA223" i="106" s="1"/>
  <c r="AA225" i="106" a="1"/>
  <c r="AA225" i="106" s="1"/>
  <c r="N38" i="92" a="1"/>
  <c r="N38" i="92" s="1"/>
  <c r="E49" i="92" s="1"/>
  <c r="O38" i="92" a="1"/>
  <c r="O38" i="92" s="1"/>
  <c r="E50" i="92" s="1"/>
  <c r="P38" i="92" a="1"/>
  <c r="P38" i="92" s="1"/>
  <c r="Q34" i="92" a="1"/>
  <c r="Q34" i="92" s="1"/>
  <c r="I41" i="95" a="1"/>
  <c r="I41" i="95" s="1"/>
  <c r="H136" i="95" s="1"/>
  <c r="I136" i="95" s="1"/>
  <c r="K136" i="95" s="1" a="1"/>
  <c r="K136" i="95" s="1"/>
  <c r="P45" i="80" a="1"/>
  <c r="Q49" i="80" s="1"/>
  <c r="I17" i="79"/>
  <c r="Q32" i="92" a="1"/>
  <c r="Q32" i="92" s="1"/>
  <c r="Q31" i="92" a="1"/>
  <c r="Q31" i="92" s="1"/>
  <c r="O31" i="92" a="1"/>
  <c r="O31" i="92" s="1"/>
  <c r="E44" i="92" s="1"/>
  <c r="I158" i="95"/>
  <c r="K158" i="95" s="1" a="1"/>
  <c r="K158" i="95" s="1"/>
  <c r="Q38" i="92" a="1"/>
  <c r="Q38" i="92" s="1"/>
  <c r="E52" i="92" s="1"/>
  <c r="G116" i="95" a="1"/>
  <c r="G116" i="95" s="1"/>
  <c r="G21" i="95" a="1"/>
  <c r="G21" i="95" s="1"/>
  <c r="I21" i="95" s="1" a="1"/>
  <c r="I21" i="95" s="1"/>
  <c r="H116" i="95" s="1"/>
  <c r="G157" i="95" a="1"/>
  <c r="G157" i="95" s="1"/>
  <c r="I165" i="95"/>
  <c r="K165" i="95" s="1" a="1"/>
  <c r="K165" i="95" s="1"/>
  <c r="E25" i="83" a="1"/>
  <c r="E305" i="106" a="1"/>
  <c r="E305" i="106" s="1"/>
  <c r="I173" i="95"/>
  <c r="K173" i="95" s="1" a="1"/>
  <c r="K173" i="95" s="1"/>
  <c r="F270" i="106" a="1"/>
  <c r="F270" i="106" s="1"/>
  <c r="E270" i="106"/>
  <c r="G25" i="79"/>
  <c r="E237" i="106" s="1" a="1"/>
  <c r="P55" i="80" a="1"/>
  <c r="I127" i="95"/>
  <c r="K127" i="95" s="1" a="1"/>
  <c r="K127" i="95" s="1"/>
  <c r="Q221" i="106"/>
  <c r="S221" i="106" s="1" a="1"/>
  <c r="S221" i="106" s="1"/>
  <c r="S225" i="106" a="1"/>
  <c r="S225" i="106" s="1"/>
  <c r="S227" i="106" a="1"/>
  <c r="S227" i="106" s="1"/>
  <c r="S229" i="106" a="1"/>
  <c r="S229" i="106" s="1"/>
  <c r="S222" i="106" a="1"/>
  <c r="S222" i="106" s="1"/>
  <c r="S224" i="106" a="1"/>
  <c r="S224" i="106" s="1"/>
  <c r="S226" i="106" a="1"/>
  <c r="S226" i="106" s="1"/>
  <c r="S228" i="106" a="1"/>
  <c r="S228" i="106" s="1"/>
  <c r="S230" i="106" a="1"/>
  <c r="S230" i="106" s="1"/>
  <c r="S223" i="106" a="1"/>
  <c r="S223" i="106" s="1"/>
  <c r="AC221" i="106"/>
  <c r="AE221" i="106" s="1" a="1"/>
  <c r="AE221" i="106" s="1"/>
  <c r="AE227" i="106" a="1"/>
  <c r="AE227" i="106" s="1"/>
  <c r="AE229" i="106" a="1"/>
  <c r="AE229" i="106" s="1"/>
  <c r="AE222" i="106" a="1"/>
  <c r="AE222" i="106" s="1"/>
  <c r="AE224" i="106" a="1"/>
  <c r="AE224" i="106" s="1"/>
  <c r="AE226" i="106" a="1"/>
  <c r="AE226" i="106" s="1"/>
  <c r="AE228" i="106" a="1"/>
  <c r="AE228" i="106" s="1"/>
  <c r="AE230" i="106" a="1"/>
  <c r="AE230" i="106" s="1"/>
  <c r="AE223" i="106" a="1"/>
  <c r="AE223" i="106" s="1"/>
  <c r="AE225" i="106" a="1"/>
  <c r="AE225" i="106" s="1"/>
  <c r="AG221" i="106"/>
  <c r="AI221" i="106" s="1" a="1"/>
  <c r="AI221" i="106" s="1"/>
  <c r="AI229" i="106" a="1"/>
  <c r="AI229" i="106" s="1"/>
  <c r="AI222" i="106" a="1"/>
  <c r="AI222" i="106" s="1"/>
  <c r="AI224" i="106" a="1"/>
  <c r="AI224" i="106" s="1"/>
  <c r="AI226" i="106" a="1"/>
  <c r="AI226" i="106" s="1"/>
  <c r="AI228" i="106" a="1"/>
  <c r="AI228" i="106" s="1"/>
  <c r="AI230" i="106" a="1"/>
  <c r="AI230" i="106" s="1"/>
  <c r="AI223" i="106" a="1"/>
  <c r="AI223" i="106" s="1"/>
  <c r="AI225" i="106" a="1"/>
  <c r="AI225" i="106" s="1"/>
  <c r="AI227" i="106" a="1"/>
  <c r="AI227" i="106" s="1"/>
  <c r="R55" i="98"/>
  <c r="O24" i="99"/>
  <c r="G128" i="106" a="1"/>
  <c r="G128" i="106" s="1"/>
  <c r="E94" i="106"/>
  <c r="G127" i="106" a="1"/>
  <c r="G127" i="106" s="1"/>
  <c r="E131" i="106"/>
  <c r="E145" i="106" s="1"/>
  <c r="E442" i="106"/>
  <c r="E460" i="106"/>
  <c r="E34" i="106"/>
  <c r="E93" i="106" s="1"/>
  <c r="E459" i="106"/>
  <c r="E378" i="106"/>
  <c r="G123" i="106" a="1"/>
  <c r="G123" i="106" s="1"/>
  <c r="E441" i="106"/>
  <c r="E379" i="106"/>
  <c r="E42" i="97"/>
  <c r="I179" i="95"/>
  <c r="K179" i="95" s="1" a="1"/>
  <c r="K179" i="95" s="1"/>
  <c r="I168" i="95"/>
  <c r="K168" i="95" s="1" a="1"/>
  <c r="K168" i="95" s="1"/>
  <c r="I157" i="95"/>
  <c r="K157" i="95" s="1" a="1"/>
  <c r="K157" i="95" s="1"/>
  <c r="I116" i="95"/>
  <c r="K116" i="95" s="1" a="1"/>
  <c r="K116" i="95" s="1"/>
  <c r="E46" i="91"/>
  <c r="E45" i="92"/>
  <c r="E62" i="91"/>
  <c r="E61" i="91"/>
  <c r="E64" i="91"/>
  <c r="E51" i="92"/>
  <c r="E43" i="92"/>
  <c r="E43" i="91"/>
  <c r="E46" i="92"/>
  <c r="E63" i="91"/>
  <c r="E45" i="91"/>
  <c r="E237" i="106" l="1"/>
  <c r="J245" i="106" a="1"/>
  <c r="J245" i="106" s="1"/>
  <c r="J240" i="106" a="1"/>
  <c r="J240" i="106" s="1"/>
  <c r="J242" i="106" a="1"/>
  <c r="J242" i="106" s="1"/>
  <c r="H239" i="106" a="1"/>
  <c r="H239" i="106" s="1"/>
  <c r="J241" i="106" a="1"/>
  <c r="J241" i="106" s="1"/>
  <c r="J244" i="106" a="1"/>
  <c r="J244" i="106" s="1"/>
  <c r="J246" i="106" a="1"/>
  <c r="J246" i="106" s="1"/>
  <c r="J238" i="106" a="1"/>
  <c r="J238" i="106" s="1"/>
  <c r="J243" i="106" a="1"/>
  <c r="J243" i="106" s="1"/>
  <c r="J239" i="106" a="1"/>
  <c r="J239" i="106" s="1"/>
  <c r="K238" i="106" a="1"/>
  <c r="K238" i="106" s="1"/>
  <c r="H245" i="106" a="1"/>
  <c r="H245" i="106" s="1"/>
  <c r="K240" i="106" a="1"/>
  <c r="K240" i="106" s="1"/>
  <c r="H241" i="106" a="1"/>
  <c r="H241" i="106" s="1"/>
  <c r="H243" i="106" a="1"/>
  <c r="H243" i="106" s="1"/>
  <c r="K246" i="106" a="1"/>
  <c r="K246" i="106" s="1"/>
  <c r="K245" i="106" a="1"/>
  <c r="K245" i="106" s="1"/>
  <c r="K243" i="106" a="1"/>
  <c r="K243" i="106" s="1"/>
  <c r="H238" i="106" a="1"/>
  <c r="H238" i="106" s="1"/>
  <c r="K242" i="106" a="1"/>
  <c r="K242" i="106" s="1"/>
  <c r="H242" i="106" a="1"/>
  <c r="H242" i="106" s="1"/>
  <c r="H246" i="106" a="1"/>
  <c r="H246" i="106" s="1"/>
  <c r="K244" i="106" a="1"/>
  <c r="K244" i="106" s="1"/>
  <c r="K241" i="106" a="1"/>
  <c r="K241" i="106" s="1"/>
  <c r="H240" i="106" a="1"/>
  <c r="H240" i="106" s="1"/>
  <c r="H244" i="106" a="1"/>
  <c r="H244" i="106" s="1"/>
  <c r="K239" i="106" a="1"/>
  <c r="K239" i="106" s="1"/>
  <c r="G239" i="106" a="1"/>
  <c r="G239" i="106" s="1"/>
  <c r="G240" i="106" a="1"/>
  <c r="G240" i="106" s="1"/>
  <c r="G238" i="106" a="1"/>
  <c r="G238" i="106" s="1"/>
  <c r="G244" i="106" a="1"/>
  <c r="G244" i="106" s="1"/>
  <c r="G245" i="106" a="1"/>
  <c r="G245" i="106" s="1"/>
  <c r="G246" i="106" a="1"/>
  <c r="G246" i="106" s="1"/>
  <c r="G243" i="106" a="1"/>
  <c r="G243" i="106" s="1"/>
  <c r="G241" i="106" a="1"/>
  <c r="G241" i="106" s="1"/>
  <c r="G242" i="106" a="1"/>
  <c r="G242" i="106" s="1"/>
  <c r="F228" i="106" a="1"/>
  <c r="F228" i="106" s="1"/>
  <c r="I270" i="106" a="1"/>
  <c r="I270" i="106" s="1"/>
  <c r="E284" i="106" s="1"/>
  <c r="G270" i="106" a="1"/>
  <c r="G270" i="106" s="1"/>
  <c r="E283" i="106" s="1"/>
  <c r="Q48" i="80"/>
  <c r="F226" i="106" a="1"/>
  <c r="F226" i="106" s="1"/>
  <c r="Q46" i="80"/>
  <c r="P55" i="80"/>
  <c r="U59" i="80"/>
  <c r="Q57" i="80"/>
  <c r="U57" i="80"/>
  <c r="U56" i="80"/>
  <c r="Q58" i="80"/>
  <c r="F224" i="106" a="1"/>
  <c r="F224" i="106" s="1"/>
  <c r="I22" i="82" a="1"/>
  <c r="I22" i="82" s="1"/>
  <c r="G20" i="82"/>
  <c r="I20" i="82" s="1" a="1"/>
  <c r="I20" i="82" s="1"/>
  <c r="I21" i="82" a="1"/>
  <c r="I21" i="82" s="1"/>
  <c r="F230" i="106" a="1"/>
  <c r="F230" i="106" s="1"/>
  <c r="V46" i="80" a="1"/>
  <c r="V46" i="80" s="1"/>
  <c r="F222" i="106" a="1"/>
  <c r="F222" i="106" s="1"/>
  <c r="H305" i="106" a="1"/>
  <c r="H305" i="106" s="1"/>
  <c r="G305" i="106" a="1"/>
  <c r="G305" i="106" s="1"/>
  <c r="F305" i="106" a="1"/>
  <c r="E32" i="80" a="1"/>
  <c r="E32" i="80" s="1"/>
  <c r="G32" i="80" s="1" a="1"/>
  <c r="G32" i="80" s="1"/>
  <c r="E33" i="80" a="1"/>
  <c r="E33" i="80" s="1"/>
  <c r="G33" i="80" s="1" a="1"/>
  <c r="G33" i="80" s="1"/>
  <c r="E35" i="81" a="1"/>
  <c r="E35" i="81" s="1"/>
  <c r="G35" i="81" s="1" a="1"/>
  <c r="G35" i="81" s="1"/>
  <c r="E33" i="81" a="1"/>
  <c r="E33" i="81" s="1"/>
  <c r="G33" i="81" s="1" a="1"/>
  <c r="G33" i="81" s="1"/>
  <c r="E28" i="81" a="1"/>
  <c r="E28" i="81" s="1"/>
  <c r="G28" i="81" s="1" a="1"/>
  <c r="G28" i="81" s="1"/>
  <c r="E35" i="80" a="1"/>
  <c r="E35" i="80" s="1"/>
  <c r="G35" i="80" s="1" a="1"/>
  <c r="G35" i="80" s="1"/>
  <c r="E21" i="81" a="1"/>
  <c r="E21" i="81" s="1"/>
  <c r="G21" i="81" s="1" a="1"/>
  <c r="G21" i="81" s="1"/>
  <c r="E19" i="81" a="1"/>
  <c r="E19" i="81" s="1"/>
  <c r="G19" i="81" s="1" a="1"/>
  <c r="G19" i="81" s="1"/>
  <c r="E27" i="80" a="1"/>
  <c r="E27" i="80" s="1"/>
  <c r="G27" i="80" s="1" a="1"/>
  <c r="G27" i="80" s="1"/>
  <c r="E25" i="80" a="1"/>
  <c r="E25" i="80" s="1"/>
  <c r="G25" i="80" s="1" a="1"/>
  <c r="G25" i="80" s="1"/>
  <c r="E23" i="80" a="1"/>
  <c r="E23" i="80" s="1"/>
  <c r="G23" i="80" s="1" a="1"/>
  <c r="G23" i="80" s="1"/>
  <c r="E31" i="80" a="1"/>
  <c r="E31" i="80" s="1"/>
  <c r="G31" i="80" s="1" a="1"/>
  <c r="G31" i="80" s="1"/>
  <c r="E24" i="81" a="1"/>
  <c r="E24" i="81" s="1"/>
  <c r="G24" i="81" s="1" a="1"/>
  <c r="G24" i="81" s="1"/>
  <c r="E221" i="106" a="1"/>
  <c r="E36" i="80" a="1"/>
  <c r="E36" i="80" s="1"/>
  <c r="G36" i="80" s="1" a="1"/>
  <c r="G36" i="80" s="1"/>
  <c r="E28" i="80" a="1"/>
  <c r="E28" i="80" s="1"/>
  <c r="G28" i="80" s="1" a="1"/>
  <c r="G28" i="80" s="1"/>
  <c r="E34" i="81" a="1"/>
  <c r="E34" i="81" s="1"/>
  <c r="G34" i="81" s="1" a="1"/>
  <c r="G34" i="81" s="1"/>
  <c r="E23" i="81" a="1"/>
  <c r="E23" i="81" s="1"/>
  <c r="G23" i="81" s="1" a="1"/>
  <c r="G23" i="81" s="1"/>
  <c r="E21" i="80" a="1"/>
  <c r="E21" i="80" s="1"/>
  <c r="G21" i="80" s="1" a="1"/>
  <c r="G21" i="80" s="1"/>
  <c r="E27" i="81" a="1"/>
  <c r="E27" i="81" s="1"/>
  <c r="G27" i="81" s="1" a="1"/>
  <c r="G27" i="81" s="1"/>
  <c r="E32" i="81" a="1"/>
  <c r="E32" i="81" s="1"/>
  <c r="G32" i="81" s="1" a="1"/>
  <c r="G32" i="81" s="1"/>
  <c r="E36" i="81" a="1"/>
  <c r="E36" i="81" s="1"/>
  <c r="G36" i="81" s="1" a="1"/>
  <c r="G36" i="81" s="1"/>
  <c r="E20" i="81" a="1"/>
  <c r="E20" i="81" s="1"/>
  <c r="G20" i="81" s="1" a="1"/>
  <c r="G20" i="81" s="1"/>
  <c r="E25" i="81" a="1"/>
  <c r="E25" i="81" s="1"/>
  <c r="G25" i="81" s="1" a="1"/>
  <c r="G25" i="81" s="1"/>
  <c r="E22" i="81" a="1"/>
  <c r="E22" i="81" s="1"/>
  <c r="G22" i="81" s="1" a="1"/>
  <c r="G22" i="81" s="1"/>
  <c r="E24" i="80" a="1"/>
  <c r="E24" i="80" s="1"/>
  <c r="G24" i="80" s="1" a="1"/>
  <c r="G24" i="80" s="1"/>
  <c r="E29" i="80" a="1"/>
  <c r="E29" i="80" s="1"/>
  <c r="G29" i="80" s="1" a="1"/>
  <c r="G29" i="80" s="1"/>
  <c r="E31" i="81" a="1"/>
  <c r="E31" i="81" s="1"/>
  <c r="G31" i="81" s="1" a="1"/>
  <c r="G31" i="81" s="1"/>
  <c r="E26" i="80" a="1"/>
  <c r="E26" i="80" s="1"/>
  <c r="G26" i="80" s="1" a="1"/>
  <c r="G26" i="80" s="1"/>
  <c r="E37" i="81" a="1"/>
  <c r="E37" i="81" s="1"/>
  <c r="G37" i="81" s="1" a="1"/>
  <c r="G37" i="81" s="1"/>
  <c r="E22" i="80" a="1"/>
  <c r="E22" i="80" s="1"/>
  <c r="G22" i="80" s="1" a="1"/>
  <c r="G22" i="80" s="1"/>
  <c r="E19" i="80" a="1"/>
  <c r="E19" i="80" s="1"/>
  <c r="G19" i="80" s="1" a="1"/>
  <c r="G19" i="80" s="1"/>
  <c r="E37" i="80" a="1"/>
  <c r="E37" i="80" s="1"/>
  <c r="G37" i="80" s="1" a="1"/>
  <c r="G37" i="80" s="1"/>
  <c r="E34" i="80" a="1"/>
  <c r="E34" i="80" s="1"/>
  <c r="G34" i="80" s="1" a="1"/>
  <c r="G34" i="80" s="1"/>
  <c r="E20" i="80" a="1"/>
  <c r="E20" i="80" s="1"/>
  <c r="G20" i="80" s="1" a="1"/>
  <c r="G20" i="80" s="1"/>
  <c r="E29" i="81" a="1"/>
  <c r="E29" i="81" s="1"/>
  <c r="G29" i="81" s="1" a="1"/>
  <c r="G29" i="81" s="1"/>
  <c r="E30" i="80" a="1"/>
  <c r="E30" i="80" s="1"/>
  <c r="G30" i="80" s="1" a="1"/>
  <c r="G30" i="80" s="1"/>
  <c r="E30" i="81" a="1"/>
  <c r="E30" i="81" s="1"/>
  <c r="G30" i="81" s="1" a="1"/>
  <c r="G30" i="81" s="1"/>
  <c r="E26" i="81" a="1"/>
  <c r="E26" i="81" s="1"/>
  <c r="G26" i="81" s="1" a="1"/>
  <c r="G26" i="81" s="1"/>
  <c r="R55" i="80" a="1"/>
  <c r="R55" i="80" s="1"/>
  <c r="T55" i="80"/>
  <c r="V55" i="80" s="1" a="1"/>
  <c r="V55" i="80" s="1"/>
  <c r="S55" i="80" a="1"/>
  <c r="S55" i="80" s="1"/>
  <c r="Q55" i="80"/>
  <c r="F229" i="106" a="1"/>
  <c r="F229" i="106" s="1"/>
  <c r="G229" i="106" s="1" a="1"/>
  <c r="G229" i="106" s="1"/>
  <c r="E25" i="83"/>
  <c r="P45" i="80"/>
  <c r="Q45" i="80" s="1"/>
  <c r="U49" i="80"/>
  <c r="U47" i="80"/>
  <c r="E151" i="95"/>
  <c r="F227" i="106" a="1"/>
  <c r="F227" i="106" s="1"/>
  <c r="G227" i="106" s="1" a="1"/>
  <c r="G227" i="106" s="1"/>
  <c r="U58" i="80"/>
  <c r="F223" i="106" a="1"/>
  <c r="F223" i="106" s="1"/>
  <c r="F225" i="106" a="1"/>
  <c r="F225" i="106" s="1"/>
  <c r="G225" i="106" s="1" a="1"/>
  <c r="G225" i="106" s="1"/>
  <c r="Q56" i="80"/>
  <c r="F221" i="106" a="1"/>
  <c r="F221" i="106" s="1"/>
  <c r="Q59" i="80"/>
  <c r="Q47" i="80"/>
  <c r="T45" i="80"/>
  <c r="U45" i="80" s="1"/>
  <c r="R45" i="80" a="1"/>
  <c r="R45" i="80" s="1"/>
  <c r="S45" i="80" a="1"/>
  <c r="S45" i="80" s="1"/>
  <c r="E130" i="106"/>
  <c r="E144" i="106" s="1"/>
  <c r="E69" i="91"/>
  <c r="E67" i="91"/>
  <c r="E192" i="95"/>
  <c r="E588" i="106" s="1"/>
  <c r="E56" i="92"/>
  <c r="E57" i="92"/>
  <c r="E55" i="92"/>
  <c r="E68" i="91"/>
  <c r="E70" i="91"/>
  <c r="I515" i="106" s="1"/>
  <c r="E58" i="92"/>
  <c r="I516" i="106" s="1"/>
  <c r="G73" i="13"/>
  <c r="G74" i="13" s="1"/>
  <c r="G70" i="13"/>
  <c r="G71" i="13" s="1"/>
  <c r="E31" i="85" l="1"/>
  <c r="E27" i="84"/>
  <c r="H27" i="84" s="1" a="1"/>
  <c r="H27" i="84" s="1"/>
  <c r="E67" i="84" s="1"/>
  <c r="E34" i="85"/>
  <c r="E30" i="84"/>
  <c r="H30" i="84" s="1" a="1"/>
  <c r="H30" i="84" s="1"/>
  <c r="E70" i="84" s="1"/>
  <c r="E33" i="84"/>
  <c r="H33" i="84" s="1" a="1"/>
  <c r="H33" i="84" s="1"/>
  <c r="E73" i="84" s="1"/>
  <c r="E37" i="85"/>
  <c r="E24" i="85"/>
  <c r="E20" i="84"/>
  <c r="H20" i="84" s="1" a="1"/>
  <c r="H20" i="84" s="1"/>
  <c r="E60" i="84" s="1"/>
  <c r="E103" i="84"/>
  <c r="F103" i="84" s="1" a="1"/>
  <c r="F103" i="84" s="1"/>
  <c r="E135" i="84" s="1"/>
  <c r="E66" i="85"/>
  <c r="E32" i="82"/>
  <c r="K44" i="82" s="1"/>
  <c r="E65" i="85"/>
  <c r="E102" i="84"/>
  <c r="F102" i="84" s="1" a="1"/>
  <c r="F102" i="84" s="1"/>
  <c r="E134" i="84" s="1"/>
  <c r="E34" i="84"/>
  <c r="H34" i="84" s="1" a="1"/>
  <c r="H34" i="84" s="1"/>
  <c r="E74" i="84" s="1"/>
  <c r="E38" i="85"/>
  <c r="E67" i="85"/>
  <c r="E104" i="84"/>
  <c r="F104" i="84" s="1" a="1"/>
  <c r="F104" i="84" s="1"/>
  <c r="E136" i="84" s="1"/>
  <c r="E19" i="84"/>
  <c r="H19" i="84" s="1" a="1"/>
  <c r="H19" i="84" s="1"/>
  <c r="E59" i="84" s="1"/>
  <c r="E23" i="85"/>
  <c r="E26" i="85"/>
  <c r="E22" i="84"/>
  <c r="H22" i="84" s="1" a="1"/>
  <c r="H22" i="84" s="1"/>
  <c r="E62" i="84" s="1"/>
  <c r="E40" i="85"/>
  <c r="E36" i="84"/>
  <c r="H36" i="84" s="1" a="1"/>
  <c r="H36" i="84" s="1"/>
  <c r="E76" i="84" s="1"/>
  <c r="E36" i="85"/>
  <c r="E32" i="84"/>
  <c r="H32" i="84" s="1" a="1"/>
  <c r="H32" i="84" s="1"/>
  <c r="E72" i="84" s="1"/>
  <c r="E21" i="84"/>
  <c r="H21" i="84" s="1" a="1"/>
  <c r="H21" i="84" s="1"/>
  <c r="E61" i="84" s="1"/>
  <c r="E25" i="85"/>
  <c r="K224" i="106" a="1"/>
  <c r="K224" i="106" s="1"/>
  <c r="H226" i="106" a="1"/>
  <c r="H226" i="106" s="1"/>
  <c r="H225" i="106" a="1"/>
  <c r="H225" i="106" s="1"/>
  <c r="H230" i="106" a="1"/>
  <c r="H230" i="106" s="1"/>
  <c r="K228" i="106" a="1"/>
  <c r="K228" i="106" s="1"/>
  <c r="K226" i="106" a="1"/>
  <c r="K226" i="106" s="1"/>
  <c r="H224" i="106" a="1"/>
  <c r="H224" i="106" s="1"/>
  <c r="K225" i="106" a="1"/>
  <c r="K225" i="106" s="1"/>
  <c r="K229" i="106" a="1"/>
  <c r="K229" i="106" s="1"/>
  <c r="K230" i="106" a="1"/>
  <c r="K230" i="106" s="1"/>
  <c r="J222" i="106" a="1"/>
  <c r="J222" i="106" s="1"/>
  <c r="K222" i="106" a="1"/>
  <c r="K222" i="106" s="1"/>
  <c r="H227" i="106" a="1"/>
  <c r="H227" i="106" s="1"/>
  <c r="J223" i="106" a="1"/>
  <c r="J223" i="106" s="1"/>
  <c r="H228" i="106" a="1"/>
  <c r="H228" i="106" s="1"/>
  <c r="K227" i="106" a="1"/>
  <c r="K227" i="106" s="1"/>
  <c r="H222" i="106" a="1"/>
  <c r="H222" i="106" s="1"/>
  <c r="H229" i="106" a="1"/>
  <c r="H229" i="106" s="1"/>
  <c r="G223" i="106" a="1"/>
  <c r="G223" i="106" s="1"/>
  <c r="J224" i="106" a="1"/>
  <c r="J224" i="106" s="1"/>
  <c r="E221" i="106"/>
  <c r="J228" i="106" a="1"/>
  <c r="J228" i="106" s="1"/>
  <c r="G230" i="106" a="1"/>
  <c r="G230" i="106" s="1"/>
  <c r="J230" i="106" a="1"/>
  <c r="J230" i="106" s="1"/>
  <c r="G228" i="106" a="1"/>
  <c r="G228" i="106" s="1"/>
  <c r="J229" i="106" a="1"/>
  <c r="J229" i="106" s="1"/>
  <c r="K223" i="106" a="1"/>
  <c r="K223" i="106" s="1"/>
  <c r="G226" i="106" a="1"/>
  <c r="G226" i="106" s="1"/>
  <c r="G224" i="106" a="1"/>
  <c r="G224" i="106" s="1"/>
  <c r="H223" i="106" a="1"/>
  <c r="H223" i="106" s="1"/>
  <c r="J226" i="106" a="1"/>
  <c r="J226" i="106" s="1"/>
  <c r="J227" i="106" a="1"/>
  <c r="J227" i="106" s="1"/>
  <c r="J225" i="106" a="1"/>
  <c r="J225" i="106" s="1"/>
  <c r="F305" i="106"/>
  <c r="J314" i="106" a="1"/>
  <c r="J314" i="106" s="1"/>
  <c r="I311" i="106" a="1"/>
  <c r="I311" i="106" s="1"/>
  <c r="J307" i="106" a="1"/>
  <c r="J307" i="106" s="1"/>
  <c r="I307" i="106" a="1"/>
  <c r="I307" i="106" s="1"/>
  <c r="I314" i="106" a="1"/>
  <c r="I314" i="106" s="1"/>
  <c r="J310" i="106" a="1"/>
  <c r="J310" i="106" s="1"/>
  <c r="I313" i="106" a="1"/>
  <c r="I313" i="106" s="1"/>
  <c r="J309" i="106" a="1"/>
  <c r="J309" i="106" s="1"/>
  <c r="I306" i="106" a="1"/>
  <c r="I306" i="106" s="1"/>
  <c r="J313" i="106" a="1"/>
  <c r="J313" i="106" s="1"/>
  <c r="I312" i="106" a="1"/>
  <c r="I312" i="106" s="1"/>
  <c r="J312" i="106" a="1"/>
  <c r="J312" i="106" s="1"/>
  <c r="J308" i="106" a="1"/>
  <c r="J308" i="106" s="1"/>
  <c r="I310" i="106" a="1"/>
  <c r="I310" i="106" s="1"/>
  <c r="J311" i="106" a="1"/>
  <c r="J311" i="106" s="1"/>
  <c r="I309" i="106" a="1"/>
  <c r="I309" i="106" s="1"/>
  <c r="I308" i="106" a="1"/>
  <c r="I308" i="106" s="1"/>
  <c r="J306" i="106" a="1"/>
  <c r="J306" i="106" s="1"/>
  <c r="E29" i="84"/>
  <c r="H29" i="84" s="1" a="1"/>
  <c r="H29" i="84" s="1"/>
  <c r="E69" i="84" s="1"/>
  <c r="E33" i="85"/>
  <c r="E28" i="85"/>
  <c r="E24" i="84"/>
  <c r="H24" i="84" s="1" a="1"/>
  <c r="H24" i="84" s="1"/>
  <c r="E64" i="84" s="1"/>
  <c r="E35" i="85"/>
  <c r="E31" i="84"/>
  <c r="H31" i="84" s="1" a="1"/>
  <c r="H31" i="84" s="1"/>
  <c r="E71" i="84" s="1"/>
  <c r="E39" i="85"/>
  <c r="E35" i="84"/>
  <c r="H35" i="84" s="1" a="1"/>
  <c r="H35" i="84" s="1"/>
  <c r="E75" i="84" s="1"/>
  <c r="E28" i="84"/>
  <c r="H28" i="84" s="1" a="1"/>
  <c r="H28" i="84" s="1"/>
  <c r="E68" i="84" s="1"/>
  <c r="E32" i="85"/>
  <c r="E23" i="84"/>
  <c r="H23" i="84" s="1" a="1"/>
  <c r="H23" i="84" s="1"/>
  <c r="E63" i="84" s="1"/>
  <c r="E27" i="85"/>
  <c r="G222" i="106" a="1"/>
  <c r="G222" i="106" s="1"/>
  <c r="U55" i="80"/>
  <c r="E37" i="84"/>
  <c r="H37" i="84" s="1" a="1"/>
  <c r="H37" i="84" s="1"/>
  <c r="E77" i="84" s="1"/>
  <c r="E41" i="85"/>
  <c r="E26" i="84"/>
  <c r="H26" i="84" s="1" a="1"/>
  <c r="H26" i="84" s="1"/>
  <c r="E66" i="84" s="1"/>
  <c r="E30" i="85"/>
  <c r="V45" i="80" a="1"/>
  <c r="V45" i="80" s="1"/>
  <c r="E29" i="85"/>
  <c r="E25" i="84"/>
  <c r="H25" i="84" s="1" a="1"/>
  <c r="H25" i="84" s="1"/>
  <c r="E65" i="84" s="1"/>
  <c r="J237" i="106" a="1"/>
  <c r="J237" i="106" s="1"/>
  <c r="K237" i="106" a="1"/>
  <c r="K237" i="106" s="1"/>
  <c r="H237" i="106" a="1"/>
  <c r="H237" i="106" s="1"/>
  <c r="G237" i="106" a="1"/>
  <c r="G237" i="106" s="1"/>
  <c r="E518" i="106" a="1"/>
  <c r="E518" i="106" s="1"/>
  <c r="E30" i="72"/>
  <c r="E25" i="72"/>
  <c r="G221" i="106" l="1" a="1"/>
  <c r="G221" i="106" s="1"/>
  <c r="E248" i="106" s="1"/>
  <c r="J221" i="106" a="1"/>
  <c r="J221" i="106" s="1"/>
  <c r="E249" i="106" s="1"/>
  <c r="K221" i="106" a="1"/>
  <c r="K221" i="106" s="1"/>
  <c r="E252" i="106" s="1"/>
  <c r="H221" i="106" a="1"/>
  <c r="H221" i="106" s="1"/>
  <c r="E251" i="106" s="1"/>
  <c r="J305" i="106" a="1"/>
  <c r="J305" i="106" s="1"/>
  <c r="E317" i="106" s="1"/>
  <c r="I305" i="106" a="1"/>
  <c r="I305" i="106" s="1"/>
  <c r="E316" i="106" s="1"/>
  <c r="E27" i="72" a="1"/>
  <c r="E27" i="72" s="1"/>
  <c r="E22" i="72" a="1"/>
  <c r="E22" i="72" s="1"/>
  <c r="F72" i="13" l="1"/>
  <c r="F63" i="13"/>
  <c r="F61" i="13"/>
  <c r="F62" i="13" s="1"/>
  <c r="F70" i="13"/>
  <c r="F71" i="13" s="1"/>
  <c r="F75" i="13"/>
  <c r="F64" i="13"/>
  <c r="F65" i="13" s="1"/>
  <c r="F73" i="13"/>
  <c r="F74" i="13" s="1"/>
  <c r="F66" i="13"/>
  <c r="E23" i="13" a="1"/>
  <c r="E23" i="13" s="1"/>
  <c r="H23" i="13" s="1"/>
  <c r="E22" i="13" a="1"/>
  <c r="E22" i="13" s="1"/>
  <c r="E21" i="13" a="1"/>
  <c r="E21" i="13" s="1"/>
  <c r="F21" i="13" s="1"/>
  <c r="E20" i="13" a="1"/>
  <c r="E20" i="13" s="1"/>
  <c r="H20" i="13" s="1"/>
  <c r="E19" i="13" a="1"/>
  <c r="E19" i="13" s="1"/>
  <c r="F19" i="13" s="1"/>
  <c r="E18" i="13" a="1"/>
  <c r="E18" i="13" s="1"/>
  <c r="E17" i="13" a="1"/>
  <c r="E17" i="13" s="1"/>
  <c r="H17" i="13" s="1"/>
  <c r="D34" i="13" a="1"/>
  <c r="D45" i="13" a="1"/>
  <c r="E46" i="13" s="1"/>
  <c r="D30" i="13" a="1"/>
  <c r="D30" i="13" s="1"/>
  <c r="E13" i="72"/>
  <c r="E18"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E188" i="74" a="1"/>
  <c r="E188" i="74" s="1"/>
  <c r="D188" i="74" a="1"/>
  <c r="D188" i="74" s="1"/>
  <c r="H187" i="74" a="1"/>
  <c r="H187" i="74" s="1"/>
  <c r="G187" i="74" a="1"/>
  <c r="G187" i="74" s="1"/>
  <c r="F187" i="74" a="1"/>
  <c r="F187" i="74" s="1"/>
  <c r="E187" i="74" a="1"/>
  <c r="E187" i="74" s="1"/>
  <c r="D187" i="74" a="1"/>
  <c r="D187" i="74" s="1"/>
  <c r="D181" i="74" a="1"/>
  <c r="D181" i="74" s="1"/>
  <c r="D180" i="74" a="1"/>
  <c r="D180" i="74" s="1"/>
  <c r="D179" i="74" a="1"/>
  <c r="D179" i="74" s="1"/>
  <c r="D178" i="74" a="1"/>
  <c r="D178" i="74" s="1"/>
  <c r="E175" i="74" a="1"/>
  <c r="E175" i="74" s="1"/>
  <c r="D175" i="74" a="1"/>
  <c r="D175" i="74" s="1"/>
  <c r="D174" i="74" a="1"/>
  <c r="D174" i="74" s="1"/>
  <c r="D173" i="74" a="1"/>
  <c r="D173" i="74" s="1"/>
  <c r="D170" i="74" a="1"/>
  <c r="D169" i="74" a="1"/>
  <c r="D169" i="74" s="1"/>
  <c r="D168" i="74" a="1"/>
  <c r="D168" i="74" s="1"/>
  <c r="D167" i="74" a="1"/>
  <c r="D167" i="74" s="1"/>
  <c r="D164" i="74" a="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a="1"/>
  <c r="D18" i="74" s="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D7" i="74" a="1"/>
  <c r="D7" i="74" s="1"/>
  <c r="D5" i="74" a="1"/>
  <c r="D5" i="74" s="1"/>
  <c r="E20" i="72"/>
  <c r="D4" i="13" l="1"/>
  <c r="E30" i="87"/>
  <c r="Q51" i="99"/>
  <c r="G51" i="99"/>
  <c r="G97" i="85"/>
  <c r="G83" i="80"/>
  <c r="P64" i="98"/>
  <c r="G82" i="84"/>
  <c r="G149" i="84"/>
  <c r="O576" i="106"/>
  <c r="G576" i="106"/>
  <c r="H42" i="100"/>
  <c r="P111" i="80"/>
  <c r="G53" i="82"/>
  <c r="G45" i="98"/>
  <c r="H65" i="100"/>
  <c r="S79" i="80"/>
  <c r="I51" i="80"/>
  <c r="I36" i="100"/>
  <c r="E39" i="100" s="1" a="1"/>
  <c r="E39" i="100" s="1"/>
  <c r="J88" i="107"/>
  <c r="I22" i="98"/>
  <c r="I17" i="98" s="1" a="1"/>
  <c r="I17" i="98" s="1"/>
  <c r="E24" i="98" s="1" a="1"/>
  <c r="E24" i="98" s="1"/>
  <c r="D164" i="74"/>
  <c r="J15" i="99"/>
  <c r="H24" i="99"/>
  <c r="I14" i="85"/>
  <c r="I56" i="85"/>
  <c r="I68" i="107"/>
  <c r="D170" i="74"/>
  <c r="J37" i="99"/>
  <c r="I49" i="107"/>
  <c r="I125" i="84"/>
  <c r="W47" i="80"/>
  <c r="I50" i="80"/>
  <c r="J50" i="84"/>
  <c r="W46" i="80"/>
  <c r="W56" i="80"/>
  <c r="W57" i="80"/>
  <c r="W55" i="80"/>
  <c r="W45" i="80"/>
  <c r="E35" i="13"/>
  <c r="F35" i="13"/>
  <c r="E22" i="75"/>
  <c r="I19" i="13" a="1"/>
  <c r="I19" i="13" s="1"/>
  <c r="I21" i="13" a="1"/>
  <c r="I21" i="13" s="1"/>
  <c r="H22" i="13" a="1"/>
  <c r="H22" i="13" s="1"/>
  <c r="H18" i="13" a="1"/>
  <c r="H18" i="13" s="1"/>
  <c r="D45" i="13"/>
  <c r="E45" i="13" s="1"/>
  <c r="E50" i="13" s="1"/>
  <c r="D34" i="13"/>
  <c r="F17" i="13"/>
  <c r="I17" i="13" s="1"/>
  <c r="F23" i="13"/>
  <c r="I23" i="13" s="1"/>
  <c r="F18" i="13"/>
  <c r="I18" i="13" s="1" a="1"/>
  <c r="I18" i="13" s="1"/>
  <c r="H21" i="13" a="1"/>
  <c r="H21" i="13" s="1"/>
  <c r="F20" i="13"/>
  <c r="I20" i="13" s="1"/>
  <c r="F22" i="13"/>
  <c r="I22" i="13" s="1" a="1"/>
  <c r="I22" i="13" s="1"/>
  <c r="H19" i="13" a="1"/>
  <c r="H19" i="13" s="1"/>
  <c r="E19" i="75"/>
  <c r="E20" i="75"/>
  <c r="E21" i="75" s="1"/>
  <c r="H54" i="74"/>
  <c r="H51" i="74"/>
  <c r="H49" i="74"/>
  <c r="I59" i="100" s="1"/>
  <c r="E62" i="100" s="1" a="1"/>
  <c r="E62" i="100" s="1"/>
  <c r="G64" i="13"/>
  <c r="G65" i="13" s="1"/>
  <c r="H53" i="74"/>
  <c r="H48" i="74"/>
  <c r="I20" i="83" s="1"/>
  <c r="H52" i="74"/>
  <c r="H50" i="74"/>
  <c r="J51" i="84" s="1"/>
  <c r="H29" i="83" l="1" a="1"/>
  <c r="H29" i="83" s="1"/>
  <c r="H28" i="83" a="1"/>
  <c r="H28" i="83" s="1"/>
  <c r="H26" i="83" a="1"/>
  <c r="H26" i="83" s="1"/>
  <c r="H27" i="83" a="1"/>
  <c r="H27" i="83" s="1"/>
  <c r="H25" i="83" a="1"/>
  <c r="H25" i="83" s="1"/>
  <c r="H64" i="100"/>
  <c r="E67" i="100" s="1" a="1"/>
  <c r="E67" i="100" s="1"/>
  <c r="E16" i="13" a="1"/>
  <c r="E16" i="13" s="1"/>
  <c r="I50" i="107"/>
  <c r="O55" i="107" s="1" a="1"/>
  <c r="O55" i="107" s="1"/>
  <c r="R570" i="106" s="1"/>
  <c r="H41" i="100"/>
  <c r="E44" i="100" s="1" a="1"/>
  <c r="E44" i="100" s="1"/>
  <c r="E15" i="13" a="1"/>
  <c r="E15" i="13" s="1"/>
  <c r="F75" i="85" a="1"/>
  <c r="F75" i="85" s="1"/>
  <c r="F69" i="85" a="1"/>
  <c r="F69" i="85" s="1"/>
  <c r="F72" i="85" a="1"/>
  <c r="F72" i="85" s="1"/>
  <c r="F70" i="85" a="1"/>
  <c r="F70" i="85" s="1"/>
  <c r="F74" i="85" a="1"/>
  <c r="F74" i="85" s="1"/>
  <c r="F68" i="85" a="1"/>
  <c r="F68" i="85" s="1"/>
  <c r="F73" i="85" a="1"/>
  <c r="F73" i="85" s="1"/>
  <c r="F71" i="85" a="1"/>
  <c r="F71" i="85" s="1"/>
  <c r="F67" i="85" a="1"/>
  <c r="F67" i="85" s="1"/>
  <c r="F66" i="85" a="1"/>
  <c r="F66" i="85" s="1"/>
  <c r="F65" i="85" a="1"/>
  <c r="F65" i="85" s="1"/>
  <c r="F32" i="85" a="1"/>
  <c r="F32" i="85" s="1"/>
  <c r="F37" i="85" a="1"/>
  <c r="F37" i="85" s="1"/>
  <c r="F23" i="85" a="1"/>
  <c r="F23" i="85" s="1"/>
  <c r="F29" i="85" a="1"/>
  <c r="F29" i="85" s="1"/>
  <c r="F34" i="85" a="1"/>
  <c r="F34" i="85" s="1"/>
  <c r="F40" i="85" a="1"/>
  <c r="F40" i="85" s="1"/>
  <c r="F24" i="85" a="1"/>
  <c r="F24" i="85" s="1"/>
  <c r="F27" i="85" a="1"/>
  <c r="F27" i="85" s="1"/>
  <c r="F41" i="85" a="1"/>
  <c r="F41" i="85" s="1"/>
  <c r="F35" i="85" a="1"/>
  <c r="F35" i="85" s="1"/>
  <c r="F28" i="85" a="1"/>
  <c r="F28" i="85" s="1"/>
  <c r="F39" i="85" a="1"/>
  <c r="F39" i="85" s="1"/>
  <c r="F36" i="85" a="1"/>
  <c r="F36" i="85" s="1"/>
  <c r="F38" i="85" a="1"/>
  <c r="F38" i="85" s="1"/>
  <c r="F33" i="85" a="1"/>
  <c r="F33" i="85" s="1"/>
  <c r="F25" i="85" a="1"/>
  <c r="F25" i="85" s="1"/>
  <c r="F26" i="85" a="1"/>
  <c r="F26" i="85" s="1"/>
  <c r="F30" i="85" a="1"/>
  <c r="F30" i="85" s="1"/>
  <c r="F31" i="85" a="1"/>
  <c r="F31" i="85" s="1"/>
  <c r="R57" i="98"/>
  <c r="S24" i="99" a="1"/>
  <c r="S24" i="99" s="1"/>
  <c r="N45" i="99" s="1"/>
  <c r="I51" i="81"/>
  <c r="O74" i="107" a="1"/>
  <c r="O74" i="107" s="1"/>
  <c r="T86" i="107" s="1"/>
  <c r="O90" i="107" s="1" a="1"/>
  <c r="O90" i="107" s="1"/>
  <c r="R571" i="106" s="1"/>
  <c r="E74" i="107" a="1"/>
  <c r="E74" i="107" s="1"/>
  <c r="J86" i="107" s="1"/>
  <c r="E90" i="107" s="1" a="1"/>
  <c r="E90" i="107" s="1"/>
  <c r="J571" i="106" s="1"/>
  <c r="F74" i="84" a="1"/>
  <c r="F74" i="84" s="1"/>
  <c r="F59" i="84" a="1"/>
  <c r="F59" i="84" s="1"/>
  <c r="F71" i="84" a="1"/>
  <c r="F71" i="84" s="1"/>
  <c r="F62" i="84" a="1"/>
  <c r="F62" i="84" s="1"/>
  <c r="F64" i="84" a="1"/>
  <c r="F64" i="84" s="1"/>
  <c r="F70" i="84" a="1"/>
  <c r="F70" i="84" s="1"/>
  <c r="F73" i="84" a="1"/>
  <c r="F73" i="84" s="1"/>
  <c r="F68" i="84" a="1"/>
  <c r="F68" i="84" s="1"/>
  <c r="F65" i="84" a="1"/>
  <c r="F65" i="84" s="1"/>
  <c r="F72" i="84" a="1"/>
  <c r="F72" i="84" s="1"/>
  <c r="F63" i="84" a="1"/>
  <c r="F63" i="84" s="1"/>
  <c r="F66" i="84" a="1"/>
  <c r="F66" i="84" s="1"/>
  <c r="F61" i="84" a="1"/>
  <c r="F61" i="84" s="1"/>
  <c r="F75" i="84" a="1"/>
  <c r="F75" i="84" s="1"/>
  <c r="F77" i="84" a="1"/>
  <c r="F77" i="84" s="1"/>
  <c r="F67" i="84" a="1"/>
  <c r="F67" i="84" s="1"/>
  <c r="F69" i="84" a="1"/>
  <c r="F69" i="84" s="1"/>
  <c r="F76" i="84" a="1"/>
  <c r="F76" i="84" s="1"/>
  <c r="F60" i="84" a="1"/>
  <c r="F60" i="84" s="1"/>
  <c r="I126" i="84"/>
  <c r="F141" i="84" s="1" a="1"/>
  <c r="F141" i="84" s="1"/>
  <c r="K46" i="82"/>
  <c r="K48" i="82"/>
  <c r="K45" i="82" s="1"/>
  <c r="E50" i="82" s="1" a="1"/>
  <c r="E50" i="82" s="1"/>
  <c r="R59" i="98"/>
  <c r="R56" i="98" s="1" a="1"/>
  <c r="R56" i="98" s="1"/>
  <c r="N61" i="98" s="1" a="1"/>
  <c r="N61" i="98" s="1"/>
  <c r="J17" i="107"/>
  <c r="J14" i="107" s="1"/>
  <c r="I40" i="98"/>
  <c r="I37" i="98" s="1" a="1"/>
  <c r="I37" i="98" s="1"/>
  <c r="S84" i="80"/>
  <c r="S78" i="80" s="1" a="1"/>
  <c r="S78" i="80" s="1"/>
  <c r="I55" i="80"/>
  <c r="I53" i="107"/>
  <c r="I129" i="84"/>
  <c r="J54" i="84"/>
  <c r="E61" i="80" a="1"/>
  <c r="E61" i="80" s="1"/>
  <c r="E77" i="80" a="1"/>
  <c r="E77" i="80" s="1"/>
  <c r="E78" i="80" a="1"/>
  <c r="E78" i="80" s="1"/>
  <c r="E68" i="80" a="1"/>
  <c r="E68" i="80" s="1"/>
  <c r="E76" i="80" a="1"/>
  <c r="E76" i="80" s="1"/>
  <c r="E73" i="80" a="1"/>
  <c r="E73" i="80" s="1"/>
  <c r="E63" i="80" a="1"/>
  <c r="E63" i="80" s="1"/>
  <c r="E71" i="80" a="1"/>
  <c r="E71" i="80" s="1"/>
  <c r="E60" i="80" a="1"/>
  <c r="E60" i="80" s="1"/>
  <c r="E69" i="80" a="1"/>
  <c r="E69" i="80" s="1"/>
  <c r="E67" i="80" a="1"/>
  <c r="E67" i="80" s="1"/>
  <c r="E74" i="80" a="1"/>
  <c r="E74" i="80" s="1"/>
  <c r="E62" i="80" a="1"/>
  <c r="E62" i="80" s="1"/>
  <c r="E70" i="80" a="1"/>
  <c r="E70" i="80" s="1"/>
  <c r="E65" i="80" a="1"/>
  <c r="E65" i="80" s="1"/>
  <c r="E66" i="80" a="1"/>
  <c r="E66" i="80" s="1"/>
  <c r="E72" i="80" a="1"/>
  <c r="E72" i="80" s="1"/>
  <c r="E75" i="80" a="1"/>
  <c r="E75" i="80" s="1"/>
  <c r="E64" i="80" a="1"/>
  <c r="E64" i="80" s="1"/>
  <c r="J15" i="107"/>
  <c r="E24" i="99"/>
  <c r="I24" i="99" s="1" a="1"/>
  <c r="I24" i="99" s="1"/>
  <c r="D45" i="99" s="1"/>
  <c r="E45" i="99" s="1" a="1"/>
  <c r="E45" i="99" s="1"/>
  <c r="E48" i="99" s="1"/>
  <c r="I36" i="98"/>
  <c r="I38" i="98"/>
  <c r="I37" i="87"/>
  <c r="E41" i="87" s="1"/>
  <c r="I38" i="87"/>
  <c r="I48" i="87"/>
  <c r="I39" i="87"/>
  <c r="I46" i="87"/>
  <c r="I47" i="87"/>
  <c r="J92" i="85"/>
  <c r="J38" i="99"/>
  <c r="F139" i="84" a="1"/>
  <c r="F139" i="84" s="1"/>
  <c r="F138" i="84" a="1"/>
  <c r="F138" i="84" s="1"/>
  <c r="F143" i="84" a="1"/>
  <c r="F143" i="84" s="1"/>
  <c r="F144" i="84" a="1"/>
  <c r="F144" i="84" s="1"/>
  <c r="F142" i="84" a="1"/>
  <c r="F142" i="84" s="1"/>
  <c r="F137" i="84" a="1"/>
  <c r="F137" i="84" s="1"/>
  <c r="F135" i="84" a="1"/>
  <c r="F135" i="84" s="1"/>
  <c r="F134" i="84" a="1"/>
  <c r="F134" i="84" s="1"/>
  <c r="F136" i="84" a="1"/>
  <c r="F136" i="84" s="1"/>
  <c r="G61" i="13"/>
  <c r="G62" i="13" s="1"/>
  <c r="E43" i="85" l="1"/>
  <c r="J89" i="85" s="1"/>
  <c r="F15" i="13"/>
  <c r="I15" i="13" s="1" a="1"/>
  <c r="I15" i="13" s="1"/>
  <c r="H15" i="13" a="1"/>
  <c r="H15" i="13" s="1"/>
  <c r="P63" i="98"/>
  <c r="N66" i="98" s="1" a="1"/>
  <c r="N66" i="98" s="1"/>
  <c r="F13" i="13" a="1"/>
  <c r="F13" i="13" s="1"/>
  <c r="I13" i="13" s="1" a="1"/>
  <c r="I13" i="13" s="1"/>
  <c r="G52" i="82"/>
  <c r="E55" i="82" s="1" a="1"/>
  <c r="E55" i="82" s="1"/>
  <c r="E9" i="13" a="1"/>
  <c r="E9" i="13" s="1"/>
  <c r="G50" i="99"/>
  <c r="E53" i="99" s="1" a="1"/>
  <c r="E53" i="99" s="1"/>
  <c r="E14" i="13" a="1"/>
  <c r="E14" i="13" s="1"/>
  <c r="H14" i="13" s="1" a="1"/>
  <c r="H14" i="13" s="1"/>
  <c r="E77" i="85"/>
  <c r="J90" i="85" s="1"/>
  <c r="E55" i="107" a="1"/>
  <c r="E55" i="107" s="1"/>
  <c r="J570" i="106" s="1"/>
  <c r="E573" i="106" s="1" a="1"/>
  <c r="E573" i="106" s="1"/>
  <c r="G575" i="106" s="1"/>
  <c r="E578" i="106" s="1" a="1"/>
  <c r="E578" i="106" s="1"/>
  <c r="E50" i="87"/>
  <c r="E79" i="84"/>
  <c r="G81" i="84" s="1"/>
  <c r="E84" i="84" s="1" a="1"/>
  <c r="E84" i="84" s="1"/>
  <c r="F16" i="13"/>
  <c r="I16" i="13" s="1" a="1"/>
  <c r="I16" i="13" s="1"/>
  <c r="H16" i="13" a="1"/>
  <c r="H16" i="13" s="1"/>
  <c r="E80" i="80"/>
  <c r="E31" i="83"/>
  <c r="E10" i="13" s="1" a="1"/>
  <c r="E10" i="13" s="1"/>
  <c r="I550" i="106"/>
  <c r="J34" i="88"/>
  <c r="F140" i="84" a="1"/>
  <c r="F140" i="84" s="1"/>
  <c r="E146" i="84" s="1"/>
  <c r="O45" i="99" a="1"/>
  <c r="O45" i="99" s="1"/>
  <c r="O48" i="99" s="1"/>
  <c r="O98" i="80" a="1"/>
  <c r="O98" i="80" s="1"/>
  <c r="P98" i="80" s="1" a="1"/>
  <c r="P98" i="80" s="1"/>
  <c r="O94" i="80" a="1"/>
  <c r="O94" i="80" s="1"/>
  <c r="P94" i="80" s="1" a="1"/>
  <c r="P94" i="80" s="1"/>
  <c r="O106" i="80" a="1"/>
  <c r="O106" i="80" s="1"/>
  <c r="P106" i="80" s="1" a="1"/>
  <c r="P106" i="80" s="1"/>
  <c r="O88" i="80" a="1"/>
  <c r="O88" i="80" s="1"/>
  <c r="P88" i="80" s="1" a="1"/>
  <c r="P88" i="80" s="1"/>
  <c r="O95" i="80" a="1"/>
  <c r="O95" i="80" s="1"/>
  <c r="P95" i="80" s="1" a="1"/>
  <c r="P95" i="80" s="1"/>
  <c r="O99" i="80" a="1"/>
  <c r="O99" i="80" s="1"/>
  <c r="P99" i="80" s="1" a="1"/>
  <c r="P99" i="80" s="1"/>
  <c r="O92" i="80" a="1"/>
  <c r="O92" i="80" s="1"/>
  <c r="P92" i="80" s="1" a="1"/>
  <c r="P92" i="80" s="1"/>
  <c r="O100" i="80" a="1"/>
  <c r="O100" i="80" s="1"/>
  <c r="P100" i="80" s="1" a="1"/>
  <c r="P100" i="80" s="1"/>
  <c r="O97" i="80" a="1"/>
  <c r="O97" i="80" s="1"/>
  <c r="P97" i="80" s="1" a="1"/>
  <c r="P97" i="80" s="1"/>
  <c r="O96" i="80" a="1"/>
  <c r="O96" i="80" s="1"/>
  <c r="P96" i="80" s="1" a="1"/>
  <c r="P96" i="80" s="1"/>
  <c r="O102" i="80" a="1"/>
  <c r="O102" i="80" s="1"/>
  <c r="P102" i="80" s="1" a="1"/>
  <c r="P102" i="80" s="1"/>
  <c r="O90" i="80" a="1"/>
  <c r="O90" i="80" s="1"/>
  <c r="P90" i="80" s="1" a="1"/>
  <c r="P90" i="80" s="1"/>
  <c r="O93" i="80" a="1"/>
  <c r="O93" i="80" s="1"/>
  <c r="P93" i="80" s="1" a="1"/>
  <c r="P93" i="80" s="1"/>
  <c r="O91" i="80" a="1"/>
  <c r="O91" i="80" s="1"/>
  <c r="P91" i="80" s="1" a="1"/>
  <c r="P91" i="80" s="1"/>
  <c r="O105" i="80" a="1"/>
  <c r="O105" i="80" s="1"/>
  <c r="P105" i="80" s="1" a="1"/>
  <c r="P105" i="80" s="1"/>
  <c r="O103" i="80" a="1"/>
  <c r="O103" i="80" s="1"/>
  <c r="P103" i="80" s="1" a="1"/>
  <c r="P103" i="80" s="1"/>
  <c r="O101" i="80" a="1"/>
  <c r="O101" i="80" s="1"/>
  <c r="P101" i="80" s="1" a="1"/>
  <c r="P101" i="80" s="1"/>
  <c r="O104" i="80" a="1"/>
  <c r="O104" i="80" s="1"/>
  <c r="P104" i="80" s="1" a="1"/>
  <c r="P104" i="80" s="1"/>
  <c r="O87" i="80" a="1"/>
  <c r="O87" i="80" s="1"/>
  <c r="P87" i="80" s="1" a="1"/>
  <c r="P87" i="80" s="1"/>
  <c r="O89" i="80" a="1"/>
  <c r="O89" i="80" s="1"/>
  <c r="P89" i="80" s="1" a="1"/>
  <c r="P89" i="80" s="1"/>
  <c r="E76" i="81" a="1"/>
  <c r="E76" i="81" s="1"/>
  <c r="E70" i="81" a="1"/>
  <c r="E70" i="81" s="1"/>
  <c r="E69" i="81" a="1"/>
  <c r="E69" i="81" s="1"/>
  <c r="E59" i="81" a="1"/>
  <c r="E59" i="81" s="1"/>
  <c r="E62" i="81" a="1"/>
  <c r="E62" i="81" s="1"/>
  <c r="E58" i="81" a="1"/>
  <c r="E58" i="81" s="1"/>
  <c r="E72" i="81" a="1"/>
  <c r="E72" i="81" s="1"/>
  <c r="E71" i="81" a="1"/>
  <c r="E71" i="81" s="1"/>
  <c r="E61" i="81" a="1"/>
  <c r="E61" i="81" s="1"/>
  <c r="E60" i="81" a="1"/>
  <c r="E60" i="81" s="1"/>
  <c r="E66" i="81" a="1"/>
  <c r="E66" i="81" s="1"/>
  <c r="E64" i="81" a="1"/>
  <c r="E64" i="81" s="1"/>
  <c r="E73" i="81" a="1"/>
  <c r="E73" i="81" s="1"/>
  <c r="E68" i="81" a="1"/>
  <c r="E68" i="81" s="1"/>
  <c r="E67" i="81" a="1"/>
  <c r="E67" i="81" s="1"/>
  <c r="E65" i="81" a="1"/>
  <c r="E65" i="81" s="1"/>
  <c r="E75" i="81" a="1"/>
  <c r="E75" i="81" s="1"/>
  <c r="E63" i="81" a="1"/>
  <c r="E63" i="81" s="1"/>
  <c r="E74" i="81" a="1"/>
  <c r="E74" i="81" s="1"/>
  <c r="E42" i="98" a="1"/>
  <c r="E42" i="98" s="1"/>
  <c r="O19" i="107" a="1"/>
  <c r="O19" i="107" s="1"/>
  <c r="R569" i="106" s="1"/>
  <c r="M573" i="106" s="1" a="1"/>
  <c r="M573" i="106" s="1"/>
  <c r="O575" i="106" s="1"/>
  <c r="M578" i="106" s="1" a="1"/>
  <c r="M578" i="106" s="1"/>
  <c r="E19" i="107" a="1"/>
  <c r="E19" i="107" s="1"/>
  <c r="J569" i="106" s="1"/>
  <c r="G148" i="84" l="1"/>
  <c r="E151" i="84" s="1" a="1"/>
  <c r="E151" i="84" s="1"/>
  <c r="E11" i="13" a="1"/>
  <c r="E11" i="13" s="1"/>
  <c r="Q50" i="99"/>
  <c r="O53" i="99" s="1" a="1"/>
  <c r="O53" i="99" s="1"/>
  <c r="F14" i="13" a="1"/>
  <c r="F14" i="13" s="1"/>
  <c r="I14" i="13" s="1" a="1"/>
  <c r="I14" i="13" s="1"/>
  <c r="E78" i="81"/>
  <c r="E8" i="13" s="1" a="1"/>
  <c r="E8" i="13" s="1"/>
  <c r="J35" i="88"/>
  <c r="E39" i="88" s="1" a="1"/>
  <c r="E39" i="88" s="1"/>
  <c r="E24" i="13" s="1" a="1"/>
  <c r="E24" i="13" s="1"/>
  <c r="I551" i="106"/>
  <c r="G44" i="98"/>
  <c r="E47" i="98" s="1" a="1"/>
  <c r="E47" i="98" s="1"/>
  <c r="E13" i="13" a="1"/>
  <c r="E13" i="13" s="1"/>
  <c r="H13" i="13" s="1" a="1"/>
  <c r="H13" i="13" s="1"/>
  <c r="E555" i="106" a="1"/>
  <c r="E555" i="106" s="1"/>
  <c r="H9" i="13" a="1"/>
  <c r="H9" i="13" s="1"/>
  <c r="F9" i="13"/>
  <c r="I9" i="13" s="1" a="1"/>
  <c r="I9" i="13" s="1"/>
  <c r="N108" i="80"/>
  <c r="H10" i="13"/>
  <c r="F10" i="13"/>
  <c r="I10" i="13" s="1"/>
  <c r="G82" i="80"/>
  <c r="E85" i="80" s="1" a="1"/>
  <c r="E85" i="80" s="1"/>
  <c r="E7" i="13" a="1"/>
  <c r="E7" i="13" s="1"/>
  <c r="H7" i="13" s="1" a="1"/>
  <c r="H7" i="13" s="1"/>
  <c r="E94" i="85" a="1"/>
  <c r="E94" i="85" s="1"/>
  <c r="H24" i="13" l="1"/>
  <c r="F24" i="13"/>
  <c r="I24" i="13" s="1"/>
  <c r="F8" i="13"/>
  <c r="I8" i="13" s="1"/>
  <c r="H8" i="13"/>
  <c r="P110" i="80"/>
  <c r="N113" i="80" s="1" a="1"/>
  <c r="N113" i="80" s="1"/>
  <c r="F7" i="13" a="1"/>
  <c r="F7" i="13" s="1"/>
  <c r="I7" i="13" s="1" a="1"/>
  <c r="I7" i="13" s="1"/>
  <c r="G96" i="85"/>
  <c r="E99" i="85" s="1" a="1"/>
  <c r="E99" i="85" s="1"/>
  <c r="E12" i="13" a="1"/>
  <c r="E12" i="13" s="1"/>
  <c r="F11" i="13"/>
  <c r="I11" i="13" s="1" a="1"/>
  <c r="I11" i="13" s="1"/>
  <c r="H11" i="13" a="1"/>
  <c r="H11" i="13" s="1"/>
  <c r="H12" i="13" l="1" a="1"/>
  <c r="H12" i="13" s="1"/>
  <c r="H25" i="13" s="1"/>
  <c r="E34" i="13" s="1"/>
  <c r="E39" i="13" s="1"/>
  <c r="F12" i="13"/>
  <c r="I12" i="13" s="1" a="1"/>
  <c r="I12" i="13" s="1"/>
  <c r="I25" i="13" s="1"/>
  <c r="F34" i="13" s="1"/>
  <c r="F39" i="13" s="1"/>
  <c r="I64" i="13" l="1"/>
  <c r="F56" i="13"/>
  <c r="I65" i="13" s="1"/>
  <c r="I73" i="13"/>
  <c r="I61" i="13"/>
  <c r="I70" i="13"/>
  <c r="I71" i="13"/>
  <c r="I74" i="13"/>
  <c r="I62" i="13"/>
  <c r="H74" i="13"/>
  <c r="H61" i="13"/>
  <c r="H73" i="13"/>
  <c r="H64" i="13"/>
  <c r="E56" i="13"/>
  <c r="H65" i="13" s="1"/>
  <c r="H71" i="13"/>
  <c r="H62" i="13"/>
  <c r="H70"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<sst xmlns="http://schemas.openxmlformats.org/spreadsheetml/2006/main" count="2408" uniqueCount="939">
  <si>
    <t>INPUTS</t>
  </si>
  <si>
    <t>APPENDICES</t>
  </si>
  <si>
    <t>CALCULATIONS</t>
  </si>
  <si>
    <t>Scope 1 source</t>
  </si>
  <si>
    <t>Total</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</si>
  <si>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</si>
  <si>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</si>
  <si>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</si>
  <si>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</si>
  <si>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</si>
  <si>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</si>
  <si>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</si>
  <si>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</si>
  <si>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</si>
  <si>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</si>
  <si>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</si>
  <si>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</si>
  <si>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</si>
  <si>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</si>
  <si>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</si>
  <si>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</si>
  <si>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</si>
  <si>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</si>
  <si>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</si>
  <si>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</si>
  <si>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</si>
  <si>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</si>
  <si>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</si>
  <si>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</si>
  <si>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</si>
  <si>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</si>
  <si>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</si>
  <si>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</si>
  <si>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</si>
  <si>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</si>
  <si>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</si>
  <si>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</si>
  <si>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</si>
  <si>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</si>
  <si>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</si>
  <si>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</si>
  <si>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</si>
  <si>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</si>
  <si>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</si>
  <si>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</si>
  <si>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</si>
  <si>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</si>
  <si>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</si>
  <si>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</si>
  <si>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</si>
  <si>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</si>
  <si>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</si>
  <si>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</si>
  <si>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</si>
  <si>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</si>
  <si>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</si>
  <si>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</si>
  <si>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</si>
  <si>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</si>
  <si>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</si>
  <si>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</si>
  <si>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</si>
  <si>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</si>
  <si>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</si>
  <si>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</si>
  <si>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</si>
  <si>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</si>
  <si>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</si>
  <si>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</si>
  <si>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</si>
  <si>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</si>
  <si>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</si>
  <si>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</si>
  <si>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</si>
  <si>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</si>
  <si>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</si>
  <si>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</si>
  <si>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</si>
  <si>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</si>
  <si>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</si>
  <si>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</si>
  <si>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</si>
  <si>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</si>
  <si>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</si>
  <si>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</si>
  <si>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</si>
  <si>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</si>
  <si>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</si>
  <si>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</si>
  <si>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</si>
  <si>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</si>
  <si>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</si>
  <si>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</si>
  <si>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</si>
  <si>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</si>
  <si>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</si>
  <si>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</si>
  <si>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</si>
  <si>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</si>
  <si>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</si>
  <si>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</si>
  <si>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</si>
  <si>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</si>
  <si>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</si>
  <si>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</si>
  <si>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</si>
  <si>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</si>
  <si>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</si>
  <si>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</si>
  <si>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</si>
  <si>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</si>
  <si>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</si>
  <si>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</si>
  <si>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</si>
  <si>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</si>
  <si>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</si>
  <si>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</si>
  <si>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</si>
  <si>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</si>
  <si>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</si>
  <si>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</si>
  <si>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</si>
  <si>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Emissions intensity (Method 1)</t>
  </si>
  <si>
    <t>Emissions intensity (Method 2)</t>
  </si>
  <si>
    <t>Product type</t>
  </si>
  <si>
    <t>Main product</t>
  </si>
  <si>
    <t>Co-product</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</si>
  <si>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</si>
  <si>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</si>
  <si>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</si>
  <si>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</si>
  <si>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</si>
  <si>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</si>
  <si>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</si>
  <si>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</si>
  <si>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</si>
  <si>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</si>
  <si>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Product</t>
  </si>
  <si>
    <t>5.1.1.1-2 Inorganic fert N2O</t>
  </si>
  <si>
    <t>5.1.1.3-4 Inorganic fert CO2</t>
  </si>
  <si>
    <t>5.2.1.1-2 Organic fert N2O</t>
  </si>
  <si>
    <t>5.3.1.1-2 Lime CO2</t>
  </si>
  <si>
    <t>5.4.1.1-4 Atmos. deposition</t>
  </si>
  <si>
    <t>5.5.1.1-2 Leaching &amp; runoff</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</si>
  <si>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</si>
  <si>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</si>
  <si>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</si>
  <si>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</si>
  <si>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</si>
  <si>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</si>
  <si>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</si>
  <si>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</si>
  <si>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</si>
  <si>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</si>
  <si>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Grain yield</t>
  </si>
  <si>
    <t>Percentage of income from grain sold</t>
  </si>
  <si>
    <t>Baled hay/silage yield</t>
  </si>
  <si>
    <t>Percentage of income from baled hay/silage sold</t>
  </si>
  <si>
    <t>Percent grain sold</t>
  </si>
  <si>
    <t>Percent grain used as feed on own farm</t>
  </si>
  <si>
    <t>Percent grain stored and not sold or used</t>
  </si>
  <si>
    <t>Percent baled hay/silage sold</t>
  </si>
  <si>
    <t>Percent baled hay/silage used as feed on own farm</t>
  </si>
  <si>
    <t>Grain used as feed on own farm</t>
  </si>
  <si>
    <t>Baled haysilage used as feed on own farm</t>
  </si>
  <si>
    <t>t co2e/t grain sold</t>
  </si>
  <si>
    <t>t co2e/t baled hay/silage</t>
  </si>
  <si>
    <t>Economic emissions assignment</t>
  </si>
  <si>
    <t>Mass emissions assignment</t>
  </si>
  <si>
    <t>Emissions intestity (Method 1)</t>
  </si>
  <si>
    <t>Emissions intestity (Method 2)</t>
  </si>
  <si>
    <t>Product emissions - Mass</t>
  </si>
  <si>
    <t>Product emissions - Economic</t>
  </si>
  <si>
    <t>Grain sold - excluding removals</t>
  </si>
  <si>
    <t>Grain sold - net emissions</t>
  </si>
  <si>
    <t>Baled hay/silage sold - excluding removals</t>
  </si>
  <si>
    <t>Baled hay/silage sold - net emissions</t>
  </si>
  <si>
    <t>6.3.1.1-2 Leach &amp; runoff (crop)</t>
  </si>
  <si>
    <t>6.1.1.1-2 Crop residue N2O</t>
  </si>
  <si>
    <t>6.4.1.1-2 Residue burning CH4</t>
  </si>
  <si>
    <t>6.4.1.1-2 Residue burning N2O</t>
  </si>
  <si>
    <t>Enterprise: Grain Crop: Results</t>
  </si>
  <si>
    <t>Input - Fertiliser Production System</t>
  </si>
  <si>
    <t>Production system</t>
  </si>
  <si>
    <t>Crop</t>
  </si>
  <si>
    <t>Crop type</t>
  </si>
  <si>
    <t>Area under cropping</t>
  </si>
  <si>
    <t>These inputs are used for fertiliser calculations, and they take their values from the "Input - Crop" sheet. Do not edit these cells.</t>
  </si>
  <si>
    <t>Input - Data quality</t>
  </si>
  <si>
    <t>Input</t>
  </si>
  <si>
    <t>Temporal representativeness</t>
  </si>
  <si>
    <t>Spatial resolution</t>
  </si>
  <si>
    <t>Sample size</t>
  </si>
  <si>
    <t>Notes</t>
  </si>
  <si>
    <t>Evidence files</t>
  </si>
  <si>
    <t>Score</t>
  </si>
  <si>
    <t>Input name</t>
  </si>
  <si>
    <t>TR4</t>
  </si>
  <si>
    <t>SR5</t>
  </si>
  <si>
    <t>SS3</t>
  </si>
  <si>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</si>
  <si>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</si>
  <si>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</si>
  <si>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</si>
  <si>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</si>
  <si>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</si>
  <si>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</si>
  <si>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</si>
  <si>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Application area (ha)</t>
  </si>
  <si>
    <t>Density</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</si>
  <si>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</si>
  <si>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</si>
  <si>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</si>
  <si>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</si>
  <si>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</si>
  <si>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</si>
  <si>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</si>
  <si>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</si>
  <si>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</si>
  <si>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</si>
  <si>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</si>
  <si>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</si>
  <si>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</si>
  <si>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 N (Ingredients)</t>
  </si>
  <si>
    <t>% N (declared)</t>
  </si>
  <si>
    <t>N application rate (kg/ha)</t>
  </si>
  <si>
    <t>Urea source</t>
  </si>
  <si>
    <t>Ammonia source</t>
  </si>
  <si>
    <t>Urea</t>
  </si>
  <si>
    <t>Boost-It</t>
  </si>
  <si>
    <t>Cal-Gran 50/50</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</si>
  <si>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</si>
  <si>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</si>
  <si>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</si>
  <si>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</si>
  <si>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</si>
  <si>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</si>
  <si>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</si>
  <si>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</si>
  <si>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</si>
  <si>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</si>
  <si>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</si>
  <si>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</si>
  <si>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My third custom blend</t>
  </si>
  <si>
    <t>Ammonia</t>
  </si>
  <si>
    <t>Lime applications</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</si>
  <si>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</si>
  <si>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</si>
  <si>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</si>
  <si>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</si>
  <si>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</si>
  <si>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</si>
  <si>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</si>
  <si>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Lime product 1</t>
  </si>
  <si>
    <t>Lime product 2</t>
  </si>
  <si>
    <t>Lime product 3</t>
  </si>
  <si>
    <t>Organic fertiliser applications</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</si>
  <si>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</si>
  <si>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</si>
  <si>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</si>
  <si>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</si>
  <si>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</si>
  <si>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</si>
  <si>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</si>
  <si>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</si>
  <si>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</si>
  <si>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</si>
  <si>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Function name</t>
  </si>
  <si>
    <t>Variable</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</si>
  <si>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</si>
  <si>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</si>
  <si>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</si>
  <si>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</si>
  <si>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</si>
  <si>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</si>
  <si>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</si>
  <si>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</si>
  <si>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Method 2 prioritises the 'Declared N' value for branded fertiliser products, meaning the amount of N delcared by the manufacturer is used instead of the product ingredients and estimated amount of N for each ingredient.</t>
  </si>
  <si>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</si>
  <si>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</si>
  <si>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</si>
  <si>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</si>
  <si>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hectares</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</si>
  <si>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</si>
  <si>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</si>
  <si>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</si>
  <si>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</si>
  <si>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</si>
  <si>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</si>
  <si>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</si>
  <si>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</si>
  <si>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</si>
  <si>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</si>
  <si>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</si>
  <si>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</si>
  <si>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</si>
  <si>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</si>
  <si>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r>
      <t>E</t>
    </r>
    <r>
      <rPr>
        <b/>
        <vertAlign val="subscript"/>
        <sz val="16"/>
        <color theme="1" tint="0.24994659260841701"/>
        <rFont val="Times New Roman"/>
        <family val="1"/>
      </rPr>
      <t>N2O</t>
    </r>
  </si>
  <si>
    <t>Not used</t>
  </si>
  <si>
    <r>
      <t>E</t>
    </r>
    <r>
      <rPr>
        <vertAlign val="subscript"/>
        <sz val="12"/>
        <color theme="1" tint="0.24994659260841701"/>
        <rFont val="Times New Roman"/>
        <family val="1"/>
      </rPr>
      <t>CO2e</t>
    </r>
  </si>
  <si>
    <r>
      <t>EFj</t>
    </r>
    <r>
      <rPr>
        <b/>
        <vertAlign val="subscript"/>
        <sz val="11"/>
        <color rgb="FF183C1B"/>
        <rFont val="Times New Roman"/>
        <family val="1"/>
      </rPr>
      <t>N2O</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</si>
  <si>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</si>
  <si>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</si>
  <si>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</si>
  <si>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</si>
  <si>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</si>
  <si>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</si>
  <si>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</si>
  <si>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</si>
  <si>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</si>
  <si>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</si>
  <si>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</si>
  <si>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</si>
  <si>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</si>
  <si>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</si>
  <si>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t>FNorganicf</t>
  </si>
  <si>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</si>
  <si>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</si>
  <si>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</si>
  <si>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</si>
  <si>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Element</t>
  </si>
  <si>
    <t>M</t>
  </si>
  <si>
    <t>FracLime</t>
  </si>
  <si>
    <t>FracDol</t>
  </si>
  <si>
    <t>Elime</t>
  </si>
  <si>
    <r>
      <t>E</t>
    </r>
    <r>
      <rPr>
        <b/>
        <vertAlign val="subscript"/>
        <sz val="16"/>
        <color theme="1" tint="0.24994659260841701"/>
        <rFont val="Times New Roman"/>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</si>
  <si>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</si>
  <si>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</si>
  <si>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</si>
  <si>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</si>
  <si>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</si>
  <si>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</si>
  <si>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</si>
  <si>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</si>
  <si>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</si>
  <si>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</si>
  <si>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</si>
  <si>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</si>
  <si>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</si>
  <si>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</si>
  <si>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</si>
  <si>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</si>
  <si>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</si>
  <si>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</si>
  <si>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</si>
  <si>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</si>
  <si>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</si>
  <si>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</si>
  <si>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</si>
  <si>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</si>
  <si>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</si>
  <si>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</si>
  <si>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</si>
  <si>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</si>
  <si>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</si>
  <si>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</si>
  <si>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</si>
  <si>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</si>
  <si>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</si>
  <si>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</si>
  <si>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</si>
  <si>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</si>
  <si>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Irrigation methods</t>
  </si>
  <si>
    <t>Organic fertiliser types</t>
  </si>
  <si>
    <t>Organic fertiliser type</t>
  </si>
  <si>
    <t>Pasture</t>
  </si>
  <si>
    <t>Not irrigated</t>
  </si>
  <si>
    <t>Manure - Cattle</t>
  </si>
  <si>
    <t>Grains</t>
  </si>
  <si>
    <t>Drip irrigation</t>
  </si>
  <si>
    <t>Maize</t>
  </si>
  <si>
    <t>Sprinkler irrigation</t>
  </si>
  <si>
    <t>Manure - Swine</t>
  </si>
  <si>
    <t>Cotton</t>
  </si>
  <si>
    <t>Surface irrigation</t>
  </si>
  <si>
    <t>Other irrigation</t>
  </si>
  <si>
    <t>FracGASF f</t>
  </si>
  <si>
    <t>P</t>
  </si>
  <si>
    <t>EF</t>
  </si>
  <si>
    <t xml:space="preserve">Nitrogen - Generic </t>
  </si>
  <si>
    <t>Fertiliser products</t>
  </si>
  <si>
    <t>Company</t>
  </si>
  <si>
    <t>Contains inhibitor</t>
  </si>
  <si>
    <t>N declared</t>
  </si>
  <si>
    <t>P declared</t>
  </si>
  <si>
    <t>K declared</t>
  </si>
  <si>
    <t>S declared</t>
  </si>
  <si>
    <t>Ingredient 7</t>
  </si>
  <si>
    <t>Ingredient 7 percent</t>
  </si>
  <si>
    <t>Ingredient 8</t>
  </si>
  <si>
    <t>Ingredient 8 percent</t>
  </si>
  <si>
    <t>Ingredient 9</t>
  </si>
  <si>
    <t>Ingredient 9 percent</t>
  </si>
  <si>
    <t>Ingredient 10</t>
  </si>
  <si>
    <t>Ingredient 10 percent</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</si>
  <si>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</si>
  <si>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</si>
  <si>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</si>
  <si>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</si>
  <si>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</si>
  <si>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</si>
  <si>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</si>
  <si>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</si>
  <si>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</si>
  <si>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</si>
  <si>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</si>
  <si>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</si>
  <si>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</si>
  <si>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</si>
  <si>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</si>
  <si>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</si>
  <si>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</si>
  <si>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</si>
  <si>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</si>
  <si>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</si>
  <si>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Description</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</si>
  <si>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</si>
  <si>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</si>
  <si>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</si>
  <si>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</si>
  <si>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</si>
  <si>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</si>
  <si>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</si>
  <si>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</si>
  <si>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</si>
  <si>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</si>
  <si>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</si>
  <si>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 xml:space="preserve"> </t>
  </si>
  <si>
    <t>Renewable Energy Certificates (RECs) for electricity produced on-site and consumed by the entity</t>
  </si>
  <si>
    <t>May 2022 generated</t>
  </si>
  <si>
    <t>Jul 24 certs generated</t>
  </si>
  <si>
    <t>Total elegible RECs for electricity produced on-site and consumed by entity</t>
  </si>
  <si>
    <t>14.1.1-2 Purchased Electricity</t>
  </si>
  <si>
    <r>
      <rPr>
        <b/>
        <sz val="16"/>
        <color theme="1" tint="0.24994659260841701"/>
        <rFont val="Times New Roman"/>
        <family val="1"/>
      </rPr>
      <t>E</t>
    </r>
    <r>
      <rPr>
        <b/>
        <vertAlign val="subscript"/>
        <sz val="16"/>
        <color theme="1" tint="0.24994659260841701"/>
        <rFont val="Times New Roman"/>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</si>
  <si>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</si>
  <si>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</si>
  <si>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</si>
  <si>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</si>
  <si>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</si>
  <si>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</si>
  <si>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</si>
  <si>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</si>
  <si>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</si>
  <si>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</si>
  <si>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</si>
  <si>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</si>
  <si>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</si>
  <si>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</si>
  <si>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</si>
  <si>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</si>
  <si>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</si>
  <si>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</si>
  <si>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</si>
  <si>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</si>
  <si>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</si>
  <si>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</si>
  <si>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</si>
  <si>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</si>
  <si>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</si>
  <si>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</si>
  <si>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</si>
  <si>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</si>
  <si>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</si>
  <si>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</si>
  <si>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</si>
  <si>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</si>
  <si>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</si>
  <si>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</si>
  <si>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</si>
  <si>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</si>
  <si>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</si>
  <si>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</si>
  <si>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</si>
  <si>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</si>
  <si>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</si>
  <si>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</si>
  <si>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</si>
  <si>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</si>
  <si>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</si>
  <si>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</si>
  <si>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</si>
  <si>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</si>
  <si>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</si>
  <si>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</si>
  <si>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</si>
  <si>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</si>
  <si>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</si>
  <si>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</si>
  <si>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</si>
  <si>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</si>
  <si>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</si>
  <si>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</si>
  <si>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</si>
  <si>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</si>
  <si>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</si>
  <si>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</si>
  <si>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</si>
  <si>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</si>
  <si>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</si>
  <si>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</si>
  <si>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</si>
  <si>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</si>
  <si>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</si>
  <si>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</si>
  <si>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</si>
  <si>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</si>
  <si>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</si>
  <si>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</si>
  <si>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</si>
  <si>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</si>
  <si>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</si>
  <si>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</si>
  <si>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</si>
  <si>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</si>
  <si>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</si>
  <si>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</si>
  <si>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</si>
  <si>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</si>
  <si>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</si>
  <si>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</si>
  <si>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</si>
  <si>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</si>
  <si>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</si>
  <si>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</si>
  <si>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</si>
  <si>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</si>
  <si>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</si>
  <si>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</si>
  <si>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</si>
  <si>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</si>
  <si>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</si>
  <si>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</si>
  <si>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</si>
  <si>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</si>
  <si>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</si>
  <si>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</si>
  <si>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</si>
  <si>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</si>
  <si>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</si>
  <si>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</si>
  <si>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</si>
  <si>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</si>
  <si>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</si>
  <si>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</si>
  <si>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</si>
  <si>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</si>
  <si>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</si>
  <si>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</si>
  <si>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</si>
  <si>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</si>
  <si>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</si>
  <si>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</si>
  <si>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</si>
  <si>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</si>
  <si>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</si>
  <si>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</si>
  <si>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</si>
  <si>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</si>
  <si>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</si>
  <si>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</si>
  <si>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</si>
  <si>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</si>
  <si>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</si>
  <si>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</si>
  <si>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</si>
  <si>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</si>
  <si>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</si>
  <si>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</si>
  <si>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</si>
  <si>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</si>
  <si>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</si>
  <si>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</si>
  <si>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</si>
  <si>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</si>
  <si>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</si>
  <si>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</si>
  <si>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</si>
  <si>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</si>
  <si>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</si>
  <si>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</si>
  <si>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</si>
  <si>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</si>
  <si>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</si>
  <si>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</si>
  <si>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</si>
  <si>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</si>
  <si>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</si>
  <si>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</si>
  <si>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</si>
  <si>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</si>
  <si>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</si>
  <si>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</si>
  <si>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</si>
  <si>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</si>
  <si>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</si>
  <si>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</si>
  <si>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</si>
  <si>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</si>
  <si>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</si>
  <si>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</si>
  <si>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</si>
  <si>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</si>
  <si>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</si>
  <si>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</si>
  <si>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</si>
  <si>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</si>
  <si>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</si>
  <si>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</si>
  <si>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Crop</t>
  </si>
  <si>
    <t>Area</t>
  </si>
  <si>
    <t>If multiple paddocks were managed in the same way at the same time, you can enter information for them all together.</t>
  </si>
  <si>
    <t>Wheat</t>
  </si>
  <si>
    <r>
      <rPr>
        <sz val="12"/>
        <color theme="1" tint="0.34998626667073579"/>
        <rFont val="Times New Roman"/>
        <family val="1"/>
      </rPr>
      <t>←</t>
    </r>
    <r>
      <rPr>
        <i/>
        <sz val="12"/>
        <color theme="1" tint="0.34998626667073579"/>
        <rFont val="Times New Roman"/>
        <family val="1"/>
      </rPr>
      <t xml:space="preserve"> Please select</t>
    </r>
  </si>
  <si>
    <t>Crop purpose</t>
  </si>
  <si>
    <t>Cash grain crop</t>
  </si>
  <si>
    <t>Hectares</t>
  </si>
  <si>
    <t>Yield</t>
  </si>
  <si>
    <t>Residue:crop ratio²</t>
  </si>
  <si>
    <t>Crop residue biomass</t>
  </si>
  <si>
    <t>Tonnes per hectare</t>
  </si>
  <si>
    <t>Whole plant above ground biomass</t>
  </si>
  <si>
    <t>Total production of crop³</t>
  </si>
  <si>
    <t>Residue management</t>
  </si>
  <si>
    <t>Tonnes</t>
  </si>
  <si>
    <t>Baled residue</t>
  </si>
  <si>
    <t>Percentage of residue that was baled</t>
  </si>
  <si>
    <t>Percent</t>
  </si>
  <si>
    <t>Average weight per bale</t>
  </si>
  <si>
    <t>Kilograms</t>
  </si>
  <si>
    <t>Number of bales</t>
  </si>
  <si>
    <t>Bales</t>
  </si>
  <si>
    <t>Total residue baled</t>
  </si>
  <si>
    <t>Burned residue</t>
  </si>
  <si>
    <t>Percentage of residue that was burned</t>
  </si>
  <si>
    <t>Total residue burned</t>
  </si>
  <si>
    <t>Residue retained on paddocks</t>
  </si>
  <si>
    <t>6.1.1.1-2 Crop residue N2O emissions</t>
  </si>
  <si>
    <r>
      <t>FFOD</t>
    </r>
    <r>
      <rPr>
        <b/>
        <vertAlign val="subscript"/>
        <sz val="12"/>
        <color theme="1" tint="0.24994659260841701"/>
        <rFont val="Times New Roman"/>
        <family val="1"/>
      </rPr>
      <t>c</t>
    </r>
  </si>
  <si>
    <r>
      <t>M</t>
    </r>
    <r>
      <rPr>
        <b/>
        <vertAlign val="subscript"/>
        <sz val="12"/>
        <color theme="1" tint="0.24994659260841701"/>
        <rFont val="Times New Roman"/>
        <family val="1"/>
      </rPr>
      <t>c</t>
    </r>
  </si>
  <si>
    <t>6.3.1.1-2 Leaching and run-off from crop residues only</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</si>
  <si>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</si>
  <si>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</si>
  <si>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</si>
  <si>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</si>
  <si>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</si>
  <si>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</si>
  <si>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</si>
  <si>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</si>
  <si>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</si>
  <si>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</si>
  <si>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</si>
  <si>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6"/>
        <color theme="1"/>
        <rFont val="Times New Roman"/>
        <family val="1"/>
        <scheme val="minor"/>
      </rPr>
      <t>N2O</t>
    </r>
  </si>
  <si>
    <t>6.4.1.1-2 Field burning of crop residues</t>
  </si>
  <si>
    <r>
      <rPr>
        <b/>
        <sz val="12"/>
        <color theme="1" tint="0.24994659260841701"/>
        <rFont val="Times New Roman"/>
        <family val="1"/>
      </rPr>
      <t>M</t>
    </r>
    <r>
      <rPr>
        <b/>
        <vertAlign val="subscript"/>
        <sz val="12"/>
        <color theme="1" tint="0.24994659260841701"/>
        <rFont val="Times New Roman"/>
        <family val="1"/>
      </rPr>
      <t>burn,c</t>
    </r>
  </si>
  <si>
    <r>
      <t>E</t>
    </r>
    <r>
      <rPr>
        <b/>
        <vertAlign val="subscript"/>
        <sz val="16"/>
        <color theme="1" tint="0.24994659260841701"/>
        <rFont val="Times New Roman"/>
        <family val="1"/>
      </rPr>
      <t>CH4</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</si>
  <si>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</si>
  <si>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</si>
  <si>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</si>
  <si>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</si>
  <si>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</si>
  <si>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</si>
  <si>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</si>
  <si>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</si>
  <si>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</si>
  <si>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</si>
  <si>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</si>
  <si>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</si>
  <si>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</si>
  <si>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</si>
  <si>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</si>
  <si>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</si>
  <si>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</si>
  <si>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</si>
  <si>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</si>
  <si>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Pasture type</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</si>
  <si>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</si>
  <si>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</si>
  <si>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</si>
  <si>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</si>
  <si>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</si>
  <si>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</si>
  <si>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</si>
  <si>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</si>
  <si>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</si>
  <si>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</si>
  <si>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Input - Common farm inputs</t>
  </si>
  <si>
    <t>Cleaning chemicals</t>
  </si>
  <si>
    <t>Product name</t>
  </si>
  <si>
    <t>Type (select)</t>
  </si>
  <si>
    <t>Quantity purchased (kg)</t>
  </si>
  <si>
    <t>Acid kleen</t>
  </si>
  <si>
    <t>Phosphoric acid</t>
  </si>
  <si>
    <t>Kleen alk</t>
  </si>
  <si>
    <t>Alkaline cleaner</t>
  </si>
  <si>
    <t>White king</t>
  </si>
  <si>
    <t>Bleach</t>
  </si>
  <si>
    <t>Services and contractors</t>
  </si>
  <si>
    <t>Service provider / contractor</t>
  </si>
  <si>
    <t>Activity</t>
  </si>
  <si>
    <t>Total amount</t>
  </si>
  <si>
    <t>Pete's Pickers</t>
  </si>
  <si>
    <t>Fruit picking</t>
  </si>
  <si>
    <t>Hour</t>
  </si>
  <si>
    <t>Harini's Harvesting Services Pty Ltd</t>
  </si>
  <si>
    <t>Wheat harvesting</t>
  </si>
  <si>
    <t>Hectare</t>
  </si>
  <si>
    <t>Uncategorised products</t>
  </si>
  <si>
    <t>Product / service name</t>
  </si>
  <si>
    <t>Something</t>
  </si>
  <si>
    <t>Input - Crop and pasture farm inputs</t>
  </si>
  <si>
    <t>Pesticides</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</si>
  <si>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</si>
  <si>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</si>
  <si>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</si>
  <si>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</si>
  <si>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</si>
  <si>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Constituent unit (select)</t>
  </si>
  <si>
    <t>Active ingredient 1 (select)</t>
  </si>
  <si>
    <t>Active ingredient 1 amount</t>
  </si>
  <si>
    <t>Total active ingredient 1 (kg)</t>
  </si>
  <si>
    <t>Active ingredient 2 (select)</t>
  </si>
  <si>
    <t>Active ingredient 2 amount</t>
  </si>
  <si>
    <t>Total active ingredient 2 (kg)</t>
  </si>
  <si>
    <t>Active ingredient 3 (select)</t>
  </si>
  <si>
    <t>Active ingredient 3 amount</t>
  </si>
  <si>
    <t>Total active ingredient 3 (kg)</t>
  </si>
  <si>
    <t>QA MCPA + Picloram SL Herbicide</t>
  </si>
  <si>
    <t>grams/litre or grams/kg</t>
  </si>
  <si>
    <t>Pesticides (generic)</t>
  </si>
  <si>
    <t>Glyphosate</t>
  </si>
  <si>
    <t>Heben Propiconazole 550EC Fungicide</t>
  </si>
  <si>
    <t>litre / hectare</t>
  </si>
  <si>
    <t>2,4-D</t>
  </si>
  <si>
    <t>Tribenuron methyl</t>
  </si>
  <si>
    <t>NovaGuard Boscalid 500 WG Fungicide</t>
  </si>
  <si>
    <t>Metolachlor</t>
  </si>
  <si>
    <t>Trifluralin</t>
  </si>
  <si>
    <t>Seed</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</si>
  <si>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</si>
  <si>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</si>
  <si>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</si>
  <si>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</si>
  <si>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</si>
  <si>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</si>
  <si>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</si>
  <si>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</si>
  <si>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</si>
  <si>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</si>
  <si>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</si>
  <si>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</si>
  <si>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</si>
  <si>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Input - Manure sent off-site</t>
  </si>
  <si>
    <t>Manure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</si>
  <si>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</si>
  <si>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</si>
  <si>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Mass of Nitrogen from manure sent offsite (MNSoil) - Method 1</t>
  </si>
  <si>
    <t>kg N</t>
  </si>
  <si>
    <t>Mass of Nitrogen from manure sent offsite (MNSoil) - Method 2</t>
  </si>
  <si>
    <t>Production system where manure is anticipated to be deposited</t>
  </si>
  <si>
    <t>Irrigation method where manure is anticipated to be deposited</t>
  </si>
  <si>
    <t>15 Scope 3 emissions</t>
  </si>
  <si>
    <t>Scope 3 emissions are calculated on a maximum of 10 livestock purchases for each category</t>
  </si>
  <si>
    <t>Beef cattle</t>
  </si>
  <si>
    <t>Transaction description</t>
  </si>
  <si>
    <t>Livestock type c</t>
  </si>
  <si>
    <t>Origin o</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</si>
  <si>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</si>
  <si>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</si>
  <si>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EF</t>
    </r>
    <r>
      <rPr>
        <b/>
        <vertAlign val="subscript"/>
        <sz val="11"/>
        <color rgb="FF183C1B"/>
        <rFont val="Times New Roman"/>
        <family val="1"/>
      </rPr>
      <t>co</t>
    </r>
    <r>
      <rPr>
        <b/>
        <sz val="11"/>
        <color rgb="FF183C1B"/>
        <rFont val="Times New Roman"/>
        <family val="1"/>
      </rPr>
      <t xml:space="preserve"> (Method 1)</t>
    </r>
  </si>
  <si>
    <t>E (Method 1)</t>
  </si>
  <si>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</si>
  <si>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533001"/>
        <rFont val="Times New Roman"/>
        <family val="1"/>
      </rPr>
      <t>co</t>
    </r>
    <r>
      <rPr>
        <b/>
        <sz val="11"/>
        <color rgb="FF533001"/>
        <rFont val="Times New Roman"/>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</si>
  <si>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</si>
  <si>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</si>
  <si>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</si>
  <si>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</si>
  <si>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</si>
  <si>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</si>
  <si>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</si>
  <si>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</si>
  <si>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</si>
  <si>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t>Dairy cattle</t>
  </si>
  <si>
    <r>
      <t>EF</t>
    </r>
    <r>
      <rPr>
        <vertAlign val="subscript"/>
        <sz val="10"/>
        <color theme="1" tint="0.34998626667073579"/>
        <rFont val="Times New Roman"/>
        <family val="1"/>
      </rPr>
      <t>co</t>
    </r>
    <r>
      <rPr>
        <sz val="10"/>
        <color theme="1" tint="0.34998626667073579"/>
        <rFont val="Times New Roman"/>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</si>
  <si>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</si>
  <si>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</si>
  <si>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</si>
  <si>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</si>
  <si>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</si>
  <si>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</si>
  <si>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</si>
  <si>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</si>
  <si>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</si>
  <si>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</si>
  <si>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</si>
  <si>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</si>
  <si>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</si>
  <si>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</si>
  <si>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1"/>
        <color rgb="FF533001"/>
        <rFont val="Times New Roman"/>
        <family val="1"/>
      </rPr>
      <t>j</t>
    </r>
  </si>
  <si>
    <r>
      <t>EF</t>
    </r>
    <r>
      <rPr>
        <b/>
        <vertAlign val="subscript"/>
        <sz val="11"/>
        <color rgb="FF183C1B"/>
        <rFont val="Times New Roman"/>
        <family val="1"/>
      </rPr>
      <t>j</t>
    </r>
    <r>
      <rPr>
        <b/>
        <sz val="11"/>
        <color rgb="FF183C1B"/>
        <rFont val="Times New Roman"/>
        <family val="1"/>
      </rPr>
      <t xml:space="preserve"> (Method 1)</t>
    </r>
  </si>
  <si>
    <r>
      <t>EF</t>
    </r>
    <r>
      <rPr>
        <b/>
        <vertAlign val="subscript"/>
        <sz val="11"/>
        <color rgb="FF533001"/>
        <rFont val="Times New Roman"/>
        <family val="1"/>
      </rPr>
      <t>j</t>
    </r>
    <r>
      <rPr>
        <b/>
        <sz val="11"/>
        <color rgb="FF533001"/>
        <rFont val="Times New Roman"/>
        <family val="1"/>
      </rPr>
      <t xml:space="preserve"> (Method 2)</t>
    </r>
  </si>
  <si>
    <t>Ingredient 1 source</t>
  </si>
  <si>
    <t>Ingredient 1 EF</t>
  </si>
  <si>
    <t>Ingredient 2 source</t>
  </si>
  <si>
    <t>Ingredient 2 EF</t>
  </si>
  <si>
    <t>Ingredient 3 source</t>
  </si>
  <si>
    <t>Ingredient 3 EF</t>
  </si>
  <si>
    <t>Ingredient 4 source</t>
  </si>
  <si>
    <t>Ingredient 4 EF</t>
  </si>
  <si>
    <t>Feed rations</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</si>
  <si>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</si>
  <si>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</si>
  <si>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</si>
  <si>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Branded fertiliser product purchases</t>
  </si>
  <si>
    <t>Scope 3 emissions are calculated on a maximum of 20 branded fertiliser product purchases</t>
  </si>
  <si>
    <t>Total amount (kg)</t>
  </si>
  <si>
    <r>
      <t>EF</t>
    </r>
    <r>
      <rPr>
        <b/>
        <vertAlign val="subscript"/>
        <sz val="11"/>
        <color rgb="FF183C1B"/>
        <rFont val="Times New Roman"/>
        <family val="1"/>
      </rPr>
      <t>f</t>
    </r>
    <r>
      <rPr>
        <b/>
        <sz val="11"/>
        <color rgb="FF183C1B"/>
        <rFont val="Times New Roman"/>
        <family val="1"/>
      </rPr>
      <t xml:space="preserve"> (Method 1)</t>
    </r>
  </si>
  <si>
    <t>E- Product (Method 1)</t>
  </si>
  <si>
    <t>E - Fertiliser components (Method 1)</t>
  </si>
  <si>
    <r>
      <t>EF</t>
    </r>
    <r>
      <rPr>
        <b/>
        <vertAlign val="subscript"/>
        <sz val="11"/>
        <color rgb="FF533001"/>
        <rFont val="Times New Roman"/>
        <family val="1"/>
      </rPr>
      <t>f</t>
    </r>
    <r>
      <rPr>
        <b/>
        <sz val="11"/>
        <color rgb="FF533001"/>
        <rFont val="Times New Roman"/>
        <family val="1"/>
      </rPr>
      <t xml:space="preserve"> (Method 2)</t>
    </r>
  </si>
  <si>
    <t>E- Product (Method 2)</t>
  </si>
  <si>
    <t>E - Fertiliser components (Method 2)</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</si>
  <si>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</si>
  <si>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</si>
  <si>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</si>
  <si>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</si>
  <si>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</si>
  <si>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</si>
  <si>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</si>
  <si>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</si>
  <si>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</si>
  <si>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</si>
  <si>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</si>
  <si>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</si>
  <si>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</si>
  <si>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</si>
  <si>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</si>
  <si>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</si>
  <si>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</si>
  <si>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</si>
  <si>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</si>
  <si>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</si>
  <si>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</si>
  <si>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</si>
  <si>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</si>
  <si>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</si>
  <si>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t>Total amount (t)</t>
  </si>
  <si>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</si>
  <si>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</si>
  <si>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</si>
  <si>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t>E(Method 2)</t>
  </si>
  <si>
    <t>VEERG_15_7_1_1__1_EmissionsFromPurchasedServices_Result_Method1</t>
  </si>
  <si>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</si>
  <si>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t>Product EF (Method 1)</t>
  </si>
  <si>
    <t>Scope 3 (Method 1)</t>
  </si>
  <si>
    <t>Product EF (Method 2)</t>
  </si>
  <si>
    <t>Scope 3 (Method 2)</t>
  </si>
  <si>
    <t>Scope 3 unit</t>
  </si>
  <si>
    <t>No data</t>
  </si>
  <si>
    <t>Primary material</t>
  </si>
  <si>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</si>
  <si>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</si>
  <si>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</si>
  <si>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 type</t>
  </si>
  <si>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</si>
  <si>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</si>
  <si>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</si>
  <si>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</si>
  <si>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</si>
  <si>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Number of head treated</t>
  </si>
  <si>
    <t>EF (Method 1)</t>
  </si>
  <si>
    <t>EF (Method 2)</t>
  </si>
  <si>
    <t>Amount (kg)</t>
  </si>
  <si>
    <t>Miscellaneous Inputs</t>
  </si>
  <si>
    <t>Uncategorised products with no Method 1 EF data</t>
  </si>
  <si>
    <t>EF (Method 2) Unit</t>
  </si>
  <si>
    <t>t / amount unit</t>
  </si>
  <si>
    <t>E</t>
  </si>
  <si>
    <r>
      <t>E</t>
    </r>
    <r>
      <rPr>
        <b/>
        <vertAlign val="subscript"/>
        <sz val="14"/>
        <color theme="1" tint="0.24994659260841701"/>
        <rFont val="Times New Roman"/>
        <family val="1"/>
      </rPr>
      <t>3,elec</t>
    </r>
  </si>
  <si>
    <t>Route</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</si>
  <si>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</si>
  <si>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</si>
  <si>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</si>
  <si>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E - Incoming freight (Method 1)</t>
  </si>
  <si>
    <t>E - Incoming freight (Method 2)</t>
  </si>
  <si>
    <t>E - Outgoing freight (Method 1)</t>
  </si>
  <si>
    <t>E - Outgoing freight (Method 2)</t>
  </si>
  <si>
    <t>Calcs - Manure sent off-site</t>
  </si>
  <si>
    <r>
      <t>M</t>
    </r>
    <r>
      <rPr>
        <b/>
        <vertAlign val="subscript"/>
        <sz val="12"/>
        <color theme="1" tint="0.24994659260841701"/>
        <rFont val="Times New Roman"/>
        <family val="1"/>
      </rPr>
      <t>vol,inorganic,jf</t>
    </r>
  </si>
  <si>
    <r>
      <t>M</t>
    </r>
    <r>
      <rPr>
        <b/>
        <vertAlign val="subscript"/>
        <sz val="12"/>
        <color theme="1" tint="0.24994659260841701"/>
        <rFont val="Times New Roman"/>
        <family val="1"/>
      </rPr>
      <t>leach,inorganic,jf</t>
    </r>
  </si>
  <si>
    <t>Animals</t>
  </si>
  <si>
    <t>Table_ProductRegions_Beefcattle</t>
  </si>
  <si>
    <t>Category</t>
  </si>
  <si>
    <t>Region of origin</t>
  </si>
  <si>
    <t>Quantity Unit</t>
  </si>
  <si>
    <t>AusLCI Emissions intensity</t>
  </si>
  <si>
    <t>System boundary</t>
  </si>
  <si>
    <t>Region</t>
  </si>
  <si>
    <t>Scope3 region</t>
  </si>
  <si>
    <t>ACT</t>
  </si>
  <si>
    <t>NSW</t>
  </si>
  <si>
    <t>SA</t>
  </si>
  <si>
    <t>TAS</t>
  </si>
  <si>
    <t>VIC</t>
  </si>
  <si>
    <t>WA - South west</t>
  </si>
  <si>
    <t>WA</t>
  </si>
  <si>
    <t>WA - Pilbara</t>
  </si>
  <si>
    <t>WA - Kimberley</t>
  </si>
  <si>
    <t>NT - Alice Springs</t>
  </si>
  <si>
    <t>NT</t>
  </si>
  <si>
    <t>NT - Barkly</t>
  </si>
  <si>
    <t>NT - Northern</t>
  </si>
  <si>
    <t>QLD - High</t>
  </si>
  <si>
    <t>QLD</t>
  </si>
  <si>
    <t>QLD - Moderate/High</t>
  </si>
  <si>
    <t>QLD - Moderate/Low</t>
  </si>
  <si>
    <t>QLD - Low</t>
  </si>
  <si>
    <t>Australia</t>
  </si>
  <si>
    <t>Chemicals</t>
  </si>
  <si>
    <t>Feed</t>
  </si>
  <si>
    <t>Inorganic fertilisers</t>
  </si>
  <si>
    <t>Quantity</t>
  </si>
  <si>
    <t>Other agricultural inputs</t>
  </si>
  <si>
    <t>Packaging</t>
  </si>
  <si>
    <t>Soil ameliorants</t>
  </si>
  <si>
    <t>Constants - Livestock</t>
  </si>
  <si>
    <t>Symbol</t>
  </si>
  <si>
    <t>Manure management system</t>
  </si>
  <si>
    <t>Symbol and MMS</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</si>
  <si>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</si>
  <si>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</si>
  <si>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</si>
  <si>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</si>
  <si>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</si>
  <si>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</si>
  <si>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5: Fertiliser Use: Overview</t>
  </si>
  <si>
    <t>💡 Below is a diagram that maps the equations used to calculate emissions, and how they interact with each other.</t>
  </si>
  <si>
    <t xml:space="preserve">    Click on a box to go to the corresponding calculation.</t>
  </si>
  <si>
    <t>`</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</si>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</sst>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C09]d\ mmmm\ yyyy;@"/>
    <numFmt numFmtId="171" formatCode="0.00000"/>
  </numFmts>
  <fonts count="89" x14ac:knownFonts="1">
    <font>
      <sz val="11"/>
      <color theme="1"/>
      <name val="Times New Roman"/>
      <family val="2"/>
      <scheme val="minor"/>
    </font>
    <font>
      <sz val="12"/>
      <color theme="1"/>
      <name val="Times New Roman"/>
      <family val="2"/>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b/>
      <sz val="12"/>
      <color theme="1"/>
      <name val="Times New Roman"/>
      <family val="2"/>
    </font>
    <font>
      <sz val="11"/>
      <color theme="1"/>
      <name val="Times New Roman"/>
      <family val="2"/>
    </font>
    <font>
      <sz val="11"/>
      <name val="Times New Roman"/>
      <family val="1"/>
    </font>
    <font>
      <sz val="12"/>
      <name val="Times New Roman"/>
      <family val="1"/>
    </font>
    <font>
      <sz val="9"/>
      <color rgb="FF404040"/>
      <name val="Times New Roman"/>
      <family val="1"/>
    </font>
    <font>
      <b/>
      <sz val="10"/>
      <color theme="1" tint="0.14999847407452621"/>
      <name val="Times New Roman"/>
      <family val="1"/>
    </font>
    <font>
      <b/>
      <vertAlign val="subscript"/>
      <sz val="11"/>
      <color rgb="FF533001"/>
      <name val="Times New Roman"/>
      <family val="1"/>
    </font>
    <font>
      <b/>
      <vertAlign val="subscript"/>
      <sz val="11"/>
      <color rgb="FF183C1B"/>
      <name val="Times New Roman"/>
      <family val="1"/>
    </font>
    <font>
      <b/>
      <i/>
      <sz val="12"/>
      <color rgb="FFCC6600"/>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9"/>
      <name val="Times New Roman"/>
      <family val="1"/>
    </font>
    <font>
      <b/>
      <vertAlign val="subscript"/>
      <sz val="12"/>
      <color theme="1" tint="0.24994659260841701"/>
      <name val="Times New Roman"/>
      <family val="1"/>
    </font>
    <font>
      <sz val="9"/>
      <color theme="1"/>
      <name val="Times New Roman"/>
      <family val="2"/>
      <scheme val="minor"/>
    </font>
    <font>
      <b/>
      <sz val="10"/>
      <color theme="1" tint="0.34998626667073579"/>
      <name val="Times New Roman"/>
      <family val="1"/>
    </font>
    <font>
      <sz val="16"/>
      <name val="Times New Roman"/>
      <family val="1"/>
    </font>
    <font>
      <sz val="10"/>
      <color theme="1"/>
      <name val="Times New Roman"/>
      <family val="2"/>
      <scheme val="minor"/>
    </font>
    <font>
      <b/>
      <sz val="9"/>
      <name val="Times New Roman"/>
      <family val="1"/>
    </font>
    <font>
      <b/>
      <sz val="11"/>
      <color theme="1"/>
      <name val="Times New Roman"/>
      <family val="2"/>
      <scheme val="minor"/>
    </font>
    <font>
      <b/>
      <sz val="11"/>
      <color theme="1"/>
      <name val="Times New Roman"/>
      <family val="2"/>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sz val="14"/>
      <color theme="5"/>
      <name val="Times New Roman"/>
      <family val="1"/>
    </font>
    <font>
      <b/>
      <vertAlign val="subscript"/>
      <sz val="12"/>
      <color theme="1"/>
      <name val="Times New Roman"/>
      <family val="1"/>
    </font>
    <font>
      <vertAlign val="subscript"/>
      <sz val="10"/>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b/>
      <vertAlign val="subscript"/>
      <sz val="14"/>
      <color theme="1" tint="0.24994659260841701"/>
      <name val="Times New Roman"/>
      <family val="1"/>
    </font>
    <font>
      <b/>
      <vertAlign val="superscript"/>
      <sz val="11"/>
      <color rgb="FF183C1B"/>
      <name val="Times New Roman"/>
      <family val="1"/>
    </font>
    <font>
      <b/>
      <sz val="20"/>
      <color theme="3" tint="9.9978637043366805E-2"/>
      <name val="Times New Roman"/>
      <family val="1"/>
    </font>
  </fonts>
  <fills count="18">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
      <patternFill patternType="solid">
        <fgColor rgb="FFFFEBC1"/>
        <bgColor indexed="64"/>
      </patternFill>
    </fill>
  </fills>
  <borders count="31">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3" tint="0.749961851863155"/>
      </left>
      <right style="thin">
        <color theme="3" tint="0.749961851863155"/>
      </right>
      <top style="thin">
        <color theme="3" tint="0.749961851863155"/>
      </top>
      <bottom/>
      <diagonal/>
    </border>
  </borders>
  <cellStyleXfs count="72">
    <xf numFmtId="0" fontId="0" fillId="0" borderId="0"/>
    <xf numFmtId="0" fontId="6" fillId="2" borderId="0">
      <alignment horizontal="left" vertical="center" indent="1"/>
      <protection locked="0"/>
    </xf>
    <xf numFmtId="0" fontId="5" fillId="0" borderId="0"/>
    <xf numFmtId="0" fontId="2" fillId="0" borderId="0">
      <alignment vertical="center"/>
    </xf>
    <xf numFmtId="0" fontId="17" fillId="3" borderId="0">
      <alignment vertical="center"/>
    </xf>
    <xf numFmtId="0" fontId="28" fillId="4" borderId="0">
      <alignment horizontal="left" vertical="center"/>
    </xf>
    <xf numFmtId="0" fontId="32" fillId="4" borderId="0">
      <alignment vertical="center"/>
    </xf>
    <xf numFmtId="0" fontId="4" fillId="4" borderId="0">
      <alignment horizontal="left" vertical="center"/>
    </xf>
    <xf numFmtId="0" fontId="30"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7" fillId="4" borderId="3">
      <alignment horizontal="left" vertical="center" indent="1"/>
    </xf>
    <xf numFmtId="164" fontId="9" fillId="4" borderId="3">
      <alignment horizontal="center" vertical="center"/>
    </xf>
    <xf numFmtId="0" fontId="4" fillId="4" borderId="3">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3" fillId="0" borderId="0">
      <alignment horizontal="left" vertical="center" indent="1"/>
    </xf>
    <xf numFmtId="0" fontId="18" fillId="9" borderId="4">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2" fillId="0" borderId="0">
      <alignment horizontal="left" vertical="center" indent="2"/>
    </xf>
    <xf numFmtId="0" fontId="33" fillId="13" borderId="5">
      <alignment horizontal="left" vertical="center"/>
    </xf>
    <xf numFmtId="3" fontId="26" fillId="4" borderId="2">
      <alignment horizontal="center" vertical="center"/>
    </xf>
    <xf numFmtId="167" fontId="3" fillId="0" borderId="2">
      <alignment horizontal="center" vertical="center"/>
    </xf>
    <xf numFmtId="0" fontId="27" fillId="0" borderId="0"/>
    <xf numFmtId="0" fontId="10" fillId="0" borderId="0"/>
    <xf numFmtId="0" fontId="27" fillId="0" borderId="0"/>
    <xf numFmtId="166" fontId="26" fillId="4" borderId="2">
      <alignment horizontal="center" vertical="center"/>
    </xf>
    <xf numFmtId="4" fontId="26" fillId="4" borderId="2">
      <alignment horizontal="center" vertical="center"/>
    </xf>
    <xf numFmtId="0" fontId="37"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7" fillId="4" borderId="0">
      <alignment horizontal="left" vertical="center"/>
    </xf>
    <xf numFmtId="0" fontId="31" fillId="4" borderId="0">
      <alignment horizontal="left" vertical="center"/>
    </xf>
    <xf numFmtId="0" fontId="10" fillId="0" borderId="0"/>
    <xf numFmtId="0" fontId="3" fillId="0" borderId="2">
      <alignment horizontal="center" vertical="center"/>
    </xf>
    <xf numFmtId="0" fontId="35" fillId="4" borderId="0">
      <alignment horizontal="left" vertical="center"/>
    </xf>
    <xf numFmtId="0" fontId="36" fillId="4" borderId="0">
      <alignment horizontal="left" vertical="center"/>
    </xf>
    <xf numFmtId="0" fontId="38" fillId="4" borderId="0">
      <alignment horizontal="left" vertical="center"/>
    </xf>
    <xf numFmtId="0" fontId="34" fillId="11" borderId="0">
      <alignment horizontal="center" vertical="center"/>
    </xf>
    <xf numFmtId="0" fontId="21" fillId="11" borderId="0">
      <alignment horizontal="left" vertical="center" indent="1"/>
    </xf>
    <xf numFmtId="0" fontId="40" fillId="4" borderId="2">
      <alignment horizontal="left" vertical="center"/>
    </xf>
    <xf numFmtId="0" fontId="26" fillId="4" borderId="2">
      <alignment horizontal="left" vertical="center"/>
    </xf>
    <xf numFmtId="0" fontId="41" fillId="14" borderId="2">
      <alignment horizontal="center" vertical="center"/>
    </xf>
    <xf numFmtId="0" fontId="42" fillId="15" borderId="2">
      <alignment horizontal="center" vertical="center"/>
    </xf>
    <xf numFmtId="0" fontId="43" fillId="0" borderId="0" applyNumberFormat="0" applyFill="0" applyBorder="0" applyAlignment="0" applyProtection="0"/>
    <xf numFmtId="43" fontId="10" fillId="0" borderId="0" applyFont="0" applyFill="0" applyBorder="0" applyAlignment="0" applyProtection="0"/>
    <xf numFmtId="9" fontId="10" fillId="0" borderId="0" applyFont="0" applyFill="0" applyBorder="0" applyAlignment="0" applyProtection="0"/>
    <xf numFmtId="0" fontId="1" fillId="0" borderId="0"/>
    <xf numFmtId="0" fontId="80" fillId="4" borderId="0">
      <alignment horizontal="left" vertical="center"/>
    </xf>
    <xf numFmtId="0" fontId="42" fillId="17" borderId="2">
      <alignment horizontal="center" vertical="center"/>
    </xf>
  </cellStyleXfs>
  <cellXfs count="261">
    <xf numFmtId="0" fontId="0" fillId="0" borderId="0" xfId="0"/>
    <xf numFmtId="0" fontId="30" fillId="4" borderId="0" xfId="8">
      <alignment horizontal="left" vertical="center"/>
    </xf>
    <xf numFmtId="0" fontId="28" fillId="4" borderId="0" xfId="5">
      <alignment horizontal="left" vertical="center"/>
    </xf>
    <xf numFmtId="0" fontId="2" fillId="0" borderId="0" xfId="3">
      <alignment vertical="center"/>
    </xf>
    <xf numFmtId="0" fontId="3" fillId="9" borderId="0" xfId="7" applyFont="1" applyFill="1" applyAlignment="1">
      <alignment horizontal="left" vertical="center" indent="1"/>
    </xf>
    <xf numFmtId="0" fontId="3" fillId="0" borderId="0" xfId="33">
      <alignment horizontal="left" vertical="center" indent="1"/>
    </xf>
    <xf numFmtId="0" fontId="19" fillId="9" borderId="4" xfId="34" applyFont="1">
      <alignment horizontal="left" vertical="center" indent="1"/>
    </xf>
    <xf numFmtId="0" fontId="20" fillId="9" borderId="4" xfId="34" applyFont="1">
      <alignment horizontal="left" vertical="center" indent="1"/>
    </xf>
    <xf numFmtId="0" fontId="0" fillId="4" borderId="0" xfId="0" applyFill="1"/>
    <xf numFmtId="2" fontId="24"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3" fillId="4" borderId="0" xfId="0" applyFont="1" applyFill="1"/>
    <xf numFmtId="2" fontId="24" fillId="4" borderId="0" xfId="0" applyNumberFormat="1" applyFont="1" applyFill="1"/>
    <xf numFmtId="0" fontId="24" fillId="4" borderId="1" xfId="0" applyFont="1" applyFill="1" applyBorder="1"/>
    <xf numFmtId="0" fontId="7" fillId="4" borderId="0" xfId="53">
      <alignment horizontal="left" vertical="center"/>
    </xf>
    <xf numFmtId="0" fontId="11" fillId="0" borderId="0" xfId="32"/>
    <xf numFmtId="9" fontId="9" fillId="4" borderId="0" xfId="11">
      <alignment horizontal="center" vertical="center"/>
    </xf>
    <xf numFmtId="164" fontId="9" fillId="4" borderId="0" xfId="10">
      <alignment horizontal="center" vertical="center"/>
    </xf>
    <xf numFmtId="2" fontId="24" fillId="4" borderId="1" xfId="0" applyNumberFormat="1" applyFont="1" applyFill="1" applyBorder="1" applyAlignment="1">
      <alignment horizontal="center"/>
    </xf>
    <xf numFmtId="0" fontId="34" fillId="11" borderId="0" xfId="60">
      <alignment horizontal="center" vertical="center"/>
    </xf>
    <xf numFmtId="0" fontId="39" fillId="0" borderId="0" xfId="2" applyFont="1"/>
    <xf numFmtId="0" fontId="3" fillId="4" borderId="0" xfId="7" applyFont="1">
      <alignment horizontal="left" vertical="center"/>
    </xf>
    <xf numFmtId="0" fontId="4" fillId="12" borderId="2" xfId="15">
      <alignment horizontal="center" vertical="center"/>
    </xf>
    <xf numFmtId="167" fontId="3" fillId="0" borderId="2" xfId="41">
      <alignment horizontal="center" vertical="center"/>
    </xf>
    <xf numFmtId="0" fontId="26" fillId="4" borderId="2" xfId="52">
      <alignment horizontal="center" vertical="center"/>
    </xf>
    <xf numFmtId="0" fontId="7" fillId="4" borderId="0" xfId="12">
      <alignment horizontal="left" vertical="center" indent="1"/>
    </xf>
    <xf numFmtId="0" fontId="32" fillId="4" borderId="0" xfId="6">
      <alignment vertical="center"/>
    </xf>
    <xf numFmtId="9" fontId="3" fillId="0" borderId="2" xfId="16">
      <alignment horizontal="center" vertical="center"/>
    </xf>
    <xf numFmtId="9" fontId="26" fillId="4" borderId="2" xfId="68" applyFont="1" applyFill="1" applyBorder="1" applyAlignment="1">
      <alignment horizontal="center" vertical="center"/>
    </xf>
    <xf numFmtId="0" fontId="0" fillId="0" borderId="0" xfId="8" applyFont="1" applyFill="1">
      <alignment horizontal="left" vertical="center"/>
    </xf>
    <xf numFmtId="0" fontId="5" fillId="0" borderId="0" xfId="2"/>
    <xf numFmtId="0" fontId="4" fillId="0" borderId="0" xfId="7" applyFill="1">
      <alignment horizontal="left" vertical="center"/>
    </xf>
    <xf numFmtId="0" fontId="17" fillId="3" borderId="0" xfId="4">
      <alignment vertical="center"/>
    </xf>
    <xf numFmtId="0" fontId="17" fillId="0" borderId="0" xfId="4" applyFill="1">
      <alignment vertical="center"/>
    </xf>
    <xf numFmtId="0" fontId="4" fillId="4" borderId="0" xfId="7">
      <alignment horizontal="left" vertical="center"/>
    </xf>
    <xf numFmtId="0" fontId="31" fillId="4" borderId="0" xfId="54">
      <alignment horizontal="left" vertical="center"/>
    </xf>
    <xf numFmtId="0" fontId="0" fillId="0" borderId="0" xfId="7" applyFont="1" applyFill="1">
      <alignment horizontal="left" vertical="center"/>
    </xf>
    <xf numFmtId="0" fontId="11" fillId="0" borderId="0" xfId="2" applyFont="1"/>
    <xf numFmtId="0" fontId="17" fillId="7" borderId="0" xfId="31">
      <alignment vertical="center"/>
    </xf>
    <xf numFmtId="0" fontId="4" fillId="4" borderId="6" xfId="7" applyBorder="1">
      <alignment horizontal="left" vertical="center"/>
    </xf>
    <xf numFmtId="0" fontId="28" fillId="0" borderId="0" xfId="5" applyFill="1">
      <alignment horizontal="left" vertical="center"/>
    </xf>
    <xf numFmtId="0" fontId="12" fillId="4" borderId="0" xfId="30">
      <alignment vertical="center"/>
    </xf>
    <xf numFmtId="0" fontId="32" fillId="0" borderId="0" xfId="6" applyFill="1">
      <alignment vertical="center"/>
    </xf>
    <xf numFmtId="0" fontId="3" fillId="0" borderId="2" xfId="14">
      <alignment horizontal="center" vertical="center"/>
    </xf>
    <xf numFmtId="0" fontId="30" fillId="0" borderId="0" xfId="8" applyFill="1">
      <alignment horizontal="left" vertical="center"/>
    </xf>
    <xf numFmtId="0" fontId="33" fillId="13" borderId="7" xfId="39" applyBorder="1">
      <alignment horizontal="left" vertical="center"/>
    </xf>
    <xf numFmtId="0" fontId="33" fillId="13" borderId="8" xfId="39" applyBorder="1">
      <alignment horizontal="left" vertical="center"/>
    </xf>
    <xf numFmtId="0" fontId="33" fillId="13" borderId="9" xfId="39" applyBorder="1">
      <alignment horizontal="left" vertical="center"/>
    </xf>
    <xf numFmtId="0" fontId="33" fillId="13" borderId="10" xfId="39" applyBorder="1">
      <alignment horizontal="left" vertical="center"/>
    </xf>
    <xf numFmtId="0" fontId="45" fillId="0" borderId="0" xfId="12" applyFont="1" applyFill="1" applyAlignment="1">
      <alignment horizontal="left" vertical="center"/>
    </xf>
    <xf numFmtId="166" fontId="26" fillId="4" borderId="2" xfId="40" applyNumberFormat="1">
      <alignment horizontal="center" vertical="center"/>
    </xf>
    <xf numFmtId="0" fontId="3" fillId="0" borderId="0" xfId="7" applyFont="1" applyFill="1">
      <alignment horizontal="left" vertical="center"/>
    </xf>
    <xf numFmtId="0" fontId="46" fillId="13" borderId="11" xfId="39" applyFont="1" applyBorder="1">
      <alignment horizontal="left" vertical="center"/>
    </xf>
    <xf numFmtId="0" fontId="33" fillId="13" borderId="12" xfId="39" applyBorder="1">
      <alignment horizontal="left" vertical="center"/>
    </xf>
    <xf numFmtId="0" fontId="33" fillId="13" borderId="13" xfId="39" applyBorder="1">
      <alignment horizontal="left" vertical="center"/>
    </xf>
    <xf numFmtId="0" fontId="33" fillId="13" borderId="14" xfId="39" applyBorder="1">
      <alignment horizontal="left" vertical="center"/>
    </xf>
    <xf numFmtId="0" fontId="33" fillId="13" borderId="15" xfId="39" applyBorder="1">
      <alignment horizontal="left" vertical="center"/>
    </xf>
    <xf numFmtId="0" fontId="33" fillId="13" borderId="16" xfId="39" applyBorder="1">
      <alignment horizontal="left" vertical="center"/>
    </xf>
    <xf numFmtId="4" fontId="3" fillId="4" borderId="0" xfId="17" applyFill="1" applyBorder="1">
      <alignment horizontal="center" vertical="center"/>
    </xf>
    <xf numFmtId="0" fontId="13" fillId="4" borderId="0" xfId="29" applyFill="1">
      <alignment horizontal="center" vertical="center"/>
      <protection locked="0"/>
    </xf>
    <xf numFmtId="0" fontId="47" fillId="0" borderId="0" xfId="0" applyFont="1" applyAlignment="1" applyProtection="1">
      <alignment horizontal="center" vertical="center"/>
      <protection locked="0"/>
    </xf>
    <xf numFmtId="4" fontId="48" fillId="0" borderId="0" xfId="17" applyFont="1" applyBorder="1">
      <alignment horizontal="center" vertical="center"/>
    </xf>
    <xf numFmtId="164" fontId="9" fillId="4" borderId="0" xfId="26" applyBorder="1">
      <alignment horizontal="center" vertical="center"/>
    </xf>
    <xf numFmtId="4" fontId="48" fillId="4" borderId="0" xfId="17" applyFont="1" applyFill="1" applyBorder="1">
      <alignment horizontal="center" vertical="center"/>
    </xf>
    <xf numFmtId="0" fontId="48" fillId="4" borderId="0" xfId="12" applyFont="1" applyAlignment="1">
      <alignment horizontal="center" vertical="center"/>
    </xf>
    <xf numFmtId="0" fontId="48" fillId="4" borderId="0" xfId="8" applyFont="1" applyAlignment="1">
      <alignment horizontal="center" vertical="center"/>
    </xf>
    <xf numFmtId="166" fontId="48" fillId="4" borderId="0" xfId="8" applyNumberFormat="1" applyFont="1" applyAlignment="1">
      <alignment horizontal="center" vertical="center"/>
    </xf>
    <xf numFmtId="9" fontId="48" fillId="4" borderId="0" xfId="68" applyFont="1" applyFill="1" applyBorder="1" applyAlignment="1">
      <alignment horizontal="center" vertical="center"/>
    </xf>
    <xf numFmtId="0" fontId="49" fillId="4" borderId="0" xfId="0" applyFont="1" applyFill="1" applyAlignment="1">
      <alignment horizontal="center" vertical="center"/>
    </xf>
    <xf numFmtId="0" fontId="49" fillId="4" borderId="0" xfId="0" applyFont="1" applyFill="1"/>
    <xf numFmtId="0" fontId="48" fillId="4" borderId="0" xfId="0" applyFont="1" applyFill="1"/>
    <xf numFmtId="0" fontId="48" fillId="0" borderId="0" xfId="0" applyFont="1"/>
    <xf numFmtId="0" fontId="50" fillId="4" borderId="0" xfId="7" applyFont="1" applyAlignment="1">
      <alignment horizontal="center" vertical="center"/>
    </xf>
    <xf numFmtId="0" fontId="51" fillId="4" borderId="0" xfId="7" applyFont="1" applyAlignment="1">
      <alignment horizontal="center" vertical="center"/>
    </xf>
    <xf numFmtId="166" fontId="51" fillId="4" borderId="0" xfId="7" applyNumberFormat="1" applyFont="1" applyAlignment="1">
      <alignment horizontal="center" vertical="center"/>
    </xf>
    <xf numFmtId="0" fontId="51" fillId="4" borderId="0" xfId="0" applyFont="1" applyFill="1" applyAlignment="1">
      <alignment horizontal="center" vertical="center"/>
    </xf>
    <xf numFmtId="0" fontId="52" fillId="4" borderId="0" xfId="0" applyFont="1" applyFill="1" applyAlignment="1">
      <alignment horizontal="center" vertical="center"/>
    </xf>
    <xf numFmtId="0" fontId="52" fillId="4" borderId="0" xfId="0" applyFont="1" applyFill="1" applyAlignment="1">
      <alignment horizontal="left" vertical="center"/>
    </xf>
    <xf numFmtId="14" fontId="4" fillId="4" borderId="0" xfId="7" applyNumberFormat="1">
      <alignment horizontal="left" vertical="center"/>
    </xf>
    <xf numFmtId="0" fontId="33" fillId="13" borderId="5" xfId="39">
      <alignment horizontal="left" vertical="center"/>
    </xf>
    <xf numFmtId="0" fontId="43" fillId="4" borderId="0" xfId="66" applyFill="1" applyBorder="1"/>
    <xf numFmtId="166" fontId="3" fillId="4" borderId="0" xfId="18" applyNumberFormat="1" applyFill="1" applyBorder="1">
      <alignment horizontal="center" vertical="center"/>
    </xf>
    <xf numFmtId="169" fontId="4" fillId="4" borderId="0" xfId="67" applyNumberFormat="1" applyFont="1" applyFill="1" applyBorder="1" applyAlignment="1">
      <alignment horizontal="center" vertical="center"/>
    </xf>
    <xf numFmtId="0" fontId="0" fillId="4" borderId="0" xfId="7" applyFont="1">
      <alignment horizontal="left" vertical="center"/>
    </xf>
    <xf numFmtId="0" fontId="53" fillId="4" borderId="0" xfId="0" applyFont="1" applyFill="1"/>
    <xf numFmtId="0" fontId="3" fillId="0" borderId="2" xfId="56">
      <alignment horizontal="center" vertical="center"/>
    </xf>
    <xf numFmtId="2" fontId="30" fillId="4" borderId="0" xfId="8" applyNumberFormat="1">
      <alignment horizontal="left" vertical="center"/>
    </xf>
    <xf numFmtId="0" fontId="44" fillId="4" borderId="0" xfId="8" applyFont="1">
      <alignment horizontal="left" vertical="center"/>
    </xf>
    <xf numFmtId="0" fontId="24" fillId="4" borderId="0" xfId="0" applyFont="1" applyFill="1"/>
    <xf numFmtId="0" fontId="26" fillId="4" borderId="2" xfId="52" quotePrefix="1">
      <alignment horizontal="center" vertical="center"/>
    </xf>
    <xf numFmtId="0" fontId="37" fillId="4" borderId="0" xfId="47">
      <alignment horizontal="left" vertical="center"/>
    </xf>
    <xf numFmtId="0" fontId="13" fillId="6" borderId="0" xfId="29">
      <alignment horizontal="center" vertical="center"/>
      <protection locked="0"/>
    </xf>
    <xf numFmtId="0" fontId="0" fillId="0" borderId="0" xfId="14" applyFont="1" applyBorder="1">
      <alignment horizontal="center" vertical="center"/>
    </xf>
    <xf numFmtId="0" fontId="33" fillId="13" borderId="11" xfId="39" applyBorder="1">
      <alignment horizontal="left" vertical="center"/>
    </xf>
    <xf numFmtId="0" fontId="56" fillId="4" borderId="0" xfId="0" applyFont="1" applyFill="1" applyAlignment="1">
      <alignment horizontal="center" vertical="center"/>
    </xf>
    <xf numFmtId="0" fontId="56" fillId="4" borderId="0" xfId="0" applyFont="1" applyFill="1"/>
    <xf numFmtId="0" fontId="57" fillId="4" borderId="0" xfId="0" applyFont="1" applyFill="1"/>
    <xf numFmtId="0" fontId="33" fillId="13" borderId="17" xfId="39" applyBorder="1">
      <alignment horizontal="left" vertical="center"/>
    </xf>
    <xf numFmtId="0" fontId="21" fillId="5" borderId="0" xfId="36">
      <alignment horizontal="left" vertical="center" indent="1"/>
    </xf>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10" fillId="0" borderId="0" xfId="55" applyAlignment="1">
      <alignment horizontal="center" vertical="center" wrapText="1"/>
    </xf>
    <xf numFmtId="0" fontId="4" fillId="12" borderId="2" xfId="15" applyAlignment="1">
      <alignment horizontal="center" vertical="center" wrapText="1"/>
    </xf>
    <xf numFmtId="4" fontId="0" fillId="0" borderId="0" xfId="17" applyFont="1" applyBorder="1" applyAlignment="1">
      <alignment horizontal="center" vertical="center" wrapText="1"/>
    </xf>
    <xf numFmtId="0" fontId="0" fillId="4" borderId="2" xfId="52" applyFont="1" applyAlignment="1">
      <alignment horizontal="center" vertical="center" wrapText="1"/>
    </xf>
    <xf numFmtId="0" fontId="26" fillId="4" borderId="2" xfId="52" applyAlignment="1">
      <alignment horizontal="center" vertical="center" wrapText="1"/>
    </xf>
    <xf numFmtId="0" fontId="30" fillId="4" borderId="0" xfId="8" applyAlignment="1">
      <alignment horizontal="center" vertical="center" wrapText="1"/>
    </xf>
    <xf numFmtId="0" fontId="58" fillId="9" borderId="4" xfId="34" applyFont="1">
      <alignment horizontal="left" vertical="center" indent="1"/>
    </xf>
    <xf numFmtId="0" fontId="47" fillId="4" borderId="0" xfId="43" applyFont="1" applyFill="1" applyAlignment="1">
      <alignment horizontal="left" vertical="center" wrapText="1"/>
    </xf>
    <xf numFmtId="2" fontId="56" fillId="4" borderId="0" xfId="67" applyNumberFormat="1" applyFont="1" applyFill="1" applyBorder="1" applyAlignment="1" applyProtection="1">
      <alignment horizontal="center" wrapText="1"/>
      <protection locked="0"/>
    </xf>
    <xf numFmtId="1" fontId="56" fillId="4" borderId="0" xfId="67" applyNumberFormat="1" applyFont="1" applyFill="1" applyBorder="1" applyAlignment="1" applyProtection="1">
      <alignment horizontal="center" wrapText="1"/>
      <protection locked="0"/>
    </xf>
    <xf numFmtId="0" fontId="56" fillId="4" borderId="0" xfId="0" applyFont="1" applyFill="1" applyAlignment="1">
      <alignment horizontal="left" wrapText="1"/>
    </xf>
    <xf numFmtId="0" fontId="57" fillId="4" borderId="0" xfId="0" applyFont="1" applyFill="1" applyAlignment="1">
      <alignment wrapText="1"/>
    </xf>
    <xf numFmtId="0" fontId="30" fillId="4" borderId="0" xfId="8" applyAlignment="1">
      <alignment horizontal="left" vertical="center" wrapText="1"/>
    </xf>
    <xf numFmtId="0" fontId="37" fillId="4" borderId="0" xfId="47" applyAlignment="1">
      <alignment horizontal="left" vertical="center" wrapText="1"/>
    </xf>
    <xf numFmtId="0" fontId="0" fillId="4" borderId="0" xfId="0" applyFill="1" applyAlignment="1">
      <alignment wrapText="1"/>
    </xf>
    <xf numFmtId="0" fontId="10" fillId="0" borderId="0" xfId="55" applyAlignment="1" applyProtection="1">
      <alignment horizontal="center" vertical="center" wrapText="1"/>
      <protection locked="0"/>
    </xf>
    <xf numFmtId="0" fontId="59"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59" fillId="12" borderId="2" xfId="15" applyFont="1">
      <alignment horizontal="center" vertical="center"/>
    </xf>
    <xf numFmtId="9" fontId="0" fillId="0" borderId="18" xfId="68" applyFont="1" applyFill="1" applyBorder="1" applyAlignment="1">
      <alignment horizontal="center" vertical="center" wrapText="1"/>
    </xf>
    <xf numFmtId="4" fontId="55" fillId="0" borderId="2" xfId="17" applyFont="1" applyAlignment="1">
      <alignment horizontal="center" vertical="center" wrapText="1"/>
    </xf>
    <xf numFmtId="0" fontId="33" fillId="13" borderId="19" xfId="39" applyBorder="1">
      <alignment horizontal="left" vertical="center"/>
    </xf>
    <xf numFmtId="0" fontId="33" fillId="13" borderId="0" xfId="39" applyBorder="1">
      <alignment horizontal="left" vertical="center"/>
    </xf>
    <xf numFmtId="0" fontId="33" fillId="13" borderId="20" xfId="39" applyBorder="1">
      <alignment horizontal="left" vertical="center"/>
    </xf>
    <xf numFmtId="0" fontId="0" fillId="0" borderId="0" xfId="0" applyAlignment="1">
      <alignment wrapText="1"/>
    </xf>
    <xf numFmtId="0" fontId="38" fillId="4" borderId="0" xfId="59">
      <alignment horizontal="left" vertical="center"/>
    </xf>
    <xf numFmtId="0" fontId="13"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4" fillId="4" borderId="0" xfId="68" applyFont="1" applyFill="1" applyAlignment="1">
      <alignment horizontal="center" vertical="center" wrapText="1"/>
    </xf>
    <xf numFmtId="9" fontId="0" fillId="4" borderId="0" xfId="0" applyNumberFormat="1" applyFill="1"/>
    <xf numFmtId="0" fontId="16" fillId="4" borderId="0" xfId="24">
      <alignment horizontal="left" vertical="center"/>
    </xf>
    <xf numFmtId="0" fontId="26" fillId="4" borderId="2" xfId="52" applyAlignment="1">
      <alignment horizontal="left" vertical="center"/>
    </xf>
    <xf numFmtId="0" fontId="26" fillId="4" borderId="21" xfId="52" applyBorder="1" applyAlignment="1">
      <alignment horizontal="left" vertical="center"/>
    </xf>
    <xf numFmtId="0" fontId="26" fillId="4" borderId="22" xfId="52" applyBorder="1" applyAlignment="1">
      <alignment horizontal="left" vertical="center"/>
    </xf>
    <xf numFmtId="0" fontId="42" fillId="15" borderId="2" xfId="65">
      <alignment horizontal="center" vertical="center"/>
    </xf>
    <xf numFmtId="0" fontId="41" fillId="14" borderId="2" xfId="64">
      <alignment horizontal="center" vertical="center"/>
    </xf>
    <xf numFmtId="0" fontId="40" fillId="4" borderId="21" xfId="62" applyBorder="1">
      <alignment horizontal="left" vertical="center"/>
    </xf>
    <xf numFmtId="0" fontId="26" fillId="4" borderId="23" xfId="52" applyBorder="1">
      <alignment horizontal="center" vertical="center"/>
    </xf>
    <xf numFmtId="0" fontId="40" fillId="4" borderId="2" xfId="62">
      <alignment horizontal="left" vertical="center"/>
    </xf>
    <xf numFmtId="0" fontId="21" fillId="8" borderId="0" xfId="37">
      <alignment horizontal="left" vertical="center" indent="1"/>
    </xf>
    <xf numFmtId="0" fontId="26" fillId="4" borderId="23" xfId="52" applyBorder="1" applyAlignment="1">
      <alignment horizontal="left" vertical="center"/>
    </xf>
    <xf numFmtId="0" fontId="35" fillId="4" borderId="0" xfId="57">
      <alignment horizontal="left" vertical="center"/>
    </xf>
    <xf numFmtId="0" fontId="36" fillId="4" borderId="0" xfId="58">
      <alignment horizontal="left" vertical="center"/>
    </xf>
    <xf numFmtId="0" fontId="6" fillId="2" borderId="0" xfId="9">
      <alignment horizontal="center" vertical="center"/>
    </xf>
    <xf numFmtId="0" fontId="30" fillId="4" borderId="1" xfId="8" applyBorder="1">
      <alignment horizontal="left" vertical="center"/>
    </xf>
    <xf numFmtId="0" fontId="30" fillId="16" borderId="0" xfId="8" applyFill="1">
      <alignment horizontal="left" vertical="center"/>
    </xf>
    <xf numFmtId="0" fontId="7" fillId="4" borderId="0" xfId="12" applyAlignment="1">
      <alignment horizontal="center" vertical="center"/>
    </xf>
    <xf numFmtId="0" fontId="63" fillId="4" borderId="1" xfId="8" applyFont="1" applyBorder="1">
      <alignment horizontal="left" vertical="center"/>
    </xf>
    <xf numFmtId="0" fontId="65" fillId="4" borderId="1" xfId="8" applyFont="1" applyBorder="1">
      <alignment horizontal="left" vertical="center"/>
    </xf>
    <xf numFmtId="0" fontId="66" fillId="4" borderId="1" xfId="53" applyFont="1" applyBorder="1">
      <alignment horizontal="left" vertical="center"/>
    </xf>
    <xf numFmtId="0" fontId="26" fillId="4" borderId="22" xfId="52" applyBorder="1">
      <alignment horizontal="center" vertical="center"/>
    </xf>
    <xf numFmtId="0" fontId="7" fillId="4" borderId="1" xfId="53" applyBorder="1">
      <alignment horizontal="left" vertical="center"/>
    </xf>
    <xf numFmtId="0" fontId="26" fillId="4" borderId="2" xfId="63">
      <alignment horizontal="left" vertical="center"/>
    </xf>
    <xf numFmtId="0" fontId="6" fillId="2" borderId="0" xfId="1">
      <alignment horizontal="left" vertical="center" indent="1"/>
      <protection locked="0"/>
    </xf>
    <xf numFmtId="4" fontId="26" fillId="4" borderId="2" xfId="52" applyNumberFormat="1">
      <alignment horizontal="center" vertical="center"/>
    </xf>
    <xf numFmtId="9" fontId="26" fillId="4" borderId="2" xfId="52" applyNumberFormat="1">
      <alignment horizontal="center" vertical="center"/>
    </xf>
    <xf numFmtId="0" fontId="68" fillId="4" borderId="0" xfId="0" applyFont="1" applyFill="1"/>
    <xf numFmtId="0" fontId="44" fillId="4" borderId="1" xfId="8" applyFont="1" applyBorder="1">
      <alignment horizontal="left" vertical="center"/>
    </xf>
    <xf numFmtId="0" fontId="7" fillId="4" borderId="1" xfId="12" applyBorder="1">
      <alignment horizontal="left" vertical="center" indent="1"/>
    </xf>
    <xf numFmtId="0" fontId="30" fillId="4" borderId="24" xfId="8" applyBorder="1">
      <alignment horizontal="left" vertical="center"/>
    </xf>
    <xf numFmtId="0" fontId="26" fillId="4" borderId="21" xfId="63" applyBorder="1">
      <alignment horizontal="left" vertical="center"/>
    </xf>
    <xf numFmtId="0" fontId="26" fillId="4" borderId="22" xfId="63" applyBorder="1">
      <alignment horizontal="left" vertical="center"/>
    </xf>
    <xf numFmtId="0" fontId="26" fillId="4" borderId="23" xfId="63" applyBorder="1">
      <alignment horizontal="left" vertical="center"/>
    </xf>
    <xf numFmtId="3" fontId="26" fillId="4" borderId="2" xfId="52" applyNumberFormat="1">
      <alignment horizontal="center" vertical="center"/>
    </xf>
    <xf numFmtId="4" fontId="26" fillId="4" borderId="2" xfId="46">
      <alignment horizontal="center" vertical="center"/>
    </xf>
    <xf numFmtId="0" fontId="66" fillId="4" borderId="1" xfId="12" applyFont="1" applyBorder="1">
      <alignment horizontal="left" vertical="center" indent="1"/>
    </xf>
    <xf numFmtId="0" fontId="6" fillId="2" borderId="0" xfId="9" applyAlignment="1">
      <alignment horizontal="center" vertical="center" wrapText="1"/>
    </xf>
    <xf numFmtId="0" fontId="30" fillId="4" borderId="25" xfId="8" applyBorder="1">
      <alignment horizontal="left" vertical="center"/>
    </xf>
    <xf numFmtId="0" fontId="6" fillId="2" borderId="0" xfId="1" applyAlignment="1">
      <alignment horizontal="center" vertical="center"/>
      <protection locked="0"/>
    </xf>
    <xf numFmtId="0" fontId="0" fillId="0" borderId="0" xfId="0" applyAlignment="1">
      <alignment vertical="center"/>
    </xf>
    <xf numFmtId="0" fontId="21" fillId="10" borderId="0" xfId="35">
      <alignment horizontal="left" vertical="center" indent="1"/>
    </xf>
    <xf numFmtId="0" fontId="0" fillId="0" borderId="0" xfId="0" applyAlignment="1">
      <alignment vertical="center" wrapText="1"/>
    </xf>
    <xf numFmtId="4" fontId="3" fillId="0" borderId="2" xfId="17">
      <alignment horizontal="center" vertical="center"/>
    </xf>
    <xf numFmtId="166" fontId="26" fillId="4" borderId="2" xfId="45">
      <alignment horizontal="center" vertical="center"/>
    </xf>
    <xf numFmtId="170" fontId="0" fillId="0" borderId="0" xfId="8" applyNumberFormat="1" applyFont="1" applyFill="1">
      <alignment horizontal="left" vertical="center"/>
    </xf>
    <xf numFmtId="0" fontId="29" fillId="4" borderId="0" xfId="48">
      <alignment horizontal="center" vertical="center"/>
    </xf>
    <xf numFmtId="17" fontId="0" fillId="0" borderId="0" xfId="8" applyNumberFormat="1" applyFont="1" applyFill="1">
      <alignment horizontal="left" vertical="center"/>
    </xf>
    <xf numFmtId="43" fontId="30" fillId="4" borderId="0" xfId="8" applyNumberFormat="1">
      <alignment horizontal="left" vertical="center"/>
    </xf>
    <xf numFmtId="9" fontId="26" fillId="4" borderId="2" xfId="63" applyNumberFormat="1">
      <alignment horizontal="left" vertical="center"/>
    </xf>
    <xf numFmtId="0" fontId="70"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4" fillId="12" borderId="26" xfId="15" applyBorder="1">
      <alignment horizontal="center" vertical="center"/>
    </xf>
    <xf numFmtId="0" fontId="26" fillId="4" borderId="26" xfId="52" applyBorder="1">
      <alignment horizontal="center" vertical="center"/>
    </xf>
    <xf numFmtId="9" fontId="0" fillId="0" borderId="26" xfId="16" applyFont="1" applyBorder="1">
      <alignment horizontal="center" vertical="center"/>
    </xf>
    <xf numFmtId="0" fontId="29" fillId="4" borderId="0" xfId="48" applyAlignment="1">
      <alignment horizontal="left" vertical="center"/>
    </xf>
    <xf numFmtId="171" fontId="71" fillId="4" borderId="2" xfId="52" applyNumberFormat="1" applyFont="1">
      <alignment horizontal="center" vertical="center"/>
    </xf>
    <xf numFmtId="0" fontId="25" fillId="4" borderId="0" xfId="50">
      <alignment horizontal="left" vertical="center"/>
    </xf>
    <xf numFmtId="4" fontId="26" fillId="4" borderId="26" xfId="46" applyBorder="1">
      <alignment horizontal="center" vertical="center"/>
    </xf>
    <xf numFmtId="171" fontId="71" fillId="4" borderId="26" xfId="52" applyNumberFormat="1" applyFont="1" applyBorder="1">
      <alignment horizontal="center" vertical="center"/>
    </xf>
    <xf numFmtId="0" fontId="4" fillId="4" borderId="1" xfId="7" applyBorder="1">
      <alignment horizontal="left" vertical="center"/>
    </xf>
    <xf numFmtId="0" fontId="29" fillId="4" borderId="1" xfId="48" applyBorder="1" applyAlignment="1">
      <alignment horizontal="left" vertical="center"/>
    </xf>
    <xf numFmtId="0" fontId="26" fillId="4" borderId="27" xfId="52" applyBorder="1">
      <alignment horizontal="center" vertical="center"/>
    </xf>
    <xf numFmtId="0" fontId="26" fillId="4" borderId="28" xfId="52" applyBorder="1">
      <alignment horizontal="center" vertical="center"/>
    </xf>
    <xf numFmtId="4" fontId="26" fillId="4" borderId="27" xfId="46" applyBorder="1">
      <alignment horizontal="center" vertical="center"/>
    </xf>
    <xf numFmtId="4" fontId="26" fillId="4" borderId="29" xfId="46" applyBorder="1">
      <alignment horizontal="center" vertical="center"/>
    </xf>
    <xf numFmtId="171" fontId="71" fillId="4" borderId="29" xfId="52" applyNumberFormat="1" applyFont="1" applyBorder="1">
      <alignment horizontal="center" vertical="center"/>
    </xf>
    <xf numFmtId="171" fontId="71" fillId="4" borderId="27" xfId="52" applyNumberFormat="1" applyFont="1" applyBorder="1">
      <alignment horizontal="center" vertical="center"/>
    </xf>
    <xf numFmtId="0" fontId="26" fillId="4" borderId="29" xfId="52" applyBorder="1">
      <alignment horizontal="center" vertical="center"/>
    </xf>
    <xf numFmtId="0" fontId="71" fillId="4" borderId="29" xfId="52" applyFont="1" applyBorder="1">
      <alignment horizontal="center" vertical="center"/>
    </xf>
    <xf numFmtId="0" fontId="4" fillId="4" borderId="25" xfId="7" applyBorder="1">
      <alignment horizontal="left" vertical="center"/>
    </xf>
    <xf numFmtId="165" fontId="68" fillId="4" borderId="25" xfId="0" applyNumberFormat="1" applyFont="1" applyFill="1" applyBorder="1"/>
    <xf numFmtId="0" fontId="7" fillId="4" borderId="25" xfId="12" applyBorder="1">
      <alignment horizontal="left" vertical="center" indent="1"/>
    </xf>
    <xf numFmtId="168" fontId="68" fillId="4" borderId="0" xfId="0" applyNumberFormat="1" applyFont="1" applyFill="1" applyAlignment="1">
      <alignment vertical="center"/>
    </xf>
    <xf numFmtId="165" fontId="68" fillId="4" borderId="25" xfId="0" applyNumberFormat="1" applyFont="1" applyFill="1" applyBorder="1" applyAlignment="1">
      <alignment vertical="center"/>
    </xf>
    <xf numFmtId="0" fontId="68" fillId="4" borderId="0" xfId="0" applyFont="1" applyFill="1" applyAlignment="1">
      <alignment vertical="center"/>
    </xf>
    <xf numFmtId="165" fontId="72" fillId="4" borderId="25" xfId="0" applyNumberFormat="1" applyFont="1" applyFill="1" applyBorder="1" applyAlignment="1">
      <alignment vertical="center"/>
    </xf>
    <xf numFmtId="168" fontId="71" fillId="4" borderId="2" xfId="46" applyNumberFormat="1" applyFont="1">
      <alignment horizontal="center" vertical="center"/>
    </xf>
    <xf numFmtId="168" fontId="71" fillId="4" borderId="26" xfId="46" applyNumberFormat="1" applyFont="1" applyBorder="1">
      <alignment horizontal="center" vertical="center"/>
    </xf>
    <xf numFmtId="168" fontId="71" fillId="4" borderId="29" xfId="46" applyNumberFormat="1" applyFont="1" applyBorder="1">
      <alignment horizontal="center" vertical="center"/>
    </xf>
    <xf numFmtId="0" fontId="70" fillId="0" borderId="0" xfId="0" applyFont="1" applyAlignment="1">
      <alignment vertical="center" wrapText="1"/>
    </xf>
    <xf numFmtId="0" fontId="73" fillId="0" borderId="0" xfId="0" applyFont="1" applyAlignment="1">
      <alignment horizontal="left" vertical="center"/>
    </xf>
    <xf numFmtId="0" fontId="73" fillId="0" borderId="0" xfId="8" applyFont="1" applyFill="1">
      <alignment horizontal="left" vertical="center"/>
    </xf>
    <xf numFmtId="0" fontId="70" fillId="0" borderId="0" xfId="0" applyFont="1" applyAlignment="1">
      <alignment horizontal="left" vertical="center"/>
    </xf>
    <xf numFmtId="0" fontId="0" fillId="0" borderId="0" xfId="0" applyAlignment="1">
      <alignment horizontal="left" vertical="center"/>
    </xf>
    <xf numFmtId="0" fontId="30" fillId="4" borderId="0" xfId="8" applyAlignment="1">
      <alignment horizontal="right" vertical="center"/>
    </xf>
    <xf numFmtId="0" fontId="70" fillId="4" borderId="0" xfId="0" applyFont="1" applyFill="1" applyAlignment="1">
      <alignment horizontal="left" vertical="center"/>
    </xf>
    <xf numFmtId="0" fontId="44" fillId="4" borderId="0" xfId="8" applyFont="1" applyAlignment="1">
      <alignment horizontal="right" vertical="center"/>
    </xf>
    <xf numFmtId="0" fontId="74" fillId="4" borderId="0" xfId="0" applyFont="1" applyFill="1"/>
    <xf numFmtId="0" fontId="70" fillId="0" borderId="0" xfId="0" applyFont="1"/>
    <xf numFmtId="0" fontId="70" fillId="0" borderId="0" xfId="7" applyFont="1" applyFill="1">
      <alignment horizontal="left" vertical="center"/>
    </xf>
    <xf numFmtId="0" fontId="70" fillId="4" borderId="0" xfId="0" applyFont="1" applyFill="1"/>
    <xf numFmtId="0" fontId="70" fillId="4" borderId="0" xfId="7" applyFont="1">
      <alignment horizontal="left" vertical="center"/>
    </xf>
    <xf numFmtId="0" fontId="75" fillId="2" borderId="0" xfId="8" applyFont="1" applyFill="1">
      <alignment horizontal="left" vertical="center"/>
    </xf>
    <xf numFmtId="0" fontId="76" fillId="0" borderId="0" xfId="8" applyFont="1" applyFill="1">
      <alignment horizontal="left" vertical="center"/>
    </xf>
    <xf numFmtId="3" fontId="26" fillId="4" borderId="2" xfId="40">
      <alignment horizontal="center" vertical="center"/>
    </xf>
    <xf numFmtId="3" fontId="26" fillId="4" borderId="2" xfId="63" applyNumberFormat="1">
      <alignment horizontal="left" vertical="center"/>
    </xf>
    <xf numFmtId="0" fontId="0" fillId="4" borderId="1" xfId="0" applyFill="1" applyBorder="1" applyAlignment="1">
      <alignment vertical="center"/>
    </xf>
    <xf numFmtId="0" fontId="0" fillId="4" borderId="1" xfId="0" applyFill="1" applyBorder="1"/>
    <xf numFmtId="0" fontId="30" fillId="4" borderId="0" xfId="8" applyAlignment="1">
      <alignment horizontal="center" vertical="center"/>
    </xf>
    <xf numFmtId="0" fontId="0" fillId="4" borderId="0" xfId="0" quotePrefix="1" applyFill="1"/>
    <xf numFmtId="0" fontId="77" fillId="4" borderId="1" xfId="0" applyFont="1" applyFill="1" applyBorder="1"/>
    <xf numFmtId="0" fontId="79" fillId="4" borderId="1" xfId="0" applyFont="1" applyFill="1" applyBorder="1"/>
    <xf numFmtId="0" fontId="23" fillId="0" borderId="0" xfId="0" applyFont="1"/>
    <xf numFmtId="0" fontId="10" fillId="0" borderId="0" xfId="55"/>
    <xf numFmtId="0" fontId="1" fillId="0" borderId="0" xfId="69"/>
    <xf numFmtId="0" fontId="10" fillId="4" borderId="0" xfId="55" applyFill="1"/>
    <xf numFmtId="0" fontId="3" fillId="0" borderId="26" xfId="56" applyBorder="1">
      <alignment horizontal="center" vertical="center"/>
    </xf>
    <xf numFmtId="0" fontId="0" fillId="0" borderId="0" xfId="29" applyFont="1" applyFill="1" applyProtection="1">
      <alignment horizontal="center" vertical="center"/>
    </xf>
    <xf numFmtId="0" fontId="1" fillId="4" borderId="0" xfId="69" applyFill="1"/>
    <xf numFmtId="0" fontId="80" fillId="4" borderId="0" xfId="70">
      <alignment horizontal="left" vertical="center"/>
    </xf>
    <xf numFmtId="0" fontId="33" fillId="13" borderId="30" xfId="39" applyBorder="1">
      <alignment horizontal="left" vertical="center"/>
    </xf>
    <xf numFmtId="0" fontId="1" fillId="0" borderId="0" xfId="69" applyAlignment="1">
      <alignment horizontal="center" vertical="center" wrapText="1"/>
    </xf>
    <xf numFmtId="0" fontId="0" fillId="0" borderId="0" xfId="8" applyFont="1" applyFill="1" applyAlignment="1">
      <alignment horizontal="left" vertical="center" wrapText="1"/>
    </xf>
    <xf numFmtId="4" fontId="0" fillId="0" borderId="0" xfId="17" applyFont="1" applyBorder="1">
      <alignment horizontal="center" vertical="center"/>
    </xf>
    <xf numFmtId="0" fontId="42" fillId="17" borderId="2" xfId="71">
      <alignment horizontal="center" vertical="center"/>
    </xf>
    <xf numFmtId="0" fontId="54" fillId="6" borderId="0" xfId="8" applyFont="1" applyFill="1">
      <alignment horizontal="left" vertical="center"/>
    </xf>
    <xf numFmtId="0" fontId="71" fillId="4" borderId="2" xfId="52" applyFont="1">
      <alignment horizontal="center" vertical="center"/>
    </xf>
    <xf numFmtId="0" fontId="83" fillId="4" borderId="1" xfId="8" applyFont="1" applyBorder="1">
      <alignment horizontal="left" vertical="center"/>
    </xf>
    <xf numFmtId="4" fontId="26" fillId="4" borderId="2" xfId="63" applyNumberFormat="1">
      <alignment horizontal="left" vertical="center"/>
    </xf>
    <xf numFmtId="0" fontId="54" fillId="2" borderId="0" xfId="8" applyFont="1" applyFill="1">
      <alignment horizontal="left" vertical="center"/>
    </xf>
    <xf numFmtId="0" fontId="88" fillId="9" borderId="0" xfId="32" applyFont="1" applyFill="1"/>
    <xf numFmtId="0" fontId="30" fillId="9" borderId="0" xfId="8" applyFill="1">
      <alignment horizontal="left" vertical="center"/>
    </xf>
    <xf numFmtId="0" fontId="0" fillId="9" borderId="0" xfId="0" applyFill="1"/>
    <xf numFmtId="0" fontId="17" fillId="11" borderId="0" xfId="31" applyFill="1">
      <alignment vertical="center"/>
    </xf>
    <xf numFmtId="0" fontId="21" fillId="11" borderId="0" xfId="61">
      <alignment horizontal="left" vertical="center" indent="1"/>
    </xf>
    <xf numFmtId="0" fontId="46" fillId="13" borderId="14" xfId="39" applyFont="1" applyBorder="1">
      <alignment horizontal="left" vertical="center"/>
    </xf>
  </cellXfs>
  <cellStyles count="72">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Block subheading 2" xfId="70" xr:uid="{6F796C41-728E-491A-97F9-02C7693E9B8F}"/>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3" xfId="69" xr:uid="{FB1AE7B0-4C02-4F03-93B2-BA2BD89A66A9}"/>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1" xr:uid="{40841E18-0972-4728-8BE0-3A8F0A0AC974}"/>
    <cellStyle name="Variable type other" xfId="64" xr:uid="{105BD9DE-B567-4DA0-87E6-C60A0ECC1C65}"/>
  </cellStyles>
  <dxfs count="394">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vertical="center" textRotation="0" wrapText="1" indent="0" justifyLastLine="0" shrinkToFit="0" readingOrder="0"/>
    </dxf>
    <dxf>
      <numFmt numFmtId="170" formatCode="[$-C09]d\ mmmm\ yyyy;@"/>
    </dxf>
    <dxf>
      <numFmt numFmtId="170"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393"/>
      <tableStyleElement type="headerRow" dxfId="392"/>
      <tableStyleElement type="totalRow" dxfId="391"/>
      <tableStyleElement type="firstColumn" dxfId="390"/>
      <tableStyleElement type="firstRowStripe" dxfId="389"/>
      <tableStyleElement type="secondRowStripe" dxfId="388"/>
    </tableStyle>
    <tableStyle name="Equation table" pivot="0" count="6" xr9:uid="{B247698E-E41D-4CCD-AA0A-C14817E9DE65}">
      <tableStyleElement type="wholeTable" dxfId="387"/>
      <tableStyleElement type="headerRow" dxfId="386"/>
      <tableStyleElement type="totalRow" dxfId="385"/>
      <tableStyleElement type="firstColumn" dxfId="384"/>
      <tableStyleElement type="firstRowStripe" dxfId="383"/>
      <tableStyleElement type="secondRowStripe" dxfId="382"/>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 /><Relationship Id="rId18" Type="http://schemas.openxmlformats.org/officeDocument/2006/relationships/worksheet" Target="worksheets/sheet18.xml" /><Relationship Id="rId26" Type="http://schemas.openxmlformats.org/officeDocument/2006/relationships/worksheet" Target="worksheets/sheet26.xml" /><Relationship Id="rId39" Type="http://schemas.openxmlformats.org/officeDocument/2006/relationships/worksheet" Target="worksheets/sheet39.xml" /><Relationship Id="rId21" Type="http://schemas.openxmlformats.org/officeDocument/2006/relationships/worksheet" Target="worksheets/sheet21.xml" /><Relationship Id="rId34" Type="http://schemas.openxmlformats.org/officeDocument/2006/relationships/worksheet" Target="worksheets/sheet34.xml" /><Relationship Id="rId50" Type="http://schemas.openxmlformats.org/officeDocument/2006/relationships/theme" Target="theme/theme1.xml" /><Relationship Id="rId55" Type="http://schemas.microsoft.com/office/2017/06/relationships/rdRichValue" Target="richData/rdrichvalue.xml" /><Relationship Id="rId7" Type="http://schemas.openxmlformats.org/officeDocument/2006/relationships/worksheet" Target="worksheets/sheet7.xml" /><Relationship Id="rId2" Type="http://schemas.openxmlformats.org/officeDocument/2006/relationships/worksheet" Target="worksheets/sheet2.xml" /><Relationship Id="rId16" Type="http://schemas.openxmlformats.org/officeDocument/2006/relationships/worksheet" Target="worksheets/sheet16.xml" /><Relationship Id="rId29" Type="http://schemas.openxmlformats.org/officeDocument/2006/relationships/worksheet" Target="worksheets/sheet29.xml" /><Relationship Id="rId11" Type="http://schemas.openxmlformats.org/officeDocument/2006/relationships/worksheet" Target="worksheets/sheet11.xml" /><Relationship Id="rId24" Type="http://schemas.openxmlformats.org/officeDocument/2006/relationships/worksheet" Target="worksheets/sheet24.xml" /><Relationship Id="rId32" Type="http://schemas.openxmlformats.org/officeDocument/2006/relationships/worksheet" Target="worksheets/sheet32.xml" /><Relationship Id="rId37" Type="http://schemas.openxmlformats.org/officeDocument/2006/relationships/worksheet" Target="worksheets/sheet37.xml" /><Relationship Id="rId53" Type="http://schemas.openxmlformats.org/officeDocument/2006/relationships/sheetMetadata" Target="metadata.xml" /><Relationship Id="rId58" Type="http://schemas.openxmlformats.org/officeDocument/2006/relationships/calcChain" Target="calcChain.xml" /><Relationship Id="rId5" Type="http://schemas.openxmlformats.org/officeDocument/2006/relationships/worksheet" Target="worksheets/sheet5.xml" /><Relationship Id="rId61" Type="http://schemas.openxmlformats.org/officeDocument/2006/relationships/customXml" Target="../customXml/item3.xml" /><Relationship Id="rId19" Type="http://schemas.openxmlformats.org/officeDocument/2006/relationships/worksheet" Target="worksheets/sheet19.xml" /><Relationship Id="rId14" Type="http://schemas.openxmlformats.org/officeDocument/2006/relationships/worksheet" Target="worksheets/sheet14.xml" /><Relationship Id="rId22" Type="http://schemas.openxmlformats.org/officeDocument/2006/relationships/worksheet" Target="worksheets/sheet22.xml" /><Relationship Id="rId27" Type="http://schemas.openxmlformats.org/officeDocument/2006/relationships/worksheet" Target="worksheets/sheet27.xml" /><Relationship Id="rId30" Type="http://schemas.openxmlformats.org/officeDocument/2006/relationships/worksheet" Target="worksheets/sheet30.xml" /><Relationship Id="rId35" Type="http://schemas.openxmlformats.org/officeDocument/2006/relationships/worksheet" Target="worksheets/sheet35.xml" /><Relationship Id="rId56" Type="http://schemas.microsoft.com/office/2017/06/relationships/rdRichValueStructure" Target="richData/rdrichvaluestructure.xml" /><Relationship Id="rId8" Type="http://schemas.openxmlformats.org/officeDocument/2006/relationships/worksheet" Target="worksheets/sheet8.xml" /><Relationship Id="rId51" Type="http://schemas.openxmlformats.org/officeDocument/2006/relationships/styles" Target="styles.xml" /><Relationship Id="rId3" Type="http://schemas.openxmlformats.org/officeDocument/2006/relationships/worksheet" Target="worksheets/sheet3.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worksheet" Target="worksheets/sheet25.xml" /><Relationship Id="rId33" Type="http://schemas.openxmlformats.org/officeDocument/2006/relationships/worksheet" Target="worksheets/sheet33.xml" /><Relationship Id="rId38" Type="http://schemas.openxmlformats.org/officeDocument/2006/relationships/worksheet" Target="worksheets/sheet38.xml" /><Relationship Id="rId59" Type="http://schemas.openxmlformats.org/officeDocument/2006/relationships/customXml" Target="../customXml/item1.xml" /><Relationship Id="rId20" Type="http://schemas.openxmlformats.org/officeDocument/2006/relationships/worksheet" Target="worksheets/sheet20.xml" /><Relationship Id="rId54" Type="http://schemas.microsoft.com/office/2022/10/relationships/richValueRel" Target="richData/richValueRel.xml" /><Relationship Id="rId62" Type="http://schemas.openxmlformats.org/officeDocument/2006/relationships/customXml" Target="../customXml/item4.xml" /><Relationship Id="rId1" Type="http://schemas.openxmlformats.org/officeDocument/2006/relationships/worksheet" Target="worksheets/sheet1.xml" /><Relationship Id="rId6" Type="http://schemas.openxmlformats.org/officeDocument/2006/relationships/worksheet" Target="worksheets/sheet6.xml" /><Relationship Id="rId15" Type="http://schemas.openxmlformats.org/officeDocument/2006/relationships/worksheet" Target="worksheets/sheet15.xml" /><Relationship Id="rId23" Type="http://schemas.openxmlformats.org/officeDocument/2006/relationships/worksheet" Target="worksheets/sheet23.xml" /><Relationship Id="rId28" Type="http://schemas.openxmlformats.org/officeDocument/2006/relationships/worksheet" Target="worksheets/sheet28.xml" /><Relationship Id="rId36" Type="http://schemas.openxmlformats.org/officeDocument/2006/relationships/worksheet" Target="worksheets/sheet36.xml" /><Relationship Id="rId57" Type="http://schemas.microsoft.com/office/2017/06/relationships/rdRichValueTypes" Target="richData/rdRichValueTypes.xml" /><Relationship Id="rId10" Type="http://schemas.openxmlformats.org/officeDocument/2006/relationships/worksheet" Target="worksheets/sheet10.xml" /><Relationship Id="rId31" Type="http://schemas.openxmlformats.org/officeDocument/2006/relationships/worksheet" Target="worksheets/sheet31.xml" /><Relationship Id="rId52" Type="http://schemas.openxmlformats.org/officeDocument/2006/relationships/sharedStrings" Target="sharedStrings.xml" /><Relationship Id="rId60" Type="http://schemas.openxmlformats.org/officeDocument/2006/relationships/customXml" Target="../customXml/item2.xml" /><Relationship Id="rId4" Type="http://schemas.openxmlformats.org/officeDocument/2006/relationships/worksheet" Target="worksheets/sheet4.xml" /><Relationship Id="rId9" Type="http://schemas.openxmlformats.org/officeDocument/2006/relationships/worksheet" Target="worksheets/sheet9.xml" /></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7.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drawing1.xml><?xml version="1.0" encoding="utf-8"?>
<xdr:wsDr xmlns:xdr="http://schemas.openxmlformats.org/drawingml/2006/spreadsheetDrawing" xmlns:a="http://schemas.openxmlformats.org/drawingml/2006/main">
  <xdr:twoCellAnchor>
    <xdr:from>
      <xdr:col>8</xdr:col>
      <xdr:colOff>938212</xdr:colOff>
      <xdr:row>62</xdr:row>
      <xdr:rowOff>200025</xdr:rowOff>
    </xdr:from>
    <xdr:to>
      <xdr:col>9</xdr:col>
      <xdr:colOff>1443037</xdr:colOff>
      <xdr:row>74</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05149C8-E30D-482E-A18B-01807C670463}"/>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905149C8-E30D-482E-A18B-01807C670463}"/>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649F57A-4F1C-4DF3-A6BA-9D986780A4A1}"/>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4649F57A-4F1C-4DF3-A6BA-9D986780A4A1}"/>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BE42048E-E736-480C-8CA6-BD570EF8E985}"/>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BE42048E-E736-480C-8CA6-BD570EF8E985}"/>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D49A2366-D75E-4E53-AF28-896EF71653CC}"/>
                </a:ext>
              </a:extLst>
            </xdr:cNvPr>
            <xdr:cNvSpPr txBox="1"/>
          </xdr:nvSpPr>
          <xdr:spPr>
            <a:xfrm>
              <a:off x="172917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D49A2366-D75E-4E53-AF28-896EF71653CC}"/>
                </a:ext>
              </a:extLst>
            </xdr:cNvPr>
            <xdr:cNvSpPr txBox="1"/>
          </xdr:nvSpPr>
          <xdr:spPr>
            <a:xfrm>
              <a:off x="172917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FF37A10E-E308-4C1B-9EE1-4CCBF9583986}"/>
                </a:ext>
              </a:extLst>
            </xdr:cNvPr>
            <xdr:cNvSpPr txBox="1"/>
          </xdr:nvSpPr>
          <xdr:spPr>
            <a:xfrm>
              <a:off x="172688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FF37A10E-E308-4C1B-9EE1-4CCBF9583986}"/>
                </a:ext>
              </a:extLst>
            </xdr:cNvPr>
            <xdr:cNvSpPr txBox="1"/>
          </xdr:nvSpPr>
          <xdr:spPr>
            <a:xfrm>
              <a:off x="172688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A065C7CA-2A71-445B-BA07-F4D53CBDF402}"/>
                </a:ext>
              </a:extLst>
            </xdr:cNvPr>
            <xdr:cNvSpPr txBox="1"/>
          </xdr:nvSpPr>
          <xdr:spPr>
            <a:xfrm>
              <a:off x="172576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A065C7CA-2A71-445B-BA07-F4D53CBDF402}"/>
                </a:ext>
              </a:extLst>
            </xdr:cNvPr>
            <xdr:cNvSpPr txBox="1"/>
          </xdr:nvSpPr>
          <xdr:spPr>
            <a:xfrm>
              <a:off x="172576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70</xdr:row>
      <xdr:rowOff>133350</xdr:rowOff>
    </xdr:from>
    <xdr:ext cx="3047693"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1D8328E9-D69D-4BAD-B300-C343C32B04A2}"/>
                </a:ext>
              </a:extLst>
            </xdr:cNvPr>
            <xdr:cNvSpPr txBox="1"/>
          </xdr:nvSpPr>
          <xdr:spPr>
            <a:xfrm>
              <a:off x="17268825" y="176022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1D8328E9-D69D-4BAD-B300-C343C32B04A2}"/>
                </a:ext>
              </a:extLst>
            </xdr:cNvPr>
            <xdr:cNvSpPr txBox="1"/>
          </xdr:nvSpPr>
          <xdr:spPr>
            <a:xfrm>
              <a:off x="17268825" y="176022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68CA323-D4B4-42EE-A702-A96A284F7026}"/>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B68CA323-D4B4-42EE-A702-A96A284F7026}"/>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07EDF6C-FB51-4ABC-83D2-854835AB4046}"/>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A07EDF6C-FB51-4ABC-83D2-854835AB4046}"/>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C7EF637-DB5B-4125-A285-BDD7DCE22DB1}"/>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DC7EF637-DB5B-4125-A285-BDD7DCE22DB1}"/>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58E30EA-3682-4F7D-8C32-BA963D1D05AE}"/>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F58E30EA-3682-4F7D-8C32-BA963D1D05AE}"/>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9919643-829F-4612-90F9-CA1CD6C4DD46}"/>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C9919643-829F-4612-90F9-CA1CD6C4DD46}"/>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0BDA29C-DEF3-43AD-8EC1-6EBACC8D5B14}"/>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F0BDA29C-DEF3-43AD-8EC1-6EBACC8D5B14}"/>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AECE935-18D9-4E98-AE15-C2B78FA3729B}"/>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9AECE935-18D9-4E98-AE15-C2B78FA3729B}"/>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611821D-F658-451E-BCA7-C4172B5E19A5}"/>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3611821D-F658-451E-BCA7-C4172B5E19A5}"/>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9B8B6995-FFB3-41D4-B689-ECD7FCAE301E}"/>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9B8B6995-FFB3-41D4-B689-ECD7FCAE301E}"/>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E6971E8-0A06-4F8F-97B3-90369BDEC5AC}"/>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FE6971E8-0A06-4F8F-97B3-90369BDEC5AC}"/>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7E78E65-20B8-4B49-85EF-7BC560E4F325}"/>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07E78E65-20B8-4B49-85EF-7BC560E4F325}"/>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98A81419-022C-43EE-B40C-6F049957B4C5}"/>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98A81419-022C-43EE-B40C-6F049957B4C5}"/>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35C3DCB-E3CC-4596-AC4E-9C4C87632218}"/>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435C3DCB-E3CC-4596-AC4E-9C4C87632218}"/>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12</xdr:col>
      <xdr:colOff>28575</xdr:colOff>
      <xdr:row>7</xdr:row>
      <xdr:rowOff>71437</xdr:rowOff>
    </xdr:from>
    <xdr:ext cx="1604735" cy="35843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93A7FE5-9011-4739-BB1F-81E473AA8356}"/>
                </a:ext>
              </a:extLst>
            </xdr:cNvPr>
            <xdr:cNvSpPr txBox="1"/>
          </xdr:nvSpPr>
          <xdr:spPr>
            <a:xfrm>
              <a:off x="15935325" y="193833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b="0" i="1">
                            <a:latin typeface="Cambria Math" panose="02040503050406030204" pitchFamily="18" charset="0"/>
                          </a:rPr>
                          <m:t>,</m:t>
                        </m:r>
                        <m:r>
                          <m:rPr>
                            <m:sty m:val="p"/>
                          </m:rPr>
                          <a:rPr lang="en-AU" sz="1100" b="0" i="1">
                            <a:latin typeface="Cambria Math" panose="02040503050406030204" pitchFamily="18" charset="0"/>
                          </a:rPr>
                          <m:t>baled</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𝐵</m:t>
                        </m:r>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𝐵</m:t>
                            </m:r>
                          </m:sub>
                        </m:sSub>
                      </m:num>
                      <m:den>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m:t>
                            </m:r>
                            <m:r>
                              <a:rPr lang="en-AU" sz="1100" i="1">
                                <a:latin typeface="Cambria Math" panose="02040503050406030204" pitchFamily="18" charset="0"/>
                              </a:rPr>
                              <m:t>,</m:t>
                            </m:r>
                            <m:r>
                              <a:rPr lang="en-AU" sz="1100" i="1">
                                <a:latin typeface="Cambria Math" panose="02040503050406030204" pitchFamily="18" charset="0"/>
                              </a:rPr>
                              <m:t>𝑐</m:t>
                            </m:r>
                          </m:sub>
                        </m:sSub>
                      </m:den>
                    </m:f>
                    <m:r>
                      <a:rPr lang="en-AU" sz="1100" i="1">
                        <a:latin typeface="Cambria Math" panose="02040503050406030204" pitchFamily="18" charset="0"/>
                      </a:rPr>
                      <m:t> </m:t>
                    </m:r>
                  </m:oMath>
                </m:oMathPara>
              </a14:m>
              <a:endParaRPr lang="en-AU" sz="1100"/>
            </a:p>
          </xdr:txBody>
        </xdr:sp>
      </mc:Choice>
      <mc:Fallback xmlns="">
        <xdr:sp macro="" textlink="">
          <xdr:nvSpPr>
            <xdr:cNvPr id="3" name="TextBox 2">
              <a:extLst>
                <a:ext uri="{FF2B5EF4-FFF2-40B4-BE49-F238E27FC236}">
                  <a16:creationId xmlns:a16="http://schemas.microsoft.com/office/drawing/2014/main" id="{A93A7FE5-9011-4739-BB1F-81E473AA8356}"/>
                </a:ext>
              </a:extLst>
            </xdr:cNvPr>
            <xdr:cNvSpPr txBox="1"/>
          </xdr:nvSpPr>
          <xdr:spPr>
            <a:xfrm>
              <a:off x="15935325" y="193833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𝐹𝐹𝑂𝐷_(𝑐</a:t>
              </a:r>
              <a:r>
                <a:rPr lang="en-AU" sz="1100" b="0" i="0">
                  <a:latin typeface="Cambria Math" panose="02040503050406030204" pitchFamily="18" charset="0"/>
                </a:rPr>
                <a:t>,baled)</a:t>
              </a:r>
              <a:r>
                <a:rPr lang="en-AU" sz="1100" i="0">
                  <a:latin typeface="Cambria Math" panose="02040503050406030204" pitchFamily="18" charset="0"/>
                </a:rPr>
                <a:t>=(𝐵× 𝑀_𝐵)/(𝑃_𝑐× 𝑅_(𝐴𝐺,𝑐) ) </a:t>
              </a:r>
              <a:endParaRPr lang="en-AU" sz="1100"/>
            </a:p>
          </xdr:txBody>
        </xdr:sp>
      </mc:Fallback>
    </mc:AlternateContent>
    <xdr:clientData/>
  </xdr:oneCellAnchor>
  <xdr:oneCellAnchor>
    <xdr:from>
      <xdr:col>2</xdr:col>
      <xdr:colOff>295275</xdr:colOff>
      <xdr:row>7</xdr:row>
      <xdr:rowOff>147637</xdr:rowOff>
    </xdr:from>
    <xdr:ext cx="5559406"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6084CB8-1A1A-44CA-9114-707185C2BCF3}"/>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D6084CB8-1A1A-44CA-9114-707185C2BCF3}"/>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3</xdr:col>
      <xdr:colOff>19050</xdr:colOff>
      <xdr:row>30</xdr:row>
      <xdr:rowOff>28575</xdr:rowOff>
    </xdr:from>
    <xdr:ext cx="2260682" cy="31290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7D9116C-4ADA-47B1-ADFA-3C41B70A267E}"/>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e>
                        </m:d>
                      </m:e>
                    </m:nary>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37D9116C-4ADA-47B1-ADFA-3C41B70A267E}"/>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𝐸=∑2_𝑐▒(𝑀_𝑐×𝐸𝐹_𝑁 ) ×𝐶_(𝑔,𝑁2𝑂)×10^(−3)</a:t>
              </a:r>
              <a:endParaRPr lang="en-AU" sz="1100"/>
            </a:p>
          </xdr:txBody>
        </xdr:sp>
      </mc:Fallback>
    </mc:AlternateContent>
    <xdr:clientData/>
  </xdr:oneCellAnchor>
  <xdr:oneCellAnchor>
    <xdr:from>
      <xdr:col>11</xdr:col>
      <xdr:colOff>295275</xdr:colOff>
      <xdr:row>26</xdr:row>
      <xdr:rowOff>147637</xdr:rowOff>
    </xdr:from>
    <xdr:ext cx="5559406" cy="16536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9357E3FC-84E1-4645-A253-C9DC273F2571}"/>
                </a:ext>
              </a:extLst>
            </xdr:cNvPr>
            <xdr:cNvSpPr txBox="1"/>
          </xdr:nvSpPr>
          <xdr:spPr>
            <a:xfrm>
              <a:off x="15887700" y="671988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mlns="">
        <xdr:sp macro="" textlink="">
          <xdr:nvSpPr>
            <xdr:cNvPr id="6" name="TextBox 5">
              <a:extLst>
                <a:ext uri="{FF2B5EF4-FFF2-40B4-BE49-F238E27FC236}">
                  <a16:creationId xmlns:a16="http://schemas.microsoft.com/office/drawing/2014/main" id="{9357E3FC-84E1-4645-A253-C9DC273F2571}"/>
                </a:ext>
              </a:extLst>
            </xdr:cNvPr>
            <xdr:cNvSpPr txBox="1"/>
          </xdr:nvSpPr>
          <xdr:spPr>
            <a:xfrm>
              <a:off x="15887700" y="671988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12</xdr:col>
      <xdr:colOff>19050</xdr:colOff>
      <xdr:row>49</xdr:row>
      <xdr:rowOff>28575</xdr:rowOff>
    </xdr:from>
    <xdr:ext cx="2111860" cy="410753"/>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869EB489-BDAB-43D4-9CA6-1D0BABEC5B97}"/>
                </a:ext>
              </a:extLst>
            </xdr:cNvPr>
            <xdr:cNvSpPr txBox="1"/>
          </xdr:nvSpPr>
          <xdr:spPr>
            <a:xfrm>
              <a:off x="15925800" y="1229677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869EB489-BDAB-43D4-9CA6-1D0BABEC5B97}"/>
                </a:ext>
              </a:extLst>
            </xdr:cNvPr>
            <xdr:cNvSpPr txBox="1"/>
          </xdr:nvSpPr>
          <xdr:spPr>
            <a:xfrm>
              <a:off x="15925800" y="1229677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𝐸=∑_𝑐▒〖𝑀_𝑐×𝐸𝐹_𝑁×𝐶_(𝑔,𝑁2𝑂)×10^(−3) 〗</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F68379A-7FB6-47C4-8517-8DC12C9C10A8}"/>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8F68379A-7FB6-47C4-8517-8DC12C9C10A8}"/>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367A149-0A46-4AAB-B739-04570C28B01C}"/>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6367A149-0A46-4AAB-B739-04570C28B01C}"/>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9525</xdr:colOff>
      <xdr:row>7</xdr:row>
      <xdr:rowOff>114300</xdr:rowOff>
    </xdr:from>
    <xdr:ext cx="2544606" cy="17665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F40D59A-55B0-4169-BA30-9256C551F06E}"/>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BF40D59A-55B0-4169-BA30-9256C551F06E}"/>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𝑀_(𝑏𝑢𝑟𝑛,𝑐)=𝑃_𝑐×𝑅_𝐴𝐺𝑐×𝑆_𝑐×𝐷𝑀_𝑐×𝑍_𝑐×𝐹_𝑐</a:t>
              </a:r>
              <a:endParaRPr lang="en-AU" sz="1100"/>
            </a:p>
          </xdr:txBody>
        </xdr:sp>
      </mc:Fallback>
    </mc:AlternateContent>
    <xdr:clientData/>
  </xdr:oneCellAnchor>
  <xdr:oneCellAnchor>
    <xdr:from>
      <xdr:col>2</xdr:col>
      <xdr:colOff>300037</xdr:colOff>
      <xdr:row>27</xdr:row>
      <xdr:rowOff>28575</xdr:rowOff>
    </xdr:from>
    <xdr:ext cx="3330079"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151500F-7D3B-4B14-B659-A147BB4FE47C}"/>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e>
                    </m:nary>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9151500F-7D3B-4B14-B659-A147BB4FE47C}"/>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𝐸_𝑁2𝑂=∑2_𝑐▒(𝑀_(𝑏𝑢𝑟𝑛,𝑐)×𝑁𝐶_𝐴𝐺𝑐 ) ×𝐸𝐹_𝑁2𝑂×𝐶_𝑁2𝑂×10^(−3)</a:t>
              </a:r>
              <a:endParaRPr lang="en-AU" sz="1100"/>
            </a:p>
          </xdr:txBody>
        </xdr:sp>
      </mc:Fallback>
    </mc:AlternateContent>
    <xdr:clientData/>
  </xdr:oneCellAnchor>
  <xdr:oneCellAnchor>
    <xdr:from>
      <xdr:col>2</xdr:col>
      <xdr:colOff>300037</xdr:colOff>
      <xdr:row>50</xdr:row>
      <xdr:rowOff>28575</xdr:rowOff>
    </xdr:from>
    <xdr:ext cx="3148105"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CA7CE330-A683-4D2B-AD5C-E31795E32A30}"/>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𝑐</m:t>
                                </m:r>
                              </m:sub>
                            </m:sSub>
                          </m:e>
                        </m:d>
                      </m:e>
                    </m:nary>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CA7CE330-A683-4D2B-AD5C-E31795E32A30}"/>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𝐸_𝐶𝐻4=∑2_𝑐▒(𝑀_(𝑏𝑢𝑟𝑛,𝑐)×𝐶𝐶_𝑐 ) ×𝐸𝐹_𝐶𝐻4×𝐶_𝐶𝐻4×10^(−3)</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0BE72DB-C903-4D9B-96A9-DE5EC2EF8D86}"/>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30BE72DB-C903-4D9B-96A9-DE5EC2EF8D86}"/>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CF0211C-4A97-44FE-B4F7-6993B460F9AF}"/>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ACF0211C-4A97-44FE-B4F7-6993B460F9AF}"/>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027EBEE-36F9-4151-B8D0-B1CD886E11A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8027EBEE-36F9-4151-B8D0-B1CD886E11A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FCC48F3-ABB8-45DA-A6CA-40D06313AA96}"/>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FCC48F3-ABB8-45DA-A6CA-40D06313AA96}"/>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6771130-DC74-49CC-AD31-BB7EB62845FA}"/>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86771130-DC74-49CC-AD31-BB7EB62845FA}"/>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AE95034-3AA9-46DB-A47B-636150F52C5A}"/>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AAE95034-3AA9-46DB-A47B-636150F52C5A}"/>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9F999A2-2053-441E-BDD6-B7357B7F37FB}"/>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D9F999A2-2053-441E-BDD6-B7357B7F37FB}"/>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4612CD7-1614-4A24-B958-2F2F66CF8402}"/>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74612CD7-1614-4A24-B958-2F2F66CF8402}"/>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7ABF89C-B6F1-42F0-A32C-2B1072D897E3}"/>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F7ABF89C-B6F1-42F0-A32C-2B1072D897E3}"/>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25E706F-B264-4A57-B83E-0DD41629ED73}"/>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425E706F-B264-4A57-B83E-0DD41629ED73}"/>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𝐸=∑2_𝑐▒∑2_𝑜▒(𝑁_𝑐𝑜×𝑊_𝑐𝑜×𝐸𝐹_𝑐𝑜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DC932C9-E10E-4D34-AE86-6BEF7B7D8974}"/>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4DC932C9-E10E-4D34-AE86-6BEF7B7D8974}"/>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82A2217-8B02-440C-ADA0-A30FA7751FA8}"/>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482A2217-8B02-440C-ADA0-A30FA7751FA8}"/>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9981650D-9342-4D51-B2F8-59AD4A9C713D}"/>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9981650D-9342-4D51-B2F8-59AD4A9C713D}"/>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DF11DB12-C82E-4C9F-AB64-20B4964D3289}"/>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6" name="TextBox 5">
              <a:extLst>
                <a:ext uri="{FF2B5EF4-FFF2-40B4-BE49-F238E27FC236}">
                  <a16:creationId xmlns:a16="http://schemas.microsoft.com/office/drawing/2014/main" id="{DF11DB12-C82E-4C9F-AB64-20B4964D3289}"/>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𝐸=∑2_𝑓▒∑2_𝑐▒∑2_𝑗▒((𝐹_𝑐𝑓×𝑇𝑀_𝑗𝑓)/100×𝐸𝐹_𝑐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9225C57D-4080-4F69-977E-BDADF3F250E4}"/>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9225C57D-4080-4F69-977E-BDADF3F250E4}"/>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𝐸=∑2_𝑓▒∑2_𝑐▒∑2_𝑗▒(𝐹_𝑐𝑓×𝑇𝑀_𝑗𝑓×𝐸𝐹_𝑐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2218D9DD-75DD-43DE-837C-9B17CB3DB273}"/>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2218D9DD-75DD-43DE-837C-9B17CB3DB273}"/>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𝐸𝐹_𝑓=∑2_𝑐▒(𝐹_𝑐𝑓×𝐸𝐹_𝑐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1DEFC6B7-04DB-48CC-BDAD-0D78C33EA884}"/>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1DEFC6B7-04DB-48CC-BDAD-0D78C33EA884}"/>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AA30EAE6-3631-46C5-B576-0A994AB8A975}"/>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10" name="TextBox 9">
              <a:extLst>
                <a:ext uri="{FF2B5EF4-FFF2-40B4-BE49-F238E27FC236}">
                  <a16:creationId xmlns:a16="http://schemas.microsoft.com/office/drawing/2014/main" id="{AA30EAE6-3631-46C5-B576-0A994AB8A975}"/>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6D5EF8DC-D6F6-4314-9502-CB704832BF1E}"/>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6D5EF8DC-D6F6-4314-9502-CB704832BF1E}"/>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38778D33-F35E-4079-8DF2-1133256B84FC}"/>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2" name="TextBox 11">
              <a:extLst>
                <a:ext uri="{FF2B5EF4-FFF2-40B4-BE49-F238E27FC236}">
                  <a16:creationId xmlns:a16="http://schemas.microsoft.com/office/drawing/2014/main" id="{38778D33-F35E-4079-8DF2-1133256B84FC}"/>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4692B211-8C4B-417C-8290-C2D1DAD9F16C}"/>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3" name="TextBox 12">
              <a:extLst>
                <a:ext uri="{FF2B5EF4-FFF2-40B4-BE49-F238E27FC236}">
                  <a16:creationId xmlns:a16="http://schemas.microsoft.com/office/drawing/2014/main" id="{4692B211-8C4B-417C-8290-C2D1DAD9F16C}"/>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47601343-D73D-4070-B451-865B7613EB4A}"/>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14" name="TextBox 13">
              <a:extLst>
                <a:ext uri="{FF2B5EF4-FFF2-40B4-BE49-F238E27FC236}">
                  <a16:creationId xmlns:a16="http://schemas.microsoft.com/office/drawing/2014/main" id="{47601343-D73D-4070-B451-865B7613EB4A}"/>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26982A5B-2C77-4E12-B19D-8352A1726478}"/>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15" name="TextBox 14">
              <a:extLst>
                <a:ext uri="{FF2B5EF4-FFF2-40B4-BE49-F238E27FC236}">
                  <a16:creationId xmlns:a16="http://schemas.microsoft.com/office/drawing/2014/main" id="{26982A5B-2C77-4E12-B19D-8352A1726478}"/>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𝐸=∑2_𝑞▒𝐸_(𝑊𝑇𝑇,𝑡𝑟𝑎𝑛𝑠,𝑞) +∑2_𝑞▒𝐸_(𝑊𝑇𝑇,𝑆𝐶,𝑞)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B301E2E5-BA88-4EAF-9C93-1ED7D4F32CDD}"/>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B301E2E5-BA88-4EAF-9C93-1ED7D4F32CDD}"/>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2CD7946D-FFA7-47BD-8B51-72F5798C59FE}"/>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7" name="TextBox 16">
              <a:extLst>
                <a:ext uri="{FF2B5EF4-FFF2-40B4-BE49-F238E27FC236}">
                  <a16:creationId xmlns:a16="http://schemas.microsoft.com/office/drawing/2014/main" id="{2CD7946D-FFA7-47BD-8B51-72F5798C59FE}"/>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4D573224-B194-4C94-9274-627C503B515C}"/>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4D573224-B194-4C94-9274-627C503B515C}"/>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AEA4287B-5DDF-4B5E-8330-B4718C3182BF}"/>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19" name="TextBox 18">
              <a:extLst>
                <a:ext uri="{FF2B5EF4-FFF2-40B4-BE49-F238E27FC236}">
                  <a16:creationId xmlns:a16="http://schemas.microsoft.com/office/drawing/2014/main" id="{AEA4287B-5DDF-4B5E-8330-B4718C3182BF}"/>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79147D8B-C3DA-425F-BC58-2CF16C9FC5B2}"/>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79147D8B-C3DA-425F-BC58-2CF16C9FC5B2}"/>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4CA2347-18F8-4A5C-B46B-C5303E7F2B6C}"/>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04CA2347-18F8-4A5C-B46B-C5303E7F2B6C}"/>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10AF113-F2AC-45E6-9D44-80C527DE1E67}"/>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E10AF113-F2AC-45E6-9D44-80C527DE1E67}"/>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3E6AB3A-D4A0-4583-B82D-0DDD8A45E273}"/>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83E6AB3A-D4A0-4583-B82D-0DDD8A45E273}"/>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C108D1C-FBB6-4702-B61D-08B579338AFF}"/>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FC108D1C-FBB6-4702-B61D-08B579338AFF}"/>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59B99BF-4F1D-4B40-92AB-338E5E142281}"/>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159B99BF-4F1D-4B40-92AB-338E5E142281}"/>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D51EFD26-492A-462A-BA2F-1E8F162799C3}"/>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D51EFD26-492A-462A-BA2F-1E8F162799C3}"/>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7BE0EB6E-3613-45B4-9384-4352F196FC3F}"/>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7BE0EB6E-3613-45B4-9384-4352F196FC3F}"/>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047C34B3-464B-44C1-B8B4-EE69F12D39B0}"/>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047C34B3-464B-44C1-B8B4-EE69F12D39B0}"/>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8C683E4C-60CD-40B3-B039-9A3E445091A1}"/>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8C683E4C-60CD-40B3-B039-9A3E445091A1}"/>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CCF56D2B-8370-4324-9C2D-436AA21B5A7B}"/>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CCF56D2B-8370-4324-9C2D-436AA21B5A7B}"/>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2487121-BB48-4DA9-B08F-15DFF315F8CA}"/>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92487121-BB48-4DA9-B08F-15DFF315F8CA}"/>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41FEF4E-978B-48E5-8591-550C8AF6B723}"/>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141FEF4E-978B-48E5-8591-550C8AF6B723}"/>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2" name="TextBox 1">
          <a:extLst>
            <a:ext uri="{FF2B5EF4-FFF2-40B4-BE49-F238E27FC236}">
              <a16:creationId xmlns:a16="http://schemas.microsoft.com/office/drawing/2014/main" id="{BB3A2942-F01A-46CC-8149-6EA586B1A9F2}"/>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
      <xdr:nvSpPr>
        <xdr:cNvPr id="3" name="TextBox 2">
          <a:hlinkClick xmlns:r="http://schemas.openxmlformats.org/officeDocument/2006/relationships" r:id="rId1"/>
          <a:extLst>
            <a:ext uri="{FF2B5EF4-FFF2-40B4-BE49-F238E27FC236}">
              <a16:creationId xmlns:a16="http://schemas.microsoft.com/office/drawing/2014/main" id="{37A48008-CC2A-4FD3-B884-CA6BB8ACA2FD}"/>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
      <xdr:nvSpPr>
        <xdr:cNvPr id="4" name="TextBox 3">
          <a:hlinkClick xmlns:r="http://schemas.openxmlformats.org/officeDocument/2006/relationships" r:id="rId2"/>
          <a:extLst>
            <a:ext uri="{FF2B5EF4-FFF2-40B4-BE49-F238E27FC236}">
              <a16:creationId xmlns:a16="http://schemas.microsoft.com/office/drawing/2014/main" id="{BA787727-2A12-47E6-80F3-6798F4690AF6}"/>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5" name="Connector: Curved 4">
          <a:extLst>
            <a:ext uri="{FF2B5EF4-FFF2-40B4-BE49-F238E27FC236}">
              <a16:creationId xmlns:a16="http://schemas.microsoft.com/office/drawing/2014/main" id="{9EF2050D-E6B0-4A05-A20E-0A60A4CB8CD5}"/>
            </a:ext>
          </a:extLst>
        </xdr:cNvPr>
        <xdr:cNvCxnSpPr>
          <a:stCxn id="3" idx="2"/>
          <a:endCxn id="4"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
      <xdr:nvSpPr>
        <xdr:cNvPr id="6" name="TextBox 5">
          <a:hlinkClick xmlns:r="http://schemas.openxmlformats.org/officeDocument/2006/relationships" r:id="rId3"/>
          <a:extLst>
            <a:ext uri="{FF2B5EF4-FFF2-40B4-BE49-F238E27FC236}">
              <a16:creationId xmlns:a16="http://schemas.microsoft.com/office/drawing/2014/main" id="{EB9F2DB7-33C9-4A31-BB0C-82EDD474E08A}"/>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
      <xdr:nvSpPr>
        <xdr:cNvPr id="7" name="TextBox 6">
          <a:hlinkClick xmlns:r="http://schemas.openxmlformats.org/officeDocument/2006/relationships" r:id="rId4"/>
          <a:extLst>
            <a:ext uri="{FF2B5EF4-FFF2-40B4-BE49-F238E27FC236}">
              <a16:creationId xmlns:a16="http://schemas.microsoft.com/office/drawing/2014/main" id="{D9344649-4D70-48DA-AF15-774C1C732DCC}"/>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
      <xdr:nvSpPr>
        <xdr:cNvPr id="8" name="TextBox 7">
          <a:hlinkClick xmlns:r="http://schemas.openxmlformats.org/officeDocument/2006/relationships" r:id="rId5"/>
          <a:extLst>
            <a:ext uri="{FF2B5EF4-FFF2-40B4-BE49-F238E27FC236}">
              <a16:creationId xmlns:a16="http://schemas.microsoft.com/office/drawing/2014/main" id="{50FA6A5C-AB54-474E-B04A-EC782ABBC52A}"/>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9" name="Connector: Curved 8">
          <a:extLst>
            <a:ext uri="{FF2B5EF4-FFF2-40B4-BE49-F238E27FC236}">
              <a16:creationId xmlns:a16="http://schemas.microsoft.com/office/drawing/2014/main" id="{EC49B88F-4FBD-452A-B788-DF84E9F85EAA}"/>
            </a:ext>
          </a:extLst>
        </xdr:cNvPr>
        <xdr:cNvCxnSpPr>
          <a:stCxn id="3" idx="2"/>
          <a:endCxn id="6"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0" name="Connector: Curved 9">
          <a:extLst>
            <a:ext uri="{FF2B5EF4-FFF2-40B4-BE49-F238E27FC236}">
              <a16:creationId xmlns:a16="http://schemas.microsoft.com/office/drawing/2014/main" id="{929D1E36-613C-4E5E-9998-5EEA20951FAA}"/>
            </a:ext>
          </a:extLst>
        </xdr:cNvPr>
        <xdr:cNvCxnSpPr>
          <a:stCxn id="8" idx="2"/>
          <a:endCxn id="4"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1" name="TextBox 10">
          <a:extLst>
            <a:ext uri="{FF2B5EF4-FFF2-40B4-BE49-F238E27FC236}">
              <a16:creationId xmlns:a16="http://schemas.microsoft.com/office/drawing/2014/main" id="{EFC7D113-B975-4992-9BA2-F95D4B7B7A9D}"/>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12" name="TextBox 11">
          <a:extLst>
            <a:ext uri="{FF2B5EF4-FFF2-40B4-BE49-F238E27FC236}">
              <a16:creationId xmlns:a16="http://schemas.microsoft.com/office/drawing/2014/main" id="{EAF83754-F914-4767-AF5B-E04752A83F12}"/>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
      <xdr:nvSpPr>
        <xdr:cNvPr id="13" name="TextBox 12">
          <a:hlinkClick xmlns:r="http://schemas.openxmlformats.org/officeDocument/2006/relationships" r:id="rId6"/>
          <a:extLst>
            <a:ext uri="{FF2B5EF4-FFF2-40B4-BE49-F238E27FC236}">
              <a16:creationId xmlns:a16="http://schemas.microsoft.com/office/drawing/2014/main" id="{BAC2D990-1C66-45BD-A5CE-90F411C071F6}"/>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
      <xdr:nvSpPr>
        <xdr:cNvPr id="14" name="TextBox 13">
          <a:hlinkClick xmlns:r="http://schemas.openxmlformats.org/officeDocument/2006/relationships" r:id="rId7"/>
          <a:extLst>
            <a:ext uri="{FF2B5EF4-FFF2-40B4-BE49-F238E27FC236}">
              <a16:creationId xmlns:a16="http://schemas.microsoft.com/office/drawing/2014/main" id="{85FFA0C6-3BBB-4430-9F9A-46EADCA5E99D}"/>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15" name="Connector: Curved 14">
          <a:extLst>
            <a:ext uri="{FF2B5EF4-FFF2-40B4-BE49-F238E27FC236}">
              <a16:creationId xmlns:a16="http://schemas.microsoft.com/office/drawing/2014/main" id="{6F3354DF-A5E9-4B5E-BE28-9334A9913FC7}"/>
            </a:ext>
          </a:extLst>
        </xdr:cNvPr>
        <xdr:cNvCxnSpPr>
          <a:stCxn id="13" idx="2"/>
          <a:endCxn id="14"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16" name="TextBox 15">
          <a:extLst>
            <a:ext uri="{FF2B5EF4-FFF2-40B4-BE49-F238E27FC236}">
              <a16:creationId xmlns:a16="http://schemas.microsoft.com/office/drawing/2014/main" id="{6D93365D-BCE0-4A03-ABA0-63E4B078A196}"/>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A065BF42-A6A6-4BB8-BF56-6B5BE04618A7}"/>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B6FC9205-FDC0-4448-93E5-F5D28E14FDB0}"/>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19" name="Connector: Curved 18">
          <a:extLst>
            <a:ext uri="{FF2B5EF4-FFF2-40B4-BE49-F238E27FC236}">
              <a16:creationId xmlns:a16="http://schemas.microsoft.com/office/drawing/2014/main" id="{7A43D029-BBCE-4C4B-8942-0BB67F95CEB8}"/>
            </a:ext>
          </a:extLst>
        </xdr:cNvPr>
        <xdr:cNvCxnSpPr>
          <a:stCxn id="17" idx="2"/>
          <a:endCxn id="18"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20" name="TextBox 19">
          <a:extLst>
            <a:ext uri="{FF2B5EF4-FFF2-40B4-BE49-F238E27FC236}">
              <a16:creationId xmlns:a16="http://schemas.microsoft.com/office/drawing/2014/main" id="{D0173568-D5CC-4C2B-B8AF-41249A296185}"/>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
      <xdr:nvSpPr>
        <xdr:cNvPr id="21" name="TextBox 20">
          <a:hlinkClick xmlns:r="http://schemas.openxmlformats.org/officeDocument/2006/relationships" r:id="rId10"/>
          <a:extLst>
            <a:ext uri="{FF2B5EF4-FFF2-40B4-BE49-F238E27FC236}">
              <a16:creationId xmlns:a16="http://schemas.microsoft.com/office/drawing/2014/main" id="{E0A088B4-DFA7-421D-A16F-E6483F58F522}"/>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22" name="TextBox 21">
          <a:extLst>
            <a:ext uri="{FF2B5EF4-FFF2-40B4-BE49-F238E27FC236}">
              <a16:creationId xmlns:a16="http://schemas.microsoft.com/office/drawing/2014/main" id="{6E55678A-B46B-42CC-A3DC-486E6BE423C8}"/>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
      <xdr:nvSpPr>
        <xdr:cNvPr id="23" name="TextBox 22">
          <a:hlinkClick xmlns:r="http://schemas.openxmlformats.org/officeDocument/2006/relationships" r:id="rId11"/>
          <a:extLst>
            <a:ext uri="{FF2B5EF4-FFF2-40B4-BE49-F238E27FC236}">
              <a16:creationId xmlns:a16="http://schemas.microsoft.com/office/drawing/2014/main" id="{1B685089-7CD0-4ADA-ADD5-07AD2F207043}"/>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24" name="Connector: Curved 23">
          <a:extLst>
            <a:ext uri="{FF2B5EF4-FFF2-40B4-BE49-F238E27FC236}">
              <a16:creationId xmlns:a16="http://schemas.microsoft.com/office/drawing/2014/main" id="{F8E4CB30-3C97-49C5-9E00-5EFFDACFA66A}"/>
            </a:ext>
          </a:extLst>
        </xdr:cNvPr>
        <xdr:cNvCxnSpPr>
          <a:stCxn id="3" idx="2"/>
          <a:endCxn id="2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
      <xdr:nvSpPr>
        <xdr:cNvPr id="25" name="TextBox 24">
          <a:hlinkClick xmlns:r="http://schemas.openxmlformats.org/officeDocument/2006/relationships" r:id="rId12"/>
          <a:extLst>
            <a:ext uri="{FF2B5EF4-FFF2-40B4-BE49-F238E27FC236}">
              <a16:creationId xmlns:a16="http://schemas.microsoft.com/office/drawing/2014/main" id="{A395782B-558C-45A4-A3C2-1C9A2C85C66D}"/>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26" name="Connector: Curved 25">
          <a:extLst>
            <a:ext uri="{FF2B5EF4-FFF2-40B4-BE49-F238E27FC236}">
              <a16:creationId xmlns:a16="http://schemas.microsoft.com/office/drawing/2014/main" id="{F514E34D-46D1-4A96-9AB9-73D928869B43}"/>
            </a:ext>
          </a:extLst>
        </xdr:cNvPr>
        <xdr:cNvCxnSpPr>
          <a:stCxn id="17" idx="2"/>
          <a:endCxn id="25"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
      <xdr:nvSpPr>
        <xdr:cNvPr id="27" name="TextBox 26">
          <a:hlinkClick xmlns:r="http://schemas.openxmlformats.org/officeDocument/2006/relationships" r:id="rId13"/>
          <a:extLst>
            <a:ext uri="{FF2B5EF4-FFF2-40B4-BE49-F238E27FC236}">
              <a16:creationId xmlns:a16="http://schemas.microsoft.com/office/drawing/2014/main" id="{0C299216-B17C-4079-9944-ADD868695FE3}"/>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
      <xdr:nvSpPr>
        <xdr:cNvPr id="28" name="TextBox 27">
          <a:hlinkClick xmlns:r="http://schemas.openxmlformats.org/officeDocument/2006/relationships" r:id="rId14"/>
          <a:extLst>
            <a:ext uri="{FF2B5EF4-FFF2-40B4-BE49-F238E27FC236}">
              <a16:creationId xmlns:a16="http://schemas.microsoft.com/office/drawing/2014/main" id="{7B7B9D9D-22C7-4C3A-A56A-93358CA3B6B0}"/>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29" name="Connector: Curved 28">
          <a:extLst>
            <a:ext uri="{FF2B5EF4-FFF2-40B4-BE49-F238E27FC236}">
              <a16:creationId xmlns:a16="http://schemas.microsoft.com/office/drawing/2014/main" id="{BC293B75-EB80-422D-8903-C94C0B5C5FFC}"/>
            </a:ext>
          </a:extLst>
        </xdr:cNvPr>
        <xdr:cNvCxnSpPr>
          <a:stCxn id="23" idx="2"/>
          <a:endCxn id="27"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30" name="Connector: Curved 29">
          <a:extLst>
            <a:ext uri="{FF2B5EF4-FFF2-40B4-BE49-F238E27FC236}">
              <a16:creationId xmlns:a16="http://schemas.microsoft.com/office/drawing/2014/main" id="{D4B04791-9D20-4ECF-8814-F595F5963778}"/>
            </a:ext>
          </a:extLst>
        </xdr:cNvPr>
        <xdr:cNvCxnSpPr>
          <a:stCxn id="25" idx="2"/>
          <a:endCxn id="28"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31" name="TextBox 30">
          <a:extLst>
            <a:ext uri="{FF2B5EF4-FFF2-40B4-BE49-F238E27FC236}">
              <a16:creationId xmlns:a16="http://schemas.microsoft.com/office/drawing/2014/main" id="{9AF926D4-F49E-42D8-87A3-E4EB8AFA5992}"/>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
      <xdr:nvSpPr>
        <xdr:cNvPr id="32" name="TextBox 31">
          <a:hlinkClick xmlns:r="http://schemas.openxmlformats.org/officeDocument/2006/relationships" r:id="rId15"/>
          <a:extLst>
            <a:ext uri="{FF2B5EF4-FFF2-40B4-BE49-F238E27FC236}">
              <a16:creationId xmlns:a16="http://schemas.microsoft.com/office/drawing/2014/main" id="{77316963-B40B-4351-9B25-EF7E1E1114BD}"/>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
      <xdr:nvSpPr>
        <xdr:cNvPr id="33" name="TextBox 32">
          <a:hlinkClick xmlns:r="http://schemas.openxmlformats.org/officeDocument/2006/relationships" r:id="rId16"/>
          <a:extLst>
            <a:ext uri="{FF2B5EF4-FFF2-40B4-BE49-F238E27FC236}">
              <a16:creationId xmlns:a16="http://schemas.microsoft.com/office/drawing/2014/main" id="{EFF18F6A-AF01-47CF-91F8-308FE4F62544}"/>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
      <xdr:nvSpPr>
        <xdr:cNvPr id="34" name="TextBox 33">
          <a:hlinkClick xmlns:r="http://schemas.openxmlformats.org/officeDocument/2006/relationships" r:id="rId17"/>
          <a:extLst>
            <a:ext uri="{FF2B5EF4-FFF2-40B4-BE49-F238E27FC236}">
              <a16:creationId xmlns:a16="http://schemas.microsoft.com/office/drawing/2014/main" id="{DAFC8383-9EC3-4776-8916-18182EE5AEA3}"/>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35" name="Connector: Curved 34">
          <a:extLst>
            <a:ext uri="{FF2B5EF4-FFF2-40B4-BE49-F238E27FC236}">
              <a16:creationId xmlns:a16="http://schemas.microsoft.com/office/drawing/2014/main" id="{B753FB96-99EE-473C-81DD-FA0E3744B7DA}"/>
            </a:ext>
          </a:extLst>
        </xdr:cNvPr>
        <xdr:cNvCxnSpPr>
          <a:stCxn id="32" idx="2"/>
          <a:endCxn id="34"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36" name="Connector: Curved 35">
          <a:extLst>
            <a:ext uri="{FF2B5EF4-FFF2-40B4-BE49-F238E27FC236}">
              <a16:creationId xmlns:a16="http://schemas.microsoft.com/office/drawing/2014/main" id="{E29380A7-A04B-4FE1-9F1D-B974337522C3}"/>
            </a:ext>
          </a:extLst>
        </xdr:cNvPr>
        <xdr:cNvCxnSpPr>
          <a:stCxn id="33" idx="2"/>
          <a:endCxn id="34"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37" name="Connector: Curved 36">
          <a:extLst>
            <a:ext uri="{FF2B5EF4-FFF2-40B4-BE49-F238E27FC236}">
              <a16:creationId xmlns:a16="http://schemas.microsoft.com/office/drawing/2014/main" id="{3E41E58E-357A-48CE-9DF4-CC85A117E299}"/>
            </a:ext>
          </a:extLst>
        </xdr:cNvPr>
        <xdr:cNvCxnSpPr>
          <a:stCxn id="17" idx="2"/>
          <a:endCxn id="33"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38" name="Connector: Curved 37">
          <a:extLst>
            <a:ext uri="{FF2B5EF4-FFF2-40B4-BE49-F238E27FC236}">
              <a16:creationId xmlns:a16="http://schemas.microsoft.com/office/drawing/2014/main" id="{E3BE227F-A4B7-4073-83EB-0F7874C66423}"/>
            </a:ext>
          </a:extLst>
        </xdr:cNvPr>
        <xdr:cNvCxnSpPr>
          <a:stCxn id="3" idx="2"/>
          <a:endCxn id="32"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5D48D4D-8008-4377-931C-33635B6D02EB}" name="Table_Input_InorganicFertiliser_Brands" displayName="Table_Input_InorganicFertiliser_Brands" ref="D11:Z21" headerRowDxfId="381" dataDxfId="380" totalsRowDxfId="379">
  <autoFilter ref="D11:Z21"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A0CF643B-F2DF-42EE-BE12-D4D9B55A13F7}" name="Product (select)" dataDxfId="378" totalsRowDxfId="377" dataCellStyle="Input select"/>
    <tableColumn id="23" xr3:uid="{9EEFAFF8-3D41-478C-B8BB-1959273413F5}" name="Amount applied per hectare" totalsRowFunction="custom" dataDxfId="376" totalsRowDxfId="375">
      <totalsRowFormula>SUM(Table_Input_InorganicFertiliser_Brands[[#Headers],[#Data],[Amount applied per hectare]])</totalsRowFormula>
    </tableColumn>
    <tableColumn id="12" xr3:uid="{ED2F8B97-F3AA-4D4E-8100-43CF745B125B}" name="Application unit" dataDxfId="374" totalsRowDxfId="373" dataCellStyle="Input number 2 decimal places"/>
    <tableColumn id="6" xr3:uid="{9747E38A-A533-4271-A24D-A79D4D27C86D}" name="Application area (ha)" dataDxfId="372" totalsRowDxfId="371">
      <calculatedColumnFormula>X_Cell_Fertiliser_AreaUnderCropping</calculatedColumnFormula>
    </tableColumn>
    <tableColumn id="9" xr3:uid="{D320FC74-D73B-4559-A81A-BCAF560F0F01}" name="Density" dataDxfId="370" totalsRowDxfId="369" dataCellStyle="Input number general calculated"/>
    <tableColumn id="1" xr3:uid="{65AA0A56-CEA5-4851-80FB-6D88A062524B}" name="Total applied (kg)" dataDxfId="368" totalsRowDxfId="367"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EFE868C7-01C2-40F2-97D2-A4E3C4412BBC}" name="Ingredient 1" dataDxfId="366" totalsRowDxfId="365" dataCellStyle="Input number general calculated"/>
    <tableColumn id="4" xr3:uid="{A6C1C5D7-9F97-4D3A-8940-4EF15B5D081B}" name="Ingredient 1 percent" dataDxfId="364" dataCellStyle="Input number general calculated"/>
    <tableColumn id="7" xr3:uid="{C0F42B53-98A3-4F32-8BFD-1D6F1783D241}" name="Ingredient 2" dataDxfId="363" dataCellStyle="Input number general calculated"/>
    <tableColumn id="8" xr3:uid="{0815F0FA-AA61-4C71-8ECA-8F0D6BEBD797}" name="Ingredient 2 percent" dataDxfId="362" totalsRowDxfId="361" dataCellStyle="Input number general calculated"/>
    <tableColumn id="10" xr3:uid="{C78468EB-AFCB-4761-B322-96EF9F240AE7}" name="Ingredient 3" dataDxfId="360" totalsRowDxfId="359" dataCellStyle="Input number general calculated"/>
    <tableColumn id="11" xr3:uid="{82C8BF51-D194-463B-9C7E-F5EBCAB68557}" name="Ingredient 3 percent" dataDxfId="358" totalsRowDxfId="357" dataCellStyle="Input number general calculated"/>
    <tableColumn id="13" xr3:uid="{C948E74B-9991-40C1-82EF-0C73129FD6EB}" name="Ingredient 4" dataDxfId="356" totalsRowDxfId="355" dataCellStyle="Input number general calculated"/>
    <tableColumn id="14" xr3:uid="{98424A1E-233C-41AE-8B37-2A568154933D}" name="Ingredient 4 percent" dataDxfId="354" dataCellStyle="Input number general calculated"/>
    <tableColumn id="16" xr3:uid="{26A88C34-2186-4D46-B190-F0741AD91CF8}" name="Ingredient 5" dataDxfId="353" dataCellStyle="Input number general calculated"/>
    <tableColumn id="17" xr3:uid="{76C5A5A3-F37F-4E5C-BF9C-CCFFDD4A7139}" name="Ingredient 5 percent" dataDxfId="352" dataCellStyle="Input number general calculated"/>
    <tableColumn id="19" xr3:uid="{A7D75907-D6A9-4BDE-A321-D335E817A040}" name="Ingredient 6" dataDxfId="351" dataCellStyle="Input number general calculated"/>
    <tableColumn id="20" xr3:uid="{22BE7667-C6CB-42CE-9269-0E43E18F0A2A}" name="Ingredient 6 percent" dataDxfId="350" dataCellStyle="Input number general calculated"/>
    <tableColumn id="21" xr3:uid="{75C7F1F7-D13A-4657-912A-9C0EF64369E3}" name="% N (Ingredients)" dataDxfId="349" dataCellStyle="Input number general calculated"/>
    <tableColumn id="22" xr3:uid="{C8E0C60E-7566-475B-8AC2-9D96196DD893}" name="% N (declared)" dataDxfId="348" dataCellStyle="Content normal"/>
    <tableColumn id="5" xr3:uid="{242D3189-5E4C-4CFF-9B86-BB49B48CD21E}" name="N application rate (kg/ha)" dataDxfId="347" totalsRowDxfId="346"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8ED3A20E-7C4D-4475-9D50-5B0CBE412A11}" name="Urea source" dataDxfId="345" totalsRowDxfId="344" dataCellStyle="Input number general calculated"/>
    <tableColumn id="18" xr3:uid="{B6866D1D-60B3-4456-851C-7D073B552BAB}" name="Ammonia source" dataDxfId="343" totalsRowDxfId="342"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FF9D596C-B44B-401B-9E10-981349C6F5E0}" name="Table_Input_InorganicFertiliser_Custom" displayName="Table_Input_InorganicFertiliser_Custom" ref="D24:R34" totalsRowShown="0" headerRowDxfId="341" dataDxfId="340">
  <autoFilter ref="D24:R3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65FBFA91-F000-4A5D-B7E2-9063A5B15ABF}" name="Custom blend name" dataCellStyle="Input text"/>
    <tableColumn id="2" xr3:uid="{772099B5-ED50-4785-86D8-DBC382EBCDE5}" name="Amount applied (kg / ha)" dataDxfId="339"/>
    <tableColumn id="3" xr3:uid="{11E4F545-D0D2-4A15-8706-EECA6B18F99E}" name="Application area (ha)" dataDxfId="338" dataCellStyle="Input number 2 decimal places">
      <calculatedColumnFormula>X_Cell_Fertiliser_AreaUnderCropping</calculatedColumnFormula>
    </tableColumn>
    <tableColumn id="4" xr3:uid="{2B0DD770-1EA8-4424-B1B2-81592DB5F77D}" name="Total applied (kg)" dataDxfId="337" dataCellStyle="Input number general calculated">
      <calculatedColumnFormula>Table_Input_InorganicFertiliser_Custom[[#This Row],[Amount applied (kg / ha)]]*Table_Input_InorganicFertiliser_Custom[[#This Row],[Application area (ha)]]</calculatedColumnFormula>
    </tableColumn>
    <tableColumn id="5" xr3:uid="{B73FE775-CBEB-4368-8B52-64A6E0EB935F}" name="Ingredient 1 (select)" dataDxfId="336" dataCellStyle="Input select"/>
    <tableColumn id="6" xr3:uid="{338BC791-224B-4340-9768-8948839F664F}" name="Ingredient 1 percent" dataDxfId="335"/>
    <tableColumn id="8" xr3:uid="{559DD473-57E5-47DE-893E-243CD49CF814}" name="Ingredient 2" dataDxfId="334" dataCellStyle="Input select"/>
    <tableColumn id="9" xr3:uid="{90A3F1C1-7B72-4B00-A2E4-A035AD638B71}" name="Ingredient 2 percent" dataDxfId="333"/>
    <tableColumn id="11" xr3:uid="{CCE7064C-681C-480B-BDFF-9A2B9F996BFC}" name="Ingredient 3" dataDxfId="332" dataCellStyle="Input select"/>
    <tableColumn id="12" xr3:uid="{FDC88BDE-F5E3-4DA6-9B4A-022C053FDEAD}" name="Ingredient 3 percent" dataDxfId="331"/>
    <tableColumn id="14" xr3:uid="{62DC6AE9-34C0-4CD7-A1CC-A4D489770199}" name="Ingredient 4" dataDxfId="330" dataCellStyle="Input select"/>
    <tableColumn id="15" xr3:uid="{52A88DF4-9A26-4B04-A0D1-D85F1F13BF05}" name="Ingredient 4 percent" dataCellStyle="Input percent"/>
    <tableColumn id="7" xr3:uid="{02FBDF26-1D00-467E-A06E-BB72683800EB}" name="N application rate (kg/ha)" dataDxfId="329" dataCellStyle="Input number general calculated"/>
    <tableColumn id="10" xr3:uid="{B42D4A0A-4970-433F-A518-4C5FDCA86E1F}" name="Urea source (Select)" dataCellStyle="Input select"/>
    <tableColumn id="13" xr3:uid="{ADB40840-4ECD-47B6-A99D-0CB11E0B0BA0}" name="Ammonia source (select)" dataCellStyle="Input select"/>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6D6B7F6-FE3E-4D09-9EC1-073DE435C788}" name="Table_Input_Lime" displayName="Table_Input_Lime" ref="D41:K44" totalsRowShown="0" headerRowDxfId="328" dataDxfId="327" headerRowCellStyle="Input table column header">
  <autoFilter ref="D41:K4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36B37155-5BBD-4415-B167-183482D2490F}" name="Product" dataDxfId="326"/>
    <tableColumn id="2" xr3:uid="{AB82184C-BACA-472C-AE55-1C666BE7DAAD}" name="Amount applied (t/hectare)" dataDxfId="325"/>
    <tableColumn id="4" xr3:uid="{20F594E1-E29C-4D7A-9F5E-BBE69C2416C9}" name="Application area (ha)" dataDxfId="324" dataCellStyle="Input number 2 decimal places">
      <calculatedColumnFormula>X_Cell_Fertiliser_AreaUnderCropping</calculatedColumnFormula>
    </tableColumn>
    <tableColumn id="3" xr3:uid="{93110F18-925B-4C9E-A58D-F37501268320}" name="Total amount applied (t)" dataDxfId="323" dataCellStyle="Input number general calculated">
      <calculatedColumnFormula>IFERROR(Table_Input_Lime[[#This Row],[Amount applied (t/hectare)]]*Table_Input_Lime[[#This Row],[Application area (ha)]], 0)</calculatedColumnFormula>
    </tableColumn>
    <tableColumn id="6" xr3:uid="{A883D89E-635D-4E2B-A188-D3CC99EBE6F1}" name="Percent Lime CaCO3" dataDxfId="322"/>
    <tableColumn id="8" xr3:uid="{31231673-A4FB-4653-A983-634CF701A90F}" name="Percent Dolomite CaMg(CO3)2" dataDxfId="321"/>
    <tableColumn id="7" xr3:uid="{D40063E4-E67B-40BB-85D0-06462646B5F6}" name="Percent Gypsum" dataDxfId="320"/>
    <tableColumn id="10" xr3:uid="{F8444A27-3765-4708-96DB-AFE919849166}" name="Total" dataDxfId="319"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4380D1B-8EF6-4A2B-9641-4C8DBBB5444F}" name="Table_Input_OrganicFertiliser" displayName="Table_Input_OrganicFertiliser" ref="D53:J56" totalsRowShown="0" headerRowDxfId="318" dataDxfId="317" headerRowCellStyle="Input table column header">
  <autoFilter ref="D53:J56"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454D117-C09C-47D4-9A35-25192BD22363}" name="Organic fertiliser type (select)" dataDxfId="316" dataCellStyle="Input select"/>
    <tableColumn id="5" xr3:uid="{276CCA5C-E96F-45B6-AB94-33361412A788}" name="Percentage of N in fertiliser" dataDxfId="315"/>
    <tableColumn id="2" xr3:uid="{A270D35D-9172-4407-BC0B-8691CF701257}" name="Amount applied (kg/hectare)" dataDxfId="314"/>
    <tableColumn id="11" xr3:uid="{4BCFA90B-F376-4894-B9AD-E1C125E39D1C}" name="Amount N applied (kg/hectare)" dataDxfId="313" dataCellStyle="Input number general calculated">
      <calculatedColumnFormula>Table_Input_OrganicFertiliser[[#This Row],[Amount applied (kg/hectare)]]*Table_Input_OrganicFertiliser[[#This Row],[Percentage of N in fertiliser]]</calculatedColumnFormula>
    </tableColumn>
    <tableColumn id="4" xr3:uid="{B082EA6C-0E2D-489F-9F4F-96E7FB236930}" name="Application area (ha)" dataDxfId="312" dataCellStyle="Input number 2 decimal places">
      <calculatedColumnFormula>X_Cell_Fertiliser_AreaUnderCropping</calculatedColumnFormula>
    </tableColumn>
    <tableColumn id="7" xr3:uid="{E58BABCD-99CD-4E58-8526-92DCAE4F71B1}" name="Total organic fertliser applied" dataDxfId="311" dataCellStyle="Input number general calculated">
      <calculatedColumnFormula>Table_Input_OrganicFertiliser[[#This Row],[Amount applied (kg/hectare)]]*Table_Input_OrganicFertiliser[[#This Row],[Application area (ha)]]</calculatedColumnFormula>
    </tableColumn>
    <tableColumn id="3" xr3:uid="{55494B2E-22A2-47A7-A6AF-41B562AC7467}" name="Total nitrogen applied (kg)" dataDxfId="310"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5949C80C-A4D2-4557-BE05-68F794D17163}" name="Table_Input_Fuel" displayName="Table_Input_Fuel" ref="D16:J21" totalsRowDxfId="309"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70E096E4-4D23-4F30-A5F4-DE0A40009644}" name="Fuel use (select)" totalsRowFunction="average" totalsRowDxfId="308" dataCellStyle="Input select" totalsRowCellStyle="Input select"/>
    <tableColumn id="3" xr3:uid="{108250C2-2EB9-4EA0-B444-3BA5FC2A5694}" name="Fuel type (select)" totalsRowDxfId="307" dataCellStyle="Input select" totalsRowCellStyle="Input select"/>
    <tableColumn id="4" xr3:uid="{D7870240-F7B3-4E16-8107-EED8EC51AF64}" name="Amount purchased" totalsRowDxfId="306" totalsRowCellStyle="Content bold"/>
    <tableColumn id="6" xr3:uid="{FDA17A9E-F5B8-4B2C-B799-A0E9B65429B3}" name="Amount unit" totalsRowDxfId="305" dataCellStyle="Input number general calculated" totalsRowCellStyle="Input text calculated"/>
    <tableColumn id="5" xr3:uid="{A673139A-87E2-4A59-9E86-8C0128337B18}" name="Percent consumed" totalsRowDxfId="304" totalsRowCellStyle="Input percent">
      <calculatedColumnFormula>1</calculatedColumnFormula>
    </tableColumn>
    <tableColumn id="1" xr3:uid="{8AE44DD9-817A-468B-8722-74008FCD118F}" name="Amount consumed" totalsRowFunction="custom" totalsRowDxfId="303"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7BEF8308-0600-4754-96D0-C846EA809A02}" name="Amount consumed unit" totalsRowDxfId="302" dataCellStyle="Input number general calculated"/>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7603A7C2-378B-49D5-9478-8C4A06C94F06}"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6072AF08-C563-4A2B-B7B4-583F8AD4CF03}" name="Description"/>
    <tableColumn id="5" xr3:uid="{91E47F46-46FF-4D20-8E4D-75AEC63C4337}" name="Source (select)" dataCellStyle="Input select"/>
    <tableColumn id="2" xr3:uid="{683BA13C-030A-45C6-AF80-9A7A83367022}" name="Generation date" dataDxfId="301"/>
    <tableColumn id="3" xr3:uid="{62A97C84-90B2-4A53-8171-E43E7B60D868}" name="Number of certificates"/>
    <tableColumn id="4" xr3:uid="{1579696D-4C36-4DD7-A2E0-053C125773E6}" name="MWh" dataCellStyle="Input number general calculated">
      <calculatedColumnFormula>Table_Input_RECSurrendered[[#This Row],[Number of certificates]]</calculatedColumnFormula>
    </tableColumn>
    <tableColumn id="7" xr3:uid="{06248F48-98FF-451D-B118-A918C3C7D7E6}"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78652C3E-81DF-4272-9833-1750248A63FB}"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8026F3DA-5351-4CF4-B6DD-775B7ED5F017}" name="Description"/>
    <tableColumn id="5" xr3:uid="{A47A1ADE-A786-4502-9445-B275EFE75B8A}" name="Source" dataCellStyle="Input text calculated">
      <calculatedColumnFormula>"Issued for generated electricity"</calculatedColumnFormula>
    </tableColumn>
    <tableColumn id="2" xr3:uid="{521A2C85-2F45-41A1-8806-63DFED44D4C1}" name="Generation date" dataDxfId="300"/>
    <tableColumn id="3" xr3:uid="{B6AFEFEA-E5F1-4A15-922E-930A1A46485D}" name="Number of certificates"/>
    <tableColumn id="4" xr3:uid="{A3CDD233-F165-4EE9-B8C3-D247FD8E8829}" name="MWh" dataCellStyle="Input number general calculated">
      <calculatedColumnFormula>Table_Input_RECConsumedByEntity[[#This Row],[Number of certificates]]</calculatedColumnFormula>
    </tableColumn>
    <tableColumn id="7" xr3:uid="{002CEDC7-BB2E-4A14-BEEA-AC1177825EDA}"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D71BB978-CFD7-4B6B-A4BE-B2E5250FCA0F}" name="Table_Input_ChemicalsCleaning" displayName="Table_Input_ChemicalsCleaning" ref="D7:F17" totalsRowShown="0" headerRowCellStyle="Input table column header">
  <autoFilter ref="D7:F17" xr:uid="{4FE24B05-BD40-4784-8F98-E98038ED84BF}">
    <filterColumn colId="0" hiddenButton="1"/>
    <filterColumn colId="1" hiddenButton="1"/>
    <filterColumn colId="2" hiddenButton="1"/>
  </autoFilter>
  <tableColumns count="3">
    <tableColumn id="3" xr3:uid="{92CBA08E-C2C4-4B35-AF83-BA3158E9BE24}" name="Product name" dataCellStyle="Input text"/>
    <tableColumn id="1" xr3:uid="{C3058DCC-E4D8-4314-B067-09D65F80A5A2}" name="Type (select)" dataCellStyle="Input select"/>
    <tableColumn id="2" xr3:uid="{A78307B1-354A-4737-9EA2-6FAE33B87DAC}" name="Quantity purchased (kg)" dataCellStyle="Input number general"/>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FA48097C-C7CF-44EA-8E7C-29AF35BBAC1F}" name="Table_Input_UncategorisedProductsServices" displayName="Table_Input_UncategorisedProductsServices" ref="D37:F47" totalsRowShown="0" headerRowCellStyle="Input table column header">
  <autoFilter ref="D37:F47" xr:uid="{1E43041F-45A9-4FE7-B27E-F3B8135FFECA}">
    <filterColumn colId="0" hiddenButton="1"/>
    <filterColumn colId="1" hiddenButton="1"/>
    <filterColumn colId="2" hiddenButton="1"/>
  </autoFilter>
  <tableColumns count="3">
    <tableColumn id="1" xr3:uid="{19EF0B22-B1A1-4004-9B92-B7143F0B675E}" name="Product / service name" dataCellStyle="Input text"/>
    <tableColumn id="2" xr3:uid="{9ECB8878-E80B-4EB3-82DF-A999ECA19790}" name="Amount" dataCellStyle="Input number general"/>
    <tableColumn id="3" xr3:uid="{B818F3DD-41EE-479C-80CD-B18284800AC9}" name="Amount unit" dataCellStyle="Input text"/>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84B6872B-CC33-41C9-9B43-14AD4E84888A}" name="Table_Input_ServicesAndContractors" displayName="Table_Input_ServicesAndContractors" ref="D22:G32" totalsRowShown="0">
  <autoFilter ref="D22:G32" xr:uid="{EAE4AE15-2AB9-4C21-9268-5CB94316E6E4}">
    <filterColumn colId="0" hiddenButton="1"/>
    <filterColumn colId="1" hiddenButton="1"/>
    <filterColumn colId="2" hiddenButton="1"/>
    <filterColumn colId="3" hiddenButton="1"/>
  </autoFilter>
  <tableColumns count="4">
    <tableColumn id="1" xr3:uid="{CD8C4D3A-CA68-4EF7-A8DC-5EB0BEEF9555}" name="Service provider / contractor" dataCellStyle="Input text"/>
    <tableColumn id="4" xr3:uid="{CBB13BEB-0EDA-4D3E-98D8-F8BB00368A12}" name="Activity" dataCellStyle="Input text"/>
    <tableColumn id="2" xr3:uid="{56FB0523-FA6D-4237-9692-11499D37294F}" name="Total amount" dataCellStyle="Input number general"/>
    <tableColumn id="3" xr3:uid="{7E5D7B2D-73F3-46EC-B978-D5B614F4D4B1}" name="Amount unit" dataCellStyle="Input select"/>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195E847C-084D-488B-84A0-B111EDF978D9}" name="Table_Input_Pesticides" displayName="Table_Input_Pesticides" ref="D9:R19" totalsRowShown="0" headerRowDxfId="299">
  <autoFilter ref="D9:R19" xr:uid="{BA52E4BB-C3D1-441A-A568-0AD50449E880}"/>
  <tableColumns count="15">
    <tableColumn id="1" xr3:uid="{E46FDAF3-9400-4313-B0BE-9D2B80BA52A9}" name="Product name"/>
    <tableColumn id="2" xr3:uid="{DDC86265-2E1D-4CD0-94A9-51F24805508E}" name="Amount applied per ha"/>
    <tableColumn id="7" xr3:uid="{6FCDA554-F7C9-41A7-852C-5878F3A9F38C}" name="Application unit (select)" dataCellStyle="Input select"/>
    <tableColumn id="6" xr3:uid="{E6197365-F589-488C-BE1F-C24F2CC9D6C8}" name="Application area (ha)" dataCellStyle="Input number general"/>
    <tableColumn id="3" xr3:uid="{F6D84351-2E22-4675-B3EB-4C2B96D91604}" name="Total applied" dataCellStyle="Input number general calculated">
      <calculatedColumnFormula>Table_Input_Pesticides[[#This Row],[Amount applied per ha]]*Table_Input_Pesticides[[#This Row],[Application area (ha)]]</calculatedColumnFormula>
    </tableColumn>
    <tableColumn id="5" xr3:uid="{8A57DDD1-2A70-4E8A-8CD6-17CA6747AEBA}" name="Constituent unit (select)" dataCellStyle="Input select"/>
    <tableColumn id="4" xr3:uid="{D850966F-1731-489C-BBBD-21D3A357975A}" name="Active ingredient 1 (select)" dataCellStyle="Input select"/>
    <tableColumn id="8" xr3:uid="{24FFE277-1A83-4C9F-BA68-F76CFEBA3C94}" name="Active ingredient 1 amount" dataCellStyle="Input number general"/>
    <tableColumn id="16" xr3:uid="{10D6BECE-C599-4B01-8049-06FB71479351}"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10F949B8-39A8-4043-BAC2-CD0507318E86}" name="Active ingredient 2 (select)" dataCellStyle="Input select"/>
    <tableColumn id="11" xr3:uid="{BEFE3296-06D3-479F-82CB-131C2213142B}" name="Active ingredient 2 amount" dataCellStyle="Input number general"/>
    <tableColumn id="17" xr3:uid="{24B30024-030E-4BDD-8D3C-F65765A237B1}"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A0231F8E-7C28-47FC-A413-9D7945BC2DBB}" name="Active ingredient 3 (select)" dataCellStyle="Input select"/>
    <tableColumn id="14" xr3:uid="{265FC89D-C63D-4C33-B67B-58795A64B4FE}" name="Active ingredient 3 amount" dataCellStyle="Input number general"/>
    <tableColumn id="18" xr3:uid="{DFBA5083-0280-4685-8570-A092001CF6CD}"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1EED0838-C0FB-4294-9CCB-EF81E6F9EA52}"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CCB069EA-80A8-4A0A-B6C8-404E607EAA77}" name="Route name"/>
    <tableColumn id="2" xr3:uid="{CDA59383-13D5-4F64-B142-14A2E929C580}" name="Freight type (select)" dataCellStyle="Input select"/>
    <tableColumn id="3" xr3:uid="{2B5597CE-B945-43AB-9E84-B4E9B9316578}" name="Route distance (km)"/>
    <tableColumn id="4" xr3:uid="{5E554790-DE05-441D-8E09-70F98BA0260B}" name="Average weight of freight per trip (t)"/>
    <tableColumn id="5" xr3:uid="{951BD2E6-C42E-4984-9510-0678B12777F1}" name="Number of trips taken"/>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A11EF0DC-CC34-42A4-AF7C-E8CE6E5EF856}"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7F000606-6088-4060-91A4-AC7F1D1C1D37}" name="Route name"/>
    <tableColumn id="2" xr3:uid="{B68B0E8E-779D-44CC-8A17-1A51AFD47236}" name="Freight type (select)" dataCellStyle="Input select"/>
    <tableColumn id="3" xr3:uid="{5E341146-B308-490E-9A87-42F23597E801}" name="Route distance (km)"/>
    <tableColumn id="4" xr3:uid="{93403350-D7BC-49A6-831F-408D77980464}" name="Average weight of freight per trip (t)"/>
    <tableColumn id="5" xr3:uid="{3A5897F7-1870-412D-AEA5-2CE23633F30D}" name="Number of trips taken"/>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2DD89F3A-73A4-4A1E-9C60-BF9DD480AA1B}"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AEACB550-F518-4891-B337-94EC6436D480}" name="Crop type">
      <calculatedColumnFormula array="1">Common_InputFunctions.Utility_DisplayArrayInTable(Agresidue_SourceData.CropAttributes_Data(),Table_SourceData_CropAttributes[[#Headers],[Crop type]], -1)</calculatedColumnFormula>
    </tableColumn>
    <tableColumn id="2" xr3:uid="{7FF337FA-08CE-49A2-B6E9-078CA1AE51E2}" name="Residue: Crop ratio">
      <calculatedColumnFormula array="1">Common_InputFunctions.Utility_DisplayArrayInTable(Agresidue_SourceData.CropAttributes_Data(),Table_SourceData_CropAttributes[[#Headers],[Crop type]], -1)</calculatedColumnFormula>
    </tableColumn>
    <tableColumn id="3" xr3:uid="{CCCD9D1E-D12C-4EBF-8BB8-219D10BFC251}" name="Below-ground: above-ground residue ratio">
      <calculatedColumnFormula array="1">Common_InputFunctions.Utility_DisplayArrayInTable(Agresidue_SourceData.CropAttributes_Data(),Table_SourceData_CropAttributes[[#Headers],[Crop type]], -1)</calculatedColumnFormula>
    </tableColumn>
    <tableColumn id="4" xr3:uid="{2A324815-BF50-467E-AB73-9F1751CD3C40}" name="Dry matter content">
      <calculatedColumnFormula array="1">Common_InputFunctions.Utility_DisplayArrayInTable(Agresidue_SourceData.CropAttributes_Data(),Table_SourceData_CropAttributes[[#Headers],[Crop type]], -1)</calculatedColumnFormula>
    </tableColumn>
    <tableColumn id="5" xr3:uid="{28D7A470-91A8-4B06-8BAE-78116CB8AA48}" name="Carbon fraction in dry matter">
      <calculatedColumnFormula array="1">Common_InputFunctions.Utility_DisplayArrayInTable(Agresidue_SourceData.CropAttributes_Data(),Table_SourceData_CropAttributes[[#Headers],[Crop type]], -1)</calculatedColumnFormula>
    </tableColumn>
    <tableColumn id="6" xr3:uid="{4BBB901E-D7AC-46E5-BCD4-C03A295557C3}" name="N content above-ground">
      <calculatedColumnFormula array="1">Common_InputFunctions.Utility_DisplayArrayInTable(Agresidue_SourceData.CropAttributes_Data(),Table_SourceData_CropAttributes[[#Headers],[Crop type]], -1)</calculatedColumnFormula>
    </tableColumn>
    <tableColumn id="7" xr3:uid="{ECC858A5-CF64-4D25-8F36-1D877FA1AE41}" name="N content below-ground">
      <calculatedColumnFormula array="1">Common_InputFunctions.Utility_DisplayArrayInTable(Agresidue_SourceData.CropAttributes_Data(),Table_SourceData_CropAttributes[[#Headers],[Crop type]], -1)</calculatedColumnFormula>
    </tableColumn>
    <tableColumn id="8" xr3:uid="{F8B54D05-EC3B-4408-8D8B-A9DAC3652291}"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DCA94F3F-E158-4CED-AA68-8E02BE247BED}"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7AB9A091-99B5-49FD-B09A-2BCBBF6D5B36}" name="Table76" displayName="Table76" ref="D73:F89" totalsRowShown="0">
  <autoFilter ref="D73:F89" xr:uid="{7CD0B032-9881-4EF1-81E3-483C7C16D9D0}">
    <filterColumn colId="0" hiddenButton="1"/>
    <filterColumn colId="1" hiddenButton="1"/>
    <filterColumn colId="2" hiddenButton="1"/>
  </autoFilter>
  <tableColumns count="3">
    <tableColumn id="1" xr3:uid="{3A81F278-9FD4-46AF-87E0-AA703C4BF4A9}" name="Crop type c">
      <calculatedColumnFormula array="1">Common_InputFunctions.Utility_DisplayArrayInTable(Agresidue_SourceData.CropFractionRemoved_Data(), Table76[[#Headers],[Crop type c]], 0)</calculatedColumnFormula>
    </tableColumn>
    <tableColumn id="2" xr3:uid="{3A2FFA56-7093-4CB2-8FB0-B544573F63EE}" name="State" dataDxfId="298">
      <calculatedColumnFormula array="1">Common_InputFunctions.Utility_DisplayArrayInTable(Agresidue_SourceData.CropFractionRemoved_Data(), Table76[[#Headers],[Crop type c]], 0)</calculatedColumnFormula>
    </tableColumn>
    <tableColumn id="3" xr3:uid="{AE3D4DAA-18E0-40BB-823C-81C865737713}" name="Fraction removed" dataDxfId="297">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28B0920-BBA9-4335-90B3-F85C6D6B7992}" name="Table77" displayName="Table77" ref="D92:F235" totalsRowShown="0">
  <autoFilter ref="D92:F235" xr:uid="{1FA7CC86-1C1E-41FA-9AA1-AAD48AA2EEF0}">
    <filterColumn colId="0" hiddenButton="1"/>
    <filterColumn colId="1" hiddenButton="1"/>
    <filterColumn colId="2" hiddenButton="1"/>
  </autoFilter>
  <tableColumns count="3">
    <tableColumn id="1" xr3:uid="{A6F54C05-9836-4152-8D41-08ED6C56FF28}" name="Crop type c">
      <calculatedColumnFormula array="1">Common_InputFunctions.Utility_DisplayArrayInTable(Agresidue_SourceData.CropFractionRemoved_CustomisedData(), Table77[[#Headers],[Crop type c]], 0)</calculatedColumnFormula>
    </tableColumn>
    <tableColumn id="2" xr3:uid="{322ACA06-B361-47EC-A840-DC88A65DEF6F}" name="State" dataDxfId="296">
      <calculatedColumnFormula array="1">Common_InputFunctions.Utility_DisplayArrayInTable(Agresidue_SourceData.CropFractionRemoved_CustomisedData(), Table77[[#Headers],[Crop type c]], 0)</calculatedColumnFormula>
    </tableColumn>
    <tableColumn id="3" xr3:uid="{CBF27AD0-86C5-457E-B52C-C51A2F234B1A}" name="Fraction removed" dataDxfId="295">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048CA429-BB4F-4C8D-8439-3AAA25588E34}" name="Table_SourceData_N2OEFOrganicFert" displayName="Table_SourceData_N2OEFOrganicFert" ref="D43:E45" totalsRowShown="0" dataDxfId="294" dataCellStyle="Content bold">
  <autoFilter ref="D43:E45" xr:uid="{2270AB6D-D03A-4D71-95C0-00BA6BB02732}">
    <filterColumn colId="0" hiddenButton="1"/>
    <filterColumn colId="1" hiddenButton="1"/>
  </autoFilter>
  <tableColumns count="2">
    <tableColumn id="1" xr3:uid="{852DB834-7E7E-4793-881D-C2248A89222D}" name="Climate zone type i" dataDxfId="293" dataCellStyle="Content bold">
      <calculatedColumnFormula array="1">Common_InputFunctions.Utility_DisplayArrayInTable(Agresidue_SourceData.N2OEFOrganicFertiliser_Data(), Table_SourceData_N2OEFOrganicFert[[#Headers],[Climate zone type i]], 0)</calculatedColumnFormula>
    </tableColumn>
    <tableColumn id="2" xr3:uid="{84CA33C9-A4D4-475F-9529-B18F60331F28}" name="EF i N2O" dataDxfId="292"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2854F3F2-31E0-4D69-A19B-DC1159068BF3}" name="Table_SourceData_PastureAttributes" displayName="Table_SourceData_PastureAttributes" ref="D51:I56" totalsRowShown="0" dataDxfId="291"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02D21136-4D8C-485F-8FB8-6EAFDC886ECA}" name="Pasture type" dataDxfId="290" dataCellStyle="Content normal">
      <calculatedColumnFormula array="1">Common_InputFunctions.Utility_DisplayArrayInTable(Agresidue_SourceData.PastureAttributes_Data(), Table_SourceData_PastureAttributes[[#Headers],[Pasture type]], 0)</calculatedColumnFormula>
    </tableColumn>
    <tableColumn id="2" xr3:uid="{9C2A705C-E399-40CB-AD55-B7901D86825D}" name="Average Yield (t DM ha) Yp" dataDxfId="289" dataCellStyle="Content normal">
      <calculatedColumnFormula array="1">Common_InputFunctions.Utility_DisplayArrayInTable(Agresidue_SourceData.PastureAttributes_Data(), Table_SourceData_PastureAttributes[[#Headers],[Pasture type]], 0)</calculatedColumnFormula>
    </tableColumn>
    <tableColumn id="3" xr3:uid="{9077263A-0B62-46A6-AE11-76F50AF3481F}" name="Below-ground: above-ground residue ratio RBGp" dataDxfId="288" dataCellStyle="Content normal">
      <calculatedColumnFormula array="1">Common_InputFunctions.Utility_DisplayArrayInTable(Agresidue_SourceData.PastureAttributes_Data(), Table_SourceData_PastureAttributes[[#Headers],[Pasture type]], 0)</calculatedColumnFormula>
    </tableColumn>
    <tableColumn id="4" xr3:uid="{72EBF6A6-88C0-4B91-BCFA-21E1BE4EB50F}" name="N content Above-ground NCAGp" dataDxfId="287" dataCellStyle="Content normal">
      <calculatedColumnFormula array="1">Common_InputFunctions.Utility_DisplayArrayInTable(Agresidue_SourceData.PastureAttributes_Data(), Table_SourceData_PastureAttributes[[#Headers],[Pasture type]], 0)</calculatedColumnFormula>
    </tableColumn>
    <tableColumn id="5" xr3:uid="{21BBDD1F-89E0-4B87-93E2-12C6FDB962BA}" name="N content Below-ground NCBGp" dataDxfId="286" dataCellStyle="Content normal">
      <calculatedColumnFormula array="1">Common_InputFunctions.Utility_DisplayArrayInTable(Agresidue_SourceData.PastureAttributes_Data(), Table_SourceData_PastureAttributes[[#Headers],[Pasture type]], 0)</calculatedColumnFormula>
    </tableColumn>
    <tableColumn id="6" xr3:uid="{B2898C93-0CC9-4E19-9BAB-02062E5731A2}" name="Fraction of pasture yield that is removed FFODp" dataDxfId="285"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12AA1C0E-3619-4877-B64D-A0BAFD5375A1}"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FF878ECD-9715-4003-9DF1-215B412AEBBB}" name="Gas species">
      <calculatedColumnFormula array="1">Common_InputFunctions.Utility_DisplayArrayInTable(AgResidues_SourceData.BurningOfAgriculturalResiduesEFs_Data(), Table_SourceData_BurningResidueEFs[[#Headers],[Gas species]], 0)</calculatedColumnFormula>
    </tableColumn>
    <tableColumn id="2" xr3:uid="{CFA4A227-BA52-4811-A75F-C2AB12B12377}" name="Emission factor EFg (Gg element in species/ Gg element in fuel burnt)" dataDxfId="284" dataCellStyle="Content normal">
      <calculatedColumnFormula array="1">Common_InputFunctions.Utility_DisplayArrayInTable(AgResidues_SourceData.BurningOfAgriculturalResiduesEFs_Data(), Table_SourceData_BurningResidueEFs[[#Headers],[Gas species]], 0)</calculatedColumnFormula>
    </tableColumn>
    <tableColumn id="3" xr3:uid="{DEFE9EAA-852E-4608-B65E-C8F0E806F24C}" name="Elemental to molecular mass conversion factor (Cg)" dataDxfId="283"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5FED73E3-B746-4FC5-9B62-020B3E35ACCC}" name="Table_SourceData_CropPurposeAndYields" displayName="Table_SourceData_CropPurposeAndYields" ref="D7:K10" totalsRowShown="0" headerRowDxfId="282">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5592C752-99C0-42B4-BCBD-1C66948234CC}" name="Purpose">
      <calculatedColumnFormula array="1">Common_InputFunctions.Utility_DisplayArrayInTable(Agresidue_SourceData.CropPurposeAndYield_Data(), Table_SourceData_CropPurposeAndYields[[#Headers],[Purpose]], 0)</calculatedColumnFormula>
    </tableColumn>
    <tableColumn id="2" xr3:uid="{1BDD9C97-7049-4CE9-9A33-EED35FFCBB5A}" name="Per hectare unit">
      <calculatedColumnFormula array="1">Common_InputFunctions.Utility_DisplayArrayInTable(Agresidue_SourceData.CropPurposeAndYield_Data(), Table_SourceData_CropPurposeAndYields[[#Headers],[Purpose]], 0)</calculatedColumnFormula>
    </tableColumn>
    <tableColumn id="3" xr3:uid="{6EAF87B4-CF1C-4700-8E87-676689D83434}" name="harvest term">
      <calculatedColumnFormula array="1">Common_InputFunctions.Utility_DisplayArrayInTable(Agresidue_SourceData.CropPurposeAndYield_Data(), Table_SourceData_CropPurposeAndYields[[#Headers],[Purpose]], 0)</calculatedColumnFormula>
    </tableColumn>
    <tableColumn id="4" xr3:uid="{BF3DA2F3-DA28-42FB-A2AA-5780706A39E5}" name="harvest endpoint">
      <calculatedColumnFormula array="1">Common_InputFunctions.Utility_DisplayArrayInTable(Agresidue_SourceData.CropPurposeAndYield_Data(), Table_SourceData_CropPurposeAndYields[[#Headers],[Purpose]], 0)</calculatedColumnFormula>
    </tableColumn>
    <tableColumn id="5" xr3:uid="{BA05E075-07E5-4541-94D2-12DFB4438711}" name="Harvest uit">
      <calculatedColumnFormula array="1">Common_InputFunctions.Utility_DisplayArrayInTable(Agresidue_SourceData.CropPurposeAndYield_Data(), Table_SourceData_CropPurposeAndYields[[#Headers],[Purpose]], 0)</calculatedColumnFormula>
    </tableColumn>
    <tableColumn id="6" xr3:uid="{70FD0DB0-022E-46F5-ADEC-8E0FB356913A}" name="Yield note">
      <calculatedColumnFormula array="1">Common_InputFunctions.Utility_DisplayArrayInTable(Agresidue_SourceData.CropPurposeAndYield_Data(), Table_SourceData_CropPurposeAndYields[[#Headers],[Purpose]], 0)</calculatedColumnFormula>
    </tableColumn>
    <tableColumn id="8" xr3:uid="{8FB07D59-9040-42D5-B8BE-2114221937B4}" name="Residue crop ratio note">
      <calculatedColumnFormula array="1">Common_InputFunctions.Utility_DisplayArrayInTable(Agresidue_SourceData.CropPurposeAndYield_Data(), Table_SourceData_CropPurposeAndYields[[#Headers],[Purpose]], 0)</calculatedColumnFormula>
    </tableColumn>
    <tableColumn id="9" xr3:uid="{9E0C7009-BC88-4256-BC28-8EC3B1765728}"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4BB798AA-0297-4DE0-AD12-81563C861796}" name="Table_SourceData_Fertiliser_IrrigationMethods61" displayName="Table_SourceData_Fertiliser_IrrigationMethods61" ref="N21:N26" totalsRowShown="0">
  <autoFilter ref="N21:N26" xr:uid="{1AC5909E-E06C-4A79-81E9-C25A0B6D9E90}">
    <filterColumn colId="0" hiddenButton="1"/>
  </autoFilter>
  <tableColumns count="1">
    <tableColumn id="1" xr3:uid="{184A9218-707F-41C1-B611-74082B4FAA9B}" name="Irrigation method"/>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BD112CD0-D350-4B76-9B28-0F8BBDB52841}"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0FE15A2-C70C-4FCC-B294-29A6CA0C1F8C}" name="Symbol">
      <calculatedColumnFormula array="1">Common_InputFunctions.Utility_DisplayArrayInTable(CommonLivestock_SourceData.SourceData_Livestock_Common_SymbolsMMS_Data(), Table_Data_MMSSymbols[[#Headers],[Symbol]], 0)</calculatedColumnFormula>
    </tableColumn>
    <tableColumn id="2" xr3:uid="{2CB878F9-63D1-4789-AB22-53B6FF7BF5FF}" name="Manure management system">
      <calculatedColumnFormula array="1">Common_InputFunctions.Utility_DisplayArrayInTable(CommonLivestock_SourceData.SourceData_Livestock_Common_SymbolsMMS_Data(), Table_Data_MMSSymbols[[#Headers],[Symbol]], 0)</calculatedColumnFormula>
    </tableColumn>
    <tableColumn id="3" xr3:uid="{D7A3475E-7FAA-42F6-B9E5-D9816C2561E8}"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C098E16D-D497-41DA-ACE8-86F8DE313715}" name="Table_SourceData_LivestockProduct_Beefcattle" displayName="Table_SourceData_LivestockProduct_Beefcattle" ref="D31:E39" totalsRowShown="0">
  <autoFilter ref="D31:E39" xr:uid="{953E8E36-CE90-4001-9CFA-9307A0C836A9}"/>
  <tableColumns count="2">
    <tableColumn id="1" xr3:uid="{C3D5EA08-9028-4F0D-B573-01B4361CDDED}" name="Product">
      <calculatedColumnFormula array="1">Common_InputFunctions.Utility_DisplayArrayInTable(CommonLivestock_SourceData.SourceData_Livestock_Product_BeefCattle_Data(),Table_SourceData_LivestockProduct_Beefcattle[[#Headers],[Product]],0)</calculatedColumnFormula>
    </tableColumn>
    <tableColumn id="2" xr3:uid="{155C23F8-0763-43D9-8653-A6D13FF357F3}" name="Source region" dataDxfId="281"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2CEBB662-A8EF-4CB3-83D7-8B3F53B71ABA}" name="Table_SourceData_LivestockProduct_Sheep" displayName="Table_SourceData_LivestockProduct_Sheep" ref="D43:E50" totalsRowShown="0" dataDxfId="280" dataCellStyle="Content normal">
  <autoFilter ref="D43:E50" xr:uid="{995536B5-6CA5-4D7D-A704-9B6B595C2491}"/>
  <tableColumns count="2">
    <tableColumn id="1" xr3:uid="{E0B0F356-38F0-458E-A610-77DEC8682AB9}" name="Product" dataDxfId="279"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F072071B-6790-42F4-9EF2-FEBDDBD06175}" name="Source region" dataDxfId="278"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223E1BF9-C409-4FA8-9D4A-9BD9C5B674F8}" name="Table_SourceData_LivestockProduct_Chickens" displayName="Table_SourceData_LivestockProduct_Chickens" ref="D54:E55" totalsRowShown="0" dataDxfId="277" dataCellStyle="Content normal">
  <autoFilter ref="D54:E55" xr:uid="{257D8456-031C-4EEF-A8C4-474F215C3208}"/>
  <tableColumns count="2">
    <tableColumn id="1" xr3:uid="{AE6C0C62-DFB0-4B69-BCA9-A61FE0CA71A4}" name="Product" dataDxfId="276"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08B82D3E-1567-4658-B562-A8A0D444596B}" name="Source region" dataDxfId="275"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144EB90D-9257-4608-AA58-5DC8C8BCF4E3}" name="Table_SourceData_LivestockProduct_Dairycattle" displayName="Table_SourceData_LivestockProduct_Dairycattle" ref="D59:E60" totalsRowShown="0" dataDxfId="274" dataCellStyle="Content normal">
  <autoFilter ref="D59:E60" xr:uid="{71833C62-BA2B-4519-92E0-B189E393D12F}"/>
  <tableColumns count="2">
    <tableColumn id="1" xr3:uid="{70AB6E7E-0641-4A47-9280-98F2EAC111F1}" name="Product" dataDxfId="273"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A08E5E77-958A-4F36-A9F1-FA695560C872}" name="Source region" dataDxfId="272"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F4DD43DC-031A-458A-9FC6-4680449AA823}" name="Table_SourceData_LivestockProduct_Pigs" displayName="Table_SourceData_LivestockProduct_Pigs" ref="D64:E65" totalsRowShown="0" dataDxfId="271" dataCellStyle="Content normal">
  <autoFilter ref="D64:E65" xr:uid="{65FF5EF6-2A75-4137-9345-8328E2DA8F9C}"/>
  <tableColumns count="2">
    <tableColumn id="1" xr3:uid="{1D111D89-8BBD-4026-BF4B-151FC3ED89ED}" name="Product" dataDxfId="270"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F68CD18B-FF65-4211-A122-7A5948CAB2CE}" name="Source region" dataDxfId="269"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4609FD98-0534-48F4-89C0-0876BFD36F05}" name="Table_SourceData_ElectricityEFs" displayName="Table_SourceData_ElectricityEFs" ref="D9:F19" totalsRowShown="0" headerRowDxfId="268">
  <autoFilter ref="D9:F19" xr:uid="{3144A982-7A4D-4CF2-8790-1A30DAE3E0A4}">
    <filterColumn colId="0" hiddenButton="1"/>
    <filterColumn colId="1" hiddenButton="1"/>
    <filterColumn colId="2" hiddenButton="1"/>
  </autoFilter>
  <tableColumns count="3">
    <tableColumn id="1" xr3:uid="{BE0E0242-19F2-4031-8B89-E0EF2ADB45C0}"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E2D29908-C73C-4017-A147-2D429F2FE4ED}"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8921BB9B-7C97-42EA-8C54-98772C034AE8}"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477EE39F-F706-45EC-8568-38F07ABE8AFF}"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D75A3674-2F09-4508-B7D0-A68FB7A57F66}"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2C213F21-E8CA-491C-86D3-4EF9ECD55E5F}"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1D84CACB-7168-47D7-8BB2-C06D93B2B5B1}"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796CC76B-76D3-4CE4-A10C-CEE9CB58D188}"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53ED9D9F-90B0-4E0A-9337-ECE0B0DE7BCE}"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239696C-0E7D-4756-ACF4-C10869D7141B}"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0B1604BD-770F-40BB-A114-59ABD4925F28}"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4B030A8D-821A-45EC-A651-3A32F4780C1E}" name="FNinorganic f">
      <calculatedColumnFormula array="1">Common_InputFunctions.Utility_DisplayArrayInTable(Fertiliser_SourceData.Fertiliser_ChemicalCompoundElements_Data(),Table_Fertiliser_ChemicalCompounds[[#Headers],[Fertiliser type f]], 0)</calculatedColumnFormula>
    </tableColumn>
    <tableColumn id="3" xr3:uid="{A961AA20-81F2-434F-9C81-EC34F901200B}" name="FU f">
      <calculatedColumnFormula array="1">Common_InputFunctions.Utility_DisplayArrayInTable(Fertiliser_SourceData.Fertiliser_ChemicalCompoundElements_Data(),Table_Fertiliser_ChemicalCompounds[[#Headers],[Fertiliser type f]], 0)</calculatedColumnFormula>
    </tableColumn>
    <tableColumn id="4" xr3:uid="{6908846B-4D61-4041-B93F-F55CBA223106}" name="Basis">
      <calculatedColumnFormula array="1">Common_InputFunctions.Utility_DisplayArrayInTable(Fertiliser_SourceData.Fertiliser_ChemicalCompoundElements_Data(),Table_Fertiliser_ChemicalCompounds[[#Headers],[Fertiliser type f]], 0)</calculatedColumnFormula>
    </tableColumn>
    <tableColumn id="5" xr3:uid="{9737DF59-0511-4F7B-B706-17736DDF4B7F}"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E064E953-E4AA-4403-8196-CEE8A21F4F21}"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BA31183C-C2C9-45EB-9B78-EDA4852ECD2B}"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1A261D8C-8B45-440B-A3CB-14469371BAFB}" name="Company" totalsRowFunction="custom" totalsRowDxfId="267">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F20B0035-A5E4-44F6-B15B-CE7BD150CCBC}"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05B56B5D-A249-4A8B-93D0-95FB151737C1}"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DBEA03F4-EFAF-42D1-A73A-03A56E90916C}"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6F56D9DE-777F-4CC6-9CC2-BFB13BA88175}"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926B99A1-9633-4400-AE5C-ADC6C1D93914}"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EC868164-8377-48D7-A29B-FEBBB95677C1}"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DD3A8E99-9BE0-4EBC-89B8-77759E5C7861}"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96D5FAAB-958C-4FB2-9413-16B1BF5D62EA}"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9E54A3F5-60B7-4856-8A1E-F66AEFAE9E0E}"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1F0027BD-3B24-4829-B8B3-92C71EC5C872}"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6001109B-4335-4997-A41C-F76F1EC5FA54}" name="Ingredient 1" totalsRowFunction="custom" totalsRowCellStyle="Content normal">
      <totalsRowFormula array="1">Common_InputFunctions.Utility_DisplayArrayInTable(Fertiliser_SourceData.Fertiliser_Products_Data3(), FertiliserProducts[[#Headers],[Company]],61)</totalsRowFormula>
    </tableColumn>
    <tableColumn id="22" xr3:uid="{11A969B9-2CBE-4711-A36C-E6988528C7A5}"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6AFEE67D-08AE-47CB-A8E7-4BB137A35C46}"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3C706CA7-E2E9-4E7D-A135-07CB82F45EAE}"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323F102F-1BAE-4211-8C1C-0C746B07A1DD}"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D19F56E5-A820-4E03-B1D3-0737EB27A3AD}"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FE2345A2-493E-497D-8361-FE6462AE3719}"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D124B8C9-6925-4DBA-86D1-A35DF00356A2}"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9354DFB4-B5F2-4209-82FE-2EA659948F1D}"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9E190400-3880-4B0A-89EE-806A76D9BD91}"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A08B027A-23D5-470A-A3E5-16B6953F0288}"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AE4EF39F-9385-4996-BC78-BA7D9BD90C8C}"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5EC2A236-B676-4F46-AF6C-E4199FA8D39C}"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F7BDB1FC-B115-4566-A9D3-05779B8BF6D7}"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FA872ABD-39B1-4F89-A80D-22B8ED12B0E5}"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3923BB75-44ED-4907-A899-8AF500AFDCA6}"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7396C704-5095-4379-807B-7D98463724BD}"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C3A47D5F-B514-497F-98AB-FF528552C334}"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921132BB-B635-458F-B076-D45BE0AB89A9}"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8788D66D-434B-4FAB-BC5A-3CEB1A647587}" name="Ingredient 10 percent" totalsRowCellStyle="Content normal"/>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B71B9251-FA24-4BA3-929B-53692B14C2CB}"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731ED6A6-9DEC-4234-B1BC-AA5973062FC1}" name="Fertiliser type f">
      <calculatedColumnFormula array="1">Common_InputFunctions.Utility_DisplayArrayInTable(Fertiliser_SourceData.Fertiliser_FracGASF_Data(), Table_SourceData_Fertiliser_FracGASF[[#Headers],[Fertiliser type f]], 0)</calculatedColumnFormula>
    </tableColumn>
    <tableColumn id="2" xr3:uid="{67770095-A462-48C3-9E87-4F9C3D36BD1E}" name="FracGASF f" dataDxfId="266"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F94E9F0E-FA8B-4FE0-AEAD-7F03DCA702E0}" name="Table_SourceData_Fertiliser_CropProdSystems" displayName="Table_SourceData_Fertiliser_CropProdSystems" ref="D41:D43" totalsRowShown="0">
  <autoFilter ref="D41:D43" xr:uid="{24F3A11E-40F5-4BB9-BFF4-A71FA2ADA0EF}">
    <filterColumn colId="0" hiddenButton="1"/>
  </autoFilter>
  <tableColumns count="1">
    <tableColumn id="1" xr3:uid="{9544DDCD-0884-4EDA-86C3-B54A14647182}" name="Production system">
      <calculatedColumnFormula>#REF!</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EEA48AC-F19D-4D6F-8B37-E3C7826DBC9E}"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53A415D7-F39F-4312-AC92-A7084D577322}" name="Irrigation method"/>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A367BB1C-E67F-4BFC-8CF1-0FFA2EB81974}" name="Table_SourceData_Fertiliser_CropTypes" displayName="Table_SourceData_Fertiliser_CropTypes" ref="F41:F45" totalsRowShown="0">
  <autoFilter ref="F41:F45" xr:uid="{CB5044B5-FA3C-4AA2-B1AB-72F7E61D072F}">
    <filterColumn colId="0" hiddenButton="1"/>
  </autoFilter>
  <tableColumns count="1">
    <tableColumn id="1" xr3:uid="{73719EE1-1184-4109-A1AD-A4A6185DACB0}" name="Production system"/>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2A851445-023F-403B-89A8-A86AFBC5E06F}" name="Table_SourceData_OrganicFertiliserTypes" displayName="Table_SourceData_OrganicFertiliserTypes" ref="J41:J46" totalsRowShown="0">
  <autoFilter ref="J41:J46" xr:uid="{B44627B1-537E-4ABC-92C3-57282CEE5B40}">
    <filterColumn colId="0" hiddenButton="1"/>
  </autoFilter>
  <tableColumns count="1">
    <tableColumn id="1" xr3:uid="{6429F95A-D820-41ED-94BE-E7439B857A0C}" name="Organic fertiliser type"/>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7DCE5D37-38BC-4D28-B86A-93FB4A9A720B}"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A6B401F5-D3D9-414F-9B3D-E3B552B96779}" name="Element">
      <calculatedColumnFormula array="1">Common_InputFunctions.Utility_DisplayArrayInTable(Fertiliser_SourceData.Fertiliser_LimeDolomiteGypsumConstants_Data(), Table_SourceData_Fertiliser_LimeDolomiteConstants[[#Headers],[Element]], 0)</calculatedColumnFormula>
    </tableColumn>
    <tableColumn id="2" xr3:uid="{5C02CF9D-F782-4660-B6EA-A029A85F978A}" name="P" dataDxfId="265"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5A4583A8-A1E9-4545-A534-A0232D162C85}" name="EF" dataDxfId="264"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A41A3388-9A0B-42AC-903E-487BD68A2B93}" name="Table2" displayName="Table2" ref="K19:L28" totalsRowShown="0" dataDxfId="263" dataCellStyle="Content normal">
  <autoFilter ref="K19:L28" xr:uid="{27B93029-EB1F-4C4A-A946-CD673A8A6C46}">
    <filterColumn colId="0" hiddenButton="1"/>
    <filterColumn colId="1" hiddenButton="1"/>
  </autoFilter>
  <tableColumns count="2">
    <tableColumn id="1" xr3:uid="{AF75F4EC-FD8B-4400-B816-49B7B3A5E9DF}" name="Fertiliser type f" dataDxfId="262" dataCellStyle="Content normal">
      <calculatedColumnFormula array="1">Common_InputFunctions.Utility_DisplayArrayInTable(Fertiliser_SourceData.Fertiliser_FractionNCommonFertilisers_Data(), Table2[[#Headers],[Fertiliser type f]], 0)</calculatedColumnFormula>
    </tableColumn>
    <tableColumn id="2" xr3:uid="{A7CA1DD5-73EB-4C39-8201-057B11832405}" name="FNinorganic f" dataDxfId="261"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A38A4123-C55D-4EE3-95B8-76F51BC345BC}" name="Table28" displayName="Table28" ref="Q19:R28" totalsRowShown="0" dataDxfId="260" dataCellStyle="Content normal">
  <autoFilter ref="Q19:R28" xr:uid="{791CEA59-796C-47AB-86BC-41E8F699030C}">
    <filterColumn colId="0" hiddenButton="1"/>
    <filterColumn colId="1" hiddenButton="1"/>
  </autoFilter>
  <tableColumns count="2">
    <tableColumn id="1" xr3:uid="{C22047FB-DDDC-46E2-A350-0EEEA6ECE42F}" name="Fertiliser type f" dataDxfId="259" dataCellStyle="Content normal">
      <calculatedColumnFormula array="1">Common_InputFunctions.Utility_DisplayArrayInTable(Fertiliser_SourceData.Fertiliser_FractionUreaCommonFertilisers_Data(), Table28[[#Headers],[Fertiliser type f]], 0)</calculatedColumnFormula>
    </tableColumn>
    <tableColumn id="2" xr3:uid="{AF52D4B0-D2B5-44ED-8D56-1DDE8F31ECAD}" name="FNinorganic f" dataDxfId="258"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F852BA08-3981-49F7-BB09-E0413EC5B5F4}"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F6CA1E2B-3112-4EAC-9589-7CD64A9F7474}"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6F9F2F33-E9B1-4A87-B096-690B1F93A6C3}" name="Table_Fuel_EFs_StationaryLiquid" displayName="Table_Fuel_EFs_StationaryLiquid" ref="D53:K77" totalsRowShown="0" headerRowDxfId="257" dataDxfId="256">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D3230FBD-33B6-47CD-9156-9A5DC3811BC1}" name="Fuel combusted" dataDxfId="255">
      <calculatedColumnFormula array="1">Common_InputFunctions.Utility_DisplayArrayInTable(Fuel_SourceData.Fuel_Scope1Scope3EmissionFactorsStationaryLiquid_Data(), Table_Fuel_EFs_StationaryLiquid[[#Headers],[Fuel combusted]],0)</calculatedColumnFormula>
    </tableColumn>
    <tableColumn id="2" xr3:uid="{4CF14D16-7FFE-4A31-855D-FC7583ADF4F2}" name="Energy Content Factor (GJ per unit of fuel)" dataDxfId="254">
      <calculatedColumnFormula array="1">Common_InputFunctions.Utility_DisplayArrayInTable(Fuel_SourceData.Fuel_Scope1Scope3EmissionFactorsStationaryLiquid_Data(), Table_Fuel_EFs_StationaryLiquid[[#Headers],[Fuel combusted]],0)</calculatedColumnFormula>
    </tableColumn>
    <tableColumn id="3" xr3:uid="{1C00B64C-A897-4509-8615-151F2A29C02B}" name="Fuel unit" dataDxfId="253">
      <calculatedColumnFormula array="1">Common_InputFunctions.Utility_DisplayArrayInTable(Fuel_SourceData.Fuel_Scope1Scope3EmissionFactorsStationaryLiquid_Data(), Table_Fuel_EFs_StationaryLiquid[[#Headers],[Fuel combusted]],0)</calculatedColumnFormula>
    </tableColumn>
    <tableColumn id="4" xr3:uid="{9565D9E4-1B11-4734-AA67-0A1AAE116759}" name="Scope 1 Emission Factor (kg CO2 - e / GJ) CO2" dataDxfId="252">
      <calculatedColumnFormula array="1">Common_InputFunctions.Utility_DisplayArrayInTable(Fuel_SourceData.Fuel_Scope1Scope3EmissionFactorsStationaryLiquid_Data(), Table_Fuel_EFs_StationaryLiquid[[#Headers],[Fuel combusted]],0)</calculatedColumnFormula>
    </tableColumn>
    <tableColumn id="5" xr3:uid="{078CCB5E-57C1-490A-A551-4708D2E3B5F0}" name="Scope 1 Emission Factor (kg CO2 - e / GJ) CH4" dataDxfId="251">
      <calculatedColumnFormula array="1">Common_InputFunctions.Utility_DisplayArrayInTable(Fuel_SourceData.Fuel_Scope1Scope3EmissionFactorsStationaryLiquid_Data(), Table_Fuel_EFs_StationaryLiquid[[#Headers],[Fuel combusted]],0)</calculatedColumnFormula>
    </tableColumn>
    <tableColumn id="6" xr3:uid="{EDC0F928-DE00-43C8-BF29-C4D79EB6AE3B}" name="Scope 1 Emission Factor (kg CO2 - e / GJ) N2O" dataDxfId="250">
      <calculatedColumnFormula array="1">Common_InputFunctions.Utility_DisplayArrayInTable(Fuel_SourceData.Fuel_Scope1Scope3EmissionFactorsStationaryLiquid_Data(), Table_Fuel_EFs_StationaryLiquid[[#Headers],[Fuel combusted]],0)</calculatedColumnFormula>
    </tableColumn>
    <tableColumn id="7" xr3:uid="{4BA59E22-0091-44BF-A02E-B1AAE89DD005}" name="Scope 1 Emission Factor (kg CO2 - e / GJ) Combined gases" dataDxfId="249">
      <calculatedColumnFormula array="1">Common_InputFunctions.Utility_DisplayArrayInTable(Fuel_SourceData.Fuel_Scope1Scope3EmissionFactorsStationaryLiquid_Data(), Table_Fuel_EFs_StationaryLiquid[[#Headers],[Fuel combusted]],0)</calculatedColumnFormula>
    </tableColumn>
    <tableColumn id="8" xr3:uid="{FA1DABD7-A7BB-4032-9B40-63B899855FDC}" name="Scope 3 Emission Factor (kg CO2 - e / GJ)" dataDxfId="248">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F96B56AA-3FF9-4EED-879B-7531DF9800EE}" name="Table_Fuel_EFs_Transport" displayName="Table_Fuel_EFs_Transport" ref="D9:L34" totalsRowShown="0" headerRowDxfId="247" dataDxfId="246">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1E8A177F-7695-4BB0-B032-434678F7654F}" name="Transport type" dataDxfId="245">
      <calculatedColumnFormula array="1">Common_InputFunctions.Utility_DisplayArrayInTable(Fuel_SourceData.Fuel_Scope1Scope3EmissionFactorsTransport_Data(), Table_Fuel_EFs_Transport[[#Headers],[Transport type]], 0)</calculatedColumnFormula>
    </tableColumn>
    <tableColumn id="2" xr3:uid="{E25DF81E-0361-4106-8C4B-36575EB6D808}" name="Fuel combusted" dataDxfId="244">
      <calculatedColumnFormula array="1">Common_InputFunctions.Utility_DisplayArrayInTable(Fuel_SourceData.Fuel_Scope1Scope3EmissionFactorsTransport_Data(), Table_Fuel_EFs_Transport[[#Headers],[Transport type]], 0)</calculatedColumnFormula>
    </tableColumn>
    <tableColumn id="3" xr3:uid="{954915DA-C1D5-4134-96AE-BD3EB938FA3D}" name="Energy Content Factor (GJ per unit of fuel)" dataDxfId="243">
      <calculatedColumnFormula array="1">Common_InputFunctions.Utility_DisplayArrayInTable(Fuel_SourceData.Fuel_Scope1Scope3EmissionFactorsTransport_Data(), Table_Fuel_EFs_Transport[[#Headers],[Transport type]], 0)</calculatedColumnFormula>
    </tableColumn>
    <tableColumn id="4" xr3:uid="{877196D5-C867-494C-93D3-404F4FED36E0}" name="Fuel unit" dataDxfId="242">
      <calculatedColumnFormula array="1">Common_InputFunctions.Utility_DisplayArrayInTable(Fuel_SourceData.Fuel_Scope1Scope3EmissionFactorsTransport_Data(), Table_Fuel_EFs_Transport[[#Headers],[Transport type]], 0)</calculatedColumnFormula>
    </tableColumn>
    <tableColumn id="8" xr3:uid="{CDA16D47-8879-40BA-B790-5AD99771EB6A}" name="Scope 1 Emission Factor (kg CO2 - e / GJ) CO2" dataDxfId="241">
      <calculatedColumnFormula array="1">Common_InputFunctions.Utility_DisplayArrayInTable(Fuel_SourceData.Fuel_Scope1Scope3EmissionFactorsTransport_Data(), Table_Fuel_EFs_Transport[[#Headers],[Transport type]], 0)</calculatedColumnFormula>
    </tableColumn>
    <tableColumn id="9" xr3:uid="{A64D18AA-9DE4-430F-A2DC-64F845699347}" name="Scope 1 Emission Factor (kg CO2 - e / GJ) CH4" dataDxfId="240">
      <calculatedColumnFormula array="1">Common_InputFunctions.Utility_DisplayArrayInTable(Fuel_SourceData.Fuel_Scope1Scope3EmissionFactorsTransport_Data(), Table_Fuel_EFs_Transport[[#Headers],[Transport type]], 0)</calculatedColumnFormula>
    </tableColumn>
    <tableColumn id="10" xr3:uid="{7AC7FC30-C672-4F4C-88CE-7866549A8321}" name="Scope 1 Emission Factor (kg CO2 - e / GJ) N2O" dataDxfId="239">
      <calculatedColumnFormula array="1">Common_InputFunctions.Utility_DisplayArrayInTable(Fuel_SourceData.Fuel_Scope1Scope3EmissionFactorsTransport_Data(), Table_Fuel_EFs_Transport[[#Headers],[Transport type]], 0)</calculatedColumnFormula>
    </tableColumn>
    <tableColumn id="11" xr3:uid="{27D9273E-5CD3-4554-BFB7-36F9B218A392}" name="Scope 1 Emission Factor (kg CO2 - e / GJ) Combined gases" dataDxfId="238">
      <calculatedColumnFormula array="1">Common_InputFunctions.Utility_DisplayArrayInTable(Fuel_SourceData.Fuel_Scope1Scope3EmissionFactorsTransport_Data(), Table_Fuel_EFs_Transport[[#Headers],[Transport type]], 0)</calculatedColumnFormula>
    </tableColumn>
    <tableColumn id="12" xr3:uid="{C9D0D0A2-C762-4A75-BFD8-74B6F830873D}" name="Scope 3 Emission Factor (kg CO2 - e / GJ)" dataDxfId="237">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67394B4B-4A64-471E-8237-A0EAFCE5A634}" name="Table_FuelTypesPerUse" displayName="Table_FuelTypesPerUse" ref="D130:I139" totalsRowShown="0" headerRowDxfId="236" dataDxfId="235">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D41EC4A4-60F9-4058-A227-58BF209A32F1}" name="Generators" dataDxfId="234"/>
    <tableColumn id="2" xr3:uid="{197BB7BD-D4B3-4921-9E03-1E4E2EB11929}" name="Power standalone machinery or heating" dataDxfId="233"/>
    <tableColumn id="3" xr3:uid="{CA99B813-BFE9-4F75-B9F6-2660CEB6D2AB}" name="Aviation" dataDxfId="232"/>
    <tableColumn id="5" xr3:uid="{1CAA19D1-F2C9-4D23-BEBF-57AF79173E0A}" name="Cars and light commercial vehicles" dataDxfId="231"/>
    <tableColumn id="7" xr3:uid="{9D32E6EF-8032-4BDB-9F37-52C720B22266}" name="Off-road Agriculture and forestry equipment" dataDxfId="230" dataCellStyle="Content bold"/>
    <tableColumn id="8" xr3:uid="{1C811F4C-6439-41EB-BDEE-DA268175CEA9}" name="Vessels" dataDxfId="229" dataCellStyle="Content bold"/>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BC1D1E07-C0E7-440F-A30A-9A94A74430A5}" name="Table_Fuel_EFs_StationaryGaseous" displayName="Table_Fuel_EFs_StationaryGaseous" ref="D86:J104" totalsRowShown="0" headerRowDxfId="228" dataDxfId="227">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8D4D1BCA-E1BA-460A-B579-482289ACD41D}" name="Fuel combusted" dataDxfId="226">
      <calculatedColumnFormula array="1">Common_InputFunctions.Utility_DisplayArrayInTable(Fuel_SourceData.Fuel_Scope1EmissionFactorsStationaryGaseous_Data(), Table_Fuel_EFs_StationaryGaseous[[#Headers],[Fuel combusted]],0)</calculatedColumnFormula>
    </tableColumn>
    <tableColumn id="2" xr3:uid="{018FF2AA-5DC3-4155-A7E3-E6810E168CA3}" name="Energy Content Factor (GJ per unit of fuel)" dataDxfId="225">
      <calculatedColumnFormula array="1">Common_InputFunctions.Utility_DisplayArrayInTable(Fuel_SourceData.Fuel_Scope1EmissionFactorsStationaryGaseous_Data(), Table_Fuel_EFs_StationaryGaseous[[#Headers],[Fuel combusted]],0)</calculatedColumnFormula>
    </tableColumn>
    <tableColumn id="3" xr3:uid="{5ECED7D3-CCBB-48B5-AC8F-941F02F10023}" name="Fuel unit" dataDxfId="224">
      <calculatedColumnFormula array="1">Common_InputFunctions.Utility_DisplayArrayInTable(Fuel_SourceData.Fuel_Scope1EmissionFactorsStationaryGaseous_Data(), Table_Fuel_EFs_StationaryGaseous[[#Headers],[Fuel combusted]],0)</calculatedColumnFormula>
    </tableColumn>
    <tableColumn id="4" xr3:uid="{4E8F01B1-6F38-4C4D-B666-0E02D0524A26}" name="Scope 1 Emission Factor (kg CO2 - e / GJ) CO2" dataDxfId="223">
      <calculatedColumnFormula array="1">Common_InputFunctions.Utility_DisplayArrayInTable(Fuel_SourceData.Fuel_Scope1EmissionFactorsStationaryGaseous_Data(), Table_Fuel_EFs_StationaryGaseous[[#Headers],[Fuel combusted]],0)</calculatedColumnFormula>
    </tableColumn>
    <tableColumn id="5" xr3:uid="{6B7F32F3-008B-43C2-A0EB-07C175A8522E}" name="Scope 1 Emission Factor (kg CO2 - e / GJ) CH4" dataDxfId="222">
      <calculatedColumnFormula array="1">Common_InputFunctions.Utility_DisplayArrayInTable(Fuel_SourceData.Fuel_Scope1EmissionFactorsStationaryGaseous_Data(), Table_Fuel_EFs_StationaryGaseous[[#Headers],[Fuel combusted]],0)</calculatedColumnFormula>
    </tableColumn>
    <tableColumn id="6" xr3:uid="{81697AE2-FD7B-4819-90CF-FCE18EF27012}" name="Scope 1 Emission Factor (kg CO2 - e / GJ) N2O" dataDxfId="221">
      <calculatedColumnFormula array="1">Common_InputFunctions.Utility_DisplayArrayInTable(Fuel_SourceData.Fuel_Scope1EmissionFactorsStationaryGaseous_Data(), Table_Fuel_EFs_StationaryGaseous[[#Headers],[Fuel combusted]],0)</calculatedColumnFormula>
    </tableColumn>
    <tableColumn id="7" xr3:uid="{1374A5F3-7346-4C3E-B10C-9B64407A22B1}" name="Scope 1 Emission Factor (kg CO2 - e / GJ) Combined gases" dataDxfId="220">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9C43EA91-8D40-4DFB-9A83-FB612F04ABDB}" name="Table_Fuel_EFs_StationaryGaseous34" displayName="Table_Fuel_EFs_StationaryGaseous34" ref="D112:F120" headerRowDxfId="219" totalsRowDxfId="218">
  <autoFilter ref="D112:F120" xr:uid="{7D6CE29D-2354-4FAC-9965-9A66FFA42416}">
    <filterColumn colId="0" hiddenButton="1"/>
    <filterColumn colId="1" hiddenButton="1"/>
    <filterColumn colId="2" hiddenButton="1"/>
  </autoFilter>
  <tableColumns count="3">
    <tableColumn id="1" xr3:uid="{88C52574-2538-4E16-8BAC-7C55FA9F53DD}" name="State or territory" totalsRowDxfId="217">
      <calculatedColumnFormula array="1">Common_InputFunctions.Utility_DisplayArrayInTable(Fuel_SourceData.Fuel_Scope3EmissionFactorsStationaryGaseous_Data(), Table_Fuel_EFs_StationaryGaseous34[[#Headers],[State or territory]],0)</calculatedColumnFormula>
    </tableColumn>
    <tableColumn id="2" xr3:uid="{4CCB0F6A-CAFE-4F30-92EB-DE49A56A6F9D}" name="Metro" totalsRowDxfId="216">
      <calculatedColumnFormula array="1">Common_InputFunctions.Utility_DisplayArrayInTable(Fuel_SourceData.Fuel_Scope3EmissionFactorsStationaryGaseous_Data(), Table_Fuel_EFs_StationaryGaseous34[[#Headers],[State or territory]],0)</calculatedColumnFormula>
    </tableColumn>
    <tableColumn id="3" xr3:uid="{2785756A-F1C4-4E2B-9EB6-EB6F1F776210}" name="Non-metro" totalsRowDxfId="215">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382A916F-F885-4C8C-9DA9-031A97BB5851}"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C75DC0E5-52D0-4377-B467-FC8531155F9B}" name="Fuel type"/>
    <tableColumn id="2" xr3:uid="{94179432-643E-41C8-95EE-91BBE5335E90}" name="Unit"/>
    <tableColumn id="3" xr3:uid="{14AB83AC-6E1E-48BE-B0B8-10A5EB699F7B}" name="Input Unit" dataDxfId="214"/>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72C3FDCE-CA89-43F7-8569-34607C8A5E58}"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19235F8-0B9D-45B3-8675-D482BE29D52C}"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A8A2F926-3F0F-4118-A267-1BAEB7A87BAE}" name="Fuel type q" dataDxfId="21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5042FF32-834B-41E7-9A21-489C5F62D850}" name="ECTrans,q (GJ/kL)" dataDxfId="21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85A41BD6-A35E-446B-8893-06B41BC6D442}" name="Scope 1 CO2 EFTran,1,tqg (kg CO2-e/GJ)" dataDxfId="21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2F157F89-4EBB-428E-B1F1-EEF38F66F17E}" name="Scope 1 CH4 EFTran,1,tgg (kg CO2-e/GJ)" dataDxfId="21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BA8BBF87-84F9-4B16-B768-71AF83B4AC54}" name="Scope 1 N2O EFTran,1,tgg (kg CO2-e/GJ)" dataDxfId="20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1D065925-14C8-451B-B7A8-1DC0AEEF322D}" name="Scope 3 EFTrans,3,q (kg CO2-e/GJ)" dataDxfId="20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08BF239F-C281-4921-BE91-E9C15909BD33}" name="Table_SourceData_Scope3_Animals" displayName="Table_SourceData_Scope3_Animals"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DBF30A2D-564B-4285-9F37-08B790C11E05}" name="Category" dataDxfId="207" dataCellStyle="Content normal">
      <calculatedColumnFormula array="1">Common_InputFunctions.Utility_DisplayArrayInTable(Scope3_SourceData.Scope3_Livestock_Data(), Table_SourceData_Scope3_Animals[[#Headers],[Category]], 0, 2)</calculatedColumnFormula>
    </tableColumn>
    <tableColumn id="2" xr3:uid="{C93A06A9-F472-407B-8CFA-FCAFB084C345}" name="Product" dataDxfId="206" dataCellStyle="Content normal">
      <calculatedColumnFormula array="1">Common_InputFunctions.Utility_DisplayArrayInTable(Scope3_SourceData.Scope3_Livestock_Data(), Table_SourceData_Scope3_Animals[[#Headers],[Category]], 0, 2)</calculatedColumnFormula>
    </tableColumn>
    <tableColumn id="3" xr3:uid="{38662D13-2A06-4350-8532-D93A5DF70DA1}" name="Region of origin" dataDxfId="205" dataCellStyle="Content normal">
      <calculatedColumnFormula array="1">Common_InputFunctions.Utility_DisplayArrayInTable(Scope3_SourceData.Scope3_Livestock_Data(), Table_SourceData_Scope3_Animals[[#Headers],[Category]], 0, 2)</calculatedColumnFormula>
    </tableColumn>
    <tableColumn id="8" xr3:uid="{00374087-9B9B-4E22-9545-201B760F8D7B}" name="Quantity Unit" dataDxfId="204" dataCellStyle="Content normal">
      <calculatedColumnFormula array="1">Common_InputFunctions.Utility_DisplayArrayInTable(Scope3_SourceData.Scope3_Livestock_Data(), Table_SourceData_Scope3_Animals[[#Headers],[Category]], 0, 2)</calculatedColumnFormula>
    </tableColumn>
    <tableColumn id="9" xr3:uid="{10948D27-BAB5-49BC-A318-8F6A4EB4E057}" name="AusLCI Emissions intensity" dataDxfId="203" dataCellStyle="Content normal">
      <calculatedColumnFormula array="1">Common_InputFunctions.Utility_DisplayArrayInTable(Scope3_SourceData.Scope3_Livestock_Data(), Table_SourceData_Scope3_Animals[[#Headers],[Category]], 0, 2)</calculatedColumnFormula>
    </tableColumn>
    <tableColumn id="10" xr3:uid="{DE7131FF-B9F3-4997-84DB-96E665C1953E}" name="System boundary" dataDxfId="202"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97A28029-F8A6-421B-8E75-1A2217DA0B25}"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E32FC767-40AE-401C-9806-A337CA935564}" name="Category" dataDxfId="201" dataCellStyle="Content normal">
      <calculatedColumnFormula array="1">Common_InputFunctions.Utility_DisplayArrayInTable(Scope3_SourceData.Scope3_Chemicals_Data(), Table_SourceData_Scope3_ChemicalsCleaning[[#Headers],[Category]], 0, 2)</calculatedColumnFormula>
    </tableColumn>
    <tableColumn id="2" xr3:uid="{85040891-67B8-4236-8C39-A63F31361E08}" name="Product" dataDxfId="200" dataCellStyle="Content normal">
      <calculatedColumnFormula array="1">Common_InputFunctions.Utility_DisplayArrayInTable(Scope3_SourceData.Scope3_Chemicals_Data(), Table_SourceData_Scope3_ChemicalsCleaning[[#Headers],[Category]], 0, 2)</calculatedColumnFormula>
    </tableColumn>
    <tableColumn id="3" xr3:uid="{1F3850CD-9437-412D-9A6C-92F37FE1EB33}" name="Region of origin" dataDxfId="199" dataCellStyle="Content normal">
      <calculatedColumnFormula array="1">Common_InputFunctions.Utility_DisplayArrayInTable(Scope3_SourceData.Scope3_Chemicals_Data(), Table_SourceData_Scope3_ChemicalsCleaning[[#Headers],[Category]], 0, 2)</calculatedColumnFormula>
    </tableColumn>
    <tableColumn id="8" xr3:uid="{CB3590D9-B2D7-46B7-A7A3-EE90BE694D00}" name="Quantity Unit" dataDxfId="198" dataCellStyle="Content normal">
      <calculatedColumnFormula array="1">Common_InputFunctions.Utility_DisplayArrayInTable(Scope3_SourceData.Scope3_Chemicals_Data(), Table_SourceData_Scope3_ChemicalsCleaning[[#Headers],[Category]], 0, 2)</calculatedColumnFormula>
    </tableColumn>
    <tableColumn id="9" xr3:uid="{092D37B7-2912-4439-8165-3CC1F9D6F2CE}" name="AusLCI Emissions intensity" dataDxfId="197" dataCellStyle="Content normal">
      <calculatedColumnFormula array="1">Common_InputFunctions.Utility_DisplayArrayInTable(Scope3_SourceData.Scope3_Chemicals_Data(), Table_SourceData_Scope3_ChemicalsCleaning[[#Headers],[Category]], 0, 2)</calculatedColumnFormula>
    </tableColumn>
    <tableColumn id="10" xr3:uid="{B22016C7-7B8B-42FE-A029-A0461DFB5FBA}" name="System boundary" dataDxfId="196"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D6C2461C-8746-4203-8F43-8307B0274C77}" name="Table_SourceData_Scope3_Feed" displayName="Table_SourceData_Scope3_Feed" ref="D89:I159" totalsRowShown="0" dataDxfId="195"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D5ED7959-017A-47A1-BE13-0281BFDDF535}" name="Category" dataDxfId="194" dataCellStyle="Content normal">
      <calculatedColumnFormula array="1">Common_InputFunctions.Utility_DisplayArrayInTable(Scope3_SourceData.Scope3_Feed_Data(), Table_SourceData_Scope3_Feed[[#Headers],[Category]], 0, 2)</calculatedColumnFormula>
    </tableColumn>
    <tableColumn id="2" xr3:uid="{DBAD42A5-C8B2-488C-830B-6B86B4E407F5}" name="Product" dataDxfId="193" dataCellStyle="Content normal">
      <calculatedColumnFormula array="1">Common_InputFunctions.Utility_DisplayArrayInTable(Scope3_SourceData.Scope3_Feed_Data(), Table_SourceData_Scope3_Feed[[#Headers],[Category]], 0, 2)</calculatedColumnFormula>
    </tableColumn>
    <tableColumn id="3" xr3:uid="{0708933C-B941-4940-96E0-06C6C58582AB}" name="Region of origin" dataDxfId="192" dataCellStyle="Content normal">
      <calculatedColumnFormula array="1">Common_InputFunctions.Utility_DisplayArrayInTable(Scope3_SourceData.Scope3_Feed_Data(), Table_SourceData_Scope3_Feed[[#Headers],[Category]], 0, 2)</calculatedColumnFormula>
    </tableColumn>
    <tableColumn id="8" xr3:uid="{54D5BD7E-EF99-4CA1-9A6A-41E352E32406}" name="Quantity Unit" dataDxfId="191" dataCellStyle="Content normal">
      <calculatedColumnFormula array="1">Common_InputFunctions.Utility_DisplayArrayInTable(Scope3_SourceData.Scope3_Feed_Data(), Table_SourceData_Scope3_Feed[[#Headers],[Category]], 0, 2)</calculatedColumnFormula>
    </tableColumn>
    <tableColumn id="9" xr3:uid="{D25CB120-3A85-489A-9491-4DBFBE4AB16C}" name="AusLCI Emissions intensity" dataDxfId="190" dataCellStyle="Content normal">
      <calculatedColumnFormula array="1">Common_InputFunctions.Utility_DisplayArrayInTable(Scope3_SourceData.Scope3_Feed_Data(), Table_SourceData_Scope3_Feed[[#Headers],[Category]], 0, 2)</calculatedColumnFormula>
    </tableColumn>
    <tableColumn id="10" xr3:uid="{635C6C50-3C43-4BD2-BCD9-09BD312CCF20}" name="System boundary" dataDxfId="189"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8EE3B779-ACDA-4208-A1A9-EF283F649AE9}"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5DC2717E-41D0-488C-A78D-C5CD79F91F5E}" name="Category">
      <calculatedColumnFormula array="1">Common_InputFunctions.Utility_DisplayArrayInTable(Scope3_SourceData.Scope3_InorganicFertilisers_Data(), Table_SourceData_Scope3_InorganicFertiliser[[#Headers],[Category]], 0, 2)</calculatedColumnFormula>
    </tableColumn>
    <tableColumn id="2" xr3:uid="{93816A5A-4D93-4AD9-A5AE-8364ED9AFE3C}" name="Product">
      <calculatedColumnFormula array="1">Common_InputFunctions.Utility_DisplayArrayInTable(Scope3_SourceData.Scope3_InorganicFertilisers_Data(), Table_SourceData_Scope3_InorganicFertiliser[[#Headers],[Category]], 0, 2)</calculatedColumnFormula>
    </tableColumn>
    <tableColumn id="3" xr3:uid="{1FD4B9BF-47A6-4AF4-B44A-4C8E353DD034}" name="Region of origin">
      <calculatedColumnFormula array="1">Common_InputFunctions.Utility_DisplayArrayInTable(Scope3_SourceData.Scope3_InorganicFertilisers_Data(), Table_SourceData_Scope3_InorganicFertiliser[[#Headers],[Category]], 0, 2)</calculatedColumnFormula>
    </tableColumn>
    <tableColumn id="4" xr3:uid="{7D60BBF1-6489-48A6-BD75-F6D9CB1CAAB1}" name="Chemical compound"/>
    <tableColumn id="5" xr3:uid="{165E49D0-EE11-4352-B698-4BA166D196E7}" name="Urea source"/>
    <tableColumn id="6" xr3:uid="{04BF9268-C687-41C4-9D67-A5C2F789BC9A}" name="Ammonia source"/>
    <tableColumn id="7" xr3:uid="{73902E0D-8455-40EA-87C8-806A035698E8}" name="Quantity"/>
    <tableColumn id="8" xr3:uid="{8135CD45-CE2F-484C-A90C-D2AB0362377C}" name="Quantity Unit">
      <calculatedColumnFormula array="1">Common_InputFunctions.Utility_DisplayArrayInTable(Scope3_SourceData.Scope3_InorganicFertilisers_Data(), Table_SourceData_Scope3_InorganicFertiliser[[#Headers],[Category]], 0, -2)</calculatedColumnFormula>
    </tableColumn>
    <tableColumn id="9" xr3:uid="{C143DA94-1279-448E-B54B-F29AAD94A197}"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7034287A-0FAC-428C-AE9B-7E7EA51B254F}" name="System boundary" dataDxfId="188"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3BA7B51F-3269-4BEB-9F7F-0E24FAC0775F}" name="Table_SourceData_Scope3_Other" displayName="Table_SourceData_Scope3_Other" ref="D201:I209" totalsRowShown="0" dataDxfId="187"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1C9CFF9E-FE35-4DBF-B495-B87DF25C5613}" name="Category" dataDxfId="186" dataCellStyle="Content normal">
      <calculatedColumnFormula array="1">Common_InputFunctions.Utility_DisplayArrayInTable(Scope3_SourceData.Scope3_Other_Data(), Table_SourceData_Scope3_Other[[#Headers],[Category]], 0, 2)</calculatedColumnFormula>
    </tableColumn>
    <tableColumn id="2" xr3:uid="{7E906FB3-3E5F-4403-967B-4ED2C01F6C2A}" name="Product" dataDxfId="185" dataCellStyle="Content normal">
      <calculatedColumnFormula array="1">Common_InputFunctions.Utility_DisplayArrayInTable(Scope3_SourceData.Scope3_Other_Data(), Table_SourceData_Scope3_Other[[#Headers],[Category]], 0, 2)</calculatedColumnFormula>
    </tableColumn>
    <tableColumn id="3" xr3:uid="{DE7828A4-FBC4-4F70-BC93-23FF7F8CD12D}" name="Region of origin" dataDxfId="184" dataCellStyle="Content normal">
      <calculatedColumnFormula array="1">Common_InputFunctions.Utility_DisplayArrayInTable(Scope3_SourceData.Scope3_Other_Data(), Table_SourceData_Scope3_Other[[#Headers],[Category]], 0, 2)</calculatedColumnFormula>
    </tableColumn>
    <tableColumn id="8" xr3:uid="{0CB6353B-5081-4CBF-AC18-615D7F41B2EA}" name="Quantity Unit" dataDxfId="183" dataCellStyle="Content normal">
      <calculatedColumnFormula array="1">Common_InputFunctions.Utility_DisplayArrayInTable(Scope3_SourceData.Scope3_Other_Data(), Table_SourceData_Scope3_Other[[#Headers],[Category]], 0, 2)</calculatedColumnFormula>
    </tableColumn>
    <tableColumn id="9" xr3:uid="{4EFF29B2-1C6F-41DA-8A51-9AE2485BB92D}" name="AusLCI Emissions intensity" dataDxfId="182" dataCellStyle="Content normal">
      <calculatedColumnFormula array="1">Common_InputFunctions.Utility_DisplayArrayInTable(Scope3_SourceData.Scope3_Other_Data(), Table_SourceData_Scope3_Other[[#Headers],[Category]], 0, 2)</calculatedColumnFormula>
    </tableColumn>
    <tableColumn id="10" xr3:uid="{25E7AF02-CEE5-468F-991C-AC587A8A66B8}" name="System boundary" dataDxfId="181"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C27DCA18-3F06-4683-8CD2-D3BDAC63D271}" name="Table_SourceData_Scope3_Packaging" displayName="Table_SourceData_Scope3_Packaging" ref="D212:I216" totalsRowShown="0" dataDxfId="180"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839ED777-E93A-45D2-9AB7-60FC9E1EE909}" name="Category" dataDxfId="179" dataCellStyle="Content normal">
      <calculatedColumnFormula array="1">Common_InputFunctions.Utility_DisplayArrayInTable(Scope3_SourceData.Scope3_Packaging_Data(), Table_SourceData_Scope3_Packaging[[#Headers],[Category]], 0, 2)</calculatedColumnFormula>
    </tableColumn>
    <tableColumn id="2" xr3:uid="{BD4FD129-C7D2-467C-94D2-E05B956A393D}" name="Product" dataDxfId="178" dataCellStyle="Content normal">
      <calculatedColumnFormula array="1">Common_InputFunctions.Utility_DisplayArrayInTable(Scope3_SourceData.Scope3_Packaging_Data(), Table_SourceData_Scope3_Packaging[[#Headers],[Category]], 0, 2)</calculatedColumnFormula>
    </tableColumn>
    <tableColumn id="3" xr3:uid="{1FBE972F-31D9-4E93-816B-A7159AAC6867}" name="Region of origin" dataDxfId="177" dataCellStyle="Content normal">
      <calculatedColumnFormula array="1">Common_InputFunctions.Utility_DisplayArrayInTable(Scope3_SourceData.Scope3_Packaging_Data(), Table_SourceData_Scope3_Packaging[[#Headers],[Category]], 0, 2)</calculatedColumnFormula>
    </tableColumn>
    <tableColumn id="8" xr3:uid="{79CC7FC4-3FC7-4E82-870F-1EE9F2DCBEA5}" name="Quantity Unit" dataDxfId="176" dataCellStyle="Content normal">
      <calculatedColumnFormula array="1">Common_InputFunctions.Utility_DisplayArrayInTable(Scope3_SourceData.Scope3_Packaging_Data(), Table_SourceData_Scope3_Packaging[[#Headers],[Category]], 0, 2)</calculatedColumnFormula>
    </tableColumn>
    <tableColumn id="9" xr3:uid="{985FC1E1-D603-435D-90C4-A0F0C3333DFA}" name="AusLCI Emissions intensity" dataDxfId="175" dataCellStyle="Content normal">
      <calculatedColumnFormula array="1">Common_InputFunctions.Utility_DisplayArrayInTable(Scope3_SourceData.Scope3_Packaging_Data(), Table_SourceData_Scope3_Packaging[[#Headers],[Category]], 0, 2)</calculatedColumnFormula>
    </tableColumn>
    <tableColumn id="10" xr3:uid="{37A30980-DF13-4FDF-AC97-C1744740A9EE}" name="System boundary" dataDxfId="174"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CE21A3B2-DB05-4D54-AB99-15FACE617478}" name="Table_SourceData_Scope3_Pesticides" displayName="Table_SourceData_Scope3_Pesticides" ref="D219:I231" totalsRowShown="0" dataDxfId="173"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774CDEC6-01A5-464A-AD46-6EC9BA220D7B}" name="Category" dataDxfId="172" dataCellStyle="Content normal">
      <calculatedColumnFormula array="1">Common_InputFunctions.Utility_DisplayArrayInTable(Scope3_SourceData.Scope3_Pesticides_Data(), Table_SourceData_Scope3_Pesticides[[#Headers],[Category]], 0, 2)</calculatedColumnFormula>
    </tableColumn>
    <tableColumn id="2" xr3:uid="{17B7B2D0-0F2E-4FD1-8A8B-AB5BE8121922}" name="Product" dataDxfId="171" dataCellStyle="Content normal">
      <calculatedColumnFormula array="1">Common_InputFunctions.Utility_DisplayArrayInTable(Scope3_SourceData.Scope3_Pesticides_Data(), Table_SourceData_Scope3_Pesticides[[#Headers],[Category]], 0, 2)</calculatedColumnFormula>
    </tableColumn>
    <tableColumn id="3" xr3:uid="{E4B718EE-A96E-44FC-9CF3-BD58AAFB6921}" name="Region of origin" dataDxfId="170" dataCellStyle="Content normal">
      <calculatedColumnFormula array="1">Common_InputFunctions.Utility_DisplayArrayInTable(Scope3_SourceData.Scope3_Pesticides_Data(), Table_SourceData_Scope3_Pesticides[[#Headers],[Category]], 0, 2)</calculatedColumnFormula>
    </tableColumn>
    <tableColumn id="8" xr3:uid="{488E40FD-AFE8-4F2C-A411-4F2AC522ECC7}" name="Quantity Unit" dataDxfId="169" dataCellStyle="Content normal">
      <calculatedColumnFormula array="1">Common_InputFunctions.Utility_DisplayArrayInTable(Scope3_SourceData.Scope3_Pesticides_Data(), Table_SourceData_Scope3_Pesticides[[#Headers],[Category]], 0, 2)</calculatedColumnFormula>
    </tableColumn>
    <tableColumn id="9" xr3:uid="{6B215AA8-6DA2-4E53-BFEE-7DAA1F0B62DA}" name="AusLCI Emissions intensity" dataDxfId="168" dataCellStyle="Content normal">
      <calculatedColumnFormula array="1">Common_InputFunctions.Utility_DisplayArrayInTable(Scope3_SourceData.Scope3_Pesticides_Data(), Table_SourceData_Scope3_Pesticides[[#Headers],[Category]], 0, 2)</calculatedColumnFormula>
    </tableColumn>
    <tableColumn id="10" xr3:uid="{55DA382D-73C0-4472-AE58-3CCBE09BDD06}" name="System boundary" dataDxfId="167"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A82136BB-463F-4D70-B2B4-1F3042E187B7}" name="Table_SourceData_Scope3_SoilAmeliorants" displayName="Table_SourceData_Scope3_SoilAmeliorants" ref="D234:I237" totalsRowShown="0" dataDxfId="166"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F7230AF7-91BA-4396-B75E-9EF56415C9C7}" name="Category" dataDxfId="165" dataCellStyle="Content normal">
      <calculatedColumnFormula array="1">Common_InputFunctions.Utility_DisplayArrayInTable(Scope3_SourceData.Scope3_SoilAmendments_Data(), Table_SourceData_Scope3_SoilAmeliorants[[#Headers],[Category]], 0, 2)</calculatedColumnFormula>
    </tableColumn>
    <tableColumn id="2" xr3:uid="{FDE686B9-0F2E-4473-AF20-2F11FF150469}" name="Product" dataDxfId="164" dataCellStyle="Content normal">
      <calculatedColumnFormula array="1">Common_InputFunctions.Utility_DisplayArrayInTable(Scope3_SourceData.Scope3_SoilAmendments_Data(), Table_SourceData_Scope3_SoilAmeliorants[[#Headers],[Category]], 0, 2)</calculatedColumnFormula>
    </tableColumn>
    <tableColumn id="3" xr3:uid="{8F3DF8D4-C1B6-4AE7-BB70-BF6388171315}" name="Region of origin" dataDxfId="163" dataCellStyle="Content normal">
      <calculatedColumnFormula array="1">Common_InputFunctions.Utility_DisplayArrayInTable(Scope3_SourceData.Scope3_SoilAmendments_Data(), Table_SourceData_Scope3_SoilAmeliorants[[#Headers],[Category]], 0, 2)</calculatedColumnFormula>
    </tableColumn>
    <tableColumn id="8" xr3:uid="{4F3A2035-046F-4AD7-A6AC-45361A6A3631}" name="Quantity Unit" dataDxfId="162" dataCellStyle="Content normal">
      <calculatedColumnFormula array="1">Common_InputFunctions.Utility_DisplayArrayInTable(Scope3_SourceData.Scope3_SoilAmendments_Data(), Table_SourceData_Scope3_SoilAmeliorants[[#Headers],[Category]], 0, 2)</calculatedColumnFormula>
    </tableColumn>
    <tableColumn id="9" xr3:uid="{61E82A28-3B70-4CB3-9E50-D13CED180A91}" name="AusLCI Emissions intensity" dataDxfId="161" dataCellStyle="Content normal">
      <calculatedColumnFormula array="1">Common_InputFunctions.Utility_DisplayArrayInTable(Scope3_SourceData.Scope3_SoilAmendments_Data(), Table_SourceData_Scope3_SoilAmeliorants[[#Headers],[Category]], 0, 2)</calculatedColumnFormula>
    </tableColumn>
    <tableColumn id="10" xr3:uid="{FBFF1AEC-F735-43E8-94DD-A11A7753C4A6}" name="System boundary" dataDxfId="160"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12CA2ED5-8B9F-452B-A5F7-2CD0127FED1D}" name="Table_SourceData_Scope3_ChemicalsPharmacy" displayName="Table_SourceData_Scope3_ChemicalsPharmacy" ref="D82:I86" totalsRowShown="0" dataDxfId="159"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1BCDB3D7-F60C-4768-AB89-DA51F242CECA}" name="Category" dataDxfId="158" dataCellStyle="Content normal">
      <calculatedColumnFormula array="1">Common_InputFunctions.Utility_DisplayArrayInTable(Scope3_SourceData.Scope3_Chemicals_Data(), Table_SourceData_Scope3_ChemicalsPharmacy[[#Headers],[Category]], -3, 2)</calculatedColumnFormula>
    </tableColumn>
    <tableColumn id="2" xr3:uid="{5D22B134-19A6-4A04-93A8-E3269137A359}" name="Product" dataDxfId="157" dataCellStyle="Content normal">
      <calculatedColumnFormula array="1">Common_InputFunctions.Utility_DisplayArrayInTable(Scope3_SourceData.Scope3_Chemicals_Data(), Table_SourceData_Scope3_ChemicalsPharmacy[[#Headers],[Category]], -3, 2)</calculatedColumnFormula>
    </tableColumn>
    <tableColumn id="3" xr3:uid="{4604D9E5-8FFE-42C3-9566-73DD391DCE57}" name="Region of origin" dataDxfId="156" dataCellStyle="Content normal">
      <calculatedColumnFormula array="1">Common_InputFunctions.Utility_DisplayArrayInTable(Scope3_SourceData.Scope3_Chemicals_Data(), Table_SourceData_Scope3_ChemicalsPharmacy[[#Headers],[Category]], -3, 2)</calculatedColumnFormula>
    </tableColumn>
    <tableColumn id="8" xr3:uid="{822DCD17-2D90-4922-B4B9-1DCC1E0E3955}" name="Quantity Unit" dataDxfId="155" dataCellStyle="Content normal">
      <calculatedColumnFormula array="1">Common_InputFunctions.Utility_DisplayArrayInTable(Scope3_SourceData.Scope3_Chemicals_Data(), Table_SourceData_Scope3_ChemicalsPharmacy[[#Headers],[Category]], -3, 2)</calculatedColumnFormula>
    </tableColumn>
    <tableColumn id="9" xr3:uid="{FD9D8A15-D980-452A-88E7-56649FCD3757}" name="AusLCI Emissions intensity" dataDxfId="154" dataCellStyle="Content normal">
      <calculatedColumnFormula array="1">Common_InputFunctions.Utility_DisplayArrayInTable(Scope3_SourceData.Scope3_Chemicals_Data(), Table_SourceData_Scope3_ChemicalsPharmacy[[#Headers],[Category]], -3, 2)</calculatedColumnFormula>
    </tableColumn>
    <tableColumn id="10" xr3:uid="{2F7AAC49-DC87-4EF0-AB2D-77ED8F8E976D}" name="System boundary" dataDxfId="153"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82376010-C85F-4057-B4C7-9A370A736852}" name="Table_SourceData_Scope3_LickBlocks" displayName="Table_SourceData_Scope3_LickBlocks" ref="D167:I170" totalsRowShown="0" headerRowDxfId="152"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257DAA61-B663-4CEE-8A58-C3F160052AFF}" name="Category" dataDxfId="151" dataCellStyle="Content normal">
      <calculatedColumnFormula array="1">Common_InputFunctions.Utility_DisplayArrayInTable(Scope3_SourceData.Scope3_Feed_Data(), Table_SourceData_Scope3_LickBlocks[[#Headers],[Category]], -73, 2)</calculatedColumnFormula>
    </tableColumn>
    <tableColumn id="2" xr3:uid="{A804E80E-D9A4-4A1E-ADC9-FCCA039AC22D}" name="Product" dataDxfId="150" dataCellStyle="Content normal">
      <calculatedColumnFormula array="1">Common_InputFunctions.Utility_DisplayArrayInTable(Scope3_SourceData.Scope3_Feed_Data(), Table_SourceData_Scope3_LickBlocks[[#Headers],[Category]], -73, 2)</calculatedColumnFormula>
    </tableColumn>
    <tableColumn id="3" xr3:uid="{329B53B0-E407-44E0-9E61-5A21A405CA7B}" name="Region of origin" dataDxfId="149" dataCellStyle="Content normal">
      <calculatedColumnFormula array="1">Common_InputFunctions.Utility_DisplayArrayInTable(Scope3_SourceData.Scope3_Feed_Data(), Table_SourceData_Scope3_LickBlocks[[#Headers],[Category]], -73, 2)</calculatedColumnFormula>
    </tableColumn>
    <tableColumn id="4" xr3:uid="{0B8D44B0-A008-4127-B103-60992B3E115A}" name="Quantity Unit" dataDxfId="148" dataCellStyle="Content normal">
      <calculatedColumnFormula array="1">Common_InputFunctions.Utility_DisplayArrayInTable(Scope3_SourceData.Scope3_Feed_Data(), Table_SourceData_Scope3_LickBlocks[[#Headers],[Category]], -73, 2)</calculatedColumnFormula>
    </tableColumn>
    <tableColumn id="5" xr3:uid="{C8A0711B-1F18-453E-A66A-24153E4AA458}" name="AusLCI Emissions intensity" dataDxfId="147" dataCellStyle="Content normal">
      <calculatedColumnFormula array="1">Common_InputFunctions.Utility_DisplayArrayInTable(Scope3_SourceData.Scope3_Feed_Data(), Table_SourceData_Scope3_LickBlocks[[#Headers],[Category]], -73, 2)</calculatedColumnFormula>
    </tableColumn>
    <tableColumn id="6" xr3:uid="{5D218A83-C767-46FD-A476-2294C4D69E4F}" name="System boundary" dataDxfId="146"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743F63D5-9798-44A9-B5A2-BFC8D28CE327}" name="Table_SourceData_Scope3_MixedRations" displayName="Table_SourceData_Scope3_MixedRations" ref="D161:I165" totalsRowShown="0" headerRowDxfId="145"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0C8693B4-F2AF-4F3B-841E-A7141EBA02D1}" name="Category" dataDxfId="144" dataCellStyle="Content normal">
      <calculatedColumnFormula array="1">Common_InputFunctions.Utility_DisplayArrayInTable(Scope3_SourceData.Scope3_Feed_Data(), Table_SourceData_Scope3_MixedRations[[#Headers],[Category]], -66, 2)</calculatedColumnFormula>
    </tableColumn>
    <tableColumn id="2" xr3:uid="{A1CF4C03-76AA-406F-893A-A94F28BC8DDB}" name="Product" dataDxfId="143" dataCellStyle="Content normal">
      <calculatedColumnFormula array="1">Common_InputFunctions.Utility_DisplayArrayInTable(Scope3_SourceData.Scope3_Feed_Data(), Table_SourceData_Scope3_MixedRations[[#Headers],[Category]], -66, 2)</calculatedColumnFormula>
    </tableColumn>
    <tableColumn id="3" xr3:uid="{E191710C-ADDF-4661-A2AC-386C90C9ED85}" name="Region of origin" dataDxfId="142" dataCellStyle="Content normal">
      <calculatedColumnFormula array="1">Common_InputFunctions.Utility_DisplayArrayInTable(Scope3_SourceData.Scope3_Feed_Data(), Table_SourceData_Scope3_MixedRations[[#Headers],[Category]], -66, 2)</calculatedColumnFormula>
    </tableColumn>
    <tableColumn id="4" xr3:uid="{9A90DAE7-E5AF-4AE0-8416-5A9C584309D0}" name="Quantity Unit" dataDxfId="141" dataCellStyle="Content normal">
      <calculatedColumnFormula array="1">Common_InputFunctions.Utility_DisplayArrayInTable(Scope3_SourceData.Scope3_Feed_Data(), Table_SourceData_Scope3_MixedRations[[#Headers],[Category]], -66, 2)</calculatedColumnFormula>
    </tableColumn>
    <tableColumn id="5" xr3:uid="{BCB94EEA-7ED0-4C73-81D2-CB11DA9E468E}" name="AusLCI Emissions intensity" dataDxfId="140" dataCellStyle="Content normal">
      <calculatedColumnFormula array="1">Common_InputFunctions.Utility_DisplayArrayInTable(Scope3_SourceData.Scope3_Feed_Data(), Table_SourceData_Scope3_MixedRations[[#Headers],[Category]], -66, 2)</calculatedColumnFormula>
    </tableColumn>
    <tableColumn id="6" xr3:uid="{81E613F4-023A-431B-B67E-F33678C34C4D}" name="System boundary" dataDxfId="139"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3F784DFF-D3CF-4A16-8704-2904C5563BFE}"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2F2DE220-240D-4F6B-88DF-C8FE6E031FE6}" name="Product">
      <calculatedColumnFormula>Table_SourceData_Scope3_Feed[[#This Row],[Product]]</calculatedColumnFormula>
    </tableColumn>
    <tableColumn id="2" xr3:uid="{F755BC68-D964-4CAC-931E-743BC7DC2A6D}" name="Region">
      <calculatedColumnFormula>Table_SourceData_Scope3_Feed[[#This Row],[Region of origin]]</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DD07001E-420D-419E-AA00-49F62462BF8A}"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886DE656-E892-43CD-B458-08542901BB79}" name="Product">
      <calculatedColumnFormula>Table_SourceData_Scope3_Feed[[#This Row],[Product]]</calculatedColumnFormula>
    </tableColumn>
    <tableColumn id="2" xr3:uid="{275108B7-5438-41F5-9EC9-A99CBDC99A08}" name="Region">
      <calculatedColumnFormula>Table_SourceData_Scope3_Feed[[#This Row],[Region of origin]]</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80FB8945-8BE8-4183-A48A-C7628BADE188}" name="Table_ProductRegions_Maizegrain" displayName="Table_ProductRegions_Maizegrain" ref="K98:L105" totalsRowShown="0" headerRowDxfId="138" headerRowCellStyle="Content normal">
  <autoFilter ref="K98:L105" xr:uid="{70F320A7-5DBE-4A83-91E4-C9B3BDA564BD}">
    <filterColumn colId="0" hiddenButton="1"/>
    <filterColumn colId="1" hiddenButton="1"/>
  </autoFilter>
  <tableColumns count="2">
    <tableColumn id="1" xr3:uid="{A0B6423D-BC7A-4677-A20C-F37FB3ADED02}" name="Product">
      <calculatedColumnFormula>Table_SourceData_Scope3_Feed[[#This Row],[Product]]</calculatedColumnFormula>
    </tableColumn>
    <tableColumn id="2" xr3:uid="{E733D9A0-C502-4416-B4C5-5527B73A437C}" name="Region">
      <calculatedColumnFormula>Table_SourceData_Scope3_Feed[[#This Row],[Region of origin]]</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8AB5D32-9495-497E-9068-CA17DA3913FB}" name="Table_ProductRegions_Sorghumgrain" displayName="Table_ProductRegions_Sorghumgrain" ref="N105:O110" totalsRowShown="0" headerRowDxfId="137" headerRowCellStyle="Content normal">
  <autoFilter ref="N105:O110" xr:uid="{90205417-8A77-41A3-A4E2-624BD92B7269}">
    <filterColumn colId="0" hiddenButton="1"/>
    <filterColumn colId="1" hiddenButton="1"/>
  </autoFilter>
  <tableColumns count="2">
    <tableColumn id="1" xr3:uid="{19026D9D-2F2B-4396-8B21-9651B5CE8432}" name="Product">
      <calculatedColumnFormula>Table_SourceData_Scope3_Feed[[#This Row],[Product]]</calculatedColumnFormula>
    </tableColumn>
    <tableColumn id="2" xr3:uid="{EF39583C-C365-4553-8660-00D1243B8BB0}" name="Region">
      <calculatedColumnFormula>Table_SourceData_Scope3_Feed[[#This Row],[Region of origin]]</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A95B782E-2BAF-4C65-AF04-E289E793CECC}" name="Table_ProductRegions_Wheatgrain" displayName="Table_ProductRegions_Wheatgrain" ref="K110:L118" totalsRowShown="0" headerRowDxfId="136" headerRowCellStyle="Content normal">
  <autoFilter ref="K110:L118" xr:uid="{9DD7D3AD-59A1-48FC-B80D-99C25A2A79F5}">
    <filterColumn colId="0" hiddenButton="1"/>
    <filterColumn colId="1" hiddenButton="1"/>
  </autoFilter>
  <tableColumns count="2">
    <tableColumn id="1" xr3:uid="{CD6D8955-5C23-4101-B6DB-34BB12EC17E8}" name="Product">
      <calculatedColumnFormula>Table_SourceData_Scope3_Feed[[#This Row],[Product]]</calculatedColumnFormula>
    </tableColumn>
    <tableColumn id="2" xr3:uid="{C8016B22-C67E-414A-95AF-B26A8064B5F2}" name="Region">
      <calculatedColumnFormula>Table_SourceData_Scope3_Feed[[#This Row],[Region of origin]]</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EC08CB6F-04E3-4DD5-BFF3-94DF1C1F86EB}"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372AA53E-C86D-4161-8C85-1C4F174F25B9}" name="Product">
      <calculatedColumnFormula>Table_SourceData_Scope3_Feed[[#This Row],[Product]]</calculatedColumnFormula>
    </tableColumn>
    <tableColumn id="2" xr3:uid="{FACF6683-9F9D-4F11-92C7-B80D24F01204}" name="Region">
      <calculatedColumnFormula>Table_SourceData_Scope3_Feed[[#This Row],[Region of origin]]</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32A64DDE-9568-416A-9A1C-42243876293C}"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7BB58847-573C-424B-9031-26B752277DB9}" name="Product">
      <calculatedColumnFormula>Table_SourceData_Scope3_Feed[[#This Row],[Product]]</calculatedColumnFormula>
    </tableColumn>
    <tableColumn id="2" xr3:uid="{AAC61893-6B80-4CA8-B137-5C088830B51C}" name="Region">
      <calculatedColumnFormula>Table_SourceData_Scope3_Feed[[#This Row],[Region of origin]]</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09BDC283-7761-4456-9762-0950AED5A092}"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45D896D5-29CD-4398-8DF9-BCA6D27529CB}" name="Product">
      <calculatedColumnFormula>Table_SourceData_Scope3_Feed[[#This Row],[Product]]</calculatedColumnFormula>
    </tableColumn>
    <tableColumn id="2" xr3:uid="{4FBA134D-44F6-406F-99FF-FA7897314D7D}" name="Region">
      <calculatedColumnFormula>Table_SourceData_Scope3_Feed[[#This Row],[Region of origin]]</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4FAFE680-8C27-467D-BAA7-5A08B4305988}"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30A8C009-23FE-4687-B546-4519C9C15AFA}" name="Product">
      <calculatedColumnFormula>Table_SourceData_Scope3_Feed[[#This Row],[Product]]</calculatedColumnFormula>
    </tableColumn>
    <tableColumn id="2" xr3:uid="{1C8A4549-B0EC-4590-BC49-F525BE34FC81}" name="Region">
      <calculatedColumnFormula>Table_SourceData_Scope3_Feed[[#This Row],[Region of origin]]</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16532B22-4400-4073-ABD8-1885FFCC621A}"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5BD41C89-80A8-4FE1-9A3F-65028AA98E2E}" name="Product">
      <calculatedColumnFormula>Table_SourceData_Scope3_Feed[[#This Row],[Product]]</calculatedColumnFormula>
    </tableColumn>
    <tableColumn id="2" xr3:uid="{2BFC2E7C-28E6-4625-80EF-0F540D24F3E9}" name="Region">
      <calculatedColumnFormula>Table_SourceData_Scope3_Feed[[#This Row],[Region of origin]]</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9FD9FC48-ECD7-4EE3-BF52-90FCA4EFE509}" name="Table_ProductRegions_Canolameal" displayName="Table_ProductRegions_Canolameal" ref="K151:L152" totalsRowShown="0" headerRowDxfId="135" headerRowCellStyle="Content normal" dataCellStyle="Content normal">
  <autoFilter ref="K151:L152" xr:uid="{58F78B6F-294E-4D4E-8E3B-BFE4FA85583E}">
    <filterColumn colId="0" hiddenButton="1"/>
    <filterColumn colId="1" hiddenButton="1"/>
  </autoFilter>
  <tableColumns count="2">
    <tableColumn id="1" xr3:uid="{4B0A2F49-2DCA-46FE-8554-6AC922FD20AC}" name="Product" dataCellStyle="Content normal">
      <calculatedColumnFormula>Table_SourceData_Scope3_Feed[[#This Row],[Product]]</calculatedColumnFormula>
    </tableColumn>
    <tableColumn id="2" xr3:uid="{635154AD-F950-4483-AA33-7E3D1011D24C}"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4D9CFE13-EB52-41E6-A0A2-B0C20F855959}"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F4675323-852B-4A88-A227-B4016748232F}" name="Product">
      <calculatedColumnFormula>Table_SourceData_Scope3_Feed[[#This Row],[Product]]</calculatedColumnFormula>
    </tableColumn>
    <tableColumn id="2" xr3:uid="{C171482D-2185-4C06-8DD0-7CC4E782808B}" name="Region">
      <calculatedColumnFormula>Table_SourceData_Scope3_Feed[[#This Row],[Region of origin]]</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A99CC838-F82E-4382-B83A-30A54AD01304}"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91F16890-C469-46DE-B848-1A96B64CEB0A}" name="Product">
      <calculatedColumnFormula>Table_SourceData_Scope3_Feed[[#This Row],[Product]]</calculatedColumnFormula>
    </tableColumn>
    <tableColumn id="2" xr3:uid="{1369ECD2-A33E-4F65-A4C7-BC0F7EB9C4A9}" name="Region">
      <calculatedColumnFormula>Table_SourceData_Scope3_Feed[[#This Row],[Region of origin]]</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2D37962C-617D-42C4-8118-EE981CFE0072}"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9B685751-0A2F-4E4C-9C2E-D3A64662A51A}" name="Product">
      <calculatedColumnFormula>Table_SourceData_Scope3_Feed[[#This Row],[Product]]</calculatedColumnFormula>
    </tableColumn>
    <tableColumn id="2" xr3:uid="{EB8C3E4E-D7E7-4C5B-89BF-BE26450169CA}" name="Region">
      <calculatedColumnFormula>Table_SourceData_Scope3_Feed[[#This Row],[Region of origin]]</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BFE544B4-2C2C-4EA6-957C-3DBCB94DEE6D}"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A3BDB53F-698C-4A15-8755-514D19D5319B}" name="Product">
      <calculatedColumnFormula>Table_SourceData_Scope3_Feed[[#This Row],[Product]]</calculatedColumnFormula>
    </tableColumn>
    <tableColumn id="2" xr3:uid="{985C95F6-BD05-40EE-BFED-DA3AB2E206DF}" name="Region">
      <calculatedColumnFormula>Table_SourceData_Scope3_Feed[[#This Row],[Region of origin]]</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7D54B1E3-05D9-40E6-A494-10D5FD00DD04}"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392DEFC2-E01C-424B-A81C-7BF73C7AE82D}" name="Product">
      <calculatedColumnFormula>Table_SourceData_Scope3_Feed[[#This Row],[Product]]</calculatedColumnFormula>
    </tableColumn>
    <tableColumn id="2" xr3:uid="{7BCCC6B0-7AC3-488E-B423-E48213C16610}" name="Region">
      <calculatedColumnFormula>Table_SourceData_Scope3_Feed[[#This Row],[Region of origin]]</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81A58932-E05C-4A27-8551-0C8E46F1B6E7}"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D4FD75C5-3D11-413A-AC77-D3056536E42F}" name="Product">
      <calculatedColumnFormula>Table_SourceData_Scope3_Feed[[#This Row],[Product]]</calculatedColumnFormula>
    </tableColumn>
    <tableColumn id="2" xr3:uid="{354D4693-0F34-4736-8F14-AAE287A25E41}" name="Region">
      <calculatedColumnFormula>Table_SourceData_Scope3_Feed[[#This Row],[Region of origin]]</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9D09511F-F02D-4FCE-A715-7492D221F2DB}"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AE1F88D3-6A04-47B5-A6E1-DAB7FD9026D0}" name="Product">
      <calculatedColumnFormula>Table_SourceData_Scope3_Feed[[#This Row],[Product]]</calculatedColumnFormula>
    </tableColumn>
    <tableColumn id="2" xr3:uid="{1CEC72C1-BE5F-4480-97F9-C6191408D4D0}" name="Region">
      <calculatedColumnFormula>Table_SourceData_Scope3_Feed[[#This Row],[Region of origin]]</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6002A406-7EC2-4F5B-A040-F133848DA01B}" name="Table_ProductRegions_Beefcattle" displayName="Table_ProductRegions_Beefcattle" ref="K33:L49" totalsRowShown="0">
  <autoFilter ref="K33:L49" xr:uid="{77539992-728B-4655-965B-FB28372E4BBC}">
    <filterColumn colId="0" hiddenButton="1"/>
    <filterColumn colId="1" hiddenButton="1"/>
  </autoFilter>
  <tableColumns count="2">
    <tableColumn id="1" xr3:uid="{83C3FF1E-D8A8-4E1C-9AA7-C87E345CB656}" name="Region"/>
    <tableColumn id="2" xr3:uid="{34E97D43-781A-4527-A185-D4B2A2CE2941}" name="Scope3 regio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134"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133"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132"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131"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130"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129"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128"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127"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126"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125"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124"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123"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122"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121"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120"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119"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118">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117"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116"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115"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1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1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1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1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1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10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10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10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10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10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10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10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10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10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100"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99"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72CA394-40F8-4109-9DFE-E9F65A565B86}"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6AB30086-B6C6-4AC5-83B4-E859BBFCB30D}" name="Description"/>
    <tableColumn id="5" xr3:uid="{839DF22F-3870-4D81-963D-401DBB559B79}" name="Treatment type (select)" dataCellStyle="Input select"/>
    <tableColumn id="2" xr3:uid="{B96ACB13-063D-464A-BF48-6BBB29757DB4}" name="Waste type (select)" dataCellStyle="Input select"/>
    <tableColumn id="3" xr3:uid="{1B8973F7-2945-4BC8-9FBC-375C45B2DA26}" name="Treatment location (select)" dataCellStyle="Input select"/>
    <tableColumn id="4" xr3:uid="{58DB5605-F4B4-464B-B083-16472847D87A}" name="Amount" dataCellStyle="Input number general"/>
    <tableColumn id="7" xr3:uid="{7DBE0B0E-05D6-4A51-A674-C9B509F2832B}" name="Amount unit (select)" dataCellStyle="Input select"/>
  </tableColumns>
  <tableStyleInfo name="Editable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C8501F3A-74BE-426F-A2AC-87A049B12013}"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0BA4E90C-266C-431C-BAA5-2F2EC362E5FB}"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37DCC9F9-7E03-4606-B247-467C7770DD04}" name="Waste type w" dataDxfId="98"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DD184280-96F3-4D6E-B314-91EE9C0137F7}" name="EFwt" dataDxfId="97"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D73C0DC8-14EA-4444-8D3D-145FC065D800}" name="EF source" dataDxfId="96"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53FF951B-556F-41B2-AA16-B714D6C070E9}"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BE527EDA-4649-446D-B8D3-833486D49AC7}"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32D05486-0E51-441C-BBB8-75759F25DB0D}" name="VTMw" dataDxfId="95"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8E2DE879-7EB7-497E-B3B8-AB920A9BC044}" name="Table_WasteTypes_Landfill" displayName="Table_WasteTypes_Landfill" ref="I16:I27" totalsRowShown="0">
  <autoFilter ref="I16:I27" xr:uid="{99B942E3-1D24-4166-921C-DCC10960718D}">
    <filterColumn colId="0" hiddenButton="1"/>
  </autoFilter>
  <tableColumns count="1">
    <tableColumn id="1" xr3:uid="{0D85264A-2376-46C3-B97B-0A8BEAC56EE4}"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60EB3103-64E1-4A12-8D9D-70742B520291}" name="Table_WasteTypes_Incineration" displayName="Table_WasteTypes_Incineration" ref="K16:K26" totalsRowShown="0" headerRowDxfId="94" headerRowCellStyle="Content normal" dataCellStyle="Content normal">
  <autoFilter ref="K16:K26" xr:uid="{9A900595-7035-4239-9059-ACC16835BF72}">
    <filterColumn colId="0" hiddenButton="1"/>
  </autoFilter>
  <tableColumns count="1">
    <tableColumn id="1" xr3:uid="{8DF73300-ECD6-4157-AB17-F0F859812DED}" name="Waste type w" dataCellStyle="Content normal">
      <calculatedColumnFormula>E29</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78840375-6821-4F61-BB6D-F118E108FA88}" name="Table_WasteTypes_Composting" displayName="Table_WasteTypes_Composting" ref="M16:M21" totalsRowShown="0" headerRowDxfId="93" headerRowCellStyle="Content normal" dataCellStyle="Content normal">
  <autoFilter ref="M16:M21" xr:uid="{5C8D39D3-1330-49EB-B431-1B2B8C8238DC}">
    <filterColumn colId="0" hiddenButton="1"/>
  </autoFilter>
  <tableColumns count="1">
    <tableColumn id="1" xr3:uid="{B2CD7994-1E9E-4F2B-A0CE-8E4FE1742691}" name="Waste type w" totalsRowDxfId="92" dataCellStyle="Content normal">
      <calculatedColumnFormula>E40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981D36DD-C950-4604-AF79-AE674BAA51CD}" name="Table_WasteTypes_Anaerobicdigestion" displayName="Table_WasteTypes_Anaerobicdigestion" ref="O16:O21" totalsRowShown="0" headerRowDxfId="91" headerRowCellStyle="Content normal" dataCellStyle="Content normal">
  <autoFilter ref="O16:O21" xr:uid="{331EC43E-DF68-429F-A2A4-58BFE6216EC3}">
    <filterColumn colId="0" hiddenButton="1"/>
  </autoFilter>
  <tableColumns count="1">
    <tableColumn id="1" xr3:uid="{EE7C4EF4-33E2-4A57-B81F-02B2B5F90A65}" name="Waste type w" totalsRowDxfId="90" dataCellStyle="Content normal">
      <calculatedColumnFormula>E46</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7649AEA-C2DD-4CCE-BD78-4E4A60F15D78}" name="Table_Input_DataQuality" displayName="Table_Input_DataQuality" ref="D6:J7" totalsRowShown="0" headerRowCellStyle="Input table column header">
  <autoFilter ref="D6:J7" xr:uid="{13023411-FAD9-40B6-9366-7826422CBF8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B799515-1F1B-4AE1-8F47-AC88A112B8CE}" name="Input"/>
    <tableColumn id="2" xr3:uid="{8535F768-469F-42DB-AAAD-169DD3466D32}" name="Temporal representativeness" dataCellStyle="Input select"/>
    <tableColumn id="3" xr3:uid="{70F0E24C-A562-4808-B220-08FECACD0EE0}" name="Spatial resolution" dataCellStyle="Input select"/>
    <tableColumn id="4" xr3:uid="{C065CEE9-AC62-4E8F-B2FA-5FF9E257FA69}" name="Sample size" dataCellStyle="Input select"/>
    <tableColumn id="5" xr3:uid="{B98A3180-26B3-4A83-89BA-CF24C357F14F}" name="Notes"/>
    <tableColumn id="6" xr3:uid="{7348AD86-FB45-4668-8E55-755F6163055F}" name="Evidence files"/>
    <tableColumn id="7" xr3:uid="{B1144A54-FC6A-46C0-9F58-238AA33F3565}" name="Score" dataCellStyle="Input number general calculated"/>
  </tableColumns>
  <tableStyleInfo name="Editable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3.bin"/><Relationship Id="rId5" Type="http://schemas.openxmlformats.org/officeDocument/2006/relationships/table" Target="../tables/table4.xml"/><Relationship Id="rId4" Type="http://schemas.openxmlformats.org/officeDocument/2006/relationships/table" Target="../tables/table3.xml"/></Relationships>
</file>

<file path=xl/worksheets/_rels/sheet8.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printerSettings" Target="../printerSettings/printerSettings6.bin"/><Relationship Id="rId4"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28.xml.rels><?xml version="1.0" encoding="UTF-8" standalone="yes"?>
<Relationships xmlns="http://schemas.openxmlformats.org/package/2006/relationships"><Relationship Id="rId8" Type="http://schemas.openxmlformats.org/officeDocument/2006/relationships/table" Target="../tables/table20.xml"/><Relationship Id="rId3" Type="http://schemas.openxmlformats.org/officeDocument/2006/relationships/table" Target="../tables/table15.xml"/><Relationship Id="rId7" Type="http://schemas.openxmlformats.org/officeDocument/2006/relationships/table" Target="../tables/table19.xml"/><Relationship Id="rId2" Type="http://schemas.openxmlformats.org/officeDocument/2006/relationships/table" Target="../tables/table14.xml"/><Relationship Id="rId1" Type="http://schemas.openxmlformats.org/officeDocument/2006/relationships/printerSettings" Target="../printerSettings/printerSettings19.bin"/><Relationship Id="rId6" Type="http://schemas.openxmlformats.org/officeDocument/2006/relationships/table" Target="../tables/table18.xml"/><Relationship Id="rId5" Type="http://schemas.openxmlformats.org/officeDocument/2006/relationships/table" Target="../tables/table17.xml"/><Relationship Id="rId4" Type="http://schemas.openxmlformats.org/officeDocument/2006/relationships/table" Target="../tables/table16.xml"/><Relationship Id="rId9" Type="http://schemas.openxmlformats.org/officeDocument/2006/relationships/table" Target="../tables/table21.xml"/></Relationships>
</file>

<file path=xl/worksheets/_rels/sheet29.xml.rels><?xml version="1.0" encoding="UTF-8" standalone="yes"?>
<Relationships xmlns="http://schemas.openxmlformats.org/package/2006/relationships"><Relationship Id="rId3" Type="http://schemas.openxmlformats.org/officeDocument/2006/relationships/table" Target="../tables/table23.xml"/><Relationship Id="rId7" Type="http://schemas.openxmlformats.org/officeDocument/2006/relationships/table" Target="../tables/table27.xml"/><Relationship Id="rId2" Type="http://schemas.openxmlformats.org/officeDocument/2006/relationships/table" Target="../tables/table22.xml"/><Relationship Id="rId1" Type="http://schemas.openxmlformats.org/officeDocument/2006/relationships/printerSettings" Target="../printerSettings/printerSettings20.bin"/><Relationship Id="rId6" Type="http://schemas.openxmlformats.org/officeDocument/2006/relationships/table" Target="../tables/table26.xml"/><Relationship Id="rId5" Type="http://schemas.openxmlformats.org/officeDocument/2006/relationships/table" Target="../tables/table25.xml"/><Relationship Id="rId4" Type="http://schemas.openxmlformats.org/officeDocument/2006/relationships/table" Target="../tables/table24.xml"/></Relationships>
</file>

<file path=xl/worksheets/_rels/sheet30.xml.rels><?xml version="1.0" encoding="UTF-8" standalone="yes"?>
<Relationships xmlns="http://schemas.openxmlformats.org/package/2006/relationships"><Relationship Id="rId2" Type="http://schemas.openxmlformats.org/officeDocument/2006/relationships/table" Target="../tables/table29.xml"/><Relationship Id="rId1" Type="http://schemas.openxmlformats.org/officeDocument/2006/relationships/table" Target="../tables/table28.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36.xml"/><Relationship Id="rId3" Type="http://schemas.openxmlformats.org/officeDocument/2006/relationships/table" Target="../tables/table31.xml"/><Relationship Id="rId7" Type="http://schemas.openxmlformats.org/officeDocument/2006/relationships/table" Target="../tables/table35.xml"/><Relationship Id="rId12" Type="http://schemas.openxmlformats.org/officeDocument/2006/relationships/table" Target="../tables/table40.xml"/><Relationship Id="rId2" Type="http://schemas.openxmlformats.org/officeDocument/2006/relationships/table" Target="../tables/table30.xml"/><Relationship Id="rId1" Type="http://schemas.openxmlformats.org/officeDocument/2006/relationships/printerSettings" Target="../printerSettings/printerSettings21.bin"/><Relationship Id="rId6" Type="http://schemas.openxmlformats.org/officeDocument/2006/relationships/table" Target="../tables/table34.xml"/><Relationship Id="rId11" Type="http://schemas.openxmlformats.org/officeDocument/2006/relationships/table" Target="../tables/table39.xml"/><Relationship Id="rId5" Type="http://schemas.openxmlformats.org/officeDocument/2006/relationships/table" Target="../tables/table33.xml"/><Relationship Id="rId10" Type="http://schemas.openxmlformats.org/officeDocument/2006/relationships/table" Target="../tables/table38.xml"/><Relationship Id="rId4" Type="http://schemas.openxmlformats.org/officeDocument/2006/relationships/table" Target="../tables/table32.xml"/><Relationship Id="rId9" Type="http://schemas.openxmlformats.org/officeDocument/2006/relationships/table" Target="../tables/table37.xml"/></Relationships>
</file>

<file path=xl/worksheets/_rels/sheet32.xml.rels><?xml version="1.0" encoding="UTF-8" standalone="yes"?>
<Relationships xmlns="http://schemas.openxmlformats.org/package/2006/relationships"><Relationship Id="rId3" Type="http://schemas.openxmlformats.org/officeDocument/2006/relationships/table" Target="../tables/table43.xml"/><Relationship Id="rId7" Type="http://schemas.openxmlformats.org/officeDocument/2006/relationships/table" Target="../tables/table47.xml"/><Relationship Id="rId2" Type="http://schemas.openxmlformats.org/officeDocument/2006/relationships/table" Target="../tables/table42.xml"/><Relationship Id="rId1" Type="http://schemas.openxmlformats.org/officeDocument/2006/relationships/table" Target="../tables/table41.xml"/><Relationship Id="rId6" Type="http://schemas.openxmlformats.org/officeDocument/2006/relationships/table" Target="../tables/table46.xml"/><Relationship Id="rId5" Type="http://schemas.openxmlformats.org/officeDocument/2006/relationships/table" Target="../tables/table45.xml"/><Relationship Id="rId4" Type="http://schemas.openxmlformats.org/officeDocument/2006/relationships/table" Target="../tables/table44.xml"/></Relationships>
</file>

<file path=xl/worksheets/_rels/sheet33.xml.rels><?xml version="1.0" encoding="UTF-8" standalone="yes"?>
<Relationships xmlns="http://schemas.openxmlformats.org/package/2006/relationships"><Relationship Id="rId8" Type="http://schemas.openxmlformats.org/officeDocument/2006/relationships/table" Target="../tables/table55.xml"/><Relationship Id="rId13" Type="http://schemas.openxmlformats.org/officeDocument/2006/relationships/table" Target="../tables/table60.xml"/><Relationship Id="rId18" Type="http://schemas.openxmlformats.org/officeDocument/2006/relationships/table" Target="../tables/table65.xml"/><Relationship Id="rId26" Type="http://schemas.openxmlformats.org/officeDocument/2006/relationships/table" Target="../tables/table73.xml"/><Relationship Id="rId3" Type="http://schemas.openxmlformats.org/officeDocument/2006/relationships/table" Target="../tables/table50.xml"/><Relationship Id="rId21" Type="http://schemas.openxmlformats.org/officeDocument/2006/relationships/table" Target="../tables/table68.xml"/><Relationship Id="rId7" Type="http://schemas.openxmlformats.org/officeDocument/2006/relationships/table" Target="../tables/table54.xml"/><Relationship Id="rId12" Type="http://schemas.openxmlformats.org/officeDocument/2006/relationships/table" Target="../tables/table59.xml"/><Relationship Id="rId17" Type="http://schemas.openxmlformats.org/officeDocument/2006/relationships/table" Target="../tables/table64.xml"/><Relationship Id="rId25" Type="http://schemas.openxmlformats.org/officeDocument/2006/relationships/table" Target="../tables/table72.xml"/><Relationship Id="rId2" Type="http://schemas.openxmlformats.org/officeDocument/2006/relationships/table" Target="../tables/table49.xml"/><Relationship Id="rId16" Type="http://schemas.openxmlformats.org/officeDocument/2006/relationships/table" Target="../tables/table63.xml"/><Relationship Id="rId20" Type="http://schemas.openxmlformats.org/officeDocument/2006/relationships/table" Target="../tables/table67.xml"/><Relationship Id="rId29" Type="http://schemas.openxmlformats.org/officeDocument/2006/relationships/table" Target="../tables/table76.xml"/><Relationship Id="rId1" Type="http://schemas.openxmlformats.org/officeDocument/2006/relationships/table" Target="../tables/table48.xml"/><Relationship Id="rId6" Type="http://schemas.openxmlformats.org/officeDocument/2006/relationships/table" Target="../tables/table53.xml"/><Relationship Id="rId11" Type="http://schemas.openxmlformats.org/officeDocument/2006/relationships/table" Target="../tables/table58.xml"/><Relationship Id="rId24" Type="http://schemas.openxmlformats.org/officeDocument/2006/relationships/table" Target="../tables/table71.xml"/><Relationship Id="rId5" Type="http://schemas.openxmlformats.org/officeDocument/2006/relationships/table" Target="../tables/table52.xml"/><Relationship Id="rId15" Type="http://schemas.openxmlformats.org/officeDocument/2006/relationships/table" Target="../tables/table62.xml"/><Relationship Id="rId23" Type="http://schemas.openxmlformats.org/officeDocument/2006/relationships/table" Target="../tables/table70.xml"/><Relationship Id="rId28" Type="http://schemas.openxmlformats.org/officeDocument/2006/relationships/table" Target="../tables/table75.xml"/><Relationship Id="rId10" Type="http://schemas.openxmlformats.org/officeDocument/2006/relationships/table" Target="../tables/table57.xml"/><Relationship Id="rId19" Type="http://schemas.openxmlformats.org/officeDocument/2006/relationships/table" Target="../tables/table66.xml"/><Relationship Id="rId4" Type="http://schemas.openxmlformats.org/officeDocument/2006/relationships/table" Target="../tables/table51.xml"/><Relationship Id="rId9" Type="http://schemas.openxmlformats.org/officeDocument/2006/relationships/table" Target="../tables/table56.xml"/><Relationship Id="rId14" Type="http://schemas.openxmlformats.org/officeDocument/2006/relationships/table" Target="../tables/table61.xml"/><Relationship Id="rId22" Type="http://schemas.openxmlformats.org/officeDocument/2006/relationships/table" Target="../tables/table69.xml"/><Relationship Id="rId27" Type="http://schemas.openxmlformats.org/officeDocument/2006/relationships/table" Target="../tables/table74.xml"/><Relationship Id="rId30" Type="http://schemas.openxmlformats.org/officeDocument/2006/relationships/table" Target="../tables/table77.xml"/></Relationships>
</file>

<file path=xl/worksheets/_rels/sheet34.xml.rels><?xml version="1.0" encoding="UTF-8" standalone="yes"?>
<Relationships xmlns="http://schemas.openxmlformats.org/package/2006/relationships"><Relationship Id="rId8" Type="http://schemas.openxmlformats.org/officeDocument/2006/relationships/table" Target="../tables/table84.xml"/><Relationship Id="rId13" Type="http://schemas.openxmlformats.org/officeDocument/2006/relationships/table" Target="../tables/table89.xml"/><Relationship Id="rId18" Type="http://schemas.openxmlformats.org/officeDocument/2006/relationships/table" Target="../tables/table94.xml"/><Relationship Id="rId3" Type="http://schemas.openxmlformats.org/officeDocument/2006/relationships/table" Target="../tables/table79.xml"/><Relationship Id="rId7" Type="http://schemas.openxmlformats.org/officeDocument/2006/relationships/table" Target="../tables/table83.xml"/><Relationship Id="rId12" Type="http://schemas.openxmlformats.org/officeDocument/2006/relationships/table" Target="../tables/table88.xml"/><Relationship Id="rId17" Type="http://schemas.openxmlformats.org/officeDocument/2006/relationships/table" Target="../tables/table93.xml"/><Relationship Id="rId2" Type="http://schemas.openxmlformats.org/officeDocument/2006/relationships/table" Target="../tables/table78.xml"/><Relationship Id="rId16" Type="http://schemas.openxmlformats.org/officeDocument/2006/relationships/table" Target="../tables/table92.xml"/><Relationship Id="rId1" Type="http://schemas.openxmlformats.org/officeDocument/2006/relationships/printerSettings" Target="../printerSettings/printerSettings22.bin"/><Relationship Id="rId6" Type="http://schemas.openxmlformats.org/officeDocument/2006/relationships/table" Target="../tables/table82.xml"/><Relationship Id="rId11" Type="http://schemas.openxmlformats.org/officeDocument/2006/relationships/table" Target="../tables/table87.xml"/><Relationship Id="rId5" Type="http://schemas.openxmlformats.org/officeDocument/2006/relationships/table" Target="../tables/table81.xml"/><Relationship Id="rId15" Type="http://schemas.openxmlformats.org/officeDocument/2006/relationships/table" Target="../tables/table91.xml"/><Relationship Id="rId10" Type="http://schemas.openxmlformats.org/officeDocument/2006/relationships/table" Target="../tables/table86.xml"/><Relationship Id="rId4" Type="http://schemas.openxmlformats.org/officeDocument/2006/relationships/table" Target="../tables/table80.xml"/><Relationship Id="rId9" Type="http://schemas.openxmlformats.org/officeDocument/2006/relationships/table" Target="../tables/table85.xml"/><Relationship Id="rId14" Type="http://schemas.openxmlformats.org/officeDocument/2006/relationships/table" Target="../tables/table90.xml"/></Relationships>
</file>

<file path=xl/worksheets/_rels/sheet35.xml.rels><?xml version="1.0" encoding="UTF-8" standalone="yes"?>
<Relationships xmlns="http://schemas.openxmlformats.org/package/2006/relationships"><Relationship Id="rId2" Type="http://schemas.openxmlformats.org/officeDocument/2006/relationships/table" Target="../tables/table95.xml"/><Relationship Id="rId1" Type="http://schemas.openxmlformats.org/officeDocument/2006/relationships/printerSettings" Target="../printerSettings/printerSettings23.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3" Type="http://schemas.openxmlformats.org/officeDocument/2006/relationships/table" Target="../tables/table97.xml"/><Relationship Id="rId7" Type="http://schemas.openxmlformats.org/officeDocument/2006/relationships/table" Target="../tables/table101.xml"/><Relationship Id="rId2" Type="http://schemas.openxmlformats.org/officeDocument/2006/relationships/table" Target="../tables/table96.xml"/><Relationship Id="rId1" Type="http://schemas.openxmlformats.org/officeDocument/2006/relationships/printerSettings" Target="../printerSettings/printerSettings25.bin"/><Relationship Id="rId6" Type="http://schemas.openxmlformats.org/officeDocument/2006/relationships/table" Target="../tables/table100.xml"/><Relationship Id="rId5" Type="http://schemas.openxmlformats.org/officeDocument/2006/relationships/table" Target="../tables/table99.xml"/><Relationship Id="rId4" Type="http://schemas.openxmlformats.org/officeDocument/2006/relationships/table" Target="../tables/table98.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10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50"/>
  <sheetViews>
    <sheetView workbookViewId="0" zoomScale="100" zoomScaleNormal="100">
      <selection activeCell="A50" sqref="A50"/>
    </sheetView>
  </sheetViews>
  <sheetFormatPr defaultRowHeight="15" x14ac:dyDescent="0.25"/>
  <sheetData>
    <row r="1" spans="1:1" ht="25.5" x14ac:dyDescent="0.35">
      <c r="A1" s="16" t="e" vm="1">
        <v>#VALUE!</v>
      </c>
    </row>
    <row r="3" spans="1:1" ht="15.75" x14ac:dyDescent="0.25">
      <c r="A3" s="259" t="str">
        <f>HYPERLINK("#'Home'!A1", "Home")</f>
        <v>Home</v>
      </c>
    </row>
    <row r="4" spans="1:1" ht="15.75" x14ac:dyDescent="0.25">
      <c r="A4" s="5" t="str">
        <f>HYPERLINK("#'Overview'!A1", "Overview")</f>
        <v>Overview</v>
      </c>
    </row>
    <row r="5" spans="1:1" ht="15.75" x14ac:dyDescent="0.25">
      <c r="A5" s="5" t="str">
        <f>HYPERLINK("#'Results'!A1", "Results")</f>
        <v>Results</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Crop'!A1", "Crop")</f>
        <v>Crop</v>
      </c>
    </row>
    <row r="12" spans="1:1" ht="15.75" x14ac:dyDescent="0.25">
      <c r="A12" s="5" t="str">
        <f>HYPERLINK("#'Input - Fert Prod System'!A1", "Fert Prod System")</f>
        <v>Fert Prod System</v>
      </c>
    </row>
    <row r="13" spans="1:1" ht="15.75" x14ac:dyDescent="0.25">
      <c r="A13" s="5" t="str">
        <f>HYPERLINK("#'Input - Fertiliser'!A1", "Fertiliser")</f>
        <v>Fertiliser</v>
      </c>
    </row>
    <row r="14" spans="1:1" ht="15.75" x14ac:dyDescent="0.25">
      <c r="A14" s="5" t="str">
        <f>HYPERLINK("#'Input - Fuel'!A1", "Fuel")</f>
        <v>Fuel</v>
      </c>
    </row>
    <row r="15" spans="1:1" ht="15.75" x14ac:dyDescent="0.25">
      <c r="A15" s="5" t="str">
        <f>HYPERLINK("#'Input - Electricity'!A1", "Electricity")</f>
        <v>Electricity</v>
      </c>
    </row>
    <row r="16" spans="1:1" ht="15.75" x14ac:dyDescent="0.25">
      <c r="A16" s="5" t="str">
        <f>HYPERLINK("#'Input - Common farm inputs'!A1", "Common farm inputs")</f>
        <v>Common farm inputs</v>
      </c>
    </row>
    <row r="17" spans="1:1" ht="15.75" x14ac:dyDescent="0.25">
      <c r="A17" s="5" t="str">
        <f>HYPERLINK("#'Input - Crop pasture farm input'!A1", "Crop pasture farm input")</f>
        <v>Crop pasture farm input</v>
      </c>
    </row>
    <row r="18" spans="1:1" ht="15.75" x14ac:dyDescent="0.25">
      <c r="A18" s="5" t="str">
        <f>HYPERLINK("#'Input - Freight'!A1", "Freight")</f>
        <v>Freight</v>
      </c>
    </row>
    <row r="19" spans="1:1" ht="15.75" x14ac:dyDescent="0.25">
      <c r="A19" s="5" t="str">
        <f>HYPERLINK("#'Input - Manure sent off-site'!A1", "Manure sent off-site")</f>
        <v>Manure sent off-site</v>
      </c>
    </row>
    <row r="20" spans="1:1" ht="15.75" x14ac:dyDescent="0.25">
      <c r="A20" s="5" t="str">
        <f>HYPERLINK("#'Input - Solid waste'!A1", "Solid waste")</f>
        <v>Solid waste</v>
      </c>
    </row>
    <row r="21" spans="1:1" ht="15.75" x14ac:dyDescent="0.25">
      <c r="A21" s="5" t="str">
        <f>HYPERLINK("#'Input - Data quality'!A1", "Data quality")</f>
        <v>Data quality</v>
      </c>
    </row>
    <row r="24" spans="1:1" x14ac:dyDescent="0.25">
      <c r="A24" s="6" t="s">
        <v>2</v>
      </c>
    </row>
    <row r="25" spans="1:1" ht="15.75" x14ac:dyDescent="0.25">
      <c r="A25" s="5" t="str">
        <f>HYPERLINK("#'5.1.1.1-2 Inorganic fert N2O'!A1", "5.1.1.1-2 Inorganic fert N2O")</f>
        <v>5.1.1.1-2 Inorganic fert N2O</v>
      </c>
    </row>
    <row r="26" spans="1:1" ht="15.75" x14ac:dyDescent="0.25">
      <c r="A26" s="5" t="str">
        <f>HYPERLINK("#'5.1.1.3-4 Inorganic fert CO2'!A1", "5.1.1.3-4 Inorganic fert CO2")</f>
        <v>5.1.1.3-4 Inorganic fert CO2</v>
      </c>
    </row>
    <row r="27" spans="1:1" ht="15.75" x14ac:dyDescent="0.25">
      <c r="A27" s="5" t="str">
        <f>HYPERLINK("#'5.2.1.1-2 Organic Fert N2O'!A1", "5.2.1.1-2 Organic fert N2O")</f>
        <v>5.2.1.1-2 Organic fert N2O</v>
      </c>
    </row>
    <row r="28" spans="1:1" ht="15.75" x14ac:dyDescent="0.25">
      <c r="A28" s="5" t="str">
        <f>HYPERLINK("#'5.3.1.1-2 Lime CO2'!A1", "5.3.1.1-2 Lime CO2")</f>
        <v>5.3.1.1-2 Lime CO2</v>
      </c>
    </row>
    <row r="29" spans="1:1" ht="15.75" x14ac:dyDescent="0.25">
      <c r="A29" s="5" t="str">
        <f>HYPERLINK("#'5.4.1.1-4 Atmos deposition'!A1", "5.4.1.1-4 Atmos. deposition")</f>
        <v>5.4.1.1-4 Atmos. deposition</v>
      </c>
    </row>
    <row r="30" spans="1:1" ht="15.75" x14ac:dyDescent="0.25">
      <c r="A30" s="5" t="str">
        <f>HYPERLINK("#'5.5.1.1-2 Leaching and runoff'!A1", "5.5.1.1-2 Leaching &amp; runoff")</f>
        <v>5.5.1.1-2 Leaching &amp; runoff</v>
      </c>
    </row>
    <row r="31" spans="1:1" ht="15.75" x14ac:dyDescent="0.25">
      <c r="A31" s="5" t="str">
        <f>HYPERLINK("#'6.1.1.1-2 Crop residue N2O'!A1", "6.1.1.1-2 Crop residue N2O")</f>
        <v>6.1.1.1-2 Crop residue N2O</v>
      </c>
    </row>
    <row r="32" spans="1:1" ht="15.75" x14ac:dyDescent="0.25">
      <c r="A32" s="5" t="str">
        <f>HYPERLINK("#'6.3.1.1-2 Leach runoff crop'!A1", "6.3.1.1-2 Leach &amp; runoff (crop)")</f>
        <v>6.3.1.1-2 Leach &amp; runoff (crop)</v>
      </c>
    </row>
    <row r="33" spans="1:1" ht="15.75" x14ac:dyDescent="0.25">
      <c r="A33" s="5" t="str">
        <f>HYPERLINK("#'6.4.1.1-2 Residue burning'!A1", "6.4.1.1-2 Residue burning")</f>
        <v>6.4.1.1-2 Residue burning</v>
      </c>
    </row>
    <row r="34" spans="1:1" ht="15.75" x14ac:dyDescent="0.25">
      <c r="A34" s="5" t="str">
        <f>HYPERLINK("#'8.1.1.1-2 Transport fuel'!A1", "8.1.1.1-2 Transport fuel")</f>
        <v>8.1.1.1-2 Transport fuel</v>
      </c>
    </row>
    <row r="35" spans="1:1" ht="15.75" x14ac:dyDescent="0.25">
      <c r="A35" s="5" t="str">
        <f>HYPERLINK("#'8.2.1.1-2 Stationary fuel'!A1", "8.2.1.1-2 Stationary fuel")</f>
        <v>8.2.1.1-2 Stationary fuel</v>
      </c>
    </row>
    <row r="36" spans="1:1" ht="15.75" x14ac:dyDescent="0.25">
      <c r="A36" s="5" t="str">
        <f>HYPERLINK("#'14.1.1-2 Purchased electricity'!A1", "14.1.1-2 Purchased electricity")</f>
        <v>14.1.1-2 Purchased electricity</v>
      </c>
    </row>
    <row r="37" spans="1:1" ht="15.75" x14ac:dyDescent="0.25">
      <c r="A37" s="5" t="str">
        <f>HYPERLINK("#'15 Scope 3'!A1", "15 Scope 3")</f>
        <v>15 Scope 3</v>
      </c>
    </row>
    <row r="38" spans="1:1" ht="15.75" x14ac:dyDescent="0.25">
      <c r="A38" s="5" t="str">
        <f>HYPERLINK("#'Calcs - Manure sent off-site'!A1", "Calcs - Manure sent off-site")</f>
        <v>Calcs - Manure sent off-site</v>
      </c>
    </row>
    <row r="39" spans="1:1" ht="15.75" x14ac:dyDescent="0.25">
      <c r="A39" s="5" t="str">
        <f>HYPERLINK("#'10.1.1-2 Solid waste treatment'!A1", "10.1.1-2 Solid waste treatment")</f>
        <v>10.1.1-2 Solid waste treatment</v>
      </c>
    </row>
    <row r="42" spans="1:1" x14ac:dyDescent="0.25">
      <c r="A42" s="108" t="s">
        <v>1</v>
      </c>
    </row>
    <row r="43" spans="1:1" ht="15.75" x14ac:dyDescent="0.25">
      <c r="A43" s="5" t="str">
        <f>HYPERLINK("#'Constants - Ag Residue'!A1", "Constants - Ag residue")</f>
        <v>Constants - Ag residue</v>
      </c>
    </row>
    <row r="44" spans="1:1" ht="15.75" x14ac:dyDescent="0.25">
      <c r="A44" s="5" t="str">
        <f>HYPERLINK("#'Constants - Common Livestock'!A1", "Constants - Common Livestock")</f>
        <v>Constants - Common Livestock</v>
      </c>
    </row>
    <row r="45" spans="1:1" ht="15.75" x14ac:dyDescent="0.25">
      <c r="A45" s="5" t="str">
        <f>HYPERLINK("#'Constants - Electricity'!A1", "Constants - Electricity")</f>
        <v>Constants - Electricity</v>
      </c>
    </row>
    <row r="46" spans="1:1" ht="15.75" x14ac:dyDescent="0.25">
      <c r="A46" s="5" t="str">
        <f>HYPERLINK("#'Constants - Fertiliser'!A1", "Constants - Fertiliser")</f>
        <v>Constants - Fertiliser</v>
      </c>
    </row>
    <row r="47" spans="1:1" ht="15.75" x14ac:dyDescent="0.25">
      <c r="A47" s="5" t="str">
        <f>HYPERLINK("#'Constants - Fuel'!A1", "Constants - Fuel")</f>
        <v>Constants - Fuel</v>
      </c>
    </row>
    <row r="48" spans="1:1" ht="15.75" x14ac:dyDescent="0.25">
      <c r="A48" s="5" t="str">
        <f>HYPERLINK("#'Constants - Scope 3'!A1", "Constants - Scope 3")</f>
        <v>Constants - Scope 3</v>
      </c>
    </row>
    <row r="49" spans="1:1" ht="15.75" x14ac:dyDescent="0.25">
      <c r="A49" s="5" t="str">
        <f>HYPERLINK("#'Constants - Common'!A1", "Constants - Common")</f>
        <v>Constants - Common</v>
      </c>
    </row>
    <row r="50" spans="1:1" ht="15.75" x14ac:dyDescent="0.25">
      <c r="A50" s="5" t="str">
        <f>HYPERLINK("#'Constants - Solid Waste'!A1", "Constants - Solid Waste")</f>
        <v>Constants - Solid Waste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topLeftCell="A27" workbookViewId="0" zoomScale="100" zoomScaleNormal="100">
      <selection activeCell="A50" sqref="A50"/>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6" t="e" vm="1">
        <v>#VALUE!</v>
      </c>
      <c r="C1" s="21" t="s">
        <v>181</v>
      </c>
    </row>
    <row r="2" spans="1:11" ht="20.100000000000001" customHeight="1" x14ac:dyDescent="0.25">
      <c r="C2" s="3"/>
    </row>
    <row r="3" spans="1:11" ht="20.100000000000001" customHeight="1" x14ac:dyDescent="0.25">
      <c r="A3" s="5" t="str">
        <f>HYPERLINK("#'Home'!A1", "Home")</f>
        <v>Home</v>
      </c>
      <c r="C3" s="8"/>
      <c r="D3" s="8"/>
      <c r="E3" s="8"/>
      <c r="F3" s="8"/>
      <c r="G3" s="8"/>
      <c r="H3" s="8"/>
      <c r="I3" s="8"/>
      <c r="J3" s="8"/>
      <c r="K3" s="8"/>
    </row>
    <row r="4" spans="1:11" ht="20.100000000000001" customHeight="1" x14ac:dyDescent="0.25">
      <c r="A4" s="5" t="str">
        <f>HYPERLINK("#'Overview'!A1", "Overview")</f>
        <v>Overview</v>
      </c>
      <c r="C4" s="8"/>
      <c r="D4" s="2" t="str">
        <f>"Emissions breakdown for activities running between " &amp; TEXT(X_Cell_Site_StartDate, "dd mmmm yyyy") &amp; " and " &amp; TEXT('Input - Enterprise'!E13, "dd mmmm yyyy")</f>
        <v>Emissions breakdown for activities running between 01 January 2025 and 31 December 2025</v>
      </c>
      <c r="E4" s="10"/>
      <c r="F4" s="10"/>
      <c r="G4" s="10"/>
      <c r="H4" s="2"/>
      <c r="I4" s="2"/>
      <c r="J4" s="2"/>
      <c r="K4" s="11"/>
    </row>
    <row r="5" spans="1:11" ht="20.100000000000001" customHeight="1" x14ac:dyDescent="0.3">
      <c r="A5" s="259" t="str">
        <f>HYPERLINK("#'Results'!A1", "Results")</f>
        <v>Results</v>
      </c>
      <c r="C5" s="8"/>
      <c r="D5" s="12"/>
      <c r="E5" s="13"/>
      <c r="F5" s="13"/>
      <c r="G5" s="13"/>
      <c r="H5" s="10"/>
      <c r="I5" s="8"/>
      <c r="J5" s="8"/>
      <c r="K5" s="8"/>
    </row>
    <row r="6" spans="1:11" ht="20.100000000000001" customHeight="1" x14ac:dyDescent="0.25">
      <c r="C6" s="8"/>
      <c r="D6" s="20" t="s">
        <v>3</v>
      </c>
      <c r="E6" s="20" t="s">
        <v>8</v>
      </c>
      <c r="F6" s="20" t="s">
        <v>9</v>
      </c>
      <c r="G6" s="20" t="s">
        <v>5</v>
      </c>
      <c r="H6" s="20" t="s">
        <v>10</v>
      </c>
      <c r="I6" s="20" t="s">
        <v>11</v>
      </c>
      <c r="J6" s="2"/>
      <c r="K6" s="8"/>
    </row>
    <row r="7" spans="1:11" ht="20.100000000000001" customHeight="1" x14ac:dyDescent="0.25">
      <c r="C7" s="8"/>
      <c r="D7" s="1" t="s">
        <v>138</v>
      </c>
      <c r="E7" s="18" cm="1">
        <f t="array" ref="E7">VEERG_5_1_1_1__1_InorganicFertiliserApplicationN2OEmissions_Result_Method1</f>
        <v>2.0110749340000003</v>
      </c>
      <c r="F7" s="18" cm="1">
        <f t="array" ref="F7">VEERG_5_1_1_1__1_InorganicFertiliserApplicationN2OEmissions_Result_Method2</f>
        <v>2.0110749999999999</v>
      </c>
      <c r="G7" s="15" t="s">
        <v>12</v>
      </c>
      <c r="H7" s="18" cm="1">
        <f t="array" ref="H7">Common_Equations.Common_ConvertN2OToCO2e(E7,_xlfn.XLOOKUP("N2O", Table_GWPData[Gas],Table_GWPData[CO2-e factor]))</f>
        <v>532.93485751000003</v>
      </c>
      <c r="I7" s="18" cm="1">
        <f t="array" ref="I7">Common_Equations.Common_ConvertN2OToCO2e(F7,_xlfn.XLOOKUP("N2O", Table_GWPData[Gas],Table_GWPData[CO2-e factor]))</f>
        <v>532.93487500000003</v>
      </c>
      <c r="J7" s="15" t="s">
        <v>7</v>
      </c>
      <c r="K7" s="8"/>
    </row>
    <row r="8" spans="1:11" ht="20.100000000000001" customHeight="1" x14ac:dyDescent="0.25">
      <c r="A8" s="7" t="s">
        <v>0</v>
      </c>
      <c r="C8" s="8"/>
      <c r="D8" s="1" t="s">
        <v>139</v>
      </c>
      <c r="E8" s="18" cm="1">
        <f t="array" ref="E8">VEERG_5_1_1_3__1_InorganicFertiliserApplicationCO2Emissions_Result_Method1</f>
        <v>184.92752666666664</v>
      </c>
      <c r="F8" s="18">
        <f>E8</f>
        <v>184.92752666666664</v>
      </c>
      <c r="G8" s="15" t="s">
        <v>131</v>
      </c>
      <c r="H8" s="18">
        <f>E8</f>
        <v>184.92752666666664</v>
      </c>
      <c r="I8" s="18">
        <f>F8</f>
        <v>184.92752666666664</v>
      </c>
      <c r="J8" s="15" t="s">
        <v>7</v>
      </c>
      <c r="K8" s="8"/>
    </row>
    <row r="9" spans="1:11" ht="20.100000000000001" customHeight="1" x14ac:dyDescent="0.25">
      <c r="A9" s="5" t="str">
        <f>HYPERLINK("#'Input - Enterprise'!A1", "Enterprise")</f>
        <v>Enterprise</v>
      </c>
      <c r="C9" s="8"/>
      <c r="D9" s="1" t="s">
        <v>140</v>
      </c>
      <c r="E9" s="18" cm="1">
        <f t="array" ref="E9">VEERG_5_2_1_1__2_MassOfNitrogenInOrganicFertiliser_Result_Method1</f>
        <v>5.5785714285714286E-2</v>
      </c>
      <c r="F9" s="18">
        <f>E9</f>
        <v>5.5785714285714286E-2</v>
      </c>
      <c r="G9" s="15" t="s">
        <v>12</v>
      </c>
      <c r="H9" s="18" cm="1">
        <f t="array" ref="H9">Common_Equations.Common_ConvertN2OToCO2e(E9,_xlfn.XLOOKUP("N2O", Table_GWPData[Gas],Table_GWPData[CO2-e factor]))</f>
        <v>14.783214285714285</v>
      </c>
      <c r="I9" s="18" cm="1">
        <f t="array" ref="I9">Common_Equations.Common_ConvertN2OToCO2e(F9,_xlfn.XLOOKUP("N2O", Table_GWPData[Gas],Table_GWPData[CO2-e factor]))</f>
        <v>14.783214285714285</v>
      </c>
      <c r="J9" s="15" t="s">
        <v>7</v>
      </c>
      <c r="K9" s="8"/>
    </row>
    <row r="10" spans="1:11" ht="20.100000000000001" customHeight="1" x14ac:dyDescent="0.25">
      <c r="A10" s="5" t="str">
        <f>HYPERLINK("#'Input - Site'!A1", "Site")</f>
        <v>Site</v>
      </c>
      <c r="C10" s="8"/>
      <c r="D10" s="1" t="s">
        <v>141</v>
      </c>
      <c r="E10" s="18" cm="1">
        <f t="array" ref="E10">VEERG_5_3_1_1__1_LimeApplicationCO2Emissions_Result_Method1</f>
        <v>758.08333333333326</v>
      </c>
      <c r="F10" s="18">
        <f>E10</f>
        <v>758.08333333333326</v>
      </c>
      <c r="G10" s="15" t="s">
        <v>131</v>
      </c>
      <c r="H10" s="18">
        <f>E10</f>
        <v>758.08333333333326</v>
      </c>
      <c r="I10" s="18">
        <f>F10</f>
        <v>758.08333333333326</v>
      </c>
      <c r="J10" s="15" t="s">
        <v>7</v>
      </c>
      <c r="K10" s="8"/>
    </row>
    <row r="11" spans="1:11" ht="20.100000000000001" customHeight="1" x14ac:dyDescent="0.25">
      <c r="A11" s="5" t="str">
        <f>HYPERLINK("#'Input - Crop'!A1", "Crop")</f>
        <v>Crop</v>
      </c>
      <c r="C11" s="8"/>
      <c r="D11" s="1" t="s">
        <v>142</v>
      </c>
      <c r="E11" s="18" cm="1">
        <f t="array" ref="E11">VEERG_5_4_1_3__1_OrganicFertiliserAtmosphericDepositionN2OEmissions_Result_Method1</f>
        <v>1.6400999999999999E-2</v>
      </c>
      <c r="F11" s="18">
        <f>E11</f>
        <v>1.6400999999999999E-2</v>
      </c>
      <c r="G11" s="15" t="s">
        <v>12</v>
      </c>
      <c r="H11" s="18" cm="1">
        <f t="array" ref="H11">Common_Equations.Common_ConvertN2OToCO2e(E11,_xlfn.XLOOKUP("N2O", Table_GWPData[Gas],Table_GWPData[CO2-e factor]))</f>
        <v>4.3462649999999998</v>
      </c>
      <c r="I11" s="18" cm="1">
        <f t="array" ref="I11">Common_Equations.Common_ConvertN2OToCO2e(F11,_xlfn.XLOOKUP("N2O", Table_GWPData[Gas],Table_GWPData[CO2-e factor]))</f>
        <v>4.3462649999999998</v>
      </c>
      <c r="J11" s="15" t="s">
        <v>7</v>
      </c>
      <c r="K11" s="8"/>
    </row>
    <row r="12" spans="1:11" ht="20.100000000000001" customHeight="1" x14ac:dyDescent="0.25">
      <c r="A12" s="5" t="str">
        <f>HYPERLINK("#'Input - Fert Prod System'!A1", "Fert Prod System")</f>
        <v>Fert Prod System</v>
      </c>
      <c r="C12" s="8"/>
      <c r="D12" s="1" t="s">
        <v>143</v>
      </c>
      <c r="E12" s="18" cm="1">
        <f t="array" ref="E12">VEERG_5_5_1_1__1_FertiliserLeachingAndRunoffN2OEmissions_result_Method1</f>
        <v>0.78791740368000007</v>
      </c>
      <c r="F12" s="18">
        <f>E12</f>
        <v>0.78791740368000007</v>
      </c>
      <c r="G12" s="15" t="s">
        <v>12</v>
      </c>
      <c r="H12" s="18" cm="1">
        <f t="array" ref="H12">Common_Equations.Common_ConvertN2OToCO2e(E12,_xlfn.XLOOKUP("N2O", Table_GWPData[Gas],Table_GWPData[CO2-e factor]))</f>
        <v>208.79811197520002</v>
      </c>
      <c r="I12" s="18" cm="1">
        <f t="array" ref="I12">Common_Equations.Common_ConvertN2OToCO2e(F12,_xlfn.XLOOKUP("N2O", Table_GWPData[Gas],Table_GWPData[CO2-e factor]))</f>
        <v>208.79811197520002</v>
      </c>
      <c r="J12" s="15" t="s">
        <v>7</v>
      </c>
      <c r="K12" s="8"/>
    </row>
    <row r="13" spans="1:11" ht="20.100000000000001" customHeight="1" x14ac:dyDescent="0.25">
      <c r="A13" s="5" t="str">
        <f>HYPERLINK("#'Input - Fertiliser'!A1", "Fertiliser")</f>
        <v>Fertiliser</v>
      </c>
      <c r="C13" s="8"/>
      <c r="D13" s="1" t="s">
        <v>178</v>
      </c>
      <c r="E13" s="18" cm="1">
        <f t="array" ref="E13">VEERG_6_1_1_1__1__NitrousOxideEmissionsFromCropResidues_Result_Method1</f>
        <v>0.66792000000000007</v>
      </c>
      <c r="F13" s="18" cm="1">
        <f t="array" ref="F13">VEERG_6_1_1_1__1__NitrousOxideEmissionsFromCropResidues_Result_Method2</f>
        <v>0.66792000000000007</v>
      </c>
      <c r="G13" s="15" t="s">
        <v>12</v>
      </c>
      <c r="H13" s="18" cm="1">
        <f t="array" ref="H13">Common_Equations.Common_ConvertN2OToCO2e(E13,_xlfn.XLOOKUP("N2O", Table_GWPData[Gas],Table_GWPData[CO2-e factor]))</f>
        <v>176.99880000000002</v>
      </c>
      <c r="I13" s="18" cm="1">
        <f t="array" ref="I13">Common_Equations.Common_ConvertN2OToCO2e(F13,_xlfn.XLOOKUP("N2O", Table_GWPData[Gas],Table_GWPData[CO2-e factor]))</f>
        <v>176.99880000000002</v>
      </c>
      <c r="J13" s="15" t="s">
        <v>7</v>
      </c>
      <c r="K13" s="8"/>
    </row>
    <row r="14" spans="1:11" ht="20.100000000000001" customHeight="1" x14ac:dyDescent="0.25">
      <c r="A14" s="5" t="str">
        <f>HYPERLINK("#'Input - Fuel'!A1", "Fuel")</f>
        <v>Fuel</v>
      </c>
      <c r="C14" s="8"/>
      <c r="D14" s="1" t="s">
        <v>177</v>
      </c>
      <c r="E14" s="18" cm="1">
        <f t="array" ref="E14">VEERG_6_3_1_1__1__LeachingAndRunoffEmissionsCropAndPastureResidue_CropOnly_Result_Method1</f>
        <v>0.35266175999999999</v>
      </c>
      <c r="F14" s="18" cm="1">
        <f t="array" ref="F14">VEERG_6_3_1_1__1__LeachingAndRunoffEmissionsCropAndPastureResidue_CropOnly_Result_Method2</f>
        <v>0.35266175999999999</v>
      </c>
      <c r="G14" s="15" t="s">
        <v>12</v>
      </c>
      <c r="H14" s="18" cm="1">
        <f t="array" ref="H14">Common_Equations.Common_ConvertN2OToCO2e(E14,_xlfn.XLOOKUP("N2O", Table_GWPData[Gas],Table_GWPData[CO2-e factor]))</f>
        <v>93.455366400000003</v>
      </c>
      <c r="I14" s="18" cm="1">
        <f t="array" ref="I14">Common_Equations.Common_ConvertN2OToCO2e(F14,_xlfn.XLOOKUP("N2O", Table_GWPData[Gas],Table_GWPData[CO2-e factor]))</f>
        <v>93.455366400000003</v>
      </c>
      <c r="J14" s="15" t="s">
        <v>7</v>
      </c>
      <c r="K14" s="8"/>
    </row>
    <row r="15" spans="1:11" ht="20.100000000000001" customHeight="1" x14ac:dyDescent="0.25">
      <c r="A15" s="5" t="str">
        <f>HYPERLINK("#'Input - Electricity'!A1", "Electricity")</f>
        <v>Electricity</v>
      </c>
      <c r="C15" s="8"/>
      <c r="D15" s="1" t="s">
        <v>180</v>
      </c>
      <c r="E15" s="18" cm="1">
        <f t="array" ref="E15">VEERG_6_4_1_1__2__NitrousOxideEmissionsFromBurningOfCropResidues_Result_Method1</f>
        <v>0.12769302857142856</v>
      </c>
      <c r="F15" s="18">
        <f t="shared" ref="F15:F20" si="0">E15</f>
        <v>0.12769302857142856</v>
      </c>
      <c r="G15" s="15" t="s">
        <v>12</v>
      </c>
      <c r="H15" s="18" cm="1">
        <f t="array" ref="H15">Common_Equations.Common_ConvertN2OToCO2e(E15,_xlfn.XLOOKUP("N2O", Table_GWPData[Gas],Table_GWPData[CO2-e factor]))</f>
        <v>33.838652571428568</v>
      </c>
      <c r="I15" s="18" cm="1">
        <f t="array" ref="I15">Common_Equations.Common_ConvertN2OToCO2e(F15,_xlfn.XLOOKUP("N2O", Table_GWPData[Gas],Table_GWPData[CO2-e factor]))</f>
        <v>33.838652571428568</v>
      </c>
      <c r="J15" s="15" t="s">
        <v>7</v>
      </c>
      <c r="K15" s="8"/>
    </row>
    <row r="16" spans="1:11" ht="20.100000000000001" customHeight="1" x14ac:dyDescent="0.25">
      <c r="A16" s="5" t="str">
        <f>HYPERLINK("#'Input - Common farm inputs'!A1", "Common farm inputs")</f>
        <v>Common farm inputs</v>
      </c>
      <c r="C16" s="8"/>
      <c r="D16" s="1" t="s">
        <v>179</v>
      </c>
      <c r="E16" s="18" cm="1">
        <f t="array" ref="E16">VEERG_6_4_1_1__1__MethaneEmissionsFromBurningOfCropResidues_Result_Method1</f>
        <v>3.3264</v>
      </c>
      <c r="F16" s="18">
        <f t="shared" si="0"/>
        <v>3.3264</v>
      </c>
      <c r="G16" s="15" t="s">
        <v>6</v>
      </c>
      <c r="H16" s="18" cm="1">
        <f t="array" ref="H16">Common_Equations.Common_ConvertCH4ToCO2e(E16,_xlfn.XLOOKUP("CH4", Table_GWPData[Gas],Table_GWPData[CO2-e factor]))</f>
        <v>93.139200000000002</v>
      </c>
      <c r="I16" s="18" cm="1">
        <f t="array" ref="I16">Common_Equations.Common_ConvertCH4ToCO2e(F16,_xlfn.XLOOKUP("CH4", Table_GWPData[Gas],Table_GWPData[CO2-e factor]))</f>
        <v>93.139200000000002</v>
      </c>
      <c r="J16" s="15" t="s">
        <v>7</v>
      </c>
      <c r="K16" s="8"/>
    </row>
    <row r="17" spans="1:11" ht="20.100000000000001" customHeight="1" x14ac:dyDescent="0.25">
      <c r="A17" s="5" t="str">
        <f>HYPERLINK("#'Input - Crop pasture farm input'!A1", "Crop pasture farm input")</f>
        <v>Crop pasture farm input</v>
      </c>
      <c r="C17" s="8"/>
      <c r="D17" s="1" t="s">
        <v>144</v>
      </c>
      <c r="E17" s="18" cm="1">
        <f t="array" ref="E17">VEERG_8_1_1_1__1_FuelCombustionTransport_Result_CO2</f>
        <v>83.182000000000002</v>
      </c>
      <c r="F17" s="18">
        <f t="shared" si="0"/>
        <v>83.182000000000002</v>
      </c>
      <c r="G17" s="15" t="s">
        <v>131</v>
      </c>
      <c r="H17" s="18">
        <f>E17</f>
        <v>83.182000000000002</v>
      </c>
      <c r="I17" s="18">
        <f>F17</f>
        <v>83.182000000000002</v>
      </c>
      <c r="J17" s="15" t="s">
        <v>7</v>
      </c>
      <c r="K17" s="8"/>
    </row>
    <row r="18" spans="1:11" ht="20.100000000000001" customHeight="1" x14ac:dyDescent="0.25">
      <c r="A18" s="5" t="str">
        <f>HYPERLINK("#'Input - Freight'!A1", "Freight")</f>
        <v>Freight</v>
      </c>
      <c r="C18" s="8"/>
      <c r="D18" s="1" t="s">
        <v>146</v>
      </c>
      <c r="E18" s="18" cm="1">
        <f t="array" ref="E18">VEERG_8_1_1_1__1_FuelCombustionTransport_Result_CH4</f>
        <v>0.19906000000000001</v>
      </c>
      <c r="F18" s="18">
        <f t="shared" si="0"/>
        <v>0.19906000000000001</v>
      </c>
      <c r="G18" s="15" t="s">
        <v>6</v>
      </c>
      <c r="H18" s="18" cm="1">
        <f t="array" ref="H18">Common_Equations.Common_ConvertCH4ToCO2e(E18,_xlfn.XLOOKUP("CH4", Table_GWPData[Gas],Table_GWPData[CO2-e factor]))</f>
        <v>5.5736800000000004</v>
      </c>
      <c r="I18" s="18" cm="1">
        <f t="array" ref="I18">Common_Equations.Common_ConvertCH4ToCO2e(F18,_xlfn.XLOOKUP("CH4", Table_GWPData[Gas],Table_GWPData[CO2-e factor]))</f>
        <v>5.5736800000000004</v>
      </c>
      <c r="J18" s="15" t="s">
        <v>7</v>
      </c>
      <c r="K18" s="8"/>
    </row>
    <row r="19" spans="1:11" ht="20.100000000000001" customHeight="1" x14ac:dyDescent="0.25">
      <c r="A19" s="5" t="str">
        <f>HYPERLINK("#'Input - Manure sent off-site'!A1", "Manure sent off-site")</f>
        <v>Manure sent off-site</v>
      </c>
      <c r="C19" s="8"/>
      <c r="D19" s="1" t="s">
        <v>145</v>
      </c>
      <c r="E19" s="18" cm="1">
        <f t="array" ref="E19">VEERG_8_1_1_1__1_FuelCombustionTransport_Result_N2O</f>
        <v>0.58450000000000002</v>
      </c>
      <c r="F19" s="18">
        <f t="shared" si="0"/>
        <v>0.58450000000000002</v>
      </c>
      <c r="G19" s="15" t="s">
        <v>12</v>
      </c>
      <c r="H19" s="18" cm="1">
        <f t="array" ref="H19">Common_Equations.Common_ConvertN2OToCO2e(E19,_xlfn.XLOOKUP("N2O", Table_GWPData[Gas],Table_GWPData[CO2-e factor]))</f>
        <v>154.89250000000001</v>
      </c>
      <c r="I19" s="18" cm="1">
        <f t="array" ref="I19">Common_Equations.Common_ConvertN2OToCO2e(F19,_xlfn.XLOOKUP("N2O", Table_GWPData[Gas],Table_GWPData[CO2-e factor]))</f>
        <v>154.89250000000001</v>
      </c>
      <c r="J19" s="15" t="s">
        <v>7</v>
      </c>
      <c r="K19" s="8"/>
    </row>
    <row r="20" spans="1:11" ht="20.100000000000001" customHeight="1" x14ac:dyDescent="0.25">
      <c r="A20" s="5" t="str">
        <f>HYPERLINK("#'Input - Solid waste'!A1", "Solid waste")</f>
        <v>Solid waste</v>
      </c>
      <c r="C20" s="8"/>
      <c r="D20" s="1" t="s">
        <v>147</v>
      </c>
      <c r="E20" s="18" cm="1">
        <f t="array" ref="E20">VEERG_8_2_1_1__1_FuelCombustionStationary_Result_CO2</f>
        <v>29.070800000000002</v>
      </c>
      <c r="F20" s="18">
        <f t="shared" si="0"/>
        <v>29.070800000000002</v>
      </c>
      <c r="G20" s="15" t="s">
        <v>131</v>
      </c>
      <c r="H20" s="18">
        <f>E20</f>
        <v>29.070800000000002</v>
      </c>
      <c r="I20" s="18">
        <f>F20</f>
        <v>29.070800000000002</v>
      </c>
      <c r="J20" s="15" t="s">
        <v>7</v>
      </c>
      <c r="K20" s="8"/>
    </row>
    <row r="21" spans="1:11" ht="20.100000000000001" customHeight="1" x14ac:dyDescent="0.25">
      <c r="A21" s="5" t="str">
        <f>HYPERLINK("#'Input - Data quality'!A1", "Data quality")</f>
        <v>Data quality</v>
      </c>
      <c r="C21" s="8"/>
      <c r="D21" s="1" t="s">
        <v>148</v>
      </c>
      <c r="E21" s="18" cm="1">
        <f t="array" ref="E21">VEERG_8_2_1_1__1_FuelCombustionStationary_Result_CH4</f>
        <v>7.2400000000000006E-2</v>
      </c>
      <c r="F21" s="18">
        <f t="shared" ref="F21:F24" si="1">E21</f>
        <v>7.2400000000000006E-2</v>
      </c>
      <c r="G21" s="15" t="s">
        <v>6</v>
      </c>
      <c r="H21" s="18" cm="1">
        <f t="array" ref="H21">Common_Equations.Common_ConvertCH4ToCO2e(E21,_xlfn.XLOOKUP("CH4", Table_GWPData[Gas],Table_GWPData[CO2-e factor]))</f>
        <v>2.0272000000000001</v>
      </c>
      <c r="I21" s="18" cm="1">
        <f t="array" ref="I21">Common_Equations.Common_ConvertCH4ToCO2e(F21,_xlfn.XLOOKUP("CH4", Table_GWPData[Gas],Table_GWPData[CO2-e factor]))</f>
        <v>2.0272000000000001</v>
      </c>
      <c r="J21" s="15" t="s">
        <v>7</v>
      </c>
      <c r="K21" s="8"/>
    </row>
    <row r="22" spans="1:11" ht="20.100000000000001" customHeight="1" x14ac:dyDescent="0.25">
      <c r="C22" s="8"/>
      <c r="D22" s="1" t="s">
        <v>149</v>
      </c>
      <c r="E22" s="18" cm="1">
        <f t="array" ref="E22">VEERG_8_2_1_1__1_FuelCombustionStationary_Result_N2O</f>
        <v>7.1400000000000005E-2</v>
      </c>
      <c r="F22" s="18">
        <f t="shared" si="1"/>
        <v>7.1400000000000005E-2</v>
      </c>
      <c r="G22" s="15" t="s">
        <v>12</v>
      </c>
      <c r="H22" s="18" cm="1">
        <f t="array" ref="H22">Common_Equations.Common_ConvertN2OToCO2e(E22,_xlfn.XLOOKUP("N2O", Table_GWPData[Gas],Table_GWPData[CO2-e factor]))</f>
        <v>18.921000000000003</v>
      </c>
      <c r="I22" s="18" cm="1">
        <f t="array" ref="I22">Common_Equations.Common_ConvertN2OToCO2e(F22,_xlfn.XLOOKUP("N2O", Table_GWPData[Gas],Table_GWPData[CO2-e factor]))</f>
        <v>18.921000000000003</v>
      </c>
      <c r="J22" s="15" t="s">
        <v>7</v>
      </c>
      <c r="K22" s="8"/>
    </row>
    <row r="23" spans="1:11" ht="20.100000000000001" customHeight="1" x14ac:dyDescent="0.25">
      <c r="C23" s="8"/>
      <c r="D23" s="1" t="s">
        <v>150</v>
      </c>
      <c r="E23" s="18" cm="1">
        <f t="array" ref="E23">VEERG_14_1_1__1_LocationBasedScopeElectricityEmissions_Result_Method1</f>
        <v>16.8</v>
      </c>
      <c r="F23" s="18">
        <f t="shared" si="1"/>
        <v>16.8</v>
      </c>
      <c r="G23" s="15" t="s">
        <v>7</v>
      </c>
      <c r="H23" s="18">
        <f>E23</f>
        <v>16.8</v>
      </c>
      <c r="I23" s="18">
        <f>F23</f>
        <v>16.8</v>
      </c>
      <c r="J23" s="15" t="s">
        <v>7</v>
      </c>
      <c r="K23" s="8"/>
    </row>
    <row r="24" spans="1:11" ht="20.100000000000001" customHeight="1" x14ac:dyDescent="0.25">
      <c r="A24" s="6" t="s">
        <v>2</v>
      </c>
      <c r="C24" s="8"/>
      <c r="D24" s="1" t="s">
        <v>151</v>
      </c>
      <c r="E24" s="18" cm="1">
        <f t="array" ref="E24">VEERG_14_1_2__1_MarketBasedScopeElectricityEmissionsVariation_Result_Method1</f>
        <v>9.7200000000000006</v>
      </c>
      <c r="F24" s="18">
        <f t="shared" si="1"/>
        <v>9.7200000000000006</v>
      </c>
      <c r="G24" s="15" t="s">
        <v>7</v>
      </c>
      <c r="H24" s="18">
        <f>E24</f>
        <v>9.7200000000000006</v>
      </c>
      <c r="I24" s="18">
        <f>F24</f>
        <v>9.7200000000000006</v>
      </c>
      <c r="J24" s="15" t="s">
        <v>7</v>
      </c>
      <c r="K24" s="8"/>
    </row>
    <row r="25" spans="1:11" ht="20.100000000000001" customHeight="1" x14ac:dyDescent="0.3">
      <c r="A25" s="5" t="str">
        <f>HYPERLINK("#'5.1.1.1-2 Inorganic fert N2O'!A1", "5.1.1.1-2 Inorganic fert N2O")</f>
        <v>5.1.1.1-2 Inorganic fert N2O</v>
      </c>
      <c r="C25" s="8"/>
      <c r="D25" s="14" t="s">
        <v>4</v>
      </c>
      <c r="E25" s="9"/>
      <c r="F25" s="9"/>
      <c r="G25" s="14"/>
      <c r="H25" s="19">
        <f>SUM(H7:H24)</f>
        <v>2421.4925077423422</v>
      </c>
      <c r="I25" s="19">
        <f>SUM(I7:I24)</f>
        <v>2421.4925252323424</v>
      </c>
      <c r="J25" s="15" t="s">
        <v>7</v>
      </c>
      <c r="K25" s="8"/>
    </row>
    <row r="26" spans="1:11" ht="20.100000000000001" customHeight="1" x14ac:dyDescent="0.3">
      <c r="A26" s="5" t="str">
        <f>HYPERLINK("#'5.1.1.3-4 Inorganic fert CO2'!A1", "5.1.1.3-4 Inorganic fert CO2")</f>
        <v>5.1.1.3-4 Inorganic fert CO2</v>
      </c>
      <c r="C26" s="8"/>
      <c r="D26" s="1"/>
      <c r="E26" s="1"/>
      <c r="F26" s="1"/>
      <c r="G26" s="1"/>
      <c r="H26" s="13"/>
      <c r="I26" s="8"/>
      <c r="J26" s="8"/>
      <c r="K26" s="8"/>
    </row>
    <row r="27" spans="1:11" ht="20.100000000000001" customHeight="1" x14ac:dyDescent="0.3">
      <c r="A27" s="5" t="str">
        <f>HYPERLINK("#'5.2.1.1-2 Organic Fert N2O'!A1", "5.2.1.1-2 Organic fert N2O")</f>
        <v>5.2.1.1-2 Organic fert N2O</v>
      </c>
      <c r="C27" s="8"/>
      <c r="D27" s="1"/>
      <c r="E27" s="1"/>
      <c r="F27" s="1"/>
      <c r="G27" s="1"/>
      <c r="H27" s="13"/>
      <c r="I27" s="8"/>
      <c r="J27" s="8"/>
      <c r="K27" s="8"/>
    </row>
    <row r="28" spans="1:11" ht="20.100000000000001" customHeight="1" x14ac:dyDescent="0.3">
      <c r="A28" s="5" t="str">
        <f>HYPERLINK("#'5.3.1.1-2 Lime CO2'!A1", "5.3.1.1-2 Lime CO2")</f>
        <v>5.3.1.1-2 Lime CO2</v>
      </c>
      <c r="C28" s="8"/>
      <c r="D28" s="1"/>
      <c r="E28" s="1"/>
      <c r="F28" s="1"/>
      <c r="G28" s="1"/>
      <c r="H28" s="13"/>
      <c r="I28" s="8"/>
      <c r="J28" s="8"/>
      <c r="K28" s="8"/>
    </row>
    <row r="29" spans="1:11" ht="20.100000000000001" customHeight="1" x14ac:dyDescent="0.3">
      <c r="A29" s="5" t="str">
        <f>HYPERLINK("#'5.4.1.1-4 Atmos deposition'!A1", "5.4.1.1-4 Atmos. deposition")</f>
        <v>5.4.1.1-4 Atmos. deposition</v>
      </c>
      <c r="C29" s="8"/>
      <c r="D29" s="2" t="s">
        <v>115</v>
      </c>
      <c r="E29" s="1"/>
      <c r="F29" s="1"/>
      <c r="G29" s="1"/>
      <c r="H29" s="13"/>
      <c r="I29" s="8"/>
      <c r="J29" s="8"/>
      <c r="K29" s="8"/>
    </row>
    <row r="30" spans="1:11" ht="20.100000000000001" customHeight="1" x14ac:dyDescent="0.3">
      <c r="A30" s="5" t="str">
        <f>HYPERLINK("#'5.5.1.1-2 Leaching and runoff'!A1", "5.5.1.1-2 Leaching &amp; runoff")</f>
        <v>5.5.1.1-2 Leaching &amp; runoff</v>
      </c>
      <c r="C30" s="8"/>
      <c r="D30" s="88" t="str" cm="1">
        <f t="array" ref="D30">"There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2 emissions calculation periods that need to be completed before total product emissions can be determined.</v>
      </c>
      <c r="E30" s="1"/>
      <c r="F30" s="1"/>
      <c r="G30" s="1"/>
      <c r="H30" s="13"/>
      <c r="I30" s="8"/>
      <c r="J30" s="8"/>
      <c r="K30" s="8"/>
    </row>
    <row r="31" spans="1:11" ht="20.100000000000001" customHeight="1" x14ac:dyDescent="0.3">
      <c r="A31" s="5" t="str">
        <f>HYPERLINK("#'6.1.1.1-2 Crop residue N2O'!A1", "6.1.1.1-2 Crop residue N2O")</f>
        <v>6.1.1.1-2 Crop residue N2O</v>
      </c>
      <c r="C31" s="8"/>
      <c r="D31" s="1" t="s">
        <v>117</v>
      </c>
      <c r="E31" s="1"/>
      <c r="F31" s="1"/>
      <c r="G31" s="1"/>
      <c r="H31" s="13"/>
      <c r="I31" s="8"/>
      <c r="J31" s="8"/>
      <c r="K31" s="8"/>
    </row>
    <row r="32" spans="1:11" ht="20.100000000000001" customHeight="1" x14ac:dyDescent="0.3">
      <c r="A32" s="5" t="str">
        <f>HYPERLINK("#'6.3.1.1-2 Leach runoff crop'!A1", "6.3.1.1-2 Leach &amp; runoff (crop)")</f>
        <v>6.3.1.1-2 Leach &amp; runoff (crop)</v>
      </c>
      <c r="C32" s="8"/>
      <c r="D32" s="1"/>
      <c r="E32" s="1"/>
      <c r="F32" s="1"/>
      <c r="G32" s="1"/>
      <c r="H32" s="13"/>
      <c r="I32" s="8"/>
      <c r="J32" s="8"/>
      <c r="K32" s="8"/>
    </row>
    <row r="33" spans="1:11" ht="20.100000000000001" customHeight="1" x14ac:dyDescent="0.3">
      <c r="A33" s="5" t="str">
        <f>HYPERLINK("#'6.4.1.1-2 Residue burning'!A1", "6.4.1.1-2 Residue burning")</f>
        <v>6.4.1.1-2 Residue burning</v>
      </c>
      <c r="C33" s="8"/>
      <c r="D33" s="20" t="s">
        <v>116</v>
      </c>
      <c r="E33" s="20" t="s">
        <v>10</v>
      </c>
      <c r="F33" s="20" t="s">
        <v>11</v>
      </c>
      <c r="G33" s="1"/>
      <c r="H33" s="13"/>
      <c r="I33" s="8"/>
      <c r="J33" s="8"/>
      <c r="K33" s="8"/>
    </row>
    <row r="34" spans="1:11" ht="20.100000000000001" customHeight="1" x14ac:dyDescent="0.3">
      <c r="A34" s="5" t="str">
        <f>HYPERLINK("#'8.1.1.1-2 Transport fuel'!A1", "8.1.1.1-2 Transport fuel")</f>
        <v>8.1.1.1-2 Transport fuel</v>
      </c>
      <c r="C34" s="8"/>
      <c r="D34" s="1" t="str" cm="1">
        <f t="array" ref="D34:D35">Common_InputFunctions.getOverlappingReportingPeriods(X_Cell_Enterprise_ProductionTimeframeStart,X_Cell_Enterprise_ProductionTimeframeEnd,X_Cell_Site_StartDate)</f>
        <v>01 Jan 2025 to 31 Dec 2025 (This reporting cycle)</v>
      </c>
      <c r="E34" s="86">
        <f>IF(ISBLANK($D34), 0, IF(ISNUMBER(SEARCH("reporting", $D34)), Result_Enterprise_Method1, "Enter value"))</f>
        <v>2421.4925077423422</v>
      </c>
      <c r="F34" s="86">
        <f>IF(ISBLANK($D34), 0, IF(ISNUMBER(SEARCH("reporting", $D34)), Result_Enterprise_Method2, "Enter value"))</f>
        <v>2421.4925252323424</v>
      </c>
      <c r="G34" s="15" t="s">
        <v>7</v>
      </c>
      <c r="H34" s="13"/>
      <c r="I34" s="8"/>
      <c r="J34" s="8"/>
      <c r="K34" s="8"/>
    </row>
    <row r="35" spans="1:11" ht="20.100000000000001" customHeight="1" x14ac:dyDescent="0.3">
      <c r="A35" s="5" t="str">
        <f>HYPERLINK("#'8.2.1.1-2 Stationary fuel'!A1", "8.2.1.1-2 Stationary fuel")</f>
        <v>8.2.1.1-2 Stationary fuel</v>
      </c>
      <c r="C35" s="8"/>
      <c r="D35" s="1" t="str">
        <v>01 Jan 2026 to 31 Dec 2026</v>
      </c>
      <c r="E35" s="86" t="str">
        <f>IF(ISBLANK($D35), 0, IF(ISNUMBER(SEARCH("reporting", $D35)), Result_Enterprise_Method1, "Enter value"))</f>
        <v>Enter value</v>
      </c>
      <c r="F35" s="86" t="str">
        <f>IF(ISBLANK($D35), 0, IF(ISNUMBER(SEARCH("reporting", $D35)), Result_Enterprise_Method2, "Enter value"))</f>
        <v>Enter value</v>
      </c>
      <c r="G35" s="15" t="s">
        <v>7</v>
      </c>
      <c r="H35" s="13"/>
      <c r="I35" s="8"/>
      <c r="J35" s="8"/>
      <c r="K35" s="8"/>
    </row>
    <row r="36" spans="1:11" ht="20.100000000000001" customHeight="1" x14ac:dyDescent="0.3">
      <c r="A36" s="5" t="str">
        <f>HYPERLINK("#'14.1.1-2 Purchased electricity'!A1", "14.1.1-2 Purchased electricity")</f>
        <v>14.1.1-2 Purchased electricity</v>
      </c>
      <c r="C36" s="8"/>
      <c r="D36" s="1"/>
      <c r="E36" s="86">
        <f>IF(ISBLANK($D36), 0, IF(ISNUMBER(SEARCH("reporting", $D36)), Result_Enterprise_Method1, "Enter value"))</f>
        <v>0</v>
      </c>
      <c r="F36" s="86">
        <f>IF(ISBLANK($D36), 0, IF(ISNUMBER(SEARCH("reporting", $D36)), Result_Enterprise_Method2, "Enter value"))</f>
        <v>0</v>
      </c>
      <c r="G36" s="15" t="s">
        <v>7</v>
      </c>
      <c r="H36" s="13"/>
      <c r="I36" s="8"/>
      <c r="J36" s="8"/>
      <c r="K36" s="8"/>
    </row>
    <row r="37" spans="1:11" ht="20.100000000000001" customHeight="1" x14ac:dyDescent="0.3">
      <c r="A37" s="5" t="str">
        <f>HYPERLINK("#'15 Scope 3'!A1", "15 Scope 3")</f>
        <v>15 Scope 3</v>
      </c>
      <c r="C37" s="8"/>
      <c r="D37" s="1"/>
      <c r="E37" s="86">
        <f>IF(ISBLANK($D37), 0, IF(ISNUMBER(SEARCH("reporting", $D37)), Result_Enterprise_Method1, "Enter value"))</f>
        <v>0</v>
      </c>
      <c r="F37" s="86">
        <f>IF(ISBLANK($D37), 0, IF(ISNUMBER(SEARCH("reporting", $D37)), Result_Enterprise_Method2, "Enter value"))</f>
        <v>0</v>
      </c>
      <c r="G37" s="15" t="s">
        <v>7</v>
      </c>
      <c r="H37" s="13"/>
      <c r="I37" s="8"/>
      <c r="J37" s="8"/>
      <c r="K37" s="8"/>
    </row>
    <row r="38" spans="1:11" ht="20.100000000000001" customHeight="1" x14ac:dyDescent="0.3">
      <c r="A38" s="5" t="str">
        <f>HYPERLINK("#'Calcs - Manure sent off-site'!A1", "Calcs - Manure sent off-site")</f>
        <v>Calcs - Manure sent off-site</v>
      </c>
      <c r="C38" s="8"/>
      <c r="D38" s="88"/>
      <c r="E38" s="86">
        <f>IF(ISBLANK($D38), 0, IF(ISNUMBER(SEARCH("reporting", $D38)), Result_Enterprise_Method1, "Enter value"))</f>
        <v>0</v>
      </c>
      <c r="F38" s="86">
        <f>IF(ISBLANK($D38), 0, IF(ISNUMBER(SEARCH("reporting", $D38)), Result_Enterprise_Method2, "Enter value"))</f>
        <v>0</v>
      </c>
      <c r="G38" s="15" t="s">
        <v>7</v>
      </c>
      <c r="H38" s="13"/>
      <c r="I38" s="8"/>
      <c r="J38" s="8"/>
      <c r="K38" s="8"/>
    </row>
    <row r="39" spans="1:11" ht="20.100000000000001" customHeight="1" x14ac:dyDescent="0.3">
      <c r="A39" s="5" t="str">
        <f>HYPERLINK("#'10.1.1-2 Solid waste treatment'!A1", "10.1.1-2 Solid waste treatment")</f>
        <v>10.1.1-2 Solid waste treatment</v>
      </c>
      <c r="C39" s="8"/>
      <c r="D39" s="14" t="s">
        <v>132</v>
      </c>
      <c r="E39" s="19">
        <f>SUM(E34:E38)</f>
        <v>2421.4925077423422</v>
      </c>
      <c r="F39" s="19">
        <f>SUM(F34:F38)</f>
        <v>2421.4925252323424</v>
      </c>
      <c r="G39" s="1"/>
      <c r="H39" s="1"/>
      <c r="I39" s="1"/>
      <c r="J39" s="8"/>
      <c r="K39" s="8"/>
    </row>
    <row r="40" spans="1:11" ht="20.100000000000001" customHeight="1" x14ac:dyDescent="0.25">
      <c r="C40" s="8"/>
      <c r="D40" s="1"/>
      <c r="E40" s="1"/>
      <c r="F40" s="1"/>
      <c r="G40" s="1"/>
      <c r="H40" s="1"/>
      <c r="I40" s="1"/>
      <c r="J40" s="8"/>
      <c r="K40" s="8"/>
    </row>
    <row r="41" spans="1:11" ht="20.100000000000001" customHeight="1" x14ac:dyDescent="0.25">
      <c r="C41" s="8"/>
      <c r="D41" s="1"/>
      <c r="E41" s="1"/>
      <c r="F41" s="1"/>
      <c r="G41" s="1"/>
      <c r="H41" s="1"/>
      <c r="I41" s="1"/>
      <c r="J41" s="8"/>
      <c r="K41" s="8"/>
    </row>
    <row r="42" spans="1:11" ht="20.100000000000001" customHeight="1" x14ac:dyDescent="0.25">
      <c r="A42" s="108" t="s">
        <v>1</v>
      </c>
      <c r="C42" s="8"/>
      <c r="D42" s="2" t="s">
        <v>129</v>
      </c>
      <c r="E42" s="1"/>
      <c r="F42" s="1"/>
      <c r="G42" s="1"/>
      <c r="H42" s="1"/>
      <c r="I42" s="1"/>
      <c r="J42" s="8"/>
      <c r="K42" s="8"/>
    </row>
    <row r="43" spans="1:11" ht="20.100000000000001" customHeight="1" x14ac:dyDescent="0.25">
      <c r="A43" s="5" t="str">
        <f>HYPERLINK("#'Constants - Ag Residue'!A1", "Constants - Ag residue")</f>
        <v>Constants - Ag residue</v>
      </c>
      <c r="C43" s="8"/>
      <c r="D43" s="1"/>
      <c r="E43" s="1"/>
      <c r="F43" s="1"/>
      <c r="G43" s="1"/>
      <c r="H43" s="1"/>
      <c r="I43" s="1"/>
      <c r="J43" s="1"/>
      <c r="K43" s="8"/>
    </row>
    <row r="44" spans="1:11" ht="20.100000000000001" customHeight="1" x14ac:dyDescent="0.25">
      <c r="A44" s="5" t="str">
        <f>HYPERLINK("#'Constants - Common Livestock'!A1", "Constants - Common Livestock")</f>
        <v>Constants - Common Livestock</v>
      </c>
      <c r="C44" s="8"/>
      <c r="D44" s="20" t="s">
        <v>116</v>
      </c>
      <c r="E44" s="20" t="s">
        <v>130</v>
      </c>
      <c r="F44" s="1"/>
      <c r="G44" s="1"/>
      <c r="H44" s="1"/>
      <c r="I44" s="1"/>
      <c r="J44" s="1"/>
      <c r="K44" s="8"/>
    </row>
    <row r="45" spans="1:11" ht="20.100000000000001" customHeight="1" x14ac:dyDescent="0.25">
      <c r="A45" s="5" t="str">
        <f>HYPERLINK("#'Constants - Electricity'!A1", "Constants - Electricity")</f>
        <v>Constants - Electricity</v>
      </c>
      <c r="C45" s="8"/>
      <c r="D45" s="1" t="str" cm="1">
        <f t="array" ref="D45:D46">Common_InputFunctions.getOverlappingReportingPeriods(X_Cell_Enterprise_ProductionTimeframeStart,X_Cell_Enterprise_ProductionTimeframeEnd,X_Cell_Site_StartDate)</f>
        <v>01 Jan 2025 to 31 Dec 2025 (This reporting cycle)</v>
      </c>
      <c r="E45" s="86" t="str">
        <f>IF(ISBLANK(D45), 0, "Enter value")</f>
        <v>Enter value</v>
      </c>
      <c r="F45" s="15" t="s">
        <v>131</v>
      </c>
      <c r="G45" s="1"/>
      <c r="H45" s="1"/>
      <c r="I45" s="1"/>
      <c r="J45" s="1"/>
      <c r="K45" s="8"/>
    </row>
    <row r="46" spans="1:11" ht="20.100000000000001" customHeight="1" x14ac:dyDescent="0.25">
      <c r="A46" s="5" t="str">
        <f>HYPERLINK("#'Constants - Fertiliser'!A1", "Constants - Fertiliser")</f>
        <v>Constants - Fertiliser</v>
      </c>
      <c r="C46" s="8"/>
      <c r="D46" s="1" t="str">
        <v>01 Jan 2026 to 31 Dec 2026</v>
      </c>
      <c r="E46" s="86" t="str">
        <f t="shared" ref="E46:E49" si="2">IF(ISBLANK(D46), 0, "Enter value")</f>
        <v>Enter value</v>
      </c>
      <c r="F46" s="15" t="s">
        <v>131</v>
      </c>
      <c r="G46" s="1"/>
      <c r="H46" s="1"/>
      <c r="I46" s="1"/>
      <c r="J46" s="1"/>
      <c r="K46" s="8"/>
    </row>
    <row r="47" spans="1:11" ht="20.100000000000001" customHeight="1" x14ac:dyDescent="0.25">
      <c r="A47" s="5" t="str">
        <f>HYPERLINK("#'Constants - Fuel'!A1", "Constants - Fuel")</f>
        <v>Constants - Fuel</v>
      </c>
      <c r="C47" s="8"/>
      <c r="D47" s="1"/>
      <c r="E47" s="86">
        <f t="shared" si="2"/>
        <v>0</v>
      </c>
      <c r="F47" s="15" t="s">
        <v>131</v>
      </c>
      <c r="G47" s="1"/>
      <c r="H47" s="1"/>
      <c r="I47" s="1"/>
      <c r="J47" s="1"/>
      <c r="K47" s="8"/>
    </row>
    <row r="48" spans="1:11" ht="20.100000000000001" customHeight="1" x14ac:dyDescent="0.25">
      <c r="A48" s="5" t="str">
        <f>HYPERLINK("#'Constants - Scope 3'!A1", "Constants - Scope 3")</f>
        <v>Constants - Scope 3</v>
      </c>
      <c r="C48" s="8"/>
      <c r="D48" s="1"/>
      <c r="E48" s="86">
        <f t="shared" si="2"/>
        <v>0</v>
      </c>
      <c r="F48" s="15" t="s">
        <v>131</v>
      </c>
      <c r="G48" s="1"/>
      <c r="H48" s="1"/>
      <c r="I48" s="1"/>
      <c r="J48" s="1"/>
      <c r="K48" s="8"/>
    </row>
    <row r="49" spans="1:11" ht="20.100000000000001" customHeight="1" x14ac:dyDescent="0.25">
      <c r="A49" s="5" t="str">
        <f>HYPERLINK("#'Constants - Common'!A1", "Constants - Common")</f>
        <v>Constants - Common</v>
      </c>
      <c r="C49" s="8"/>
      <c r="D49" s="1"/>
      <c r="E49" s="86">
        <f t="shared" si="2"/>
        <v>0</v>
      </c>
      <c r="F49" s="15" t="s">
        <v>131</v>
      </c>
      <c r="G49" s="1"/>
      <c r="H49" s="1"/>
      <c r="I49" s="8"/>
      <c r="J49" s="8"/>
      <c r="K49" s="8"/>
    </row>
    <row r="50" spans="1:11" ht="20.100000000000001" customHeight="1" x14ac:dyDescent="0.3">
      <c r="A50" s="5" t="str">
        <f>HYPERLINK("#'Constants - Solid Waste'!A1", "Constants - Solid Waste")</f>
        <v>Constants - Solid Waste</v>
      </c>
      <c r="C50" s="8"/>
      <c r="D50" s="14" t="s">
        <v>133</v>
      </c>
      <c r="E50" s="19">
        <f>SUM(E45:E49)</f>
        <v>0</v>
      </c>
      <c r="F50" s="1"/>
      <c r="G50" s="1"/>
      <c r="H50" s="1"/>
      <c r="I50" s="1"/>
      <c r="J50" s="1"/>
      <c r="K50" s="8"/>
    </row>
    <row r="51" spans="1:11" ht="20.100000000000001" customHeight="1" x14ac:dyDescent="0.25">
      <c r="C51" s="8"/>
      <c r="D51" s="1"/>
      <c r="E51" s="1"/>
      <c r="F51" s="1"/>
      <c r="G51" s="1"/>
      <c r="H51" s="1"/>
      <c r="I51" s="1"/>
      <c r="J51" s="1"/>
      <c r="K51" s="8"/>
    </row>
    <row r="52" spans="1:11" ht="20.100000000000001" customHeight="1" x14ac:dyDescent="0.25">
      <c r="C52" s="8"/>
      <c r="D52" s="1"/>
      <c r="E52" s="1"/>
      <c r="F52" s="1"/>
      <c r="G52" s="1"/>
      <c r="H52" s="1"/>
      <c r="I52" s="1"/>
      <c r="J52" s="1"/>
      <c r="K52" s="8"/>
    </row>
    <row r="53" spans="1:11" ht="20.100000000000001" customHeight="1" x14ac:dyDescent="0.25">
      <c r="C53" s="8"/>
      <c r="D53" s="2" t="s">
        <v>119</v>
      </c>
      <c r="E53" s="1"/>
      <c r="F53" s="1"/>
      <c r="G53" s="1"/>
      <c r="H53" s="1"/>
      <c r="I53" s="1"/>
      <c r="J53" s="8"/>
      <c r="K53" s="8"/>
    </row>
    <row r="54" spans="1:11" ht="20.100000000000001" customHeight="1" x14ac:dyDescent="0.25">
      <c r="C54" s="8"/>
      <c r="D54" s="1"/>
      <c r="E54" s="1"/>
      <c r="F54" s="1"/>
      <c r="G54" s="1"/>
      <c r="H54" s="1"/>
      <c r="I54" s="1"/>
      <c r="J54" s="1"/>
      <c r="K54" s="8"/>
    </row>
    <row r="55" spans="1:11" ht="20.100000000000001" customHeight="1" x14ac:dyDescent="0.25">
      <c r="C55" s="8"/>
      <c r="D55" s="20"/>
      <c r="E55" s="20" t="s">
        <v>135</v>
      </c>
      <c r="F55" s="20" t="s">
        <v>136</v>
      </c>
      <c r="G55" s="1"/>
      <c r="H55" s="1"/>
      <c r="I55" s="1"/>
      <c r="J55" s="1"/>
      <c r="K55" s="8"/>
    </row>
    <row r="56" spans="1:11" ht="20.100000000000001" customHeight="1" x14ac:dyDescent="0.3">
      <c r="C56" s="8"/>
      <c r="D56" s="89" t="s">
        <v>134</v>
      </c>
      <c r="E56" s="87">
        <f>Result_EmissionsForWholeProductionCycle_Method1-Result_CarbonRemovalsFromPlantings</f>
        <v>2421.4925077423422</v>
      </c>
      <c r="F56" s="87">
        <f>Result_EmissionsForWholeProductionCycle_Method2-Result_CarbonRemovalsFromPlantings</f>
        <v>2421.4925252323424</v>
      </c>
      <c r="G56" s="1"/>
      <c r="H56" s="1"/>
      <c r="I56" s="1"/>
      <c r="J56" s="1"/>
      <c r="K56" s="8"/>
    </row>
    <row r="57" spans="1:11" ht="20.100000000000001" customHeight="1" x14ac:dyDescent="0.25">
      <c r="C57" s="8"/>
      <c r="D57" s="1"/>
      <c r="E57" s="1"/>
      <c r="F57" s="1"/>
      <c r="G57" s="1"/>
      <c r="H57" s="1"/>
      <c r="I57" s="1"/>
      <c r="J57" s="1"/>
      <c r="K57" s="8"/>
    </row>
    <row r="58" spans="1:11" ht="20.100000000000001" customHeight="1" x14ac:dyDescent="0.25">
      <c r="C58" s="8"/>
      <c r="D58" s="1"/>
      <c r="E58" s="1"/>
      <c r="F58" s="1"/>
      <c r="G58" s="1"/>
      <c r="H58" s="1"/>
      <c r="I58" s="1"/>
      <c r="J58" s="1"/>
      <c r="K58" s="8"/>
    </row>
    <row r="59" spans="1:11" ht="20.100000000000001" customHeight="1" x14ac:dyDescent="0.25">
      <c r="C59" s="8"/>
      <c r="D59" s="91" t="s">
        <v>171</v>
      </c>
      <c r="E59" s="1"/>
      <c r="F59" s="1"/>
      <c r="G59" s="1"/>
      <c r="H59" s="1"/>
      <c r="I59" s="1"/>
      <c r="J59" s="1"/>
      <c r="K59" s="8"/>
    </row>
    <row r="60" spans="1:11" ht="20.100000000000001" customHeight="1" x14ac:dyDescent="0.25">
      <c r="C60" s="8"/>
      <c r="D60" s="20" t="s">
        <v>137</v>
      </c>
      <c r="E60" s="20" t="s">
        <v>124</v>
      </c>
      <c r="F60" s="20" t="s">
        <v>120</v>
      </c>
      <c r="G60" s="20" t="s">
        <v>168</v>
      </c>
      <c r="H60" s="20" t="s">
        <v>122</v>
      </c>
      <c r="I60" s="20" t="s">
        <v>123</v>
      </c>
      <c r="J60" s="20" t="s">
        <v>121</v>
      </c>
      <c r="K60" s="8"/>
    </row>
    <row r="61" spans="1:11" ht="20.100000000000001" customHeight="1" x14ac:dyDescent="0.25">
      <c r="C61" s="8"/>
      <c r="D61" s="1" t="s">
        <v>173</v>
      </c>
      <c r="E61" s="1" t="s">
        <v>125</v>
      </c>
      <c r="F61" s="18">
        <f>'Input - Enterprise'!E22*'Input - Enterprise'!E23</f>
        <v>1000</v>
      </c>
      <c r="G61" s="18">
        <f>F61/(F61+F64)</f>
        <v>0.75187969924812026</v>
      </c>
      <c r="H61" s="18">
        <f>(Result_EmissionsForWholeProductionCycle_Method1/F61)*G61</f>
        <v>1.8206710584528887</v>
      </c>
      <c r="I61" s="18">
        <f>(Result_EmissionsForWholeProductionCycle_Method2/F61)*G61</f>
        <v>1.8206710716032648</v>
      </c>
      <c r="J61" s="15" t="s">
        <v>165</v>
      </c>
      <c r="K61" s="8"/>
    </row>
    <row r="62" spans="1:11" ht="20.100000000000001" customHeight="1" x14ac:dyDescent="0.25">
      <c r="C62" s="8"/>
      <c r="D62" s="1" t="s">
        <v>174</v>
      </c>
      <c r="E62" s="1" t="s">
        <v>125</v>
      </c>
      <c r="F62" s="18">
        <f>F61</f>
        <v>1000</v>
      </c>
      <c r="G62" s="18">
        <f>G61</f>
        <v>0.75187969924812026</v>
      </c>
      <c r="H62" s="18">
        <f>(Result_EmissionsForWholeProductionCycle_Method1/F62)*G62</f>
        <v>1.8206710584528887</v>
      </c>
      <c r="I62" s="18">
        <f>(Result_EmissionsForWholeProductionCycle_Method2/F62)*G62</f>
        <v>1.8206710716032648</v>
      </c>
      <c r="J62" s="15" t="s">
        <v>165</v>
      </c>
      <c r="K62" s="8"/>
    </row>
    <row r="63" spans="1:11" ht="20.100000000000001" customHeight="1" x14ac:dyDescent="0.25">
      <c r="C63" s="8"/>
      <c r="D63" s="1" t="s">
        <v>163</v>
      </c>
      <c r="E63" s="1" t="s">
        <v>128</v>
      </c>
      <c r="F63" s="18">
        <f>'Input - Enterprise'!E22*'Input - Enterprise'!E24</f>
        <v>1000</v>
      </c>
      <c r="G63" s="18" t="s">
        <v>127</v>
      </c>
      <c r="H63" s="18" t="s">
        <v>127</v>
      </c>
      <c r="I63" s="18" t="s">
        <v>127</v>
      </c>
      <c r="J63" s="15"/>
      <c r="K63" s="17"/>
    </row>
    <row r="64" spans="1:11" ht="20.100000000000001" customHeight="1" x14ac:dyDescent="0.25">
      <c r="C64" s="8"/>
      <c r="D64" s="1" t="s">
        <v>175</v>
      </c>
      <c r="E64" s="1" t="s">
        <v>126</v>
      </c>
      <c r="F64" s="18">
        <f>'Input - Enterprise'!E27*'Input - Enterprise'!E28</f>
        <v>330</v>
      </c>
      <c r="G64" s="18">
        <f>F64/(F61+F64)</f>
        <v>0.24812030075187969</v>
      </c>
      <c r="H64" s="18">
        <f>(Result_EmissionsForWholeProductionCycle_Method1/F64)*G64</f>
        <v>1.8206710584528887</v>
      </c>
      <c r="I64" s="18">
        <f>(Result_EmissionsForWholeProductionCycle_Method2/F64)*G64</f>
        <v>1.8206710716032648</v>
      </c>
      <c r="J64" s="15" t="s">
        <v>166</v>
      </c>
      <c r="K64" s="17"/>
    </row>
    <row r="65" spans="3:11" ht="20.100000000000001" customHeight="1" x14ac:dyDescent="0.25">
      <c r="C65" s="8"/>
      <c r="D65" s="1" t="s">
        <v>176</v>
      </c>
      <c r="E65" s="1" t="s">
        <v>126</v>
      </c>
      <c r="F65" s="18">
        <f>F64</f>
        <v>330</v>
      </c>
      <c r="G65" s="18">
        <f>G64</f>
        <v>0.24812030075187969</v>
      </c>
      <c r="H65" s="18">
        <f>(Result_NetEmissions_Method1/F65)*G65</f>
        <v>1.8206710584528887</v>
      </c>
      <c r="I65" s="18">
        <f>(Result_NetEmissions_Method2/F65)*G65</f>
        <v>1.8206710716032648</v>
      </c>
      <c r="J65" s="15" t="s">
        <v>166</v>
      </c>
      <c r="K65" s="17"/>
    </row>
    <row r="66" spans="3:11" ht="20.100000000000001" customHeight="1" x14ac:dyDescent="0.25">
      <c r="C66" s="8"/>
      <c r="D66" s="1" t="s">
        <v>164</v>
      </c>
      <c r="E66" s="1" t="s">
        <v>128</v>
      </c>
      <c r="F66" s="18">
        <f>'Input - Enterprise'!E27*'Input - Enterprise'!E29</f>
        <v>165</v>
      </c>
      <c r="G66" s="18" t="s">
        <v>127</v>
      </c>
      <c r="H66" s="18" t="s">
        <v>127</v>
      </c>
      <c r="I66" s="18" t="s">
        <v>127</v>
      </c>
      <c r="J66" s="15"/>
      <c r="K66" s="17"/>
    </row>
    <row r="67" spans="3:11" ht="20.100000000000001" customHeight="1" x14ac:dyDescent="0.25">
      <c r="C67" s="8"/>
      <c r="D67" s="1"/>
      <c r="E67" s="1"/>
      <c r="F67" s="1"/>
      <c r="G67" s="1"/>
      <c r="H67" s="17"/>
      <c r="I67" s="17"/>
      <c r="J67" s="17"/>
      <c r="K67" s="17"/>
    </row>
    <row r="68" spans="3:11" ht="20.100000000000001" customHeight="1" x14ac:dyDescent="0.25">
      <c r="C68" s="8"/>
      <c r="D68" s="91" t="s">
        <v>172</v>
      </c>
      <c r="E68" s="1"/>
      <c r="F68" s="1"/>
      <c r="G68" s="1"/>
      <c r="H68" s="1"/>
      <c r="I68" s="1"/>
      <c r="J68" s="1"/>
      <c r="K68" s="17"/>
    </row>
    <row r="69" spans="3:11" ht="20.100000000000001" customHeight="1" x14ac:dyDescent="0.25">
      <c r="C69" s="8"/>
      <c r="D69" s="20" t="s">
        <v>137</v>
      </c>
      <c r="E69" s="20" t="s">
        <v>124</v>
      </c>
      <c r="F69" s="20" t="s">
        <v>120</v>
      </c>
      <c r="G69" s="20" t="s">
        <v>167</v>
      </c>
      <c r="H69" s="20" t="s">
        <v>169</v>
      </c>
      <c r="I69" s="20" t="s">
        <v>170</v>
      </c>
      <c r="J69" s="20" t="s">
        <v>121</v>
      </c>
      <c r="K69" s="17"/>
    </row>
    <row r="70" spans="3:11" ht="20.100000000000001" customHeight="1" x14ac:dyDescent="0.25">
      <c r="C70" s="8"/>
      <c r="D70" s="1" t="s">
        <v>173</v>
      </c>
      <c r="E70" s="1" t="s">
        <v>125</v>
      </c>
      <c r="F70" s="18">
        <f>'Input - Enterprise'!E22*'Input - Enterprise'!E23</f>
        <v>1000</v>
      </c>
      <c r="G70" s="18">
        <f>X_Cell_Enterprise_PercentIncomeFromGrain</f>
        <v>0.8</v>
      </c>
      <c r="H70" s="18">
        <f>Result_EmissionsForWholeProductionCycle_Method1*G70/F70</f>
        <v>1.9371940061938739</v>
      </c>
      <c r="I70" s="18">
        <f>Result_EmissionsForWholeProductionCycle_Method2*G70/F70</f>
        <v>1.9371940201858739</v>
      </c>
      <c r="J70" s="15" t="s">
        <v>165</v>
      </c>
      <c r="K70" s="17"/>
    </row>
    <row r="71" spans="3:11" ht="20.100000000000001" customHeight="1" x14ac:dyDescent="0.25">
      <c r="C71" s="8"/>
      <c r="D71" s="1" t="s">
        <v>174</v>
      </c>
      <c r="E71" s="1" t="s">
        <v>125</v>
      </c>
      <c r="F71" s="18">
        <f>F70</f>
        <v>1000</v>
      </c>
      <c r="G71" s="18">
        <f>G70</f>
        <v>0.8</v>
      </c>
      <c r="H71" s="18">
        <f>Result_EmissionsForWholeProductionCycle_Method1*G71/F71</f>
        <v>1.9371940061938739</v>
      </c>
      <c r="I71" s="18">
        <f>Result_EmissionsForWholeProductionCycle_Method2*G71/F71</f>
        <v>1.9371940201858739</v>
      </c>
      <c r="J71" s="15" t="s">
        <v>165</v>
      </c>
      <c r="K71" s="17"/>
    </row>
    <row r="72" spans="3:11" ht="20.100000000000001" customHeight="1" x14ac:dyDescent="0.25">
      <c r="C72" s="8"/>
      <c r="D72" s="1" t="s">
        <v>163</v>
      </c>
      <c r="E72" s="1" t="s">
        <v>128</v>
      </c>
      <c r="F72" s="18">
        <f>'Input - Enterprise'!E22*'Input - Enterprise'!E24</f>
        <v>1000</v>
      </c>
      <c r="G72" s="18" t="s">
        <v>127</v>
      </c>
      <c r="H72" s="18" t="s">
        <v>127</v>
      </c>
      <c r="I72" s="18" t="s">
        <v>127</v>
      </c>
      <c r="J72" s="15"/>
      <c r="K72" s="17"/>
    </row>
    <row r="73" spans="3:11" ht="20.100000000000001" customHeight="1" x14ac:dyDescent="0.25">
      <c r="C73" s="8"/>
      <c r="D73" s="1" t="s">
        <v>175</v>
      </c>
      <c r="E73" s="1" t="s">
        <v>126</v>
      </c>
      <c r="F73" s="18">
        <f>'Input - Enterprise'!E27*'Input - Enterprise'!E28</f>
        <v>330</v>
      </c>
      <c r="G73" s="18">
        <f>X_Cell_Enterprise_PercentIncomeFromGrain</f>
        <v>0.8</v>
      </c>
      <c r="H73" s="18">
        <f>Result_EmissionsForWholeProductionCycle_Method1*G73/F73</f>
        <v>5.8702848672541634</v>
      </c>
      <c r="I73" s="18">
        <f>Result_EmissionsForWholeProductionCycle_Method2*G73/F73</f>
        <v>5.8702849096541634</v>
      </c>
      <c r="J73" s="15" t="s">
        <v>166</v>
      </c>
      <c r="K73" s="17"/>
    </row>
    <row r="74" spans="3:11" ht="20.100000000000001" customHeight="1" x14ac:dyDescent="0.25">
      <c r="C74" s="8"/>
      <c r="D74" s="1" t="s">
        <v>176</v>
      </c>
      <c r="E74" s="1" t="s">
        <v>126</v>
      </c>
      <c r="F74" s="18">
        <f>F73</f>
        <v>330</v>
      </c>
      <c r="G74" s="18">
        <f>G73</f>
        <v>0.8</v>
      </c>
      <c r="H74" s="18">
        <f>Result_EmissionsForWholeProductionCycle_Method1*G74/F74</f>
        <v>5.8702848672541634</v>
      </c>
      <c r="I74" s="18">
        <f>Result_EmissionsForWholeProductionCycle_Method2*G74/F74</f>
        <v>5.8702849096541634</v>
      </c>
      <c r="J74" s="15" t="s">
        <v>166</v>
      </c>
      <c r="K74" s="17"/>
    </row>
    <row r="75" spans="3:11" ht="20.100000000000001" customHeight="1" x14ac:dyDescent="0.25">
      <c r="C75" s="8"/>
      <c r="D75" s="1" t="s">
        <v>164</v>
      </c>
      <c r="E75" s="1" t="s">
        <v>128</v>
      </c>
      <c r="F75" s="18">
        <f>'Input - Enterprise'!E27*'Input - Enterprise'!E29</f>
        <v>165</v>
      </c>
      <c r="G75" s="18" t="s">
        <v>127</v>
      </c>
      <c r="H75" s="18" t="s">
        <v>127</v>
      </c>
      <c r="I75" s="18" t="s">
        <v>127</v>
      </c>
      <c r="J75" s="15"/>
      <c r="K75" s="17"/>
    </row>
    <row r="76" spans="3:11" ht="20.100000000000001" customHeight="1" x14ac:dyDescent="0.25">
      <c r="C76" s="8"/>
      <c r="D76" s="1"/>
      <c r="E76" s="1"/>
      <c r="F76" s="1"/>
      <c r="G76" s="1"/>
      <c r="H76" s="1"/>
      <c r="I76" s="1"/>
      <c r="J76" s="1"/>
      <c r="K76" s="17"/>
    </row>
    <row r="77" spans="3:11" ht="20.100000000000001" customHeight="1" x14ac:dyDescent="0.25">
      <c r="C77" s="8"/>
      <c r="D77" s="1"/>
      <c r="E77" s="1"/>
      <c r="F77" s="1"/>
      <c r="G77" s="1"/>
      <c r="H77" s="1"/>
      <c r="I77" s="1"/>
      <c r="J77" s="1"/>
      <c r="K77" s="8"/>
    </row>
    <row r="78" spans="3:11" ht="20.100000000000001" customHeight="1" x14ac:dyDescent="0.25">
      <c r="C78" s="8"/>
      <c r="D78" s="1"/>
      <c r="E78" s="1"/>
      <c r="F78" s="1"/>
      <c r="G78" s="1"/>
      <c r="H78" s="1"/>
      <c r="I78" s="1"/>
      <c r="J78" s="1"/>
      <c r="K78" s="8"/>
    </row>
    <row r="79" spans="3:11" ht="20.100000000000001" customHeight="1" x14ac:dyDescent="0.25">
      <c r="C79" s="8"/>
      <c r="D79" s="1"/>
      <c r="E79" s="1"/>
      <c r="F79" s="1"/>
      <c r="G79" s="1"/>
      <c r="H79" s="1"/>
      <c r="I79" s="1"/>
      <c r="J79" s="1"/>
      <c r="K79" s="8"/>
    </row>
    <row r="80" spans="3:11" ht="20.100000000000001" customHeight="1" x14ac:dyDescent="0.25">
      <c r="C80" s="8"/>
      <c r="D80" s="1"/>
      <c r="E80" s="1"/>
      <c r="F80" s="1"/>
      <c r="G80" s="1"/>
      <c r="H80" s="1"/>
      <c r="I80" s="1"/>
      <c r="J80" s="1"/>
      <c r="K80" s="8"/>
    </row>
    <row r="81" spans="3:11" ht="20.100000000000001" customHeight="1" x14ac:dyDescent="0.25">
      <c r="C81" s="8"/>
      <c r="D81" s="1"/>
      <c r="E81" s="1"/>
      <c r="F81" s="1"/>
      <c r="G81" s="1"/>
      <c r="H81" s="1"/>
      <c r="I81" s="1"/>
      <c r="J81" s="1"/>
      <c r="K81" s="8"/>
    </row>
    <row r="82" spans="3:11" ht="20.100000000000001" customHeight="1" x14ac:dyDescent="0.25">
      <c r="C82" s="8"/>
      <c r="D82" s="1"/>
      <c r="E82" s="1"/>
      <c r="F82" s="1"/>
      <c r="G82" s="1"/>
      <c r="H82" s="1"/>
      <c r="I82" s="1"/>
      <c r="J82" s="1"/>
      <c r="K82" s="8"/>
    </row>
    <row r="83" spans="3:11" ht="20.100000000000001" customHeight="1" x14ac:dyDescent="0.25">
      <c r="C83" s="8"/>
      <c r="D83" s="1"/>
      <c r="E83" s="1"/>
      <c r="F83" s="1"/>
      <c r="G83" s="1"/>
      <c r="H83" s="1"/>
      <c r="I83" s="1"/>
      <c r="J83" s="1"/>
      <c r="K83" s="8"/>
    </row>
    <row r="84" spans="3:11" ht="20.100000000000001" customHeight="1" x14ac:dyDescent="0.25">
      <c r="C84" s="8"/>
      <c r="D84" s="1"/>
      <c r="E84" s="1"/>
      <c r="F84" s="1"/>
      <c r="G84" s="1"/>
      <c r="H84" s="1"/>
      <c r="I84" s="1"/>
      <c r="J84" s="1"/>
      <c r="K84" s="8"/>
    </row>
    <row r="85" spans="3:11" ht="20.100000000000001" customHeight="1" x14ac:dyDescent="0.25">
      <c r="C85" s="8"/>
      <c r="D85" s="1"/>
      <c r="E85" s="1"/>
      <c r="F85" s="1"/>
      <c r="G85" s="1"/>
      <c r="H85" s="1"/>
      <c r="I85" s="1"/>
      <c r="J85" s="1"/>
      <c r="K85" s="8"/>
    </row>
    <row r="86" spans="3:11" ht="20.100000000000001" customHeight="1" x14ac:dyDescent="0.25">
      <c r="C86" s="8"/>
      <c r="D86" s="8"/>
      <c r="E86" s="8"/>
      <c r="F86" s="8"/>
      <c r="G86" s="8"/>
      <c r="H86" s="8"/>
      <c r="I86" s="8"/>
      <c r="J86" s="8"/>
      <c r="K86" s="8"/>
    </row>
    <row r="87" spans="3:11" ht="20.100000000000001" customHeight="1" x14ac:dyDescent="0.25">
      <c r="C87" s="8"/>
      <c r="D87" s="8"/>
      <c r="E87" s="8"/>
      <c r="F87" s="8"/>
      <c r="G87" s="8"/>
      <c r="H87" s="8"/>
      <c r="I87" s="8"/>
      <c r="J87" s="8"/>
      <c r="K87" s="8"/>
    </row>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A1:J50"/>
  <sheetViews>
    <sheetView showGridLines="0" workbookViewId="0" zoomScale="100" zoomScaleNormal="100">
      <selection activeCell="A50" sqref="A50"/>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25.5" x14ac:dyDescent="0.35">
      <c r="A1" s="16" t="e" vm="1">
        <v>#VALUE!</v>
      </c>
      <c r="C1" s="38" t="s">
        <v>152</v>
      </c>
      <c r="D1" s="32"/>
      <c r="E1" s="32"/>
      <c r="F1" s="32"/>
      <c r="G1" s="32"/>
      <c r="H1" s="32"/>
      <c r="I1" s="32"/>
      <c r="J1" s="32"/>
    </row>
    <row r="2" spans="1:10" x14ac:dyDescent="0.25">
      <c r="C2" s="3"/>
      <c r="D2" s="3"/>
      <c r="E2" s="3"/>
      <c r="F2" s="3"/>
      <c r="G2" s="3"/>
      <c r="H2" s="3"/>
      <c r="I2" s="3"/>
      <c r="J2" s="3"/>
    </row>
    <row r="3" spans="1:10" ht="20.25" x14ac:dyDescent="0.25">
      <c r="A3" s="5" t="str">
        <f>HYPERLINK("#'Home'!A1", "Home")</f>
        <v>Home</v>
      </c>
      <c r="C3" s="39"/>
      <c r="D3" s="39"/>
      <c r="E3" s="39"/>
      <c r="F3" s="39"/>
      <c r="G3" s="39"/>
      <c r="H3" s="39"/>
      <c r="I3" s="39"/>
      <c r="J3" s="39"/>
    </row>
    <row r="4" spans="1:10" x14ac:dyDescent="0.25">
      <c r="A4" s="5" t="str">
        <f>HYPERLINK("#'Overview'!A1", "Overview")</f>
        <v>Overview</v>
      </c>
    </row>
    <row r="5" spans="1:10" ht="23.25" x14ac:dyDescent="0.25">
      <c r="A5" s="5" t="str">
        <f>HYPERLINK("#'Results'!A1", "Results")</f>
        <v>Results</v>
      </c>
      <c r="D5" s="2" t="s">
        <v>87</v>
      </c>
      <c r="E5" s="35"/>
      <c r="F5" s="35"/>
      <c r="G5" s="35"/>
    </row>
    <row r="6" spans="1:10" x14ac:dyDescent="0.25">
      <c r="D6" s="42"/>
      <c r="E6" s="35"/>
      <c r="F6" s="35"/>
      <c r="G6" s="35"/>
    </row>
    <row r="7" spans="1:10" x14ac:dyDescent="0.25">
      <c r="D7" s="1" t="s">
        <v>88</v>
      </c>
      <c r="E7" s="44" t="s">
        <v>89</v>
      </c>
      <c r="F7" s="26"/>
      <c r="G7" s="35"/>
    </row>
    <row r="8" spans="1:10" x14ac:dyDescent="0.25">
      <c r="A8" s="7" t="s">
        <v>0</v>
      </c>
      <c r="D8" s="22" t="s">
        <v>90</v>
      </c>
      <c r="E8" s="44" t="s">
        <v>91</v>
      </c>
      <c r="F8" s="35"/>
      <c r="G8" s="35"/>
    </row>
    <row r="9" spans="1:10" x14ac:dyDescent="0.25">
      <c r="A9" s="99" t="str">
        <f>HYPERLINK("#'Input - Enterprise'!A1", "Enterprise")</f>
        <v>Enterprise</v>
      </c>
      <c r="D9" s="35"/>
      <c r="E9" s="35"/>
      <c r="F9" s="35"/>
      <c r="G9" s="35"/>
    </row>
    <row r="10" spans="1:10" x14ac:dyDescent="0.25">
      <c r="A10" s="5" t="str">
        <f>HYPERLINK("#'Input - Site'!A1", "Site")</f>
        <v>Site</v>
      </c>
      <c r="D10" s="46" t="s">
        <v>92</v>
      </c>
      <c r="E10" s="47"/>
      <c r="F10" s="48"/>
      <c r="G10" s="49"/>
    </row>
    <row r="11" spans="1:10" x14ac:dyDescent="0.25">
      <c r="A11" s="5" t="str">
        <f>HYPERLINK("#'Input - Crop'!A1", "Crop")</f>
        <v>Crop</v>
      </c>
      <c r="D11" s="35"/>
      <c r="E11" s="35"/>
      <c r="F11" s="35"/>
      <c r="G11" s="35"/>
    </row>
    <row r="12" spans="1:10" x14ac:dyDescent="0.25">
      <c r="A12" s="5" t="str">
        <f>HYPERLINK("#'Input - Fert Prod System'!A1", "Fert Prod System")</f>
        <v>Fert Prod System</v>
      </c>
      <c r="D12" s="22" t="s">
        <v>16</v>
      </c>
      <c r="E12" s="24">
        <v>45658</v>
      </c>
      <c r="F12" s="26" t="s">
        <v>93</v>
      </c>
      <c r="G12" s="35"/>
    </row>
    <row r="13" spans="1:10" x14ac:dyDescent="0.25">
      <c r="A13" s="5" t="str">
        <f>HYPERLINK("#'Input - Fertiliser'!A1", "Fertiliser")</f>
        <v>Fertiliser</v>
      </c>
      <c r="D13" s="22" t="s">
        <v>17</v>
      </c>
      <c r="E13" s="51">
        <f>DATE(YEAR(E12)+1,MONTH(E12),DAY(E12))-1</f>
        <v>46022</v>
      </c>
      <c r="F13" s="26" t="s">
        <v>94</v>
      </c>
      <c r="G13" s="35"/>
    </row>
    <row r="14" spans="1:10" x14ac:dyDescent="0.25">
      <c r="A14" s="5" t="str">
        <f>HYPERLINK("#'Input - Fuel'!A1", "Fuel")</f>
        <v>Fuel</v>
      </c>
      <c r="F14" s="35"/>
      <c r="G14" s="35"/>
    </row>
    <row r="15" spans="1:10" x14ac:dyDescent="0.25">
      <c r="A15" s="5" t="str">
        <f>HYPERLINK("#'Input - Electricity'!A1", "Electricity")</f>
        <v>Electricity</v>
      </c>
    </row>
    <row r="16" spans="1:10" ht="23.25" x14ac:dyDescent="0.25">
      <c r="A16" s="5" t="str">
        <f>HYPERLINK("#'Input - Common farm inputs'!A1", "Common farm inputs")</f>
        <v>Common farm inputs</v>
      </c>
      <c r="D16" s="2" t="s">
        <v>18</v>
      </c>
    </row>
    <row r="17" spans="1:6" x14ac:dyDescent="0.25">
      <c r="A17" s="5" t="str">
        <f>HYPERLINK("#'Input - Crop pasture farm input'!A1", "Crop pasture farm input")</f>
        <v>Crop pasture farm input</v>
      </c>
    </row>
    <row r="18" spans="1:6" x14ac:dyDescent="0.25">
      <c r="A18" s="5" t="str">
        <f>HYPERLINK("#'Input - Freight'!A1", "Freight")</f>
        <v>Freight</v>
      </c>
      <c r="D18" s="1" t="s">
        <v>13</v>
      </c>
      <c r="E18" s="24">
        <v>45962</v>
      </c>
      <c r="F18" s="26" t="s">
        <v>93</v>
      </c>
    </row>
    <row r="19" spans="1:6" x14ac:dyDescent="0.25">
      <c r="A19" s="5" t="str">
        <f>HYPERLINK("#'Input - Manure sent off-site'!A1", "Manure sent off-site")</f>
        <v>Manure sent off-site</v>
      </c>
      <c r="D19" s="1" t="s">
        <v>14</v>
      </c>
      <c r="E19" s="24">
        <v>46112</v>
      </c>
      <c r="F19" s="26" t="s">
        <v>93</v>
      </c>
    </row>
    <row r="20" spans="1:6" x14ac:dyDescent="0.25">
      <c r="A20" s="5" t="str">
        <f>HYPERLINK("#'Input - Solid waste'!A1", "Solid waste")</f>
        <v>Solid waste</v>
      </c>
      <c r="D20" s="1" t="s">
        <v>15</v>
      </c>
      <c r="E20" s="25">
        <f>DATEDIF(E18,E19+1,"m")</f>
        <v>5</v>
      </c>
      <c r="F20" s="26" t="s">
        <v>118</v>
      </c>
    </row>
    <row r="21" spans="1:6" x14ac:dyDescent="0.25">
      <c r="A21" s="5" t="str">
        <f>HYPERLINK("#'Input - Data quality'!A1", "Data quality")</f>
        <v>Data quality</v>
      </c>
    </row>
    <row r="22" spans="1:6" x14ac:dyDescent="0.25">
      <c r="D22" s="1" t="s">
        <v>154</v>
      </c>
      <c r="E22" s="90" cm="1">
        <f t="array" ref="E22">IF(X_Cell_Crop_CropPurpose = "Cash grain crop", X_Cell_Crop_TotalProductionOfCrop, 0)</f>
        <v>10000</v>
      </c>
      <c r="F22" s="26" t="s">
        <v>19</v>
      </c>
    </row>
    <row r="23" spans="1:6" x14ac:dyDescent="0.25">
      <c r="D23" s="1" t="s">
        <v>158</v>
      </c>
      <c r="E23" s="28">
        <v>0.1</v>
      </c>
      <c r="F23" s="26" t="s">
        <v>153</v>
      </c>
    </row>
    <row r="24" spans="1:6" x14ac:dyDescent="0.25">
      <c r="A24" s="6" t="s">
        <v>2</v>
      </c>
      <c r="D24" s="1" t="s">
        <v>159</v>
      </c>
      <c r="E24" s="28">
        <v>0.1</v>
      </c>
      <c r="F24" s="26" t="s">
        <v>153</v>
      </c>
    </row>
    <row r="25" spans="1:6" x14ac:dyDescent="0.25">
      <c r="A25" s="5" t="str">
        <f>HYPERLINK("#'5.1.1.1-2 Inorganic fert N2O'!A1", "5.1.1.1-2 Inorganic fert N2O")</f>
        <v>5.1.1.1-2 Inorganic fert N2O</v>
      </c>
      <c r="D25" s="1" t="s">
        <v>160</v>
      </c>
      <c r="E25" s="29">
        <f>100%-E23-E24</f>
        <v>0.8</v>
      </c>
      <c r="F25" s="26" t="s">
        <v>153</v>
      </c>
    </row>
    <row r="26" spans="1:6" x14ac:dyDescent="0.25">
      <c r="A26" s="5" t="str">
        <f>HYPERLINK("#'5.1.1.3-4 Inorganic fert CO2'!A1", "5.1.1.3-4 Inorganic fert CO2")</f>
        <v>5.1.1.3-4 Inorganic fert CO2</v>
      </c>
    </row>
    <row r="27" spans="1:6" x14ac:dyDescent="0.25">
      <c r="A27" s="5" t="str">
        <f>HYPERLINK("#'5.2.1.1-2 Organic Fert N2O'!A1", "5.2.1.1-2 Organic fert N2O")</f>
        <v>5.2.1.1-2 Organic fert N2O</v>
      </c>
      <c r="D27" s="1" t="s">
        <v>156</v>
      </c>
      <c r="E27" s="90" cm="1">
        <f t="array" ref="E27">X_Cell_Crop_TotalResidueBaled</f>
        <v>1650</v>
      </c>
      <c r="F27" s="26" t="s">
        <v>19</v>
      </c>
    </row>
    <row r="28" spans="1:6" x14ac:dyDescent="0.25">
      <c r="A28" s="5" t="str">
        <f>HYPERLINK("#'5.3.1.1-2 Lime CO2'!A1", "5.3.1.1-2 Lime CO2")</f>
        <v>5.3.1.1-2 Lime CO2</v>
      </c>
      <c r="D28" s="1" t="s">
        <v>161</v>
      </c>
      <c r="E28" s="28">
        <v>0.2</v>
      </c>
      <c r="F28" s="26" t="s">
        <v>153</v>
      </c>
    </row>
    <row r="29" spans="1:6" x14ac:dyDescent="0.25">
      <c r="A29" s="5" t="str">
        <f>HYPERLINK("#'5.4.1.1-4 Atmos deposition'!A1", "5.4.1.1-4 Atmos. deposition")</f>
        <v>5.4.1.1-4 Atmos. deposition</v>
      </c>
      <c r="D29" s="1" t="s">
        <v>162</v>
      </c>
      <c r="E29" s="28">
        <v>0.1</v>
      </c>
      <c r="F29" s="26" t="s">
        <v>153</v>
      </c>
    </row>
    <row r="30" spans="1:6" x14ac:dyDescent="0.25">
      <c r="A30" s="5" t="str">
        <f>HYPERLINK("#'5.5.1.1-2 Leaching and runoff'!A1", "5.5.1.1-2 Leaching &amp; runoff")</f>
        <v>5.5.1.1-2 Leaching &amp; runoff</v>
      </c>
      <c r="D30" s="1" t="s">
        <v>160</v>
      </c>
      <c r="E30" s="29">
        <f>100%-E28-E29</f>
        <v>0.70000000000000007</v>
      </c>
      <c r="F30" s="26" t="s">
        <v>153</v>
      </c>
    </row>
    <row r="31" spans="1:6" x14ac:dyDescent="0.25">
      <c r="A31" s="5" t="str">
        <f>HYPERLINK("#'6.1.1.1-2 Crop residue N2O'!A1", "6.1.1.1-2 Crop residue N2O")</f>
        <v>6.1.1.1-2 Crop residue N2O</v>
      </c>
    </row>
    <row r="32" spans="1:6" x14ac:dyDescent="0.25">
      <c r="A32" s="5" t="str">
        <f>HYPERLINK("#'6.3.1.1-2 Leach runoff crop'!A1", "6.3.1.1-2 Leach &amp; runoff (crop)")</f>
        <v>6.3.1.1-2 Leach &amp; runoff (crop)</v>
      </c>
      <c r="D32" s="1" t="s">
        <v>155</v>
      </c>
      <c r="E32" s="28">
        <v>0.8</v>
      </c>
      <c r="F32" s="26" t="s">
        <v>153</v>
      </c>
    </row>
    <row r="33" spans="1:6" x14ac:dyDescent="0.25">
      <c r="A33" s="5" t="str">
        <f>HYPERLINK("#'6.4.1.1-2 Residue burning'!A1", "6.4.1.1-2 Residue burning")</f>
        <v>6.4.1.1-2 Residue burning</v>
      </c>
      <c r="D33" s="1" t="s">
        <v>157</v>
      </c>
      <c r="E33" s="28">
        <v>0.2</v>
      </c>
      <c r="F33" s="26" t="s">
        <v>153</v>
      </c>
    </row>
    <row r="34" spans="1:6" x14ac:dyDescent="0.25">
      <c r="A34" s="5" t="str">
        <f>HYPERLINK("#'8.1.1.1-2 Transport fuel'!A1", "8.1.1.1-2 Transport fuel")</f>
        <v>8.1.1.1-2 Transport fuel</v>
      </c>
    </row>
    <row r="35" spans="1:6" x14ac:dyDescent="0.25">
      <c r="A35" s="5" t="str">
        <f>HYPERLINK("#'8.2.1.1-2 Stationary fuel'!A1", "8.2.1.1-2 Stationary fuel")</f>
        <v>8.2.1.1-2 Stationary fuel</v>
      </c>
    </row>
    <row r="36" spans="1:6" x14ac:dyDescent="0.25">
      <c r="A36" s="5" t="str">
        <f>HYPERLINK("#'14.1.1-2 Purchased electricity'!A1", "14.1.1-2 Purchased electricity")</f>
        <v>14.1.1-2 Purchased electricity</v>
      </c>
    </row>
    <row r="37" spans="1:6" x14ac:dyDescent="0.25">
      <c r="A37" s="5" t="str">
        <f>HYPERLINK("#'15 Scope 3'!A1", "15 Scope 3")</f>
        <v>15 Scope 3</v>
      </c>
    </row>
    <row r="38" spans="1:6" x14ac:dyDescent="0.25">
      <c r="A38" s="5" t="str">
        <f>HYPERLINK("#'Calcs - Manure sent off-site'!A1", "Calcs - Manure sent off-site")</f>
        <v>Calcs - Manure sent off-site</v>
      </c>
    </row>
    <row r="39" spans="1:6" x14ac:dyDescent="0.25">
      <c r="A39" s="5" t="str">
        <f>HYPERLINK("#'10.1.1-2 Solid waste treatment'!A1", "10.1.1-2 Solid waste treatment")</f>
        <v>10.1.1-2 Solid waste treatment</v>
      </c>
    </row>
    <row r="42" spans="1:6" x14ac:dyDescent="0.25">
      <c r="A42" s="108" t="s">
        <v>1</v>
      </c>
    </row>
    <row r="43" spans="1:6" x14ac:dyDescent="0.25">
      <c r="A43" s="5" t="str">
        <f>HYPERLINK("#'Constants - Ag Residue'!A1", "Constants - Ag residue")</f>
        <v>Constants - Ag residue</v>
      </c>
    </row>
    <row r="44" spans="1:6" x14ac:dyDescent="0.25">
      <c r="A44" s="5" t="str">
        <f>HYPERLINK("#'Constants - Common Livestock'!A1", "Constants - Common Livestock")</f>
        <v>Constants - Common Livestock</v>
      </c>
    </row>
    <row r="45" spans="1:6" x14ac:dyDescent="0.25">
      <c r="A45" s="5" t="str">
        <f>HYPERLINK("#'Constants - Electricity'!A1", "Constants - Electricity")</f>
        <v>Constants - Electricity</v>
      </c>
    </row>
    <row r="46" spans="1:6" x14ac:dyDescent="0.25">
      <c r="A46" s="5" t="str">
        <f>HYPERLINK("#'Constants - Fertiliser'!A1", "Constants - Fertiliser")</f>
        <v>Constants - Fertiliser</v>
      </c>
    </row>
    <row r="47" spans="1:6" x14ac:dyDescent="0.25">
      <c r="A47" s="5" t="str">
        <f>HYPERLINK("#'Constants - Fuel'!A1", "Constants - Fuel")</f>
        <v>Constants - Fuel</v>
      </c>
    </row>
    <row r="48" spans="1:6" x14ac:dyDescent="0.25">
      <c r="A48" s="5" t="str">
        <f>HYPERLINK("#'Constants - Scope 3'!A1", "Constants - Scope 3")</f>
        <v>Constants - Scope 3</v>
      </c>
    </row>
    <row r="49" spans="1:1" x14ac:dyDescent="0.25">
      <c r="A49" s="5" t="str">
        <f>HYPERLINK("#'Constants - Common'!A1", "Constants - Common")</f>
        <v>Constants - Common</v>
      </c>
    </row>
    <row r="50" spans="1:1" x14ac:dyDescent="0.25">
      <c r="A50" s="5" t="str">
        <f>HYPERLINK("#'Constants - Solid Waste'!A1", "Constants - Solid Waste")</f>
        <v>Constants - Solid Waste</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60"/>
  <sheetViews>
    <sheetView showGridLines="0" workbookViewId="0" zoomScale="100" zoomScaleNormal="100">
      <selection activeCell="A50" sqref="A50"/>
    </sheetView>
  </sheetViews>
  <sheetFormatPr defaultColWidth="9.140625" defaultRowHeight="15.75" x14ac:dyDescent="0.25"/>
  <cols>
    <col min="1" max="1" width="30.7109375" style="4" customWidth="1"/>
    <col min="2" max="2" width="4.7109375" style="32" customWidth="1"/>
    <col min="3" max="3" width="4.7109375" style="35" customWidth="1"/>
    <col min="4" max="4" width="60.7109375" style="35" customWidth="1"/>
    <col min="5" max="5" width="50.7109375" style="35" customWidth="1"/>
    <col min="6" max="11" width="28.7109375" style="35" customWidth="1"/>
    <col min="12" max="25" width="28.7109375" style="32" customWidth="1"/>
    <col min="26" max="27" width="9.140625" style="32"/>
    <col min="28" max="16384" width="9.140625" style="35"/>
  </cols>
  <sheetData>
    <row r="1" spans="1:24" s="32" customFormat="1" ht="30" customHeight="1" x14ac:dyDescent="0.35">
      <c r="A1" s="16" t="e" vm="1">
        <v>#VALUE!</v>
      </c>
      <c r="C1" s="38" t="s">
        <v>86</v>
      </c>
    </row>
    <row r="2" spans="1:24" s="32" customFormat="1" ht="20.100000000000001" customHeight="1" x14ac:dyDescent="0.25">
      <c r="A2"/>
      <c r="C2" s="3"/>
      <c r="D2" s="3"/>
      <c r="E2" s="3"/>
      <c r="F2" s="3"/>
      <c r="G2" s="3"/>
      <c r="H2" s="3"/>
      <c r="I2" s="3"/>
      <c r="J2" s="3"/>
    </row>
    <row r="3" spans="1:24" ht="20.100000000000001" customHeight="1" x14ac:dyDescent="0.25">
      <c r="A3" s="5" t="str">
        <f>HYPERLINK("#'Home'!A1", "Home")</f>
        <v>Home</v>
      </c>
      <c r="C3" s="39"/>
      <c r="D3" s="39"/>
      <c r="E3" s="39"/>
      <c r="F3" s="39"/>
      <c r="G3" s="39"/>
      <c r="H3" s="39"/>
      <c r="I3" s="39"/>
      <c r="J3" s="39"/>
      <c r="K3" s="39"/>
      <c r="M3" s="34"/>
      <c r="N3" s="34"/>
      <c r="O3" s="34"/>
      <c r="P3" s="34"/>
      <c r="Q3" s="34"/>
      <c r="R3" s="34"/>
      <c r="S3" s="34"/>
      <c r="T3" s="34"/>
      <c r="U3" s="34"/>
      <c r="V3" s="34"/>
      <c r="W3" s="34"/>
      <c r="X3" s="34"/>
    </row>
    <row r="4" spans="1:24" ht="20.100000000000001" customHeight="1" x14ac:dyDescent="0.25">
      <c r="A4" s="5" t="str">
        <f>HYPERLINK("#'Overview'!A1", "Overview")</f>
        <v>Overview</v>
      </c>
      <c r="C4" s="40"/>
      <c r="D4" s="40"/>
      <c r="E4" s="40"/>
      <c r="F4" s="40"/>
      <c r="G4" s="40"/>
      <c r="H4" s="40"/>
      <c r="I4" s="40"/>
      <c r="J4" s="40"/>
      <c r="K4" s="40"/>
    </row>
    <row r="5" spans="1:24" ht="20.100000000000001" customHeight="1" x14ac:dyDescent="0.25">
      <c r="A5" s="5" t="str">
        <f>HYPERLINK("#'Results'!A1", "Results")</f>
        <v>Results</v>
      </c>
      <c r="D5" s="2" t="s">
        <v>95</v>
      </c>
      <c r="N5" s="41"/>
    </row>
    <row r="6" spans="1:24" ht="20.100000000000001" customHeight="1" x14ac:dyDescent="0.25">
      <c r="A6"/>
      <c r="N6" s="43"/>
    </row>
    <row r="7" spans="1:24" ht="20.100000000000001" customHeight="1" x14ac:dyDescent="0.25">
      <c r="A7"/>
      <c r="D7" s="53" t="s">
        <v>96</v>
      </c>
      <c r="E7" s="54"/>
      <c r="F7" s="54"/>
      <c r="G7" s="55"/>
    </row>
    <row r="8" spans="1:24" ht="20.100000000000001" customHeight="1" x14ac:dyDescent="0.25">
      <c r="A8" s="7" t="s">
        <v>0</v>
      </c>
      <c r="D8" s="56" t="s">
        <v>97</v>
      </c>
      <c r="E8" s="57"/>
      <c r="F8" s="57"/>
      <c r="G8" s="58"/>
    </row>
    <row r="9" spans="1:24" ht="20.100000000000001" customHeight="1" x14ac:dyDescent="0.25">
      <c r="A9" s="5" t="str">
        <f>HYPERLINK("#'Input - Enterprise'!A1", "Enterprise")</f>
        <v>Enterprise</v>
      </c>
      <c r="D9" s="1"/>
      <c r="E9" s="59"/>
      <c r="F9" s="26"/>
      <c r="N9" s="45"/>
    </row>
    <row r="10" spans="1:24" ht="20.100000000000001" customHeight="1" x14ac:dyDescent="0.25">
      <c r="A10" s="99" t="str">
        <f>HYPERLINK("#'Input - Site'!A1", "Site")</f>
        <v>Site</v>
      </c>
      <c r="D10" s="1" t="s">
        <v>98</v>
      </c>
      <c r="E10" s="23" t="s">
        <v>99</v>
      </c>
      <c r="F10" s="26" t="s">
        <v>100</v>
      </c>
      <c r="N10" s="45"/>
    </row>
    <row r="11" spans="1:24" ht="20.100000000000001" customHeight="1" x14ac:dyDescent="0.25">
      <c r="A11" s="5" t="str">
        <f>HYPERLINK("#'Input - Crop'!A1", "Crop")</f>
        <v>Crop</v>
      </c>
      <c r="D11" s="1" t="s">
        <v>101</v>
      </c>
      <c r="E11" s="23" t="s">
        <v>102</v>
      </c>
      <c r="F11" s="26" t="s">
        <v>100</v>
      </c>
      <c r="G11" s="1"/>
      <c r="N11" s="50"/>
    </row>
    <row r="12" spans="1:24" ht="20.100000000000001" customHeight="1" x14ac:dyDescent="0.25">
      <c r="A12" s="5" t="str">
        <f>HYPERLINK("#'Input - Fert Prod System'!A1", "Fert Prod System")</f>
        <v>Fert Prod System</v>
      </c>
      <c r="D12" s="1" t="s">
        <v>103</v>
      </c>
      <c r="E12" s="23" t="s">
        <v>104</v>
      </c>
      <c r="F12" s="26" t="s">
        <v>100</v>
      </c>
    </row>
    <row r="13" spans="1:24" ht="20.100000000000001" customHeight="1" x14ac:dyDescent="0.25">
      <c r="A13" s="5" t="str">
        <f>HYPERLINK("#'Input - Fertiliser'!A1", "Fertiliser")</f>
        <v>Fertiliser</v>
      </c>
      <c r="D13" s="1" t="s">
        <v>36</v>
      </c>
      <c r="E13" s="44">
        <v>307.7</v>
      </c>
      <c r="F13" s="26" t="s">
        <v>105</v>
      </c>
      <c r="N13" s="52"/>
      <c r="O13" s="52"/>
    </row>
    <row r="14" spans="1:24" ht="20.100000000000001" customHeight="1" x14ac:dyDescent="0.25">
      <c r="A14" s="5" t="str">
        <f>HYPERLINK("#'Input - Fuel'!A1", "Fuel")</f>
        <v>Fuel</v>
      </c>
      <c r="D14" s="1" t="s">
        <v>106</v>
      </c>
      <c r="E14" s="44">
        <v>18</v>
      </c>
      <c r="F14" s="26" t="s">
        <v>107</v>
      </c>
      <c r="N14" s="52"/>
      <c r="O14" s="52"/>
    </row>
    <row r="15" spans="1:24" ht="20.100000000000001" customHeight="1" x14ac:dyDescent="0.25">
      <c r="A15" s="5" t="str">
        <f>HYPERLINK("#'Input - Electricity'!A1", "Electricity")</f>
        <v>Electricity</v>
      </c>
      <c r="D15" s="1" t="s">
        <v>108</v>
      </c>
      <c r="E15" s="44">
        <v>601</v>
      </c>
      <c r="F15" s="26" t="s">
        <v>109</v>
      </c>
      <c r="N15" s="52"/>
      <c r="O15" s="52"/>
    </row>
    <row r="16" spans="1:24" ht="20.100000000000001" customHeight="1" x14ac:dyDescent="0.25">
      <c r="A16" s="5" t="str">
        <f>HYPERLINK("#'Input - Common farm inputs'!A1", "Common farm inputs")</f>
        <v>Common farm inputs</v>
      </c>
      <c r="D16" s="22" t="s">
        <v>110</v>
      </c>
      <c r="E16" s="44">
        <v>1326</v>
      </c>
      <c r="F16" s="26" t="s">
        <v>109</v>
      </c>
      <c r="N16" s="52"/>
      <c r="O16" s="52"/>
    </row>
    <row r="17" spans="1:25" ht="20.100000000000001" customHeight="1" x14ac:dyDescent="0.25">
      <c r="A17" s="5" t="str">
        <f>HYPERLINK("#'Input - Crop pasture farm input'!A1", "Crop pasture farm input")</f>
        <v>Crop pasture farm input</v>
      </c>
      <c r="D17" s="1" t="s">
        <v>111</v>
      </c>
      <c r="E17" s="44">
        <v>7</v>
      </c>
      <c r="F17" s="26" t="s">
        <v>112</v>
      </c>
    </row>
    <row r="18" spans="1:25" ht="20.100000000000001" customHeight="1" x14ac:dyDescent="0.25">
      <c r="A18" s="5" t="str">
        <f>HYPERLINK("#'Input - Freight'!A1", "Freight")</f>
        <v>Freight</v>
      </c>
      <c r="D18" s="22" t="s">
        <v>113</v>
      </c>
      <c r="E18" s="25">
        <f>E15/E16</f>
        <v>0.45324283559577677</v>
      </c>
      <c r="F18" s="26"/>
    </row>
    <row r="19" spans="1:25" ht="20.100000000000001" customHeight="1" x14ac:dyDescent="0.25">
      <c r="A19" s="5" t="str">
        <f>HYPERLINK("#'Input - Manure sent off-site'!A1", "Manure sent off-site")</f>
        <v>Manure sent off-site</v>
      </c>
      <c r="D19" s="22" t="s">
        <v>64</v>
      </c>
      <c r="E19" s="25" t="str">
        <f>Common_InputFunctions.Utility_LookupItemFromMinMax(E15,Table_SourceData_RainfallZones[Min rainfall],Table_SourceData_RainfallZones[Max rainfall],Table_SourceData_RainfallZones[Rainfall Zone])</f>
        <v>High rainfall</v>
      </c>
      <c r="G19" s="60"/>
      <c r="N19" s="41"/>
    </row>
    <row r="20" spans="1:25" ht="20.100000000000001" customHeight="1" x14ac:dyDescent="0.25">
      <c r="A20" s="5" t="str">
        <f>HYPERLINK("#'Input - Solid waste'!A1", "Solid waste")</f>
        <v>Solid waste</v>
      </c>
      <c r="D20" s="1" t="s">
        <v>31</v>
      </c>
      <c r="E20" s="2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59"/>
      <c r="N20" s="43"/>
    </row>
    <row r="21" spans="1:25" ht="20.100000000000001" customHeight="1" x14ac:dyDescent="0.25">
      <c r="A21" s="5" t="str">
        <f>HYPERLINK("#'Input - Data quality'!A1", "Data quality")</f>
        <v>Data quality</v>
      </c>
      <c r="D21" s="1" t="s">
        <v>114</v>
      </c>
      <c r="E21" s="25" t="str">
        <f>Common_InputFunctions.Utility_LookupValueInTable($E$20,Table_SourceData_WetDryZones[Climate zone],Table_SourceData_WetDryZones[Wet or Dry Zone])</f>
        <v>Dry climate zone</v>
      </c>
      <c r="F21" s="1"/>
      <c r="G21" s="59"/>
    </row>
    <row r="22" spans="1:25" ht="20.100000000000001" customHeight="1" x14ac:dyDescent="0.25">
      <c r="A22"/>
      <c r="D22" s="1" t="s">
        <v>68</v>
      </c>
      <c r="E22" s="25" t="str">
        <f>Common_InputFunctions.Utility_LookupItemFromMinMax(E14,Table_SourceData_TemperatureZones[Min MAT],Table_SourceData_TemperatureZones[Max MAT],Table_SourceData_TemperatureZones[Temperature Zone])</f>
        <v>Temperate</v>
      </c>
      <c r="G22" s="63"/>
    </row>
    <row r="23" spans="1:25" ht="20.100000000000001" customHeight="1" x14ac:dyDescent="0.25">
      <c r="A23"/>
    </row>
    <row r="24" spans="1:25" ht="20.100000000000001" customHeight="1" x14ac:dyDescent="0.25">
      <c r="A24" s="6" t="s">
        <v>2</v>
      </c>
    </row>
    <row r="25" spans="1:25" ht="20.100000000000001" customHeight="1" x14ac:dyDescent="0.25">
      <c r="A25" s="5" t="str">
        <f>HYPERLINK("#'5.1.1.1-2 Inorganic fert N2O'!A1", "5.1.1.1-2 Inorganic fert N2O")</f>
        <v>5.1.1.1-2 Inorganic fert N2O</v>
      </c>
      <c r="N25" s="43"/>
    </row>
    <row r="26" spans="1:25" ht="20.100000000000001" customHeight="1" x14ac:dyDescent="0.25">
      <c r="A26" s="5" t="str">
        <f>HYPERLINK("#'5.1.1.3-4 Inorganic fert CO2'!A1", "5.1.1.3-4 Inorganic fert CO2")</f>
        <v>5.1.1.3-4 Inorganic fert CO2</v>
      </c>
    </row>
    <row r="27" spans="1:25" ht="20.100000000000001" customHeight="1" x14ac:dyDescent="0.25">
      <c r="A27" s="5" t="str">
        <f>HYPERLINK("#'5.2.1.1-2 Organic Fert N2O'!A1", "5.2.1.1-2 Organic fert N2O")</f>
        <v>5.2.1.1-2 Organic fert N2O</v>
      </c>
    </row>
    <row r="28" spans="1:25" ht="20.100000000000001" customHeight="1" x14ac:dyDescent="0.25">
      <c r="A28" s="5" t="str">
        <f>HYPERLINK("#'5.3.1.1-2 Lime CO2'!A1", "5.3.1.1-2 Lime CO2")</f>
        <v>5.3.1.1-2 Lime CO2</v>
      </c>
    </row>
    <row r="29" spans="1:25" ht="20.100000000000001" customHeight="1" x14ac:dyDescent="0.25">
      <c r="A29" s="5" t="str">
        <f>HYPERLINK("#'5.4.1.1-4 Atmos deposition'!A1", "5.4.1.1-4 Atmos. deposition")</f>
        <v>5.4.1.1-4 Atmos. deposition</v>
      </c>
    </row>
    <row r="30" spans="1:25" ht="20.100000000000001" customHeight="1" x14ac:dyDescent="0.25">
      <c r="A30" s="5" t="str">
        <f>HYPERLINK("#'5.5.1.1-2 Leaching and runoff'!A1", "5.5.1.1-2 Leaching &amp; runoff")</f>
        <v>5.5.1.1-2 Leaching &amp; runoff</v>
      </c>
      <c r="L30" s="61"/>
      <c r="M30" s="61"/>
      <c r="N30" s="61"/>
      <c r="O30" s="61"/>
      <c r="P30" s="61"/>
      <c r="Q30" s="61"/>
      <c r="R30" s="61"/>
      <c r="S30" s="61"/>
      <c r="T30" s="61"/>
      <c r="U30" s="61"/>
      <c r="V30" s="61"/>
      <c r="W30" s="61"/>
      <c r="X30" s="61"/>
      <c r="Y30" s="61"/>
    </row>
    <row r="31" spans="1:25" ht="20.100000000000001" customHeight="1" x14ac:dyDescent="0.25">
      <c r="A31" s="5" t="str">
        <f>HYPERLINK("#'6.1.1.1-2 Crop residue N2O'!A1", "6.1.1.1-2 Crop residue N2O")</f>
        <v>6.1.1.1-2 Crop residue N2O</v>
      </c>
      <c r="L31" s="62"/>
      <c r="M31" s="62"/>
      <c r="N31" s="62"/>
      <c r="O31" s="62"/>
      <c r="P31" s="62"/>
      <c r="Q31" s="62"/>
      <c r="R31" s="62"/>
      <c r="S31" s="62"/>
      <c r="T31" s="62"/>
      <c r="U31" s="62"/>
      <c r="V31" s="62"/>
      <c r="W31" s="62"/>
      <c r="X31" s="62"/>
      <c r="Y31" s="62"/>
    </row>
    <row r="32" spans="1:25" ht="20.100000000000001" customHeight="1" x14ac:dyDescent="0.25">
      <c r="A32" s="5" t="str">
        <f>HYPERLINK("#'6.3.1.1-2 Leach runoff crop'!A1", "6.3.1.1-2 Leach &amp; runoff (crop)")</f>
        <v>6.3.1.1-2 Leach &amp; runoff (crop)</v>
      </c>
      <c r="L32" s="62"/>
      <c r="M32" s="62"/>
      <c r="N32" s="62"/>
      <c r="O32" s="62"/>
      <c r="P32" s="62"/>
      <c r="Q32" s="62"/>
      <c r="R32" s="62"/>
      <c r="S32" s="62"/>
      <c r="T32" s="62"/>
      <c r="U32" s="62"/>
      <c r="V32" s="62"/>
      <c r="W32" s="62"/>
      <c r="X32" s="62"/>
      <c r="Y32" s="62"/>
    </row>
    <row r="33" spans="1:25" ht="20.100000000000001" customHeight="1" x14ac:dyDescent="0.25">
      <c r="A33" s="5" t="str">
        <f>HYPERLINK("#'6.4.1.1-2 Residue burning'!A1", "6.4.1.1-2 Residue burning")</f>
        <v>6.4.1.1-2 Residue burning</v>
      </c>
      <c r="L33" s="62"/>
      <c r="M33" s="62"/>
      <c r="N33" s="62"/>
      <c r="O33" s="62"/>
      <c r="P33" s="62"/>
      <c r="Q33" s="62"/>
      <c r="R33" s="62"/>
      <c r="S33" s="62"/>
      <c r="T33" s="62"/>
      <c r="U33" s="62"/>
      <c r="V33" s="62"/>
      <c r="W33" s="62"/>
      <c r="X33" s="62"/>
      <c r="Y33" s="62"/>
    </row>
    <row r="34" spans="1:25" ht="20.100000000000001" customHeight="1" x14ac:dyDescent="0.25">
      <c r="A34" s="5" t="str">
        <f>HYPERLINK("#'8.1.1.1-2 Transport fuel'!A1", "8.1.1.1-2 Transport fuel")</f>
        <v>8.1.1.1-2 Transport fuel</v>
      </c>
      <c r="J34" s="64"/>
      <c r="K34" s="65"/>
      <c r="L34" s="62"/>
      <c r="M34" s="62"/>
      <c r="N34" s="62"/>
      <c r="O34" s="62"/>
      <c r="P34" s="62"/>
      <c r="Q34" s="62"/>
      <c r="R34" s="62"/>
      <c r="S34" s="62"/>
      <c r="T34" s="62"/>
      <c r="U34" s="62"/>
      <c r="V34" s="62"/>
      <c r="W34" s="62"/>
      <c r="X34" s="62"/>
      <c r="Y34" s="62"/>
    </row>
    <row r="35" spans="1:25" ht="20.100000000000001" customHeight="1" x14ac:dyDescent="0.25">
      <c r="A35" s="5" t="str">
        <f>HYPERLINK("#'8.2.1.1-2 Stationary fuel'!A1", "8.2.1.1-2 Stationary fuel")</f>
        <v>8.2.1.1-2 Stationary fuel</v>
      </c>
      <c r="J35" s="64"/>
      <c r="K35" s="65"/>
      <c r="L35" s="62"/>
      <c r="M35" s="62"/>
      <c r="N35" s="62"/>
      <c r="O35" s="62"/>
      <c r="P35" s="62"/>
      <c r="Q35" s="62"/>
      <c r="R35" s="62"/>
      <c r="S35" s="62"/>
      <c r="T35" s="62"/>
      <c r="U35" s="62"/>
      <c r="V35" s="62"/>
      <c r="W35" s="62"/>
      <c r="X35" s="62"/>
      <c r="Y35" s="62"/>
    </row>
    <row r="36" spans="1:25" ht="20.100000000000001" customHeight="1" x14ac:dyDescent="0.25">
      <c r="A36" s="5" t="str">
        <f>HYPERLINK("#'14.1.1-2 Purchased electricity'!A1", "14.1.1-2 Purchased electricity")</f>
        <v>14.1.1-2 Purchased electricity</v>
      </c>
      <c r="D36" s="66"/>
      <c r="E36" s="66"/>
      <c r="F36" s="67"/>
      <c r="G36" s="64"/>
      <c r="H36" s="64"/>
      <c r="I36" s="68"/>
      <c r="J36" s="64"/>
      <c r="K36" s="65"/>
      <c r="L36" s="62"/>
      <c r="M36" s="62"/>
      <c r="N36" s="62"/>
      <c r="O36" s="62"/>
      <c r="P36" s="62"/>
      <c r="Q36" s="62"/>
      <c r="R36" s="62"/>
      <c r="S36" s="62"/>
      <c r="T36" s="62"/>
      <c r="U36" s="62"/>
      <c r="V36" s="62"/>
      <c r="W36" s="62"/>
      <c r="X36" s="62"/>
      <c r="Y36" s="62"/>
    </row>
    <row r="37" spans="1:25" ht="20.100000000000001" customHeight="1" x14ac:dyDescent="0.25">
      <c r="A37" s="5" t="str">
        <f>HYPERLINK("#'15 Scope 3'!A1", "15 Scope 3")</f>
        <v>15 Scope 3</v>
      </c>
      <c r="D37" s="66"/>
      <c r="E37" s="66"/>
      <c r="F37" s="67"/>
      <c r="G37" s="64"/>
      <c r="H37" s="64"/>
      <c r="I37" s="68"/>
      <c r="J37" s="64"/>
      <c r="K37" s="65"/>
      <c r="L37" s="62"/>
      <c r="M37" s="62"/>
      <c r="N37" s="62"/>
      <c r="O37" s="62"/>
      <c r="P37" s="62"/>
      <c r="Q37" s="62"/>
      <c r="R37" s="62"/>
      <c r="S37" s="62"/>
      <c r="T37" s="62"/>
      <c r="U37" s="62"/>
      <c r="V37" s="62"/>
      <c r="W37" s="62"/>
      <c r="X37" s="62"/>
      <c r="Y37" s="62"/>
    </row>
    <row r="38" spans="1:25" ht="20.100000000000001" customHeight="1" x14ac:dyDescent="0.25">
      <c r="A38" s="5" t="str">
        <f>HYPERLINK("#'Calcs - Manure sent off-site'!A1", "Calcs - Manure sent off-site")</f>
        <v>Calcs - Manure sent off-site</v>
      </c>
      <c r="D38" s="66"/>
      <c r="E38" s="66"/>
      <c r="F38" s="67"/>
      <c r="G38" s="64"/>
      <c r="H38" s="64"/>
      <c r="I38" s="68"/>
      <c r="J38" s="64"/>
      <c r="K38" s="65"/>
      <c r="L38" s="62"/>
      <c r="M38" s="62"/>
      <c r="N38" s="62"/>
      <c r="O38" s="62"/>
      <c r="P38" s="62"/>
      <c r="Q38" s="62"/>
      <c r="R38" s="62"/>
      <c r="S38" s="62"/>
      <c r="T38" s="62"/>
      <c r="U38" s="62"/>
      <c r="V38" s="62"/>
      <c r="W38" s="62"/>
      <c r="X38" s="62"/>
      <c r="Y38" s="62"/>
    </row>
    <row r="39" spans="1:25" ht="20.100000000000001" customHeight="1" x14ac:dyDescent="0.25">
      <c r="A39" s="5" t="str">
        <f>HYPERLINK("#'10.1.1-2 Solid waste treatment'!A1", "10.1.1-2 Solid waste treatment")</f>
        <v>10.1.1-2 Solid waste treatment</v>
      </c>
      <c r="D39" s="66"/>
      <c r="E39" s="66"/>
      <c r="F39" s="67"/>
      <c r="G39" s="64"/>
      <c r="H39" s="64"/>
      <c r="I39" s="68"/>
      <c r="J39" s="64"/>
      <c r="K39" s="65"/>
      <c r="L39" s="62"/>
      <c r="M39" s="62"/>
      <c r="N39" s="62"/>
      <c r="O39" s="62"/>
      <c r="P39" s="62"/>
      <c r="Q39" s="62"/>
      <c r="R39" s="62"/>
      <c r="S39" s="62"/>
      <c r="T39" s="62"/>
      <c r="U39" s="62"/>
      <c r="V39" s="62"/>
      <c r="W39" s="62"/>
      <c r="X39" s="62"/>
      <c r="Y39" s="62"/>
    </row>
    <row r="40" spans="1:25" ht="20.100000000000001" customHeight="1" x14ac:dyDescent="0.25">
      <c r="A40"/>
      <c r="D40" s="69"/>
      <c r="E40" s="69"/>
      <c r="F40" s="69"/>
      <c r="G40" s="70"/>
      <c r="H40" s="71"/>
      <c r="I40" s="71"/>
      <c r="J40" s="71"/>
      <c r="K40" s="71"/>
      <c r="L40" s="72"/>
      <c r="M40" s="72"/>
      <c r="N40" s="72"/>
      <c r="O40" s="72"/>
      <c r="P40" s="72"/>
      <c r="Q40" s="72"/>
      <c r="R40" s="72"/>
      <c r="S40" s="72"/>
      <c r="T40" s="72"/>
      <c r="U40" s="72"/>
      <c r="V40" s="72"/>
      <c r="W40" s="72"/>
      <c r="X40" s="72"/>
      <c r="Y40" s="72"/>
    </row>
    <row r="41" spans="1:25" ht="20.100000000000001" customHeight="1" x14ac:dyDescent="0.25">
      <c r="A41"/>
    </row>
    <row r="42" spans="1:25" ht="20.100000000000001" customHeight="1" x14ac:dyDescent="0.25">
      <c r="A42" s="108" t="s">
        <v>1</v>
      </c>
    </row>
    <row r="43" spans="1:25" ht="20.100000000000001" customHeight="1" x14ac:dyDescent="0.25">
      <c r="A43" s="5" t="str">
        <f>HYPERLINK("#'Constants - Ag Residue'!A1", "Constants - Ag residue")</f>
        <v>Constants - Ag residue</v>
      </c>
    </row>
    <row r="44" spans="1:25" ht="20.100000000000001" customHeight="1" x14ac:dyDescent="0.25">
      <c r="A44" s="5" t="str">
        <f>HYPERLINK("#'Constants - Common Livestock'!A1", "Constants - Common Livestock")</f>
        <v>Constants - Common Livestock</v>
      </c>
    </row>
    <row r="45" spans="1:25" ht="20.100000000000001" customHeight="1" x14ac:dyDescent="0.25">
      <c r="A45" s="5" t="str">
        <f>HYPERLINK("#'Constants - Electricity'!A1", "Constants - Electricity")</f>
        <v>Constants - Electricity</v>
      </c>
      <c r="D45" s="2"/>
    </row>
    <row r="46" spans="1:25" ht="20.100000000000001" customHeight="1" x14ac:dyDescent="0.25">
      <c r="A46" s="5" t="str">
        <f>HYPERLINK("#'Constants - Fertiliser'!A1", "Constants - Fertiliser")</f>
        <v>Constants - Fertiliser</v>
      </c>
      <c r="D46" s="2"/>
    </row>
    <row r="47" spans="1:25" ht="20.100000000000001" customHeight="1" x14ac:dyDescent="0.25">
      <c r="A47" s="5" t="str">
        <f>HYPERLINK("#'Constants - Fuel'!A1", "Constants - Fuel")</f>
        <v>Constants - Fuel</v>
      </c>
      <c r="D47" s="73"/>
      <c r="E47" s="73"/>
      <c r="F47" s="73"/>
      <c r="G47" s="73"/>
      <c r="H47" s="73"/>
    </row>
    <row r="48" spans="1:25" ht="20.100000000000001" customHeight="1" x14ac:dyDescent="0.25">
      <c r="A48" s="5" t="str">
        <f>HYPERLINK("#'Constants - Scope 3'!A1", "Constants - Scope 3")</f>
        <v>Constants - Scope 3</v>
      </c>
      <c r="D48" s="74"/>
      <c r="E48" s="74"/>
      <c r="F48" s="75"/>
      <c r="G48" s="75"/>
      <c r="H48" s="74"/>
    </row>
    <row r="49" spans="1:8" ht="20.100000000000001" customHeight="1" x14ac:dyDescent="0.25">
      <c r="A49" s="5" t="str">
        <f>HYPERLINK("#'Constants - Common'!A1", "Constants - Common")</f>
        <v>Constants - Common</v>
      </c>
      <c r="D49" s="74"/>
      <c r="E49" s="74"/>
      <c r="F49" s="75"/>
      <c r="G49" s="75"/>
      <c r="H49" s="74"/>
    </row>
    <row r="50" spans="1:8" ht="20.100000000000001" customHeight="1" x14ac:dyDescent="0.25">
      <c r="A50" s="5" t="str">
        <f>HYPERLINK("#'Constants - Solid Waste'!A1", "Constants - Solid Waste")</f>
        <v>Constants - Solid Waste</v>
      </c>
      <c r="D50" s="74"/>
      <c r="E50" s="74"/>
      <c r="F50" s="75"/>
      <c r="G50" s="75"/>
      <c r="H50" s="74"/>
    </row>
    <row r="51" spans="1:8" ht="20.100000000000001" customHeight="1" x14ac:dyDescent="0.25">
      <c r="A51"/>
      <c r="D51" s="76"/>
      <c r="E51" s="77"/>
      <c r="F51" s="77"/>
      <c r="G51" s="77"/>
      <c r="H51" s="78"/>
    </row>
    <row r="52" spans="1:8" ht="20.100000000000001" customHeight="1" x14ac:dyDescent="0.25">
      <c r="A52"/>
    </row>
    <row r="53" spans="1:8" ht="20.100000000000001" customHeight="1" x14ac:dyDescent="0.25">
      <c r="A53"/>
    </row>
    <row r="54" spans="1:8" ht="20.100000000000001" customHeight="1" x14ac:dyDescent="0.25">
      <c r="A54"/>
      <c r="G54" s="79"/>
    </row>
    <row r="55" spans="1:8" ht="20.100000000000001" customHeight="1" x14ac:dyDescent="0.25">
      <c r="A55"/>
      <c r="D55" s="2"/>
    </row>
    <row r="56" spans="1:8" ht="20.100000000000001" customHeight="1" x14ac:dyDescent="0.25">
      <c r="A56"/>
    </row>
    <row r="57" spans="1:8" ht="20.100000000000001" customHeight="1" x14ac:dyDescent="0.25">
      <c r="A57"/>
      <c r="D57" s="80"/>
      <c r="F57" s="81"/>
    </row>
    <row r="58" spans="1:8" ht="20.100000000000001" customHeight="1" x14ac:dyDescent="0.25">
      <c r="A58"/>
      <c r="D58" s="1"/>
      <c r="E58" s="82"/>
    </row>
    <row r="59" spans="1:8" ht="20.100000000000001" customHeight="1" x14ac:dyDescent="0.25">
      <c r="A59"/>
      <c r="D59" s="1"/>
      <c r="E59" s="82"/>
    </row>
    <row r="60" spans="1:8" ht="20.100000000000001" customHeight="1" x14ac:dyDescent="0.25">
      <c r="A60"/>
      <c r="D60" s="1"/>
      <c r="E60" s="83"/>
    </row>
    <row r="61" spans="1:8" ht="20.100000000000001" customHeight="1" x14ac:dyDescent="0.25">
      <c r="A61"/>
      <c r="D61" s="1"/>
    </row>
    <row r="62" spans="1:8" ht="20.100000000000001" customHeight="1" x14ac:dyDescent="0.25">
      <c r="A62"/>
    </row>
    <row r="63" spans="1:8" ht="20.100000000000001" customHeight="1" x14ac:dyDescent="0.25">
      <c r="A63"/>
      <c r="D63" s="80"/>
    </row>
    <row r="64" spans="1:8" ht="20.100000000000001" customHeight="1" x14ac:dyDescent="0.25">
      <c r="A64"/>
      <c r="D64" s="1"/>
      <c r="E64" s="82"/>
    </row>
    <row r="65" spans="1:9" ht="20.100000000000001" customHeight="1" x14ac:dyDescent="0.25">
      <c r="A65"/>
      <c r="D65" s="1"/>
      <c r="E65" s="82"/>
    </row>
    <row r="66" spans="1:9" ht="20.100000000000001" customHeight="1" x14ac:dyDescent="0.25">
      <c r="A66"/>
      <c r="D66" s="1"/>
      <c r="E66" s="83"/>
    </row>
    <row r="67" spans="1:9" ht="20.100000000000001" customHeight="1" x14ac:dyDescent="0.25">
      <c r="A67"/>
    </row>
    <row r="68" spans="1:9" ht="20.100000000000001" customHeight="1" x14ac:dyDescent="0.25">
      <c r="A68"/>
    </row>
    <row r="69" spans="1:9" ht="20.100000000000001" customHeight="1" x14ac:dyDescent="0.25">
      <c r="A69"/>
      <c r="D69" s="84"/>
      <c r="E69" s="84"/>
      <c r="F69" s="84"/>
      <c r="G69" s="84"/>
      <c r="H69" s="84"/>
      <c r="I69" s="84"/>
    </row>
    <row r="70" spans="1:9" ht="20.100000000000001" customHeight="1" x14ac:dyDescent="0.25">
      <c r="A70"/>
      <c r="D70" s="84"/>
      <c r="E70" s="84"/>
      <c r="F70" s="84"/>
      <c r="G70" s="84"/>
      <c r="H70" s="84"/>
      <c r="I70" s="84"/>
    </row>
    <row r="71" spans="1:9" ht="20.100000000000001" customHeight="1" x14ac:dyDescent="0.25">
      <c r="A71"/>
      <c r="D71" s="84"/>
      <c r="E71" s="84"/>
      <c r="F71" s="84"/>
      <c r="G71" s="84"/>
      <c r="H71" s="84"/>
      <c r="I71" s="84"/>
    </row>
    <row r="72" spans="1:9" ht="20.100000000000001" customHeight="1" x14ac:dyDescent="0.25">
      <c r="A72"/>
      <c r="D72" s="84"/>
      <c r="E72" s="84"/>
      <c r="F72" s="84"/>
      <c r="G72" s="84"/>
      <c r="H72" s="84"/>
      <c r="I72" s="84"/>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5"/>
    </row>
    <row r="79" spans="1:9" ht="20.100000000000001" customHeight="1" x14ac:dyDescent="0.25">
      <c r="A79"/>
      <c r="D79" s="85"/>
    </row>
    <row r="80" spans="1:9" ht="20.100000000000001" customHeight="1" x14ac:dyDescent="0.25">
      <c r="A80"/>
      <c r="D80" s="85"/>
    </row>
    <row r="81" spans="1:4" ht="20.100000000000001" customHeight="1" x14ac:dyDescent="0.25">
      <c r="A81"/>
      <c r="D81" s="85"/>
    </row>
    <row r="82" spans="1:4" ht="20.100000000000001" customHeight="1" x14ac:dyDescent="0.25">
      <c r="A82"/>
      <c r="D82" s="85"/>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DE6609-8723-433E-BE08-444DB8B4226A}">
  <dimension ref="A1:H361"/>
  <sheetViews>
    <sheetView showGridLines="0" topLeftCell="A12" workbookViewId="0" zoomScale="100" zoomScaleNormal="100">
      <selection activeCell="A50" sqref="A50"/>
    </sheetView>
  </sheetViews>
  <sheetFormatPr defaultRowHeight="15.75" x14ac:dyDescent="0.25"/>
  <cols>
    <col min="1" max="1" width="30.7109375" customWidth="1"/>
    <col min="2" max="2" width="4.7109375" customWidth="1"/>
    <col min="3" max="3" width="4.7109375" style="1" customWidth="1"/>
    <col min="4" max="4" width="52.140625" style="1" customWidth="1"/>
    <col min="5" max="7" width="30.7109375" style="1" customWidth="1"/>
    <col min="8" max="8" width="4.7109375" style="1" customWidth="1"/>
    <col min="9" max="9" width="4.7109375" customWidth="1"/>
  </cols>
  <sheetData>
    <row r="1" spans="1:8" s="16" customFormat="1" ht="30" customHeight="1" x14ac:dyDescent="0.35">
      <c r="A1" s="16" t="e" vm="1">
        <v>#VALUE!</v>
      </c>
      <c r="C1" s="16" t="s">
        <v>608</v>
      </c>
    </row>
    <row r="2" spans="1:8" s="3" customFormat="1" ht="20.100000000000001" customHeight="1" x14ac:dyDescent="0.25">
      <c r="A2"/>
    </row>
    <row r="3" spans="1:8" ht="20.100000000000001" customHeight="1" x14ac:dyDescent="0.25">
      <c r="A3" s="5" t="str">
        <f>HYPERLINK("#'Home'!A1", "Home")</f>
        <v>Home</v>
      </c>
      <c r="C3" s="39"/>
      <c r="D3" s="39"/>
      <c r="E3" s="39"/>
      <c r="F3" s="39"/>
      <c r="G3" s="39"/>
      <c r="H3" s="39"/>
    </row>
    <row r="4" spans="1:8" ht="20.100000000000001" customHeight="1" x14ac:dyDescent="0.25">
      <c r="A4" s="5" t="str">
        <f>HYPERLINK("#'Overview'!A1", "Overview")</f>
        <v>Overview</v>
      </c>
    </row>
    <row r="5" spans="1:8" ht="20.100000000000001" customHeight="1" x14ac:dyDescent="0.25">
      <c r="A5" s="5" t="str">
        <f>HYPERLINK("#'Results'!A1", "Results")</f>
        <v>Results</v>
      </c>
      <c r="D5" s="2" t="s">
        <v>609</v>
      </c>
    </row>
    <row r="6" spans="1:8" ht="20.100000000000001" customHeight="1" x14ac:dyDescent="0.25"/>
    <row r="7" spans="1:8" ht="20.100000000000001" customHeight="1" x14ac:dyDescent="0.25">
      <c r="D7" s="46" t="s">
        <v>610</v>
      </c>
      <c r="E7" s="48"/>
      <c r="F7" s="48"/>
      <c r="G7" s="49"/>
    </row>
    <row r="8" spans="1:8" ht="20.100000000000001" customHeight="1" x14ac:dyDescent="0.25">
      <c r="A8" s="7" t="s">
        <v>0</v>
      </c>
    </row>
    <row r="9" spans="1:8" ht="20.100000000000001" customHeight="1" x14ac:dyDescent="0.25">
      <c r="A9" s="5" t="str">
        <f>HYPERLINK("#'Input - Enterprise'!A1", "Enterprise")</f>
        <v>Enterprise</v>
      </c>
      <c r="D9" s="1" t="s">
        <v>185</v>
      </c>
      <c r="E9" s="23" t="s">
        <v>611</v>
      </c>
      <c r="F9" s="26" t="s">
        <v>612</v>
      </c>
    </row>
    <row r="10" spans="1:8" ht="20.100000000000001" customHeight="1" x14ac:dyDescent="0.25">
      <c r="A10" s="5" t="str">
        <f>HYPERLINK("#'Input - Site'!A1", "Site")</f>
        <v>Site</v>
      </c>
      <c r="D10" s="1" t="s">
        <v>613</v>
      </c>
      <c r="E10" s="23" t="s">
        <v>614</v>
      </c>
      <c r="F10" s="26" t="s">
        <v>612</v>
      </c>
    </row>
    <row r="11" spans="1:8" ht="20.100000000000001" customHeight="1" x14ac:dyDescent="0.25">
      <c r="A11" s="99" t="str">
        <f>HYPERLINK("#'Input - Crop'!A1", "Crop")</f>
        <v>Crop</v>
      </c>
      <c r="D11" s="22" t="s">
        <v>63</v>
      </c>
      <c r="E11" s="23" t="s">
        <v>371</v>
      </c>
      <c r="F11" s="26" t="s">
        <v>612</v>
      </c>
    </row>
    <row r="12" spans="1:8" ht="20.100000000000001" customHeight="1" x14ac:dyDescent="0.25">
      <c r="A12" s="5" t="str">
        <f>HYPERLINK("#'Input - Fert Prod System'!A1", "Fert Prod System")</f>
        <v>Fert Prod System</v>
      </c>
    </row>
    <row r="13" spans="1:8" ht="20.100000000000001" customHeight="1" x14ac:dyDescent="0.25">
      <c r="A13" s="5" t="str">
        <f>HYPERLINK("#'Input - Fertiliser'!A1", "Fertiliser")</f>
        <v>Fertiliser</v>
      </c>
      <c r="D13" s="1" t="s">
        <v>186</v>
      </c>
      <c r="E13" s="175">
        <v>1000</v>
      </c>
      <c r="F13" s="26" t="s">
        <v>615</v>
      </c>
    </row>
    <row r="14" spans="1:8" ht="20.100000000000001" customHeight="1" x14ac:dyDescent="0.25">
      <c r="A14" s="5" t="str">
        <f>HYPERLINK("#'Input - Fuel'!A1", "Fuel")</f>
        <v>Fuel</v>
      </c>
    </row>
    <row r="15" spans="1:8" ht="20.100000000000001" customHeight="1" x14ac:dyDescent="0.25">
      <c r="A15" s="5" t="str">
        <f>HYPERLINK("#'Input - Electricity'!A1", "Electricity")</f>
        <v>Electricity</v>
      </c>
      <c r="D15" s="2" t="s">
        <v>616</v>
      </c>
    </row>
    <row r="16" spans="1:8" ht="20.100000000000001" customHeight="1" x14ac:dyDescent="0.25">
      <c r="A16" s="5" t="str">
        <f>HYPERLINK("#'Input - Common farm inputs'!A1", "Common farm inputs")</f>
        <v>Common farm inputs</v>
      </c>
    </row>
    <row r="17" spans="1:6" ht="20.100000000000001" customHeight="1" x14ac:dyDescent="0.25">
      <c r="A17" s="5" t="str">
        <f>HYPERLINK("#'Input - Crop pasture farm input'!A1", "Crop pasture farm input")</f>
        <v>Crop pasture farm input</v>
      </c>
      <c r="D17" s="1" t="str">
        <f>X_Cell_Crop_CropPurpose &amp; " " &amp; _xlfn.XLOOKUP(X_Cell_Crop_CropPurpose,Table_SourceData_CropPurposeAndYields[Purpose], Table_SourceData_CropPurposeAndYields[harvest term]) &amp; " per hectare¹"</f>
        <v>Cash grain crop yield per hectare¹</v>
      </c>
      <c r="E17" s="86">
        <v>10</v>
      </c>
      <c r="F17" s="26" t="str">
        <f>"Tonnes " &amp; _xlfn.XLOOKUP(X_Cell_Crop_CropPurpose, Table_SourceData_CropPurposeAndYields[Purpose], Table_SourceData_CropPurposeAndYields[Per hectare unit], FALSE) &amp; " per hectare"</f>
        <v>Tonnes grain per hectare</v>
      </c>
    </row>
    <row r="18" spans="1:6" ht="20.100000000000001" customHeight="1" x14ac:dyDescent="0.25">
      <c r="A18" s="5" t="str">
        <f>HYPERLINK("#'Input - Freight'!A1", "Freight")</f>
        <v>Freight</v>
      </c>
      <c r="D18" s="1" t="s">
        <v>617</v>
      </c>
      <c r="E18" s="25">
        <f>_xlfn.IFS(X_Cell_Crop_CropPurpose="Cash grain crop", Common_InputFunctions.Utility_LookupValueInTableNumber(X_Cell_Crop_CropType, Table_SourceData_CropAttributes[Crop type],Table_SourceData_CropAttributes[Residue: Crop ratio]), X_Cell_Crop_CropPurpose="Cash crop for hay/silage", 0, X_Cell_Crop_CropPurpose="Cover crop", 1)</f>
        <v>1.5</v>
      </c>
    </row>
    <row r="19" spans="1:6" ht="20.100000000000001" customHeight="1" x14ac:dyDescent="0.25">
      <c r="A19" s="5" t="str">
        <f>HYPERLINK("#'Input - Manure sent off-site'!A1", "Manure sent off-site")</f>
        <v>Manure sent off-site</v>
      </c>
      <c r="D19" s="1" t="s">
        <v>618</v>
      </c>
      <c r="E19" s="25">
        <f>X_Cell_Crop_YieldPerHectare*E18</f>
        <v>15</v>
      </c>
      <c r="F19" s="26" t="s">
        <v>619</v>
      </c>
    </row>
    <row r="20" spans="1:6" ht="20.100000000000001" customHeight="1" x14ac:dyDescent="0.25">
      <c r="A20" s="5" t="str">
        <f>HYPERLINK("#'Input - Solid waste'!A1", "Solid waste")</f>
        <v>Solid waste</v>
      </c>
      <c r="D20" s="1" t="s">
        <v>620</v>
      </c>
      <c r="E20" s="25">
        <f>X_Cell_Crop_YieldPerHectare+E19</f>
        <v>25</v>
      </c>
      <c r="F20" s="26" t="s">
        <v>619</v>
      </c>
    </row>
    <row r="21" spans="1:6" ht="20.100000000000001" customHeight="1" x14ac:dyDescent="0.25">
      <c r="A21" s="5" t="str">
        <f>HYPERLINK("#'Input - Data quality'!A1", "Data quality")</f>
        <v>Data quality</v>
      </c>
    </row>
    <row r="22" spans="1:6" ht="20.100000000000001" customHeight="1" x14ac:dyDescent="0.25">
      <c r="D22" s="88" t="s">
        <v>621</v>
      </c>
      <c r="E22" s="25">
        <f>X_Cell_Crop_YieldPerHectare*X_Cell_Crop_AreaUnderCropping</f>
        <v>10000</v>
      </c>
      <c r="F22" s="26" t="str">
        <f>"Tonnes " &amp; _xlfn.XLOOKUP(X_Cell_Crop_CropPurpose, Table_SourceData_CropPurposeAndYields[Purpose], Table_SourceData_CropPurposeAndYields[Harvest uit], FALSE)</f>
        <v>Tonnes grain</v>
      </c>
    </row>
    <row r="23" spans="1:6" ht="20.100000000000001" customHeight="1" x14ac:dyDescent="0.25"/>
    <row r="24" spans="1:6" ht="20.100000000000001" customHeight="1" x14ac:dyDescent="0.25">
      <c r="A24" s="6" t="s">
        <v>2</v>
      </c>
      <c r="D24" s="127" t="str">
        <f>"¹ " &amp; _xlfn.XLOOKUP(X_Cell_Crop_CropPurpose, Table_SourceData_CropPurposeAndYields[Purpose],Table_SourceData_CropPurposeAndYields[Yield note])</f>
        <v>¹ Yield is the grain harvested from the plant</v>
      </c>
    </row>
    <row r="25" spans="1:6" ht="20.100000000000001" customHeight="1" x14ac:dyDescent="0.25">
      <c r="A25" s="5" t="str">
        <f>HYPERLINK("#'5.1.1.1-2 Inorganic fert N2O'!A1", "5.1.1.1-2 Inorganic fert N2O")</f>
        <v>5.1.1.1-2 Inorganic fert N2O</v>
      </c>
      <c r="D25" s="127" t="str">
        <f>"² " &amp; _xlfn.XLOOKUP(X_Cell_Crop_CropPurpose, Table_SourceData_CropPurposeAndYields[Purpose],Table_SourceData_CropPurposeAndYields[Residue crop ratio note])</f>
        <v>² Residue to crop ratio is provided from default values</v>
      </c>
    </row>
    <row r="26" spans="1:6" ht="20.100000000000001" customHeight="1" x14ac:dyDescent="0.25">
      <c r="A26" s="5" t="str">
        <f>HYPERLINK("#'5.1.1.3-4 Inorganic fert CO2'!A1", "5.1.1.3-4 Inorganic fert CO2")</f>
        <v>5.1.1.3-4 Inorganic fert CO2</v>
      </c>
      <c r="D26" s="127" t="str">
        <f>"³ " &amp; _xlfn.XLOOKUP(X_Cell_Crop_CropPurpose,Table_SourceData_CropPurposeAndYields[Purpose],Table_SourceData_CropPurposeAndYields[Total production note])</f>
        <v>³ Total production is the total grain harvested</v>
      </c>
    </row>
    <row r="27" spans="1:6" ht="20.100000000000001" customHeight="1" x14ac:dyDescent="0.25">
      <c r="A27" s="5" t="str">
        <f>HYPERLINK("#'5.2.1.1-2 Organic Fert N2O'!A1", "5.2.1.1-2 Organic fert N2O")</f>
        <v>5.2.1.1-2 Organic fert N2O</v>
      </c>
    </row>
    <row r="28" spans="1:6" ht="20.100000000000001" customHeight="1" x14ac:dyDescent="0.25">
      <c r="A28" s="5" t="str">
        <f>HYPERLINK("#'5.3.1.1-2 Lime CO2'!A1", "5.3.1.1-2 Lime CO2")</f>
        <v>5.3.1.1-2 Lime CO2</v>
      </c>
      <c r="D28" s="2" t="s">
        <v>622</v>
      </c>
    </row>
    <row r="29" spans="1:6" ht="20.100000000000001" customHeight="1" x14ac:dyDescent="0.25">
      <c r="A29" s="5" t="str">
        <f>HYPERLINK("#'5.4.1.1-4 Atmos deposition'!A1", "5.4.1.1-4 Atmos. deposition")</f>
        <v>5.4.1.1-4 Atmos. deposition</v>
      </c>
    </row>
    <row r="30" spans="1:6" ht="20.100000000000001" customHeight="1" x14ac:dyDescent="0.25">
      <c r="A30" s="5" t="str">
        <f>HYPERLINK("#'5.5.1.1-2 Leaching and runoff'!A1", "5.5.1.1-2 Leaching &amp; runoff")</f>
        <v>5.5.1.1-2 Leaching &amp; runoff</v>
      </c>
      <c r="D30" s="1" t="str">
        <f>"Residue after " &amp; VLOOKUP(X_Cell_Crop_CropPurpose,'Constants - Ag Residue'!D8:G10, 4, FALSE)</f>
        <v>Residue after harvest</v>
      </c>
      <c r="E30" s="25">
        <f>E19*X_Cell_Crop_AreaUnderCropping</f>
        <v>15000</v>
      </c>
      <c r="F30" s="26" t="s">
        <v>623</v>
      </c>
    </row>
    <row r="31" spans="1:6" ht="20.100000000000001" customHeight="1" x14ac:dyDescent="0.25">
      <c r="A31" s="5" t="str">
        <f>HYPERLINK("#'6.1.1.1-2 Crop residue N2O'!A1", "6.1.1.1-2 Crop residue N2O")</f>
        <v>6.1.1.1-2 Crop residue N2O</v>
      </c>
    </row>
    <row r="32" spans="1:6" ht="20.100000000000001" customHeight="1" x14ac:dyDescent="0.25">
      <c r="A32" s="5" t="str">
        <f>HYPERLINK("#'6.3.1.1-2 Leach runoff crop'!A1", "6.3.1.1-2 Leach &amp; runoff (crop)")</f>
        <v>6.3.1.1-2 Leach &amp; runoff (crop)</v>
      </c>
      <c r="D32" s="91" t="s">
        <v>624</v>
      </c>
    </row>
    <row r="33" spans="1:8" ht="20.100000000000001" customHeight="1" x14ac:dyDescent="0.25">
      <c r="A33" s="5" t="str">
        <f>HYPERLINK("#'6.4.1.1-2 Residue burning'!A1", "6.4.1.1-2 Residue burning")</f>
        <v>6.4.1.1-2 Residue burning</v>
      </c>
      <c r="D33" s="1" t="s">
        <v>625</v>
      </c>
      <c r="E33" s="28">
        <v>0.11</v>
      </c>
      <c r="F33" s="26" t="s">
        <v>626</v>
      </c>
    </row>
    <row r="34" spans="1:8" ht="20.100000000000001" customHeight="1" x14ac:dyDescent="0.25">
      <c r="A34" s="5" t="str">
        <f>HYPERLINK("#'8.1.1.1-2 Transport fuel'!A1", "8.1.1.1-2 Transport fuel")</f>
        <v>8.1.1.1-2 Transport fuel</v>
      </c>
      <c r="D34" s="1" t="s">
        <v>627</v>
      </c>
      <c r="E34" s="86">
        <v>60</v>
      </c>
      <c r="F34" s="26" t="s">
        <v>628</v>
      </c>
    </row>
    <row r="35" spans="1:8" ht="20.100000000000001" customHeight="1" x14ac:dyDescent="0.25">
      <c r="A35" s="5" t="str">
        <f>HYPERLINK("#'8.2.1.1-2 Stationary fuel'!A1", "8.2.1.1-2 Stationary fuel")</f>
        <v>8.2.1.1-2 Stationary fuel</v>
      </c>
      <c r="D35" s="88" t="s">
        <v>629</v>
      </c>
      <c r="E35" s="229">
        <f>IFERROR((X_Cell_Crop_TotalResidueBaled*10^3)/X_Cell_Crop_AverageWeightPerBale, 0)</f>
        <v>27500</v>
      </c>
      <c r="F35" s="26" t="s">
        <v>630</v>
      </c>
    </row>
    <row r="36" spans="1:8" ht="20.100000000000001" customHeight="1" x14ac:dyDescent="0.25">
      <c r="A36" s="5" t="str">
        <f>HYPERLINK("#'14.1.1-2 Purchased electricity'!A1", "14.1.1-2 Purchased electricity")</f>
        <v>14.1.1-2 Purchased electricity</v>
      </c>
      <c r="D36" s="88" t="s">
        <v>631</v>
      </c>
      <c r="E36" s="25">
        <f>E30*X_Cell_Crop_PercentResidueBaled</f>
        <v>1650</v>
      </c>
      <c r="F36" s="26" t="s">
        <v>623</v>
      </c>
    </row>
    <row r="37" spans="1:8" ht="20.100000000000001" customHeight="1" x14ac:dyDescent="0.25">
      <c r="A37" s="5" t="str">
        <f>HYPERLINK("#'15 Scope 3'!A1", "15 Scope 3")</f>
        <v>15 Scope 3</v>
      </c>
      <c r="C37" s="114"/>
    </row>
    <row r="38" spans="1:8" ht="20.100000000000001" customHeight="1" x14ac:dyDescent="0.25">
      <c r="A38" s="5" t="str">
        <f>HYPERLINK("#'Calcs - Manure sent off-site'!A1", "Calcs - Manure sent off-site")</f>
        <v>Calcs - Manure sent off-site</v>
      </c>
      <c r="C38" s="114"/>
      <c r="D38" s="91" t="s">
        <v>632</v>
      </c>
    </row>
    <row r="39" spans="1:8" ht="20.100000000000001" customHeight="1" x14ac:dyDescent="0.25">
      <c r="A39" s="5" t="str">
        <f>HYPERLINK("#'10.1.1-2 Solid waste treatment'!A1", "10.1.1-2 Solid waste treatment")</f>
        <v>10.1.1-2 Solid waste treatment</v>
      </c>
      <c r="D39" s="1" t="s">
        <v>633</v>
      </c>
      <c r="E39" s="28">
        <v>0.3</v>
      </c>
      <c r="F39" s="26" t="s">
        <v>626</v>
      </c>
    </row>
    <row r="40" spans="1:8" s="126" customFormat="1" ht="20.100000000000001" customHeight="1" x14ac:dyDescent="0.25">
      <c r="A40"/>
      <c r="C40" s="1"/>
      <c r="D40" s="1" t="s">
        <v>634</v>
      </c>
      <c r="E40" s="25">
        <f>E30*X_Cell_Crop_PercentResidueBurned</f>
        <v>4500</v>
      </c>
      <c r="F40" s="26" t="s">
        <v>623</v>
      </c>
      <c r="G40" s="1"/>
      <c r="H40" s="1"/>
    </row>
    <row r="41" spans="1:8" s="126" customFormat="1" ht="20.100000000000001" customHeight="1" x14ac:dyDescent="0.25">
      <c r="A41"/>
      <c r="C41" s="1"/>
      <c r="D41" s="1"/>
      <c r="E41" s="1"/>
      <c r="F41" s="1"/>
      <c r="G41" s="1"/>
      <c r="H41" s="1"/>
    </row>
    <row r="42" spans="1:8" ht="20.100000000000001" customHeight="1" x14ac:dyDescent="0.25">
      <c r="A42" s="108" t="s">
        <v>1</v>
      </c>
      <c r="D42" s="1" t="s">
        <v>635</v>
      </c>
      <c r="E42" s="25">
        <f>E30-X_Cell_Crop_TotalResidueBaled-E40</f>
        <v>8850</v>
      </c>
      <c r="F42" s="26" t="s">
        <v>623</v>
      </c>
    </row>
    <row r="43" spans="1:8" ht="20.100000000000001" customHeight="1" x14ac:dyDescent="0.25">
      <c r="A43" s="5" t="str">
        <f>HYPERLINK("#'Constants - Ag Residue'!A1", "Constants - Ag residue")</f>
        <v>Constants - Ag residue</v>
      </c>
    </row>
    <row r="44" spans="1:8" ht="20.100000000000001" customHeight="1" x14ac:dyDescent="0.25">
      <c r="A44" s="5" t="str">
        <f>HYPERLINK("#'Constants - Common Livestock'!A1", "Constants - Common Livestock")</f>
        <v>Constants - Common Livestock</v>
      </c>
    </row>
    <row r="45" spans="1:8" ht="20.100000000000001" customHeight="1" x14ac:dyDescent="0.25">
      <c r="A45" s="5" t="str">
        <f>HYPERLINK("#'Constants - Electricity'!A1", "Constants - Electricity")</f>
        <v>Constants - Electricity</v>
      </c>
    </row>
    <row r="46" spans="1:8" ht="20.100000000000001" customHeight="1" x14ac:dyDescent="0.25">
      <c r="A46" s="5" t="str">
        <f>HYPERLINK("#'Constants - Fertiliser'!A1", "Constants - Fertiliser")</f>
        <v>Constants - Fertiliser</v>
      </c>
    </row>
    <row r="47" spans="1:8" ht="20.100000000000001" customHeight="1" x14ac:dyDescent="0.25">
      <c r="A47" s="5" t="str">
        <f>HYPERLINK("#'Constants - Fuel'!A1", "Constants - Fuel")</f>
        <v>Constants - Fuel</v>
      </c>
    </row>
    <row r="48" spans="1:8" ht="20.100000000000001" customHeight="1" x14ac:dyDescent="0.25">
      <c r="A48" s="5" t="str">
        <f>HYPERLINK("#'Constants - Scope 3'!A1", "Constants - Scope 3")</f>
        <v>Constants - Scope 3</v>
      </c>
      <c r="D48" s="2"/>
    </row>
    <row r="49" spans="1:6" ht="20.100000000000001" customHeight="1" x14ac:dyDescent="0.25">
      <c r="A49" s="5" t="str">
        <f>HYPERLINK("#'Constants - Common'!A1", "Constants - Common")</f>
        <v>Constants - Common</v>
      </c>
    </row>
    <row r="50" spans="1:6" ht="20.100000000000001" customHeight="1" x14ac:dyDescent="0.25">
      <c r="A50" s="5" t="str">
        <f>HYPERLINK("#'Constants - Solid Waste'!A1", "Constants - Solid Waste")</f>
        <v>Constants - Solid Waste</v>
      </c>
      <c r="D50" s="22"/>
      <c r="F50" s="26"/>
    </row>
    <row r="51" spans="1:6" ht="20.100000000000001" customHeight="1" x14ac:dyDescent="0.25"/>
    <row r="52" spans="1:6" ht="20.100000000000001" customHeight="1" x14ac:dyDescent="0.25"/>
    <row r="53" spans="1:6" ht="20.100000000000001" customHeight="1" x14ac:dyDescent="0.25"/>
    <row r="54" spans="1:6" ht="20.100000000000001" customHeight="1" x14ac:dyDescent="0.25"/>
    <row r="55" spans="1:6" ht="20.100000000000001" customHeight="1" x14ac:dyDescent="0.25"/>
    <row r="56" spans="1:6" ht="20.100000000000001" customHeight="1" x14ac:dyDescent="0.25"/>
    <row r="57" spans="1:6" ht="20.100000000000001" customHeight="1" x14ac:dyDescent="0.25"/>
    <row r="58" spans="1:6" ht="20.100000000000001" customHeight="1" x14ac:dyDescent="0.25"/>
    <row r="59" spans="1:6" ht="20.100000000000001" customHeight="1" x14ac:dyDescent="0.25"/>
    <row r="60" spans="1:6" ht="20.100000000000001" customHeight="1" x14ac:dyDescent="0.25"/>
    <row r="61" spans="1:6" ht="20.100000000000001" customHeight="1" x14ac:dyDescent="0.25"/>
    <row r="62" spans="1:6" ht="20.100000000000001" customHeight="1" x14ac:dyDescent="0.25"/>
    <row r="63" spans="1:6" ht="20.100000000000001" customHeight="1" x14ac:dyDescent="0.25"/>
    <row r="64" spans="1: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1" spans="4:4" x14ac:dyDescent="0.25">
      <c r="D361" s="127"/>
    </row>
  </sheetData>
  <conditionalFormatting sqref="E210:G210">
    <cfRule type="cellIs" dxfId="89" priority="6" operator="lessThan">
      <formula>0</formula>
    </cfRule>
  </conditionalFormatting>
  <conditionalFormatting sqref="F42">
    <cfRule type="cellIs" dxfId="88" priority="5" operator="lessThan">
      <formula>0</formula>
    </cfRule>
  </conditionalFormatting>
  <conditionalFormatting sqref="F126:F127">
    <cfRule type="cellIs" dxfId="87" priority="4" operator="lessThan">
      <formula>0</formula>
    </cfRule>
  </conditionalFormatting>
  <conditionalFormatting sqref="F138:F139">
    <cfRule type="cellIs" dxfId="86" priority="3" operator="lessThan">
      <formula>0</formula>
    </cfRule>
  </conditionalFormatting>
  <conditionalFormatting sqref="F150:F151">
    <cfRule type="cellIs" dxfId="85" priority="2" operator="lessThan">
      <formula>0</formula>
    </cfRule>
  </conditionalFormatting>
  <conditionalFormatting sqref="F162:F163">
    <cfRule type="cellIs" dxfId="84" priority="1" operator="lessThan">
      <formula>0</formula>
    </cfRule>
  </conditionalFormatting>
  <conditionalFormatting sqref="F250:F251">
    <cfRule type="cellIs" dxfId="83" priority="12" operator="lessThan">
      <formula>0</formula>
    </cfRule>
  </conditionalFormatting>
  <conditionalFormatting sqref="F255:F256">
    <cfRule type="cellIs" dxfId="82" priority="11" operator="lessThan">
      <formula>0</formula>
    </cfRule>
  </conditionalFormatting>
  <conditionalFormatting sqref="F260:F261">
    <cfRule type="cellIs" dxfId="81" priority="10" operator="lessThan">
      <formula>0</formula>
    </cfRule>
  </conditionalFormatting>
  <conditionalFormatting sqref="F284:F285">
    <cfRule type="cellIs" dxfId="80" priority="9" operator="lessThan">
      <formula>0</formula>
    </cfRule>
  </conditionalFormatting>
  <conditionalFormatting sqref="F289:F290">
    <cfRule type="cellIs" dxfId="79" priority="8" operator="lessThan">
      <formula>0</formula>
    </cfRule>
  </conditionalFormatting>
  <conditionalFormatting sqref="F294:F295">
    <cfRule type="cellIs" dxfId="78" priority="7" operator="lessThan">
      <formula>0</formula>
    </cfRule>
  </conditionalFormatting>
  <dataValidations count="8">
    <dataValidation type="list" allowBlank="1" showInputMessage="1" showErrorMessage="1" sqref="E11" xr:uid="{06603A83-509E-48EA-A946-519A58B7142E}">
      <formula1>INDIRECT("Table_SourceData_Fertiliser_IrrigationMethods[Irrigation method]")</formula1>
    </dataValidation>
    <dataValidation type="list" allowBlank="1" showInputMessage="1" showErrorMessage="1" sqref="E9" xr:uid="{EEED04C4-024D-4D00-8BA1-8F7F101C132A}">
      <formula1>INDIRECT("Table_SourceData_CropAttributes[Crop type]")</formula1>
    </dataValidation>
    <dataValidation type="list" allowBlank="1" showInputMessage="1" showErrorMessage="1" sqref="E10" xr:uid="{65CABA00-2BD8-45EF-AE86-C7D8168E13C7}">
      <formula1>INDIRECT("Table_SourceData_CropPurposeAndYields[Purpose]")</formula1>
    </dataValidation>
    <dataValidation type="list" allowBlank="1" showInputMessage="1" showErrorMessage="1" sqref="E64" xr:uid="{1D5BFC0F-E057-4DBA-88A7-8EA455A8640B}">
      <formula1>INDIRECT("Table_SourceData_Swine_CropProdSystems[Production system]")</formula1>
    </dataValidation>
    <dataValidation type="list" allowBlank="1" showInputMessage="1" showErrorMessage="1" sqref="E65" xr:uid="{FD2F3CDA-A396-4240-9238-F3C748B8AA69}">
      <formula1>INDIRECT("Table_SourceData_Swine_IrrigationMethods[Irrigation method]")</formula1>
    </dataValidation>
    <dataValidation type="list" allowBlank="1" showInputMessage="1" showErrorMessage="1" sqref="E249 E254 E259 E293 E288 E283 E161 E149 E125 E137" xr:uid="{F23997FD-B7F5-48F0-8AD0-F6610454A5A6}">
      <formula1>"Yes, No"</formula1>
    </dataValidation>
    <dataValidation type="list" allowBlank="1" showInputMessage="1" showErrorMessage="1" sqref="E225" xr:uid="{1F26F822-32A3-42AF-B6F2-1A5BC48D3B15}">
      <formula1>INDIRECT("Table_SourceData_Dairy_ProductionSystemTemplates[Area]")</formula1>
    </dataValidation>
    <dataValidation type="list" allowBlank="1" showInputMessage="1" showErrorMessage="1" sqref="D277" xr:uid="{AF022E08-D82D-4840-94CD-F9562CB457D6}">
      <formula1>INDIRECT("Table_SourceData_PoultryMMSStage1[MMS]")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D198B5-7ECE-40EA-8499-B24C208F76C0}">
  <sheetPr>
    <tabColor rgb="FFCC6600"/>
  </sheetPr>
  <dimension ref="A1:K50"/>
  <sheetViews>
    <sheetView showGridLines="0" workbookViewId="0" zoomScale="100" zoomScaleNormal="100">
      <selection activeCell="A50" sqref="A50"/>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6" customFormat="1" ht="25.5" x14ac:dyDescent="0.35">
      <c r="A1" s="16" t="e" vm="1">
        <v>#VALUE!</v>
      </c>
      <c r="C1" s="16" t="s">
        <v>182</v>
      </c>
    </row>
    <row r="2" spans="1:11" s="3" customFormat="1" x14ac:dyDescent="0.25">
      <c r="A2"/>
    </row>
    <row r="3" spans="1:11" ht="20.25" x14ac:dyDescent="0.25">
      <c r="A3" s="5" t="str">
        <f>HYPERLINK("#'Home'!A1", "Home")</f>
        <v>Home</v>
      </c>
      <c r="C3" s="39"/>
      <c r="D3" s="39"/>
      <c r="E3" s="39"/>
      <c r="F3" s="39"/>
      <c r="G3" s="39"/>
      <c r="H3" s="39"/>
      <c r="I3" s="39"/>
      <c r="J3" s="39"/>
      <c r="K3" s="39"/>
    </row>
    <row r="4" spans="1:11" x14ac:dyDescent="0.25">
      <c r="A4" s="5" t="str">
        <f>HYPERLINK("#'Overview'!A1", "Overview")</f>
        <v>Overview</v>
      </c>
    </row>
    <row r="5" spans="1:11" x14ac:dyDescent="0.25">
      <c r="A5" s="5" t="str">
        <f>HYPERLINK("#'Results'!A1", "Results")</f>
        <v>Results</v>
      </c>
      <c r="D5" s="80" t="s">
        <v>187</v>
      </c>
      <c r="E5" s="80"/>
      <c r="F5" s="80"/>
      <c r="G5" s="80"/>
    </row>
    <row r="6" spans="1:11" x14ac:dyDescent="0.25">
      <c r="F6" s="26"/>
    </row>
    <row r="7" spans="1:11" x14ac:dyDescent="0.25">
      <c r="D7" s="1" t="s">
        <v>183</v>
      </c>
      <c r="E7" s="25" t="s">
        <v>184</v>
      </c>
      <c r="F7" s="26"/>
    </row>
    <row r="8" spans="1:11" x14ac:dyDescent="0.25">
      <c r="A8" s="7" t="s">
        <v>0</v>
      </c>
      <c r="D8" s="1" t="s">
        <v>185</v>
      </c>
      <c r="E8" s="25" t="str" cm="1">
        <f t="array" ref="E8">_xlfn.IFS(X_Cell_Crop_CropType="Maize", "Maize", X_Cell_Crop_CropType="Cotton", "Cotton", TRUE, "Grains")</f>
        <v>Grains</v>
      </c>
      <c r="F8" s="26"/>
    </row>
    <row r="9" spans="1:11" x14ac:dyDescent="0.25">
      <c r="A9" s="5" t="str">
        <f>HYPERLINK("#'Input - Enterprise'!A1", "Enterprise")</f>
        <v>Enterprise</v>
      </c>
      <c r="D9" s="1" t="s">
        <v>63</v>
      </c>
      <c r="E9" s="25" t="str" cm="1">
        <f t="array" ref="E9">X_Cell_Crop_IrrigationMethod</f>
        <v>Sprinkler irrigation</v>
      </c>
    </row>
    <row r="10" spans="1:11" x14ac:dyDescent="0.25">
      <c r="A10" s="5" t="str">
        <f>HYPERLINK("#'Input - Site'!A1", "Site")</f>
        <v>Site</v>
      </c>
      <c r="D10" s="1" t="s">
        <v>186</v>
      </c>
      <c r="E10" s="25" cm="1">
        <f t="array" ref="E10">X_Cell_Crop_AreaUnderCropping</f>
        <v>1000</v>
      </c>
    </row>
    <row r="11" spans="1:11" x14ac:dyDescent="0.25">
      <c r="A11" s="5" t="str">
        <f>HYPERLINK("#'Input - Crop'!A1", "Crop")</f>
        <v>Crop</v>
      </c>
    </row>
    <row r="12" spans="1:11" x14ac:dyDescent="0.25">
      <c r="A12" s="99" t="str">
        <f>HYPERLINK("#'Input - Fert Prod System'!A1", "Fert Prod System")</f>
        <v>Fert Prod System</v>
      </c>
    </row>
    <row r="13" spans="1:11" x14ac:dyDescent="0.25">
      <c r="A13" s="5" t="str">
        <f>HYPERLINK("#'Input - Fertiliser'!A1", "Fertiliser")</f>
        <v>Fertiliser</v>
      </c>
    </row>
    <row r="14" spans="1:11" x14ac:dyDescent="0.25">
      <c r="A14" s="5" t="str">
        <f>HYPERLINK("#'Input - Fuel'!A1", "Fuel")</f>
        <v>Fuel</v>
      </c>
    </row>
    <row r="15" spans="1:11" x14ac:dyDescent="0.25">
      <c r="A15" s="5" t="str">
        <f>HYPERLINK("#'Input - Electricity'!A1", "Electricity")</f>
        <v>Electricity</v>
      </c>
    </row>
    <row r="16" spans="1:11" x14ac:dyDescent="0.25">
      <c r="A16" s="5" t="str">
        <f>HYPERLINK("#'Input - Common farm inputs'!A1", "Common farm inputs")</f>
        <v>Common farm inputs</v>
      </c>
    </row>
    <row r="17" spans="1:1" x14ac:dyDescent="0.25">
      <c r="A17" s="5" t="str">
        <f>HYPERLINK("#'Input - Crop pasture farm input'!A1", "Crop pasture farm input")</f>
        <v>Crop pasture farm input</v>
      </c>
    </row>
    <row r="18" spans="1:1" x14ac:dyDescent="0.25">
      <c r="A18" s="5" t="str">
        <f>HYPERLINK("#'Input - Freight'!A1", "Freight")</f>
        <v>Freight</v>
      </c>
    </row>
    <row r="19" spans="1:1" x14ac:dyDescent="0.25">
      <c r="A19" s="5" t="str">
        <f>HYPERLINK("#'Input - Manure sent off-site'!A1", "Manure sent off-site")</f>
        <v>Manure sent off-site</v>
      </c>
    </row>
    <row r="20" spans="1:1" x14ac:dyDescent="0.25">
      <c r="A20" s="5" t="str">
        <f>HYPERLINK("#'Input - Solid waste'!A1", "Solid waste")</f>
        <v>Solid waste</v>
      </c>
    </row>
    <row r="21" spans="1:1" x14ac:dyDescent="0.25">
      <c r="A21" s="5" t="str">
        <f>HYPERLINK("#'Input - Data quality'!A1", "Data quality")</f>
        <v>Data quality</v>
      </c>
    </row>
    <row r="24" spans="1:1" x14ac:dyDescent="0.25">
      <c r="A24" s="6" t="s">
        <v>2</v>
      </c>
    </row>
    <row r="25" spans="1:1" x14ac:dyDescent="0.25">
      <c r="A25" s="5" t="str">
        <f>HYPERLINK("#'5.1.1.1-2 Inorganic fert N2O'!A1", "5.1.1.1-2 Inorganic fert N2O")</f>
        <v>5.1.1.1-2 Inorganic fert N2O</v>
      </c>
    </row>
    <row r="26" spans="1:1" x14ac:dyDescent="0.25">
      <c r="A26" s="5" t="str">
        <f>HYPERLINK("#'5.1.1.3-4 Inorganic fert CO2'!A1", "5.1.1.3-4 Inorganic fert CO2")</f>
        <v>5.1.1.3-4 Inorganic fert CO2</v>
      </c>
    </row>
    <row r="27" spans="1:1" x14ac:dyDescent="0.25">
      <c r="A27" s="5" t="str">
        <f>HYPERLINK("#'5.2.1.1-2 Organic Fert N2O'!A1", "5.2.1.1-2 Organic fert N2O")</f>
        <v>5.2.1.1-2 Organic fert N2O</v>
      </c>
    </row>
    <row r="28" spans="1:1" x14ac:dyDescent="0.25">
      <c r="A28" s="5" t="str">
        <f>HYPERLINK("#'5.3.1.1-2 Lime CO2'!A1", "5.3.1.1-2 Lime CO2")</f>
        <v>5.3.1.1-2 Lime CO2</v>
      </c>
    </row>
    <row r="29" spans="1:1" x14ac:dyDescent="0.25">
      <c r="A29" s="5" t="str">
        <f>HYPERLINK("#'5.4.1.1-4 Atmos deposition'!A1", "5.4.1.1-4 Atmos. deposition")</f>
        <v>5.4.1.1-4 Atmos. deposition</v>
      </c>
    </row>
    <row r="30" spans="1:1" x14ac:dyDescent="0.25">
      <c r="A30" s="5" t="str">
        <f>HYPERLINK("#'5.5.1.1-2 Leaching and runoff'!A1", "5.5.1.1-2 Leaching &amp; runoff")</f>
        <v>5.5.1.1-2 Leaching &amp; runoff</v>
      </c>
    </row>
    <row r="31" spans="1:1" x14ac:dyDescent="0.25">
      <c r="A31" s="5" t="str">
        <f>HYPERLINK("#'6.1.1.1-2 Crop residue N2O'!A1", "6.1.1.1-2 Crop residue N2O")</f>
        <v>6.1.1.1-2 Crop residue N2O</v>
      </c>
    </row>
    <row r="32" spans="1:1" x14ac:dyDescent="0.25">
      <c r="A32" s="5" t="str">
        <f>HYPERLINK("#'6.3.1.1-2 Leach runoff crop'!A1", "6.3.1.1-2 Leach &amp; runoff (crop)")</f>
        <v>6.3.1.1-2 Leach &amp; runoff (crop)</v>
      </c>
    </row>
    <row r="33" spans="1:1" x14ac:dyDescent="0.25">
      <c r="A33" s="5" t="str">
        <f>HYPERLINK("#'6.4.1.1-2 Residue burning'!A1", "6.4.1.1-2 Residue burning")</f>
        <v>6.4.1.1-2 Residue burning</v>
      </c>
    </row>
    <row r="34" spans="1:1" x14ac:dyDescent="0.25">
      <c r="A34" s="5" t="str">
        <f>HYPERLINK("#'8.1.1.1-2 Transport fuel'!A1", "8.1.1.1-2 Transport fuel")</f>
        <v>8.1.1.1-2 Transport fuel</v>
      </c>
    </row>
    <row r="35" spans="1:1" x14ac:dyDescent="0.25">
      <c r="A35" s="5" t="str">
        <f>HYPERLINK("#'8.2.1.1-2 Stationary fuel'!A1", "8.2.1.1-2 Stationary fuel")</f>
        <v>8.2.1.1-2 Stationary fuel</v>
      </c>
    </row>
    <row r="36" spans="1:1" x14ac:dyDescent="0.25">
      <c r="A36" s="5" t="str">
        <f>HYPERLINK("#'14.1.1-2 Purchased electricity'!A1", "14.1.1-2 Purchased electricity")</f>
        <v>14.1.1-2 Purchased electricity</v>
      </c>
    </row>
    <row r="37" spans="1:1" x14ac:dyDescent="0.25">
      <c r="A37" s="5" t="str">
        <f>HYPERLINK("#'15 Scope 3'!A1", "15 Scope 3")</f>
        <v>15 Scope 3</v>
      </c>
    </row>
    <row r="38" spans="1:1" x14ac:dyDescent="0.25">
      <c r="A38" s="5" t="str">
        <f>HYPERLINK("#'Calcs - Manure sent off-site'!A1", "Calcs - Manure sent off-site")</f>
        <v>Calcs - Manure sent off-site</v>
      </c>
    </row>
    <row r="39" spans="1:1" x14ac:dyDescent="0.25">
      <c r="A39" s="5" t="str">
        <f>HYPERLINK("#'10.1.1-2 Solid waste treatment'!A1", "10.1.1-2 Solid waste treatment")</f>
        <v>10.1.1-2 Solid waste treatment</v>
      </c>
    </row>
    <row r="42" spans="1:1" x14ac:dyDescent="0.25">
      <c r="A42" s="108" t="s">
        <v>1</v>
      </c>
    </row>
    <row r="43" spans="1:1" x14ac:dyDescent="0.25">
      <c r="A43" s="5" t="str">
        <f>HYPERLINK("#'Constants - Ag Residue'!A1", "Constants - Ag residue")</f>
        <v>Constants - Ag residue</v>
      </c>
    </row>
    <row r="44" spans="1:1" x14ac:dyDescent="0.25">
      <c r="A44" s="5" t="str">
        <f>HYPERLINK("#'Constants - Common Livestock'!A1", "Constants - Common Livestock")</f>
        <v>Constants - Common Livestock</v>
      </c>
    </row>
    <row r="45" spans="1:1" x14ac:dyDescent="0.25">
      <c r="A45" s="5" t="str">
        <f>HYPERLINK("#'Constants - Electricity'!A1", "Constants - Electricity")</f>
        <v>Constants - Electricity</v>
      </c>
    </row>
    <row r="46" spans="1:1" x14ac:dyDescent="0.25">
      <c r="A46" s="5" t="str">
        <f>HYPERLINK("#'Constants - Fertiliser'!A1", "Constants - Fertiliser")</f>
        <v>Constants - Fertiliser</v>
      </c>
    </row>
    <row r="47" spans="1:1" x14ac:dyDescent="0.25">
      <c r="A47" s="5" t="str">
        <f>HYPERLINK("#'Constants - Fuel'!A1", "Constants - Fuel")</f>
        <v>Constants - Fuel</v>
      </c>
    </row>
    <row r="48" spans="1:1" x14ac:dyDescent="0.25">
      <c r="A48" s="5" t="str">
        <f>HYPERLINK("#'Constants - Scope 3'!A1", "Constants - Scope 3")</f>
        <v>Constants - Scope 3</v>
      </c>
    </row>
    <row r="49" spans="1:1" x14ac:dyDescent="0.25">
      <c r="A49" s="5" t="str">
        <f>HYPERLINK("#'Constants - Common'!A1", "Constants - Common")</f>
        <v>Constants - Common</v>
      </c>
    </row>
    <row r="50" spans="1:1" x14ac:dyDescent="0.25">
      <c r="A50" s="5" t="str">
        <f>HYPERLINK("#'Constants - Solid Waste'!A1", "Constants - Solid Waste")</f>
        <v>Constants - Solid Waste</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9C885-2728-45B2-919A-730E86713A75}">
  <dimension ref="A1:AA378"/>
  <sheetViews>
    <sheetView showGridLines="0" workbookViewId="0" zoomScale="100" zoomScaleNormal="100">
      <selection activeCell="A50" sqref="A50"/>
    </sheetView>
  </sheetViews>
  <sheetFormatPr defaultRowHeight="15.75" x14ac:dyDescent="0.25"/>
  <cols>
    <col min="1" max="1" width="30.7109375" customWidth="1"/>
    <col min="2" max="2" width="4.7109375" customWidth="1"/>
    <col min="3" max="3" width="4.7109375" style="1" customWidth="1"/>
    <col min="4" max="4" width="52.140625" style="1" customWidth="1"/>
    <col min="5" max="24" width="30.7109375" style="1" customWidth="1"/>
    <col min="25" max="26" width="20.7109375" style="1" customWidth="1"/>
    <col min="27" max="27" width="4.7109375" style="1" customWidth="1"/>
  </cols>
  <sheetData>
    <row r="1" spans="1:27" s="16" customFormat="1" ht="30" customHeight="1" x14ac:dyDescent="0.35">
      <c r="A1" s="16" t="e" vm="1">
        <v>#VALUE!</v>
      </c>
      <c r="C1" s="16" t="s">
        <v>200</v>
      </c>
    </row>
    <row r="2" spans="1:27" s="3" customFormat="1" ht="20.100000000000001" customHeight="1" x14ac:dyDescent="0.25">
      <c r="A2"/>
    </row>
    <row r="3" spans="1:27" ht="20.100000000000001" customHeight="1" x14ac:dyDescent="0.25">
      <c r="A3" s="5" t="str">
        <f>HYPERLINK("#'Home'!A1", "Home")</f>
        <v>Home</v>
      </c>
      <c r="C3" s="39"/>
      <c r="D3" s="39"/>
      <c r="E3" s="39"/>
      <c r="F3" s="39"/>
      <c r="G3" s="39"/>
      <c r="H3" s="39"/>
      <c r="I3" s="39"/>
      <c r="J3" s="39"/>
      <c r="K3" s="39"/>
      <c r="L3" s="39"/>
      <c r="M3" s="39"/>
      <c r="N3" s="39"/>
      <c r="O3" s="39"/>
      <c r="P3" s="39"/>
      <c r="Q3" s="39"/>
      <c r="R3" s="39"/>
      <c r="S3" s="39"/>
      <c r="T3" s="39"/>
      <c r="U3" s="39"/>
      <c r="V3" s="39"/>
      <c r="W3" s="39"/>
      <c r="X3" s="39"/>
      <c r="Y3" s="39"/>
      <c r="Z3" s="39"/>
      <c r="AA3" s="39"/>
    </row>
    <row r="4" spans="1:27" ht="20.100000000000001" customHeight="1" x14ac:dyDescent="0.25">
      <c r="A4" s="5" t="str">
        <f>HYPERLINK("#'Overview'!A1", "Overview")</f>
        <v>Overview</v>
      </c>
    </row>
    <row r="5" spans="1:27" ht="20.100000000000001" customHeight="1" x14ac:dyDescent="0.25">
      <c r="A5" s="5" t="str">
        <f>HYPERLINK("#'Results'!A1", "Results")</f>
        <v>Results</v>
      </c>
      <c r="D5" s="2" t="s">
        <v>201</v>
      </c>
      <c r="E5" s="35"/>
      <c r="F5" s="35"/>
      <c r="G5" s="35"/>
      <c r="H5" s="35"/>
      <c r="I5" s="35"/>
      <c r="J5" s="35"/>
      <c r="K5" s="35"/>
      <c r="L5" s="35"/>
      <c r="M5" s="35"/>
    </row>
    <row r="6" spans="1:27" ht="20.100000000000001" customHeight="1" x14ac:dyDescent="0.25">
      <c r="D6" s="8"/>
      <c r="E6" s="8"/>
      <c r="F6" s="8"/>
      <c r="G6" s="8"/>
      <c r="H6" s="8"/>
      <c r="I6" s="8"/>
      <c r="J6" s="8"/>
      <c r="K6" s="8"/>
      <c r="L6" s="8"/>
      <c r="M6" s="8"/>
    </row>
    <row r="7" spans="1:27" ht="20.100000000000001" customHeight="1" x14ac:dyDescent="0.25">
      <c r="D7" s="94" t="s">
        <v>202</v>
      </c>
      <c r="E7" s="54"/>
      <c r="F7" s="54"/>
      <c r="G7" s="54"/>
      <c r="H7" s="55"/>
      <c r="I7" s="95"/>
      <c r="J7" s="96"/>
      <c r="K7" s="97"/>
      <c r="L7" s="97"/>
      <c r="M7" s="97"/>
    </row>
    <row r="8" spans="1:27" ht="20.100000000000001" customHeight="1" x14ac:dyDescent="0.25">
      <c r="A8" s="7" t="s">
        <v>0</v>
      </c>
      <c r="D8" s="56" t="s">
        <v>203</v>
      </c>
      <c r="E8" s="57"/>
      <c r="F8" s="57"/>
      <c r="G8" s="58"/>
      <c r="H8" s="98"/>
      <c r="I8" s="8"/>
      <c r="J8" s="8"/>
      <c r="K8" s="8"/>
      <c r="L8" s="8"/>
      <c r="M8" s="8"/>
    </row>
    <row r="9" spans="1:27" ht="20.100000000000001" customHeight="1" x14ac:dyDescent="0.25">
      <c r="A9" s="5" t="str">
        <f>HYPERLINK("#'Input - Enterprise'!A1", "Enterprise")</f>
        <v>Enterprise</v>
      </c>
      <c r="D9" s="8"/>
      <c r="E9" s="8"/>
      <c r="F9" s="8"/>
      <c r="G9" s="8"/>
      <c r="H9" s="8"/>
      <c r="I9" s="8"/>
      <c r="J9" s="8"/>
      <c r="K9" s="8"/>
      <c r="L9" s="8"/>
      <c r="M9" s="8"/>
    </row>
    <row r="10" spans="1:27" ht="20.100000000000001" customHeight="1" x14ac:dyDescent="0.25">
      <c r="A10" s="5" t="str">
        <f>HYPERLINK("#'Input - Site'!A1", "Site")</f>
        <v>Site</v>
      </c>
      <c r="D10" s="91" t="s">
        <v>204</v>
      </c>
      <c r="E10" s="8"/>
      <c r="F10" s="8"/>
      <c r="G10" s="8"/>
      <c r="H10" s="8"/>
      <c r="I10" s="8"/>
      <c r="J10" s="8"/>
      <c r="K10" s="8"/>
      <c r="L10" s="8"/>
      <c r="M10" s="8"/>
    </row>
    <row r="11" spans="1:27" ht="20.100000000000001" customHeight="1" x14ac:dyDescent="0.25">
      <c r="A11" s="5" t="str">
        <f>HYPERLINK("#'Input - Crop'!A1", "Crop")</f>
        <v>Crop</v>
      </c>
      <c r="D11" s="100" t="s">
        <v>205</v>
      </c>
      <c r="E11" s="101" t="s">
        <v>206</v>
      </c>
      <c r="F11" s="102" t="s">
        <v>207</v>
      </c>
      <c r="G11" s="101" t="s">
        <v>208</v>
      </c>
      <c r="H11" s="102" t="s">
        <v>209</v>
      </c>
      <c r="I11" s="101" t="s">
        <v>210</v>
      </c>
      <c r="J11" s="100" t="s">
        <v>211</v>
      </c>
      <c r="K11" s="100" t="s">
        <v>212</v>
      </c>
      <c r="L11" s="100" t="s">
        <v>213</v>
      </c>
      <c r="M11" s="100" t="s">
        <v>214</v>
      </c>
      <c r="N11" s="100" t="s">
        <v>215</v>
      </c>
      <c r="O11" s="100" t="s">
        <v>216</v>
      </c>
      <c r="P11" s="100" t="s">
        <v>217</v>
      </c>
      <c r="Q11" s="100" t="s">
        <v>218</v>
      </c>
      <c r="R11" s="100" t="s">
        <v>219</v>
      </c>
      <c r="S11" s="100" t="s">
        <v>220</v>
      </c>
      <c r="T11" s="100" t="s">
        <v>221</v>
      </c>
      <c r="U11" s="100" t="s">
        <v>222</v>
      </c>
      <c r="V11" s="100" t="s">
        <v>223</v>
      </c>
      <c r="W11" s="100" t="s">
        <v>224</v>
      </c>
      <c r="X11" s="100" t="s">
        <v>225</v>
      </c>
      <c r="Y11" s="100" t="s">
        <v>226</v>
      </c>
      <c r="Z11" s="100" t="s">
        <v>227</v>
      </c>
    </row>
    <row r="12" spans="1:27" ht="20.100000000000001" customHeight="1" x14ac:dyDescent="0.25">
      <c r="A12" s="5" t="str">
        <f>HYPERLINK("#'Input - Fert Prod System'!A1", "Fert Prod System")</f>
        <v>Fert Prod System</v>
      </c>
      <c r="D12" s="103" t="s">
        <v>228</v>
      </c>
      <c r="E12" s="104">
        <v>100</v>
      </c>
      <c r="F12" s="25" t="str">
        <f>IFERROR(_xlfn.XLOOKUP(Table_Input_InorganicFertiliser_Brands[[#This Row],[Product (select)]],FertiliserProducts[Product],FertiliserProducts[Unit]), "kg")</f>
        <v>kg</v>
      </c>
      <c r="G12" s="104">
        <f t="shared" ref="G12" si="0">X_Cell_Fertiliser_AreaUnderCropping</f>
        <v>1000</v>
      </c>
      <c r="H12" s="105">
        <f>IFERROR(_xlfn.XLOOKUP(Table_Input_InorganicFertiliser_Brands[[#This Row],[Product (select)]],FertiliserProducts[Product],FertiliserProducts[Density]), 1)</f>
        <v>1</v>
      </c>
      <c r="I12" s="106">
        <f>(Table_Input_InorganicFertiliser_Brands[[#This Row],[Amount applied per hectare]]*Table_Input_InorganicFertiliser_Brands[[#This Row],[Density]])*Table_Input_InorganicFertiliser_Brands[[#This Row],[Application area (ha)]]</f>
        <v>100000</v>
      </c>
      <c r="J12" s="106"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Urea</v>
      </c>
      <c r="K12" s="106"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1</v>
      </c>
      <c r="L12" s="106" t="str" cm="1">
        <f t="array" ref="L12">Fertiliser_InputFunctions.Fertiliser_FertiliserProductLookup(Table_Input_InorganicFertiliser_Brands[[#This Row],[Product (select)]], Table_Input_InorganicFertiliser_Brands[[#Headers],[Ingredient 2]], FertiliserProducts[#Data], FertiliserProducts[Product], FertiliserProducts[#Headers])</f>
        <v/>
      </c>
      <c r="M12" s="106" t="str"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
      </c>
      <c r="N12" s="106"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106"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106" t="str" cm="1">
        <f t="array" ref="P12">Fertiliser_InputFunctions.Fertiliser_FertiliserProductLookup(Table_Input_InorganicFertiliser_Brands[[#This Row],[Product (select)]], Table_Input_InorganicFertiliser_Brands[[#Headers],[Ingredient 4]], FertiliserProducts[#Data], FertiliserProducts[Product], FertiliserProducts[#Headers])</f>
        <v/>
      </c>
      <c r="Q12" s="106" t="str"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
      </c>
      <c r="R12" s="106" t="str" cm="1">
        <f t="array" ref="R12">Fertiliser_InputFunctions.Fertiliser_FertiliserProductLookup(Table_Input_InorganicFertiliser_Brands[[#This Row],[Product (select)]], Table_Input_InorganicFertiliser_Brands[[#Headers],[Ingredient 5]], FertiliserProducts[#Data], FertiliserProducts[Product], FertiliserProducts[#Headers])</f>
        <v/>
      </c>
      <c r="S12" s="106" t="str"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
      </c>
      <c r="T12" s="106" t="str" cm="1">
        <f t="array" ref="T12">Fertiliser_InputFunctions.Fertiliser_FertiliserProductLookup(Table_Input_InorganicFertiliser_Brands[[#This Row],[Product (select)]], Table_Input_InorganicFertiliser_Brands[[#Headers],[Ingredient 6]], FertiliserProducts[#Data], FertiliserProducts[Product], FertiliserProducts[#Headers])</f>
        <v/>
      </c>
      <c r="U12" s="106" t="str"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
      </c>
      <c r="V12" s="10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0.46</v>
      </c>
      <c r="W12" s="106" cm="1">
        <f t="array" ref="W12">IFERROR(Fertiliser_InputFunctions.Fertiliser_FertiliserProductLookup(Table_Input_InorganicFertiliser_Brands[[#This Row],[Product (select)]], "N declared", FertiliserProducts[#Data], FertiliserProducts[Product], FertiliserProducts[#Headers])*0.01, 0)</f>
        <v>0.46</v>
      </c>
      <c r="X12" s="10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46</v>
      </c>
      <c r="Y12" s="106" t="str">
        <f>IFERROR(_xlfn.XLOOKUP(Table_Input_InorganicFertiliser_Brands[[#This Row],[Product (select)]],FertiliserProducts[Product],FertiliserProducts[Urea source]), "")</f>
        <v/>
      </c>
      <c r="Z12" s="106" t="str">
        <f>IFERROR(_xlfn.XLOOKUP(Table_Input_InorganicFertiliser_Brands[[#This Row],[Product (select)]],FertiliserProducts[Product],FertiliserProducts[Ammonia source]), "")</f>
        <v/>
      </c>
    </row>
    <row r="13" spans="1:27" ht="20.100000000000001" customHeight="1" x14ac:dyDescent="0.25">
      <c r="A13" s="99" t="str">
        <f>HYPERLINK("#'Input - Fertiliser'!A1", "Fertiliser")</f>
        <v>Fertiliser</v>
      </c>
      <c r="D13" s="103" t="s">
        <v>229</v>
      </c>
      <c r="E13" s="104">
        <v>100</v>
      </c>
      <c r="F13" s="25" t="str">
        <f>IFERROR(_xlfn.XLOOKUP(Table_Input_InorganicFertiliser_Brands[[#This Row],[Product (select)]],FertiliserProducts[Product],FertiliserProducts[Unit]), "kg")</f>
        <v>kg</v>
      </c>
      <c r="G13" s="104">
        <f t="shared" ref="G13" si="1">X_Cell_Fertiliser_AreaUnderCropping</f>
        <v>1000</v>
      </c>
      <c r="H13" s="105">
        <f>IFERROR(_xlfn.XLOOKUP(Table_Input_InorganicFertiliser_Brands[[#This Row],[Product (select)]],FertiliserProducts[Product],FertiliserProducts[Density]), 1)</f>
        <v>1</v>
      </c>
      <c r="I13" s="106">
        <f>(Table_Input_InorganicFertiliser_Brands[[#This Row],[Amount applied per hectare]]*Table_Input_InorganicFertiliser_Brands[[#This Row],[Density]])*Table_Input_InorganicFertiliser_Brands[[#This Row],[Application area (ha)]]</f>
        <v>100000</v>
      </c>
      <c r="J13" s="106"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Urea</v>
      </c>
      <c r="K13" s="106"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0.52173899999999995</v>
      </c>
      <c r="L13" s="106"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Potassium - Generic</v>
      </c>
      <c r="M13" s="106"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0.08</v>
      </c>
      <c r="N13" s="106"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Sulfur - Generic</v>
      </c>
      <c r="O13" s="106"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5.2999999999999999E-2</v>
      </c>
      <c r="P13" s="106"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Phosphorus - Generic</v>
      </c>
      <c r="Q13" s="106"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5.1999999999999998E-2</v>
      </c>
      <c r="R13" s="106"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Magnesium</v>
      </c>
      <c r="S13" s="106"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1.2999999999999999E-2</v>
      </c>
      <c r="T13" s="106"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Zinc</v>
      </c>
      <c r="U13" s="106"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2E-3</v>
      </c>
      <c r="V13" s="10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0.23999993999999999</v>
      </c>
      <c r="W13" s="107" cm="1">
        <f t="array" ref="W13">IFERROR(Fertiliser_InputFunctions.Fertiliser_FertiliserProductLookup(Table_Input_InorganicFertiliser_Brands[[#This Row],[Product (select)]], "N declared", FertiliserProducts[#Data], FertiliserProducts[Product], FertiliserProducts[#Headers])*0.01, 0)</f>
        <v>0.24</v>
      </c>
      <c r="X13" s="10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24</v>
      </c>
      <c r="Y13" s="106" t="str">
        <f>IFERROR(_xlfn.XLOOKUP(Table_Input_InorganicFertiliser_Brands[[#This Row],[Product (select)]],FertiliserProducts[Product],FertiliserProducts[Urea source]), "")</f>
        <v/>
      </c>
      <c r="Z13" s="106" t="str">
        <f>IFERROR(_xlfn.XLOOKUP(Table_Input_InorganicFertiliser_Brands[[#This Row],[Product (select)]],FertiliserProducts[Product],FertiliserProducts[Ammonia source]), "")</f>
        <v/>
      </c>
    </row>
    <row r="14" spans="1:27" ht="20.100000000000001" customHeight="1" x14ac:dyDescent="0.25">
      <c r="A14" s="5" t="str">
        <f>HYPERLINK("#'Input - Fuel'!A1", "Fuel")</f>
        <v>Fuel</v>
      </c>
      <c r="D14" s="103" t="s">
        <v>230</v>
      </c>
      <c r="E14" s="104">
        <v>100</v>
      </c>
      <c r="F14" s="25" t="str">
        <f>IFERROR(_xlfn.XLOOKUP(Table_Input_InorganicFertiliser_Brands[[#This Row],[Product (select)]],FertiliserProducts[Product],FertiliserProducts[Unit]), "kg")</f>
        <v>kg</v>
      </c>
      <c r="G14" s="104">
        <f t="shared" ref="G14" si="2">X_Cell_Fertiliser_AreaUnderCropping</f>
        <v>1000</v>
      </c>
      <c r="H14" s="105">
        <f>IFERROR(_xlfn.XLOOKUP(Table_Input_InorganicFertiliser_Brands[[#This Row],[Product (select)]],FertiliserProducts[Product],FertiliserProducts[Density]), 1)</f>
        <v>1</v>
      </c>
      <c r="I14" s="106">
        <f>(Table_Input_InorganicFertiliser_Brands[[#This Row],[Amount applied per hectare]]*Table_Input_InorganicFertiliser_Brands[[#This Row],[Density]])*Table_Input_InorganicFertiliser_Brands[[#This Row],[Application area (ha)]]</f>
        <v>100000</v>
      </c>
      <c r="J14" s="106"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Nitrogen - Nitrate</v>
      </c>
      <c r="K14" s="106"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5.5E-2</v>
      </c>
      <c r="L14" s="106"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Nitrogen - Ammoniacal</v>
      </c>
      <c r="M14" s="106"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0.124</v>
      </c>
      <c r="N14" s="106"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Potassium - Generic</v>
      </c>
      <c r="O14" s="106"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0.15</v>
      </c>
      <c r="P14" s="106"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Sulfur - Generic</v>
      </c>
      <c r="Q14" s="106"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3.5999999999999997E-2</v>
      </c>
      <c r="R14" s="106"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Calcium</v>
      </c>
      <c r="S14" s="106"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4.3999999999999997E-2</v>
      </c>
      <c r="T14" s="106" t="str" cm="1">
        <f t="array" ref="T14">Fertiliser_InputFunctions.Fertiliser_FertiliserProductLookup(Table_Input_InorganicFertiliser_Brands[[#This Row],[Product (select)]], Table_Input_InorganicFertiliser_Brands[[#Headers],[Ingredient 6]], FertiliserProducts[#Data], FertiliserProducts[Product], FertiliserProducts[#Headers])</f>
        <v/>
      </c>
      <c r="U14" s="106" t="str"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
      </c>
      <c r="V14" s="10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0.17899999999999999</v>
      </c>
      <c r="W14" s="107" cm="1">
        <f t="array" ref="W14">IFERROR(Fertiliser_InputFunctions.Fertiliser_FertiliserProductLookup(Table_Input_InorganicFertiliser_Brands[[#This Row],[Product (select)]], "N declared", FertiliserProducts[#Data], FertiliserProducts[Product], FertiliserProducts[#Headers])*0.01, 0)</f>
        <v>0.17899999999999999</v>
      </c>
      <c r="X14" s="10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17.899999999999999</v>
      </c>
      <c r="Y14" s="106" t="str">
        <f>IFERROR(_xlfn.XLOOKUP(Table_Input_InorganicFertiliser_Brands[[#This Row],[Product (select)]],FertiliserProducts[Product],FertiliserProducts[Urea source]), "")</f>
        <v/>
      </c>
      <c r="Z14" s="106" t="str">
        <f>IFERROR(_xlfn.XLOOKUP(Table_Input_InorganicFertiliser_Brands[[#This Row],[Product (select)]],FertiliserProducts[Product],FertiliserProducts[Ammonia source]), "")</f>
        <v/>
      </c>
    </row>
    <row r="15" spans="1:27" ht="20.100000000000001" customHeight="1" x14ac:dyDescent="0.25">
      <c r="A15" s="5" t="str">
        <f>HYPERLINK("#'Input - Electricity'!A1", "Electricity")</f>
        <v>Electricity</v>
      </c>
      <c r="D15" s="103"/>
      <c r="E15" s="104"/>
      <c r="F15" s="25" t="str">
        <f>IFERROR(_xlfn.XLOOKUP(Table_Input_InorganicFertiliser_Brands[[#This Row],[Product (select)]],FertiliserProducts[Product],FertiliserProducts[Unit]), "kg")</f>
        <v>kg</v>
      </c>
      <c r="G15" s="104">
        <f t="shared" ref="G15" si="3">X_Cell_Fertiliser_AreaUnderCropping</f>
        <v>1000</v>
      </c>
      <c r="H15" s="105">
        <f>IFERROR(_xlfn.XLOOKUP(Table_Input_InorganicFertiliser_Brands[[#This Row],[Product (select)]],FertiliserProducts[Product],FertiliserProducts[Density]), 1)</f>
        <v>1</v>
      </c>
      <c r="I15" s="106">
        <f>(Table_Input_InorganicFertiliser_Brands[[#This Row],[Amount applied per hectare]]*Table_Input_InorganicFertiliser_Brands[[#This Row],[Density]])*Table_Input_InorganicFertiliser_Brands[[#This Row],[Application area (ha)]]</f>
        <v>0</v>
      </c>
      <c r="J15" s="106"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
      </c>
      <c r="K15" s="106" t="str"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
      </c>
      <c r="L15" s="106"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
      </c>
      <c r="M15" s="106" t="str"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
      </c>
      <c r="N15" s="106"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
      </c>
      <c r="O15" s="106" t="str"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
      </c>
      <c r="P15" s="106"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106"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106"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106"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106"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106"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10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5" s="107" cm="1">
        <f t="array" ref="W15">IFERROR(Fertiliser_InputFunctions.Fertiliser_FertiliserProductLookup(Table_Input_InorganicFertiliser_Brands[[#This Row],[Product (select)]], "N declared", FertiliserProducts[#Data], FertiliserProducts[Product], FertiliserProducts[#Headers])*0.01, 0)</f>
        <v>0</v>
      </c>
      <c r="X15" s="10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106" t="str">
        <f>IFERROR(_xlfn.XLOOKUP(Table_Input_InorganicFertiliser_Brands[[#This Row],[Product (select)]],FertiliserProducts[Product],FertiliserProducts[Urea source]), "")</f>
        <v/>
      </c>
      <c r="Z15" s="106" t="str">
        <f>IFERROR(_xlfn.XLOOKUP(Table_Input_InorganicFertiliser_Brands[[#This Row],[Product (select)]],FertiliserProducts[Product],FertiliserProducts[Ammonia source]), "")</f>
        <v/>
      </c>
    </row>
    <row r="16" spans="1:27" ht="20.100000000000001" customHeight="1" x14ac:dyDescent="0.25">
      <c r="A16" s="5" t="str">
        <f>HYPERLINK("#'Input - Common farm inputs'!A1", "Common farm inputs")</f>
        <v>Common farm inputs</v>
      </c>
      <c r="D16" s="103"/>
      <c r="E16" s="104"/>
      <c r="F16" s="25" t="str">
        <f>IFERROR(_xlfn.XLOOKUP(Table_Input_InorganicFertiliser_Brands[[#This Row],[Product (select)]],FertiliserProducts[Product],FertiliserProducts[Unit]), "kg")</f>
        <v>kg</v>
      </c>
      <c r="G16" s="104">
        <f t="shared" ref="G16" si="4">X_Cell_Fertiliser_AreaUnderCropping</f>
        <v>1000</v>
      </c>
      <c r="H16" s="105">
        <f>IFERROR(_xlfn.XLOOKUP(Table_Input_InorganicFertiliser_Brands[[#This Row],[Product (select)]],FertiliserProducts[Product],FertiliserProducts[Density]), 1)</f>
        <v>1</v>
      </c>
      <c r="I16" s="106">
        <f>(Table_Input_InorganicFertiliser_Brands[[#This Row],[Amount applied per hectare]]*Table_Input_InorganicFertiliser_Brands[[#This Row],[Density]])*Table_Input_InorganicFertiliser_Brands[[#This Row],[Application area (ha)]]</f>
        <v>0</v>
      </c>
      <c r="J16" s="106"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
      </c>
      <c r="K16" s="106" t="str"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
      </c>
      <c r="L16" s="106"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
      </c>
      <c r="M16" s="106" t="str"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
      </c>
      <c r="N16" s="106"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
      </c>
      <c r="O16" s="106" t="str"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
      </c>
      <c r="P16" s="106"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106"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106"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106"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106"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106"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10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6" s="107" cm="1">
        <f t="array" ref="W16">IFERROR(Fertiliser_InputFunctions.Fertiliser_FertiliserProductLookup(Table_Input_InorganicFertiliser_Brands[[#This Row],[Product (select)]], "N declared", FertiliserProducts[#Data], FertiliserProducts[Product], FertiliserProducts[#Headers])*0.01, 0)</f>
        <v>0</v>
      </c>
      <c r="X16" s="10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106" t="str">
        <f>IFERROR(_xlfn.XLOOKUP(Table_Input_InorganicFertiliser_Brands[[#This Row],[Product (select)]],FertiliserProducts[Product],FertiliserProducts[Urea source]), "")</f>
        <v/>
      </c>
      <c r="Z16" s="106" t="str">
        <f>IFERROR(_xlfn.XLOOKUP(Table_Input_InorganicFertiliser_Brands[[#This Row],[Product (select)]],FertiliserProducts[Product],FertiliserProducts[Ammonia source]), "")</f>
        <v/>
      </c>
    </row>
    <row r="17" spans="1:26" ht="20.100000000000001" customHeight="1" x14ac:dyDescent="0.25">
      <c r="A17" s="5" t="str">
        <f>HYPERLINK("#'Input - Crop pasture farm input'!A1", "Crop pasture farm input")</f>
        <v>Crop pasture farm input</v>
      </c>
      <c r="D17" s="103"/>
      <c r="E17" s="104"/>
      <c r="F17" s="25" t="str">
        <f>IFERROR(_xlfn.XLOOKUP(Table_Input_InorganicFertiliser_Brands[[#This Row],[Product (select)]],FertiliserProducts[Product],FertiliserProducts[Unit]), "kg")</f>
        <v>kg</v>
      </c>
      <c r="G17" s="104">
        <f t="shared" ref="G17" si="5">X_Cell_Fertiliser_AreaUnderCropping</f>
        <v>1000</v>
      </c>
      <c r="H17" s="105">
        <f>IFERROR(_xlfn.XLOOKUP(Table_Input_InorganicFertiliser_Brands[[#This Row],[Product (select)]],FertiliserProducts[Product],FertiliserProducts[Density]), 1)</f>
        <v>1</v>
      </c>
      <c r="I17" s="106">
        <f>(Table_Input_InorganicFertiliser_Brands[[#This Row],[Amount applied per hectare]]*Table_Input_InorganicFertiliser_Brands[[#This Row],[Density]])*Table_Input_InorganicFertiliser_Brands[[#This Row],[Application area (ha)]]</f>
        <v>0</v>
      </c>
      <c r="J17" s="106"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
      </c>
      <c r="K17" s="106" t="str"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
      </c>
      <c r="L17" s="106"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
      </c>
      <c r="M17" s="106" t="str"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
      </c>
      <c r="N17" s="106"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
      </c>
      <c r="O17" s="106" t="str"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
      </c>
      <c r="P17" s="106"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106"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106"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106"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106"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106"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10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7" s="107" cm="1">
        <f t="array" ref="W17">IFERROR(Fertiliser_InputFunctions.Fertiliser_FertiliserProductLookup(Table_Input_InorganicFertiliser_Brands[[#This Row],[Product (select)]], "N declared", FertiliserProducts[#Data], FertiliserProducts[Product], FertiliserProducts[#Headers])*0.01, 0)</f>
        <v>0</v>
      </c>
      <c r="X17" s="10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106" t="str">
        <f>IFERROR(_xlfn.XLOOKUP(Table_Input_InorganicFertiliser_Brands[[#This Row],[Product (select)]],FertiliserProducts[Product],FertiliserProducts[Urea source]), "")</f>
        <v/>
      </c>
      <c r="Z17" s="106" t="str">
        <f>IFERROR(_xlfn.XLOOKUP(Table_Input_InorganicFertiliser_Brands[[#This Row],[Product (select)]],FertiliserProducts[Product],FertiliserProducts[Ammonia source]), "")</f>
        <v/>
      </c>
    </row>
    <row r="18" spans="1:26" ht="20.100000000000001" customHeight="1" x14ac:dyDescent="0.25">
      <c r="A18" s="5" t="str">
        <f>HYPERLINK("#'Input - Freight'!A1", "Freight")</f>
        <v>Freight</v>
      </c>
      <c r="D18" s="103"/>
      <c r="E18" s="104"/>
      <c r="F18" s="25" t="str">
        <f>IFERROR(_xlfn.XLOOKUP(Table_Input_InorganicFertiliser_Brands[[#This Row],[Product (select)]],FertiliserProducts[Product],FertiliserProducts[Unit]), "kg")</f>
        <v>kg</v>
      </c>
      <c r="G18" s="104">
        <f t="shared" ref="G18" si="6">X_Cell_Fertiliser_AreaUnderCropping</f>
        <v>1000</v>
      </c>
      <c r="H18" s="105">
        <f>IFERROR(_xlfn.XLOOKUP(Table_Input_InorganicFertiliser_Brands[[#This Row],[Product (select)]],FertiliserProducts[Product],FertiliserProducts[Density]), 1)</f>
        <v>1</v>
      </c>
      <c r="I18" s="106">
        <f>(Table_Input_InorganicFertiliser_Brands[[#This Row],[Amount applied per hectare]]*Table_Input_InorganicFertiliser_Brands[[#This Row],[Density]])*Table_Input_InorganicFertiliser_Brands[[#This Row],[Application area (ha)]]</f>
        <v>0</v>
      </c>
      <c r="J18" s="106"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
      </c>
      <c r="K18" s="106" t="str"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
      </c>
      <c r="L18" s="106"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
      </c>
      <c r="M18" s="106" t="str"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
      </c>
      <c r="N18" s="106"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
      </c>
      <c r="O18" s="106" t="str"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
      </c>
      <c r="P18" s="106"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106"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106"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106"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106"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106"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10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8" s="107" cm="1">
        <f t="array" ref="W18">IFERROR(Fertiliser_InputFunctions.Fertiliser_FertiliserProductLookup(Table_Input_InorganicFertiliser_Brands[[#This Row],[Product (select)]], "N declared", FertiliserProducts[#Data], FertiliserProducts[Product], FertiliserProducts[#Headers])*0.01, 0)</f>
        <v>0</v>
      </c>
      <c r="X18" s="10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106" t="str">
        <f>IFERROR(_xlfn.XLOOKUP(Table_Input_InorganicFertiliser_Brands[[#This Row],[Product (select)]],FertiliserProducts[Product],FertiliserProducts[Urea source]), "")</f>
        <v/>
      </c>
      <c r="Z18" s="106" t="str">
        <f>IFERROR(_xlfn.XLOOKUP(Table_Input_InorganicFertiliser_Brands[[#This Row],[Product (select)]],FertiliserProducts[Product],FertiliserProducts[Ammonia source]), "")</f>
        <v/>
      </c>
    </row>
    <row r="19" spans="1:26" ht="20.100000000000001" customHeight="1" x14ac:dyDescent="0.25">
      <c r="A19" s="5" t="str">
        <f>HYPERLINK("#'Input - Manure sent off-site'!A1", "Manure sent off-site")</f>
        <v>Manure sent off-site</v>
      </c>
      <c r="D19" s="103"/>
      <c r="E19" s="104"/>
      <c r="F19" s="25" t="str">
        <f>IFERROR(_xlfn.XLOOKUP(Table_Input_InorganicFertiliser_Brands[[#This Row],[Product (select)]],FertiliserProducts[Product],FertiliserProducts[Unit]), "kg")</f>
        <v>kg</v>
      </c>
      <c r="G19" s="104">
        <f t="shared" ref="G19" si="7">X_Cell_Fertiliser_AreaUnderCropping</f>
        <v>1000</v>
      </c>
      <c r="H19" s="105">
        <f>IFERROR(_xlfn.XLOOKUP(Table_Input_InorganicFertiliser_Brands[[#This Row],[Product (select)]],FertiliserProducts[Product],FertiliserProducts[Density]), 1)</f>
        <v>1</v>
      </c>
      <c r="I19" s="106">
        <f>(Table_Input_InorganicFertiliser_Brands[[#This Row],[Amount applied per hectare]]*Table_Input_InorganicFertiliser_Brands[[#This Row],[Density]])*Table_Input_InorganicFertiliser_Brands[[#This Row],[Application area (ha)]]</f>
        <v>0</v>
      </c>
      <c r="J19" s="106"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
      </c>
      <c r="K19" s="106" t="str"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
      </c>
      <c r="L19" s="106"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
      </c>
      <c r="M19" s="106" t="str"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
      </c>
      <c r="N19" s="106"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
      </c>
      <c r="O19" s="106" t="str"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
      </c>
      <c r="P19" s="106"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106"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106"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106"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106"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106"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10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107" cm="1">
        <f t="array" ref="W19">IFERROR(Fertiliser_InputFunctions.Fertiliser_FertiliserProductLookup(Table_Input_InorganicFertiliser_Brands[[#This Row],[Product (select)]], "N declared", FertiliserProducts[#Data], FertiliserProducts[Product], FertiliserProducts[#Headers])*0.01, 0)</f>
        <v>0</v>
      </c>
      <c r="X19" s="10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106" t="str">
        <f>IFERROR(_xlfn.XLOOKUP(Table_Input_InorganicFertiliser_Brands[[#This Row],[Product (select)]],FertiliserProducts[Product],FertiliserProducts[Urea source]), "")</f>
        <v/>
      </c>
      <c r="Z19" s="106" t="str">
        <f>IFERROR(_xlfn.XLOOKUP(Table_Input_InorganicFertiliser_Brands[[#This Row],[Product (select)]],FertiliserProducts[Product],FertiliserProducts[Ammonia source]), "")</f>
        <v/>
      </c>
    </row>
    <row r="20" spans="1:26" ht="20.100000000000001" customHeight="1" x14ac:dyDescent="0.25">
      <c r="A20" s="5" t="str">
        <f>HYPERLINK("#'Input - Solid waste'!A1", "Solid waste")</f>
        <v>Solid waste</v>
      </c>
      <c r="D20" s="103"/>
      <c r="E20" s="104"/>
      <c r="F20" s="25" t="str">
        <f>IFERROR(_xlfn.XLOOKUP(Table_Input_InorganicFertiliser_Brands[[#This Row],[Product (select)]],FertiliserProducts[Product],FertiliserProducts[Unit]), "kg")</f>
        <v>kg</v>
      </c>
      <c r="G20" s="104">
        <f t="shared" ref="G20" si="8">X_Cell_Fertiliser_AreaUnderCropping</f>
        <v>1000</v>
      </c>
      <c r="H20" s="105">
        <f>IFERROR(_xlfn.XLOOKUP(Table_Input_InorganicFertiliser_Brands[[#This Row],[Product (select)]],FertiliserProducts[Product],FertiliserProducts[Density]), 1)</f>
        <v>1</v>
      </c>
      <c r="I20" s="106">
        <f>(Table_Input_InorganicFertiliser_Brands[[#This Row],[Amount applied per hectare]]*Table_Input_InorganicFertiliser_Brands[[#This Row],[Density]])*Table_Input_InorganicFertiliser_Brands[[#This Row],[Application area (ha)]]</f>
        <v>0</v>
      </c>
      <c r="J20" s="106"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
      </c>
      <c r="K20" s="106" t="str"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
      </c>
      <c r="L20" s="106"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
      </c>
      <c r="M20" s="106" t="str"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
      </c>
      <c r="N20" s="106"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
      </c>
      <c r="O20" s="106" t="str"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
      </c>
      <c r="P20" s="106"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106"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106"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106"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106"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106"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10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107" cm="1">
        <f t="array" ref="W20">IFERROR(Fertiliser_InputFunctions.Fertiliser_FertiliserProductLookup(Table_Input_InorganicFertiliser_Brands[[#This Row],[Product (select)]], "N declared", FertiliserProducts[#Data], FertiliserProducts[Product], FertiliserProducts[#Headers])*0.01, 0)</f>
        <v>0</v>
      </c>
      <c r="X20" s="10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106" t="str">
        <f>IFERROR(_xlfn.XLOOKUP(Table_Input_InorganicFertiliser_Brands[[#This Row],[Product (select)]],FertiliserProducts[Product],FertiliserProducts[Urea source]), "")</f>
        <v/>
      </c>
      <c r="Z20" s="106" t="str">
        <f>IFERROR(_xlfn.XLOOKUP(Table_Input_InorganicFertiliser_Brands[[#This Row],[Product (select)]],FertiliserProducts[Product],FertiliserProducts[Ammonia source]), "")</f>
        <v/>
      </c>
    </row>
    <row r="21" spans="1:26" ht="20.100000000000001" customHeight="1" x14ac:dyDescent="0.25">
      <c r="A21" s="5" t="str">
        <f>HYPERLINK("#'Input - Data quality'!A1", "Data quality")</f>
        <v>Data quality</v>
      </c>
      <c r="D21" s="103"/>
      <c r="E21" s="104"/>
      <c r="F21" s="25" t="str">
        <f>IFERROR(_xlfn.XLOOKUP(Table_Input_InorganicFertiliser_Brands[[#This Row],[Product (select)]],FertiliserProducts[Product],FertiliserProducts[Unit]), "kg")</f>
        <v>kg</v>
      </c>
      <c r="G21" s="104">
        <f t="shared" ref="G21" si="9">X_Cell_Fertiliser_AreaUnderCropping</f>
        <v>1000</v>
      </c>
      <c r="H21" s="105">
        <f>IFERROR(_xlfn.XLOOKUP(Table_Input_InorganicFertiliser_Brands[[#This Row],[Product (select)]],FertiliserProducts[Product],FertiliserProducts[Density]), 1)</f>
        <v>1</v>
      </c>
      <c r="I21" s="106">
        <f>(Table_Input_InorganicFertiliser_Brands[[#This Row],[Amount applied per hectare]]*Table_Input_InorganicFertiliser_Brands[[#This Row],[Density]])*Table_Input_InorganicFertiliser_Brands[[#This Row],[Application area (ha)]]</f>
        <v>0</v>
      </c>
      <c r="J21" s="106"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
      </c>
      <c r="K21" s="106" t="str"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
      </c>
      <c r="L21" s="106"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
      </c>
      <c r="M21" s="106" t="str"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
      </c>
      <c r="N21" s="106"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
      </c>
      <c r="O21" s="106" t="str"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
      </c>
      <c r="P21" s="106"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106"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106"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106"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106"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106"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10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1" s="107" cm="1">
        <f t="array" ref="W21">IFERROR(Fertiliser_InputFunctions.Fertiliser_FertiliserProductLookup(Table_Input_InorganicFertiliser_Brands[[#This Row],[Product (select)]], "N declared", FertiliserProducts[#Data], FertiliserProducts[Product], FertiliserProducts[#Headers])*0.01, 0)</f>
        <v>0</v>
      </c>
      <c r="X21" s="10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106" t="str">
        <f>IFERROR(_xlfn.XLOOKUP(Table_Input_InorganicFertiliser_Brands[[#This Row],[Product (select)]],FertiliserProducts[Product],FertiliserProducts[Urea source]), "")</f>
        <v/>
      </c>
      <c r="Z21" s="106" t="str">
        <f>IFERROR(_xlfn.XLOOKUP(Table_Input_InorganicFertiliser_Brands[[#This Row],[Product (select)]],FertiliserProducts[Product],FertiliserProducts[Ammonia source]), "")</f>
        <v/>
      </c>
    </row>
    <row r="22" spans="1:26" ht="20.100000000000001" customHeight="1" x14ac:dyDescent="0.25">
      <c r="D22" s="109"/>
      <c r="E22" s="110"/>
      <c r="F22" s="111"/>
      <c r="G22" s="111"/>
      <c r="H22" s="111"/>
      <c r="I22" s="111"/>
      <c r="J22" s="112"/>
      <c r="K22" s="112"/>
      <c r="L22" s="113"/>
      <c r="M22" s="113"/>
      <c r="N22" s="114"/>
      <c r="O22" s="114"/>
      <c r="P22" s="114"/>
      <c r="Q22" s="114"/>
      <c r="R22" s="114"/>
      <c r="S22" s="114"/>
      <c r="T22" s="114"/>
      <c r="U22" s="114"/>
      <c r="V22" s="114"/>
      <c r="W22" s="114"/>
      <c r="X22" s="114"/>
    </row>
    <row r="23" spans="1:26" ht="20.100000000000001" customHeight="1" x14ac:dyDescent="0.25">
      <c r="D23" s="115" t="s">
        <v>231</v>
      </c>
      <c r="E23" s="116"/>
      <c r="F23" s="116"/>
      <c r="G23" s="116"/>
      <c r="H23" s="116"/>
      <c r="I23" s="116"/>
      <c r="J23" s="116"/>
      <c r="K23" s="116"/>
      <c r="L23" s="116"/>
      <c r="M23" s="116"/>
      <c r="N23" s="114"/>
      <c r="O23" s="114"/>
      <c r="P23" s="114"/>
      <c r="Q23" s="114"/>
      <c r="R23" s="114"/>
      <c r="S23" s="114"/>
      <c r="T23" s="114"/>
      <c r="V23" s="114"/>
      <c r="W23" s="114"/>
      <c r="X23" s="114"/>
    </row>
    <row r="24" spans="1:26" ht="20.100000000000001" customHeight="1" x14ac:dyDescent="0.25">
      <c r="A24" s="6" t="s">
        <v>2</v>
      </c>
      <c r="D24" s="101" t="s">
        <v>232</v>
      </c>
      <c r="E24" s="101" t="s">
        <v>233</v>
      </c>
      <c r="F24" s="101" t="s">
        <v>208</v>
      </c>
      <c r="G24" s="101" t="s">
        <v>210</v>
      </c>
      <c r="H24" s="101" t="s">
        <v>234</v>
      </c>
      <c r="I24" s="101" t="s">
        <v>212</v>
      </c>
      <c r="J24" s="101" t="s">
        <v>213</v>
      </c>
      <c r="K24" s="101" t="s">
        <v>214</v>
      </c>
      <c r="L24" s="101" t="s">
        <v>215</v>
      </c>
      <c r="M24" s="101" t="s">
        <v>216</v>
      </c>
      <c r="N24" s="101" t="s">
        <v>217</v>
      </c>
      <c r="O24" s="101" t="s">
        <v>218</v>
      </c>
      <c r="P24" s="101" t="s">
        <v>225</v>
      </c>
      <c r="Q24" s="117" t="s">
        <v>235</v>
      </c>
      <c r="R24" s="117" t="s">
        <v>236</v>
      </c>
      <c r="S24" s="114"/>
      <c r="T24" s="114"/>
      <c r="V24" s="114"/>
      <c r="W24" s="114"/>
      <c r="X24" s="114"/>
    </row>
    <row r="25" spans="1:26" ht="20.100000000000001" customHeight="1" x14ac:dyDescent="0.25">
      <c r="A25" s="5" t="str">
        <f>HYPERLINK("#'5.1.1.1-2 Inorganic fert N2O'!A1", "5.1.1.1-2 Inorganic fert N2O")</f>
        <v>5.1.1.1-2 Inorganic fert N2O</v>
      </c>
      <c r="D25" s="44" t="s">
        <v>237</v>
      </c>
      <c r="E25" s="101">
        <v>100</v>
      </c>
      <c r="F25" s="104">
        <f t="shared" ref="F25:F34" si="10">X_Cell_Fertiliser_AreaUnderCropping</f>
        <v>1000</v>
      </c>
      <c r="G25" s="106">
        <f>Table_Input_InorganicFertiliser_Custom[[#This Row],[Amount applied (kg / ha)]]*Table_Input_InorganicFertiliser_Custom[[#This Row],[Application area (ha)]]</f>
        <v>100000</v>
      </c>
      <c r="H25" s="118" t="s">
        <v>238</v>
      </c>
      <c r="I25" s="119">
        <v>0.5</v>
      </c>
      <c r="J25" s="118" t="s">
        <v>239</v>
      </c>
      <c r="K25" s="119">
        <v>0.2</v>
      </c>
      <c r="L25" s="118" t="s">
        <v>240</v>
      </c>
      <c r="M25" s="119">
        <v>0.2</v>
      </c>
      <c r="N25" s="120" t="s">
        <v>241</v>
      </c>
      <c r="O25" s="28">
        <v>0.1</v>
      </c>
      <c r="P25" s="10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23"/>
      <c r="R25" s="23"/>
      <c r="T25" s="88"/>
      <c r="V25" s="114"/>
    </row>
    <row r="26" spans="1:26" ht="20.100000000000001" customHeight="1" x14ac:dyDescent="0.25">
      <c r="A26" s="5" t="str">
        <f>HYPERLINK("#'5.1.1.3-4 Inorganic fert CO2'!A1", "5.1.1.3-4 Inorganic fert CO2")</f>
        <v>5.1.1.3-4 Inorganic fert CO2</v>
      </c>
      <c r="D26" s="44" t="s">
        <v>242</v>
      </c>
      <c r="E26" s="101">
        <v>100</v>
      </c>
      <c r="F26" s="104">
        <f t="shared" si="10"/>
        <v>1000</v>
      </c>
      <c r="G26" s="106">
        <f>Table_Input_InorganicFertiliser_Custom[[#This Row],[Amount applied (kg / ha)]]*Table_Input_InorganicFertiliser_Custom[[#This Row],[Application area (ha)]]</f>
        <v>100000</v>
      </c>
      <c r="H26" s="118" t="s">
        <v>228</v>
      </c>
      <c r="I26" s="121">
        <v>1</v>
      </c>
      <c r="J26" s="118"/>
      <c r="K26" s="121"/>
      <c r="L26" s="118"/>
      <c r="M26" s="121"/>
      <c r="N26" s="120"/>
      <c r="O26" s="28"/>
      <c r="P26" s="10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23"/>
      <c r="R26" s="23"/>
      <c r="V26" s="114"/>
      <c r="W26" s="88"/>
    </row>
    <row r="27" spans="1:26" ht="20.100000000000001" customHeight="1" x14ac:dyDescent="0.25">
      <c r="A27" s="5" t="str">
        <f>HYPERLINK("#'5.2.1.1-2 Organic Fert N2O'!A1", "5.2.1.1-2 Organic fert N2O")</f>
        <v>5.2.1.1-2 Organic fert N2O</v>
      </c>
      <c r="D27" s="44" t="s">
        <v>243</v>
      </c>
      <c r="E27" s="101">
        <v>100</v>
      </c>
      <c r="F27" s="104">
        <f t="shared" si="10"/>
        <v>1000</v>
      </c>
      <c r="G27" s="106">
        <f>Table_Input_InorganicFertiliser_Custom[[#This Row],[Amount applied (kg / ha)]]*Table_Input_InorganicFertiliser_Custom[[#This Row],[Application area (ha)]]</f>
        <v>100000</v>
      </c>
      <c r="H27" s="118" t="s">
        <v>244</v>
      </c>
      <c r="I27" s="121">
        <v>0.5</v>
      </c>
      <c r="J27" s="118"/>
      <c r="K27" s="121"/>
      <c r="L27" s="118"/>
      <c r="M27" s="121"/>
      <c r="N27" s="120"/>
      <c r="O27" s="28"/>
      <c r="P27" s="10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23"/>
      <c r="R27" s="23"/>
      <c r="V27" s="114"/>
    </row>
    <row r="28" spans="1:26" ht="20.100000000000001" customHeight="1" x14ac:dyDescent="0.25">
      <c r="A28" s="5" t="str">
        <f>HYPERLINK("#'5.3.1.1-2 Lime CO2'!A1", "5.3.1.1-2 Lime CO2")</f>
        <v>5.3.1.1-2 Lime CO2</v>
      </c>
      <c r="D28" s="44"/>
      <c r="E28" s="101"/>
      <c r="F28" s="122">
        <f t="shared" si="10"/>
        <v>1000</v>
      </c>
      <c r="G28" s="106">
        <f>Table_Input_InorganicFertiliser_Custom[[#This Row],[Amount applied (kg / ha)]]*Table_Input_InorganicFertiliser_Custom[[#This Row],[Application area (ha)]]</f>
        <v>0</v>
      </c>
      <c r="H28" s="118"/>
      <c r="I28" s="121"/>
      <c r="J28" s="118"/>
      <c r="K28" s="121"/>
      <c r="L28" s="118"/>
      <c r="M28" s="121"/>
      <c r="N28" s="120"/>
      <c r="O28" s="28"/>
      <c r="P28" s="10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23"/>
      <c r="R28" s="23"/>
      <c r="V28" s="88"/>
    </row>
    <row r="29" spans="1:26" ht="20.100000000000001" customHeight="1" x14ac:dyDescent="0.25">
      <c r="A29" s="5" t="str">
        <f>HYPERLINK("#'5.4.1.1-4 Atmos deposition'!A1", "5.4.1.1-4 Atmos. deposition")</f>
        <v>5.4.1.1-4 Atmos. deposition</v>
      </c>
      <c r="D29" s="44"/>
      <c r="E29" s="101"/>
      <c r="F29" s="122">
        <f t="shared" si="10"/>
        <v>1000</v>
      </c>
      <c r="G29" s="106">
        <f>Table_Input_InorganicFertiliser_Custom[[#This Row],[Amount applied (kg / ha)]]*Table_Input_InorganicFertiliser_Custom[[#This Row],[Application area (ha)]]</f>
        <v>0</v>
      </c>
      <c r="H29" s="118"/>
      <c r="I29" s="121"/>
      <c r="J29" s="118"/>
      <c r="K29" s="121"/>
      <c r="L29" s="118"/>
      <c r="M29" s="121"/>
      <c r="N29" s="120"/>
      <c r="O29" s="28"/>
      <c r="P29" s="10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23"/>
      <c r="R29" s="23"/>
    </row>
    <row r="30" spans="1:26" ht="20.100000000000001" customHeight="1" x14ac:dyDescent="0.25">
      <c r="A30" s="5" t="str">
        <f>HYPERLINK("#'5.5.1.1-2 Leaching and runoff'!A1", "5.5.1.1-2 Leaching &amp; runoff")</f>
        <v>5.5.1.1-2 Leaching &amp; runoff</v>
      </c>
      <c r="D30" s="44"/>
      <c r="E30" s="101"/>
      <c r="F30" s="122">
        <f t="shared" si="10"/>
        <v>1000</v>
      </c>
      <c r="G30" s="106">
        <f>Table_Input_InorganicFertiliser_Custom[[#This Row],[Amount applied (kg / ha)]]*Table_Input_InorganicFertiliser_Custom[[#This Row],[Application area (ha)]]</f>
        <v>0</v>
      </c>
      <c r="H30" s="118"/>
      <c r="I30" s="121"/>
      <c r="J30" s="118"/>
      <c r="K30" s="121"/>
      <c r="L30" s="118"/>
      <c r="M30" s="121"/>
      <c r="N30" s="120"/>
      <c r="O30" s="28"/>
      <c r="P30" s="10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23"/>
      <c r="R30" s="23"/>
    </row>
    <row r="31" spans="1:26" ht="20.100000000000001" customHeight="1" x14ac:dyDescent="0.25">
      <c r="A31" s="5" t="str">
        <f>HYPERLINK("#'6.1.1.1-2 Crop residue N2O'!A1", "6.1.1.1-2 Crop residue N2O")</f>
        <v>6.1.1.1-2 Crop residue N2O</v>
      </c>
      <c r="D31" s="44"/>
      <c r="E31" s="101"/>
      <c r="F31" s="122">
        <f t="shared" si="10"/>
        <v>1000</v>
      </c>
      <c r="G31" s="106">
        <f>Table_Input_InorganicFertiliser_Custom[[#This Row],[Amount applied (kg / ha)]]*Table_Input_InorganicFertiliser_Custom[[#This Row],[Application area (ha)]]</f>
        <v>0</v>
      </c>
      <c r="H31" s="118"/>
      <c r="I31" s="121"/>
      <c r="J31" s="118"/>
      <c r="K31" s="121"/>
      <c r="L31" s="118"/>
      <c r="M31" s="121"/>
      <c r="N31" s="120"/>
      <c r="O31" s="28"/>
      <c r="P31" s="10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23"/>
      <c r="R31" s="23"/>
    </row>
    <row r="32" spans="1:26" ht="20.100000000000001" customHeight="1" x14ac:dyDescent="0.25">
      <c r="A32" s="5" t="str">
        <f>HYPERLINK("#'6.3.1.1-2 Leach runoff crop'!A1", "6.3.1.1-2 Leach &amp; runoff (crop)")</f>
        <v>6.3.1.1-2 Leach &amp; runoff (crop)</v>
      </c>
      <c r="D32" s="44"/>
      <c r="E32" s="101"/>
      <c r="F32" s="122">
        <f t="shared" si="10"/>
        <v>1000</v>
      </c>
      <c r="G32" s="106">
        <f>Table_Input_InorganicFertiliser_Custom[[#This Row],[Amount applied (kg / ha)]]*Table_Input_InorganicFertiliser_Custom[[#This Row],[Application area (ha)]]</f>
        <v>0</v>
      </c>
      <c r="H32" s="118"/>
      <c r="I32" s="121"/>
      <c r="J32" s="118"/>
      <c r="K32" s="121"/>
      <c r="L32" s="118"/>
      <c r="M32" s="121"/>
      <c r="N32" s="120"/>
      <c r="O32" s="28"/>
      <c r="P32" s="10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23"/>
      <c r="R32" s="23"/>
    </row>
    <row r="33" spans="1:27" ht="20.100000000000001" customHeight="1" x14ac:dyDescent="0.25">
      <c r="A33" s="5" t="str">
        <f>HYPERLINK("#'6.4.1.1-2 Residue burning'!A1", "6.4.1.1-2 Residue burning")</f>
        <v>6.4.1.1-2 Residue burning</v>
      </c>
      <c r="D33" s="44"/>
      <c r="E33" s="101"/>
      <c r="F33" s="122">
        <f t="shared" si="10"/>
        <v>1000</v>
      </c>
      <c r="G33" s="106">
        <f>Table_Input_InorganicFertiliser_Custom[[#This Row],[Amount applied (kg / ha)]]*Table_Input_InorganicFertiliser_Custom[[#This Row],[Application area (ha)]]</f>
        <v>0</v>
      </c>
      <c r="H33" s="118"/>
      <c r="I33" s="121"/>
      <c r="J33" s="118"/>
      <c r="K33" s="121"/>
      <c r="L33" s="118"/>
      <c r="M33" s="121"/>
      <c r="N33" s="120"/>
      <c r="O33" s="28"/>
      <c r="P33" s="10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23"/>
      <c r="R33" s="23"/>
    </row>
    <row r="34" spans="1:27" ht="20.100000000000001" customHeight="1" x14ac:dyDescent="0.25">
      <c r="A34" s="5" t="str">
        <f>HYPERLINK("#'8.1.1.1-2 Transport fuel'!A1", "8.1.1.1-2 Transport fuel")</f>
        <v>8.1.1.1-2 Transport fuel</v>
      </c>
      <c r="D34" s="44"/>
      <c r="E34" s="101"/>
      <c r="F34" s="122">
        <f t="shared" si="10"/>
        <v>1000</v>
      </c>
      <c r="G34" s="106">
        <f>Table_Input_InorganicFertiliser_Custom[[#This Row],[Amount applied (kg / ha)]]*Table_Input_InorganicFertiliser_Custom[[#This Row],[Application area (ha)]]</f>
        <v>0</v>
      </c>
      <c r="H34" s="118"/>
      <c r="I34" s="121"/>
      <c r="J34" s="118"/>
      <c r="K34" s="121"/>
      <c r="L34" s="118"/>
      <c r="M34" s="121"/>
      <c r="N34" s="120"/>
      <c r="O34" s="28"/>
      <c r="P34" s="10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23"/>
      <c r="R34" s="23"/>
    </row>
    <row r="35" spans="1:27" ht="20.100000000000001" customHeight="1" x14ac:dyDescent="0.25">
      <c r="A35" s="5" t="str">
        <f>HYPERLINK("#'8.2.1.1-2 Stationary fuel'!A1", "8.2.1.1-2 Stationary fuel")</f>
        <v>8.2.1.1-2 Stationary fuel</v>
      </c>
    </row>
    <row r="36" spans="1:27" ht="20.100000000000001" customHeight="1" x14ac:dyDescent="0.25">
      <c r="A36" s="5" t="str">
        <f>HYPERLINK("#'14.1.1-2 Purchased electricity'!A1", "14.1.1-2 Purchased electricity")</f>
        <v>14.1.1-2 Purchased electricity</v>
      </c>
      <c r="D36" s="2" t="s">
        <v>245</v>
      </c>
      <c r="E36" s="35"/>
      <c r="F36" s="35"/>
      <c r="G36" s="35"/>
      <c r="H36" s="35"/>
      <c r="I36" s="35"/>
      <c r="J36" s="35"/>
      <c r="K36" s="8"/>
      <c r="L36" s="8"/>
      <c r="M36" s="8"/>
    </row>
    <row r="37" spans="1:27" ht="20.100000000000001" customHeight="1" x14ac:dyDescent="0.25">
      <c r="A37" s="5" t="str">
        <f>HYPERLINK("#'15 Scope 3'!A1", "15 Scope 3")</f>
        <v>15 Scope 3</v>
      </c>
      <c r="D37" s="94" t="s">
        <v>246</v>
      </c>
      <c r="E37" s="54"/>
      <c r="F37" s="55"/>
      <c r="G37" s="94"/>
      <c r="H37" s="55"/>
      <c r="I37" s="35"/>
      <c r="J37" s="35"/>
      <c r="K37" s="8"/>
      <c r="L37" s="8"/>
      <c r="M37" s="35"/>
    </row>
    <row r="38" spans="1:27" ht="20.100000000000001" customHeight="1" x14ac:dyDescent="0.25">
      <c r="A38" s="5" t="str">
        <f>HYPERLINK("#'Calcs - Manure sent off-site'!A1", "Calcs - Manure sent off-site")</f>
        <v>Calcs - Manure sent off-site</v>
      </c>
      <c r="C38" s="114"/>
      <c r="D38" s="123" t="s">
        <v>247</v>
      </c>
      <c r="E38" s="124"/>
      <c r="F38" s="125"/>
      <c r="G38" s="123"/>
      <c r="H38" s="125"/>
      <c r="I38" s="8"/>
      <c r="J38" s="8"/>
      <c r="K38" s="8"/>
      <c r="L38" s="8"/>
      <c r="M38" s="8"/>
    </row>
    <row r="39" spans="1:27" ht="20.100000000000001" customHeight="1" x14ac:dyDescent="0.25">
      <c r="A39" s="5" t="str">
        <f>HYPERLINK("#'10.1.1-2 Solid waste treatment'!A1", "10.1.1-2 Solid waste treatment")</f>
        <v>10.1.1-2 Solid waste treatment</v>
      </c>
      <c r="C39" s="114"/>
      <c r="D39" s="56" t="s">
        <v>203</v>
      </c>
      <c r="E39" s="57"/>
      <c r="F39" s="57"/>
      <c r="G39" s="57"/>
      <c r="H39" s="58"/>
      <c r="I39" s="8"/>
      <c r="J39" s="8"/>
      <c r="K39" s="8"/>
      <c r="L39" s="8"/>
      <c r="M39" s="35"/>
    </row>
    <row r="40" spans="1:27" s="126" customFormat="1" ht="20.100000000000001" customHeight="1" x14ac:dyDescent="0.25">
      <c r="A40"/>
      <c r="C40" s="1"/>
      <c r="D40" s="127" t="str">
        <f>IF(MAX(Table_Input_Lime[Total]) &gt; 1, "There can not be more than 100% ingredients in a product. Check the table below.", "")</f>
        <v/>
      </c>
      <c r="E40" s="1"/>
      <c r="F40" s="1"/>
      <c r="G40" s="1"/>
      <c r="H40" s="1"/>
      <c r="I40" s="1"/>
      <c r="J40" s="1"/>
      <c r="K40" s="1"/>
      <c r="L40" s="8"/>
      <c r="M40" s="35"/>
      <c r="N40" s="1"/>
      <c r="O40" s="1"/>
      <c r="P40" s="1"/>
      <c r="Q40" s="1"/>
      <c r="R40" s="1"/>
      <c r="S40" s="1"/>
      <c r="T40" s="1"/>
      <c r="U40" s="1"/>
      <c r="V40" s="1"/>
      <c r="W40" s="1"/>
      <c r="X40" s="1"/>
      <c r="Y40" s="1"/>
      <c r="Z40" s="1"/>
      <c r="AA40" s="1"/>
    </row>
    <row r="41" spans="1:27" s="126" customFormat="1" ht="20.100000000000001" customHeight="1" x14ac:dyDescent="0.25">
      <c r="A41"/>
      <c r="C41" s="1"/>
      <c r="D41" s="128" t="s">
        <v>137</v>
      </c>
      <c r="E41" s="128" t="s">
        <v>248</v>
      </c>
      <c r="F41" s="128" t="s">
        <v>208</v>
      </c>
      <c r="G41" s="128" t="s">
        <v>249</v>
      </c>
      <c r="H41" s="128" t="s">
        <v>250</v>
      </c>
      <c r="I41" s="128" t="s">
        <v>251</v>
      </c>
      <c r="J41" s="128" t="s">
        <v>252</v>
      </c>
      <c r="K41" s="128" t="s">
        <v>4</v>
      </c>
      <c r="L41" s="1"/>
      <c r="M41" s="1"/>
      <c r="N41" s="1"/>
      <c r="O41" s="1"/>
      <c r="P41" s="1"/>
      <c r="Q41" s="1"/>
      <c r="R41" s="1"/>
      <c r="S41" s="114"/>
      <c r="T41" s="1"/>
      <c r="U41" s="1"/>
      <c r="V41" s="1"/>
      <c r="W41" s="1"/>
      <c r="X41" s="1"/>
      <c r="Y41" s="1"/>
      <c r="Z41" s="1"/>
      <c r="AA41" s="1"/>
    </row>
    <row r="42" spans="1:27" ht="20.100000000000001" customHeight="1" x14ac:dyDescent="0.25">
      <c r="A42" s="108" t="s">
        <v>1</v>
      </c>
      <c r="D42" s="129" t="s">
        <v>253</v>
      </c>
      <c r="E42" s="104">
        <v>1</v>
      </c>
      <c r="F42" s="104">
        <f>X_Cell_Fertiliser_AreaUnderCropping</f>
        <v>1000</v>
      </c>
      <c r="G42" s="106">
        <f>IFERROR(Table_Input_Lime[[#This Row],[Amount applied (t/hectare)]]*Table_Input_Lime[[#This Row],[Application area (ha)]], 0)</f>
        <v>1000</v>
      </c>
      <c r="H42" s="130">
        <v>0.8</v>
      </c>
      <c r="I42" s="130">
        <v>0.1</v>
      </c>
      <c r="J42" s="130">
        <v>0.1</v>
      </c>
      <c r="K42" s="131">
        <f>SUM(Table_Input_Lime[[#This Row],[Percent Lime CaCO3]:[Percent Gypsum]])</f>
        <v>1</v>
      </c>
      <c r="S42" s="114"/>
    </row>
    <row r="43" spans="1:27" ht="20.100000000000001" customHeight="1" x14ac:dyDescent="0.25">
      <c r="A43" s="5" t="str">
        <f>HYPERLINK("#'Constants - Ag Residue'!A1", "Constants - Ag residue")</f>
        <v>Constants - Ag residue</v>
      </c>
      <c r="D43" s="129" t="s">
        <v>254</v>
      </c>
      <c r="E43" s="104">
        <v>1</v>
      </c>
      <c r="F43" s="104">
        <f>X_Cell_Fertiliser_AreaUnderCropping</f>
        <v>1000</v>
      </c>
      <c r="G43" s="106">
        <f>IFERROR(Table_Input_Lime[[#This Row],[Amount applied (t/hectare)]]*Table_Input_Lime[[#This Row],[Application area (ha)]], 0)</f>
        <v>1000</v>
      </c>
      <c r="H43" s="130">
        <v>1</v>
      </c>
      <c r="I43" s="130"/>
      <c r="J43" s="130"/>
      <c r="K43" s="131">
        <f>SUM(Table_Input_Lime[[#This Row],[Percent Lime CaCO3]:[Percent Gypsum]])</f>
        <v>1</v>
      </c>
    </row>
    <row r="44" spans="1:27" ht="20.100000000000001" customHeight="1" x14ac:dyDescent="0.25">
      <c r="A44" s="5" t="str">
        <f>HYPERLINK("#'Constants - Common Livestock'!A1", "Constants - Common Livestock")</f>
        <v>Constants - Common Livestock</v>
      </c>
      <c r="D44" s="129" t="s">
        <v>255</v>
      </c>
      <c r="E44" s="104">
        <v>1</v>
      </c>
      <c r="F44" s="104">
        <f>X_Cell_Fertiliser_AreaUnderCropping</f>
        <v>1000</v>
      </c>
      <c r="G44" s="106">
        <f>IFERROR(Table_Input_Lime[[#This Row],[Amount applied (t/hectare)]]*Table_Input_Lime[[#This Row],[Application area (ha)]], 0)</f>
        <v>1000</v>
      </c>
      <c r="H44" s="130">
        <v>0</v>
      </c>
      <c r="I44" s="130"/>
      <c r="J44" s="130">
        <v>1</v>
      </c>
      <c r="K44" s="131">
        <f>SUM(Table_Input_Lime[[#This Row],[Percent Lime CaCO3]:[Percent Gypsum]])</f>
        <v>1</v>
      </c>
      <c r="L44" s="35"/>
    </row>
    <row r="45" spans="1:27" ht="20.100000000000001" customHeight="1" x14ac:dyDescent="0.25">
      <c r="A45" s="5" t="str">
        <f>HYPERLINK("#'Constants - Electricity'!A1", "Constants - Electricity")</f>
        <v>Constants - Electricity</v>
      </c>
      <c r="L45" s="35"/>
      <c r="M45" s="35"/>
    </row>
    <row r="46" spans="1:27" ht="20.100000000000001" customHeight="1" x14ac:dyDescent="0.25">
      <c r="A46" s="5" t="str">
        <f>HYPERLINK("#'Constants - Fertiliser'!A1", "Constants - Fertiliser")</f>
        <v>Constants - Fertiliser</v>
      </c>
      <c r="D46" s="8"/>
      <c r="E46" s="8"/>
      <c r="F46" s="8"/>
      <c r="G46" s="8"/>
      <c r="H46" s="8"/>
      <c r="I46" s="8"/>
      <c r="J46" s="8"/>
      <c r="L46" s="8"/>
      <c r="M46" s="35"/>
    </row>
    <row r="47" spans="1:27" ht="20.100000000000001" customHeight="1" x14ac:dyDescent="0.25">
      <c r="A47" s="5" t="str">
        <f>HYPERLINK("#'Constants - Fuel'!A1", "Constants - Fuel")</f>
        <v>Constants - Fuel</v>
      </c>
      <c r="D47" s="8"/>
      <c r="E47" s="8"/>
      <c r="F47" s="8"/>
      <c r="G47" s="8"/>
      <c r="H47" s="8"/>
      <c r="I47" s="8"/>
      <c r="J47" s="132"/>
      <c r="K47" s="35"/>
      <c r="L47" s="8"/>
      <c r="M47" s="8"/>
    </row>
    <row r="48" spans="1:27" ht="20.100000000000001" customHeight="1" x14ac:dyDescent="0.25">
      <c r="A48" s="5" t="str">
        <f>HYPERLINK("#'Constants - Scope 3'!A1", "Constants - Scope 3")</f>
        <v>Constants - Scope 3</v>
      </c>
      <c r="D48" s="2" t="s">
        <v>256</v>
      </c>
      <c r="E48" s="35"/>
      <c r="F48" s="35"/>
      <c r="G48" s="35"/>
      <c r="H48" s="8"/>
      <c r="I48" s="8"/>
      <c r="J48" s="8"/>
      <c r="K48" s="8"/>
      <c r="L48" s="8"/>
      <c r="M48" s="8"/>
    </row>
    <row r="49" spans="1:18" ht="20.100000000000001" customHeight="1" x14ac:dyDescent="0.25">
      <c r="A49" s="5" t="str">
        <f>HYPERLINK("#'Constants - Common'!A1", "Constants - Common")</f>
        <v>Constants - Common</v>
      </c>
      <c r="D49" s="8"/>
      <c r="E49" s="8"/>
      <c r="F49" s="8"/>
      <c r="G49" s="8"/>
      <c r="H49" s="8"/>
      <c r="I49" s="8"/>
      <c r="J49" s="8"/>
      <c r="K49" s="8"/>
      <c r="L49" s="8"/>
      <c r="M49" s="8"/>
      <c r="Q49" s="114"/>
      <c r="R49" s="114"/>
    </row>
    <row r="50" spans="1:18" ht="20.100000000000001" customHeight="1" x14ac:dyDescent="0.25">
      <c r="A50" s="5" t="str">
        <f>HYPERLINK("#'Constants - Solid Waste'!A1", "Constants - Solid Waste")</f>
        <v>Constants - Solid Waste</v>
      </c>
      <c r="D50" s="94" t="s">
        <v>246</v>
      </c>
      <c r="E50" s="54"/>
      <c r="F50" s="54"/>
      <c r="G50" s="54"/>
      <c r="H50" s="55"/>
      <c r="I50" s="8"/>
      <c r="J50" s="8"/>
      <c r="K50" s="8"/>
      <c r="L50" s="8"/>
      <c r="M50" s="8"/>
      <c r="O50" s="114"/>
      <c r="P50" s="114"/>
      <c r="Q50" s="114"/>
      <c r="R50" s="114"/>
    </row>
    <row r="51" spans="1:18" ht="20.100000000000001" customHeight="1" x14ac:dyDescent="0.25">
      <c r="D51" s="56" t="s">
        <v>203</v>
      </c>
      <c r="E51" s="57"/>
      <c r="F51" s="57"/>
      <c r="G51" s="57"/>
      <c r="H51" s="58"/>
      <c r="I51" s="8"/>
      <c r="J51" s="8"/>
      <c r="K51" s="8"/>
      <c r="L51" s="116"/>
      <c r="M51" s="114"/>
      <c r="N51" s="114"/>
      <c r="O51" s="114"/>
      <c r="P51" s="114"/>
    </row>
    <row r="52" spans="1:18" ht="20.100000000000001" customHeight="1" x14ac:dyDescent="0.25">
      <c r="D52" s="8"/>
      <c r="E52" s="8"/>
      <c r="F52" s="8"/>
      <c r="G52" s="8"/>
      <c r="H52" s="8"/>
      <c r="I52" s="8"/>
      <c r="J52" s="8"/>
      <c r="K52" s="8"/>
      <c r="L52" s="116"/>
      <c r="M52" s="114"/>
      <c r="N52" s="114"/>
    </row>
    <row r="53" spans="1:18" ht="20.100000000000001" customHeight="1" x14ac:dyDescent="0.25">
      <c r="D53" s="128" t="s">
        <v>257</v>
      </c>
      <c r="E53" s="128" t="s">
        <v>258</v>
      </c>
      <c r="F53" s="128" t="s">
        <v>259</v>
      </c>
      <c r="G53" s="128" t="s">
        <v>260</v>
      </c>
      <c r="H53" s="128" t="s">
        <v>208</v>
      </c>
      <c r="I53" s="128" t="s">
        <v>261</v>
      </c>
      <c r="J53" s="128" t="s">
        <v>262</v>
      </c>
      <c r="K53" s="116"/>
    </row>
    <row r="54" spans="1:18" ht="20.100000000000001" customHeight="1" x14ac:dyDescent="0.25">
      <c r="D54" s="103" t="s">
        <v>263</v>
      </c>
      <c r="E54" s="130">
        <v>0.3</v>
      </c>
      <c r="F54" s="104">
        <v>10</v>
      </c>
      <c r="G54" s="106">
        <f>Table_Input_OrganicFertiliser[[#This Row],[Amount applied (kg/hectare)]]*Table_Input_OrganicFertiliser[[#This Row],[Percentage of N in fertiliser]]</f>
        <v>3</v>
      </c>
      <c r="H54" s="104">
        <f>X_Cell_Fertiliser_AreaUnderCropping</f>
        <v>1000</v>
      </c>
      <c r="I54" s="106">
        <f>Table_Input_OrganicFertiliser[[#This Row],[Amount applied (kg/hectare)]]*Table_Input_OrganicFertiliser[[#This Row],[Application area (ha)]]</f>
        <v>10000</v>
      </c>
      <c r="J54" s="106">
        <f>IFERROR(Table_Input_OrganicFertiliser[[#This Row],[Amount N applied (kg/hectare)]]*Table_Input_OrganicFertiliser[[#This Row],[Application area (ha)]], 0)</f>
        <v>3000</v>
      </c>
      <c r="K54" s="116"/>
    </row>
    <row r="55" spans="1:18" ht="20.100000000000001" customHeight="1" x14ac:dyDescent="0.25">
      <c r="D55" s="103" t="s">
        <v>264</v>
      </c>
      <c r="E55" s="130">
        <v>0.25</v>
      </c>
      <c r="F55" s="104">
        <v>10</v>
      </c>
      <c r="G55" s="106">
        <f>Table_Input_OrganicFertiliser[[#This Row],[Amount applied (kg/hectare)]]*Table_Input_OrganicFertiliser[[#This Row],[Percentage of N in fertiliser]]</f>
        <v>2.5</v>
      </c>
      <c r="H55" s="104">
        <f>X_Cell_Fertiliser_AreaUnderCropping</f>
        <v>1000</v>
      </c>
      <c r="I55" s="106">
        <f>Table_Input_OrganicFertiliser[[#This Row],[Amount applied (kg/hectare)]]*Table_Input_OrganicFertiliser[[#This Row],[Application area (ha)]]</f>
        <v>10000</v>
      </c>
      <c r="J55" s="106">
        <f>IFERROR(Table_Input_OrganicFertiliser[[#This Row],[Amount N applied (kg/hectare)]]*Table_Input_OrganicFertiliser[[#This Row],[Application area (ha)]], 0)</f>
        <v>2500</v>
      </c>
    </row>
    <row r="56" spans="1:18" ht="20.100000000000001" customHeight="1" x14ac:dyDescent="0.25">
      <c r="D56" s="103" t="s">
        <v>265</v>
      </c>
      <c r="E56" s="130">
        <v>0.16</v>
      </c>
      <c r="F56" s="104">
        <v>10</v>
      </c>
      <c r="G56" s="106">
        <f>Table_Input_OrganicFertiliser[[#This Row],[Amount applied (kg/hectare)]]*Table_Input_OrganicFertiliser[[#This Row],[Percentage of N in fertiliser]]</f>
        <v>1.6</v>
      </c>
      <c r="H56" s="104">
        <f>X_Cell_Fertiliser_AreaUnderCropping</f>
        <v>1000</v>
      </c>
      <c r="I56" s="106">
        <f>Table_Input_OrganicFertiliser[[#This Row],[Amount applied (kg/hectare)]]*Table_Input_OrganicFertiliser[[#This Row],[Application area (ha)]]</f>
        <v>10000</v>
      </c>
      <c r="J56" s="106">
        <f>IFERROR(Table_Input_OrganicFertiliser[[#This Row],[Amount N applied (kg/hectare)]]*Table_Input_OrganicFertiliser[[#This Row],[Application area (ha)]], 0)</f>
        <v>1600</v>
      </c>
    </row>
    <row r="57" spans="1:18" ht="20.100000000000001" customHeight="1" x14ac:dyDescent="0.25"/>
    <row r="58" spans="1:18" ht="20.100000000000001" customHeight="1" x14ac:dyDescent="0.25"/>
    <row r="59" spans="1:18" ht="20.100000000000001" customHeight="1" x14ac:dyDescent="0.25"/>
    <row r="60" spans="1:18" ht="20.100000000000001" customHeight="1" x14ac:dyDescent="0.25"/>
    <row r="61" spans="1:18" ht="20.100000000000001" customHeight="1" x14ac:dyDescent="0.25"/>
    <row r="62" spans="1:18" ht="20.100000000000001" customHeight="1" x14ac:dyDescent="0.25"/>
    <row r="63" spans="1:18" ht="20.100000000000001" customHeight="1" x14ac:dyDescent="0.25"/>
    <row r="64" spans="1:18"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row r="115" spans="13:13" ht="20.100000000000001" customHeight="1" x14ac:dyDescent="0.25"/>
    <row r="116" spans="13:13" ht="20.100000000000001" customHeight="1" x14ac:dyDescent="0.25"/>
    <row r="117" spans="13:13" ht="20.100000000000001" customHeight="1" x14ac:dyDescent="0.25"/>
    <row r="118" spans="13:13" ht="20.100000000000001" customHeight="1" x14ac:dyDescent="0.25"/>
    <row r="119" spans="13:13" ht="20.100000000000001" customHeight="1" x14ac:dyDescent="0.25"/>
    <row r="120" spans="13:13" ht="20.100000000000001" customHeight="1" x14ac:dyDescent="0.25"/>
    <row r="121" spans="13:13" ht="20.100000000000001" customHeight="1" x14ac:dyDescent="0.25"/>
    <row r="122" spans="13:13" ht="20.100000000000001" customHeight="1" x14ac:dyDescent="0.25"/>
    <row r="123" spans="13:13" ht="20.100000000000001" customHeight="1" x14ac:dyDescent="0.25"/>
    <row r="124" spans="13:13" ht="20.100000000000001" customHeight="1" x14ac:dyDescent="0.25"/>
    <row r="125" spans="13:13" ht="20.100000000000001" customHeight="1" x14ac:dyDescent="0.25"/>
    <row r="126" spans="13:13" ht="20.100000000000001" customHeight="1" x14ac:dyDescent="0.25">
      <c r="M126" s="35"/>
    </row>
    <row r="127" spans="13:13" ht="20.100000000000001" customHeight="1" x14ac:dyDescent="0.25">
      <c r="M127" s="35"/>
    </row>
    <row r="128" spans="13:13" ht="20.100000000000001" customHeight="1" x14ac:dyDescent="0.25">
      <c r="M128" s="35"/>
    </row>
    <row r="129" spans="13:13" ht="20.100000000000001" customHeight="1" x14ac:dyDescent="0.25">
      <c r="M129" s="35"/>
    </row>
    <row r="130" spans="13:13" ht="20.100000000000001" customHeight="1" x14ac:dyDescent="0.25">
      <c r="M130" s="35"/>
    </row>
    <row r="131" spans="13:13" ht="20.100000000000001" customHeight="1" x14ac:dyDescent="0.25">
      <c r="M131" s="35"/>
    </row>
    <row r="132" spans="13:13" ht="20.100000000000001" customHeight="1" x14ac:dyDescent="0.25">
      <c r="M132" s="35"/>
    </row>
    <row r="133" spans="13:13" ht="20.100000000000001" customHeight="1" x14ac:dyDescent="0.25">
      <c r="M133" s="35"/>
    </row>
    <row r="134" spans="13:13" ht="20.100000000000001" customHeight="1" x14ac:dyDescent="0.25">
      <c r="M134" s="35"/>
    </row>
    <row r="135" spans="13:13" ht="20.100000000000001" customHeight="1" x14ac:dyDescent="0.25">
      <c r="M135" s="35"/>
    </row>
    <row r="136" spans="13:13" ht="20.100000000000001" customHeight="1" x14ac:dyDescent="0.25">
      <c r="M136" s="35"/>
    </row>
    <row r="137" spans="13:13" ht="20.100000000000001" customHeight="1" x14ac:dyDescent="0.25">
      <c r="M137" s="35"/>
    </row>
    <row r="138" spans="13:13" ht="20.100000000000001" customHeight="1" x14ac:dyDescent="0.25">
      <c r="M138" s="35"/>
    </row>
    <row r="139" spans="13:13" ht="20.100000000000001" customHeight="1" x14ac:dyDescent="0.25">
      <c r="M139" s="35"/>
    </row>
    <row r="140" spans="13:13" ht="20.100000000000001" customHeight="1" x14ac:dyDescent="0.25">
      <c r="M140" s="35"/>
    </row>
    <row r="141" spans="13:13" ht="20.100000000000001" customHeight="1" x14ac:dyDescent="0.25">
      <c r="M141" s="35"/>
    </row>
    <row r="142" spans="13:13" ht="20.100000000000001" customHeight="1" x14ac:dyDescent="0.25">
      <c r="M142" s="35"/>
    </row>
    <row r="143" spans="13:13" ht="20.100000000000001" customHeight="1" x14ac:dyDescent="0.25">
      <c r="M143" s="35"/>
    </row>
    <row r="144" spans="13:13" ht="20.100000000000001" customHeight="1" x14ac:dyDescent="0.25">
      <c r="M144" s="35"/>
    </row>
    <row r="145" spans="13:13" ht="20.100000000000001" customHeight="1" x14ac:dyDescent="0.25">
      <c r="M145" s="35"/>
    </row>
    <row r="146" spans="13:13" ht="20.100000000000001" customHeight="1" x14ac:dyDescent="0.25">
      <c r="M146" s="35"/>
    </row>
    <row r="147" spans="13:13" ht="20.100000000000001" customHeight="1" x14ac:dyDescent="0.25">
      <c r="M147" s="35"/>
    </row>
    <row r="148" spans="13:13" ht="20.100000000000001" customHeight="1" x14ac:dyDescent="0.25"/>
    <row r="149" spans="13:13" ht="20.100000000000001" customHeight="1" x14ac:dyDescent="0.25"/>
    <row r="150" spans="13:13" ht="20.100000000000001" customHeight="1" x14ac:dyDescent="0.25"/>
    <row r="151" spans="13:13" ht="20.100000000000001" customHeight="1" x14ac:dyDescent="0.25"/>
    <row r="152" spans="13:13" ht="20.100000000000001" customHeight="1" x14ac:dyDescent="0.25"/>
    <row r="153" spans="13:13" ht="20.100000000000001" customHeight="1" x14ac:dyDescent="0.25"/>
    <row r="154" spans="13:13" ht="20.100000000000001" customHeight="1" x14ac:dyDescent="0.25"/>
    <row r="155" spans="13:13" ht="20.100000000000001" customHeight="1" x14ac:dyDescent="0.25"/>
    <row r="156" spans="13:13" ht="20.100000000000001" customHeight="1" x14ac:dyDescent="0.25"/>
    <row r="157" spans="13:13" ht="20.100000000000001" customHeight="1" x14ac:dyDescent="0.25"/>
    <row r="158" spans="13:13" ht="20.100000000000001" customHeight="1" x14ac:dyDescent="0.25"/>
    <row r="159" spans="13:13" ht="20.100000000000001" customHeight="1" x14ac:dyDescent="0.25"/>
    <row r="160" spans="13:13"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24" spans="12:12" x14ac:dyDescent="0.25">
      <c r="L224" s="26"/>
    </row>
    <row r="225" spans="12:12" x14ac:dyDescent="0.25">
      <c r="L225" s="26"/>
    </row>
    <row r="226" spans="12:12" x14ac:dyDescent="0.25">
      <c r="L226" s="26"/>
    </row>
    <row r="227" spans="12:12" x14ac:dyDescent="0.25">
      <c r="L227" s="26"/>
    </row>
    <row r="228" spans="12:12" x14ac:dyDescent="0.25">
      <c r="L228" s="26"/>
    </row>
    <row r="230" spans="12:12" x14ac:dyDescent="0.25">
      <c r="L230" s="26"/>
    </row>
    <row r="232" spans="12:12" x14ac:dyDescent="0.25">
      <c r="L232" s="26"/>
    </row>
    <row r="233" spans="12:12" x14ac:dyDescent="0.25">
      <c r="L233" s="26"/>
    </row>
    <row r="234" spans="12:12" x14ac:dyDescent="0.25">
      <c r="L234" s="26"/>
    </row>
    <row r="235" spans="12:12" x14ac:dyDescent="0.25">
      <c r="L235" s="26"/>
    </row>
    <row r="237" spans="12:12" x14ac:dyDescent="0.25">
      <c r="L237" s="26"/>
    </row>
    <row r="245" spans="12:12" x14ac:dyDescent="0.25">
      <c r="L245" s="26"/>
    </row>
    <row r="246" spans="12:12" x14ac:dyDescent="0.25">
      <c r="L246" s="26"/>
    </row>
    <row r="247" spans="12:12" x14ac:dyDescent="0.25">
      <c r="L247" s="26"/>
    </row>
    <row r="250" spans="12:12" x14ac:dyDescent="0.25">
      <c r="L250" s="26"/>
    </row>
    <row r="251" spans="12:12" x14ac:dyDescent="0.25">
      <c r="L251" s="26"/>
    </row>
    <row r="252" spans="12:12" x14ac:dyDescent="0.25">
      <c r="L252" s="26"/>
    </row>
    <row r="255" spans="12:12" x14ac:dyDescent="0.25">
      <c r="L255" s="26"/>
    </row>
    <row r="256" spans="12:12" x14ac:dyDescent="0.25">
      <c r="L256" s="26"/>
    </row>
    <row r="257" spans="11:12" x14ac:dyDescent="0.25">
      <c r="L257" s="26"/>
    </row>
    <row r="260" spans="11:12" x14ac:dyDescent="0.25">
      <c r="L260" s="26"/>
    </row>
    <row r="261" spans="11:12" x14ac:dyDescent="0.25">
      <c r="L261" s="26"/>
    </row>
    <row r="262" spans="11:12" x14ac:dyDescent="0.25">
      <c r="L262" s="26"/>
    </row>
    <row r="263" spans="11:12" x14ac:dyDescent="0.25">
      <c r="K263" s="26"/>
    </row>
    <row r="268" spans="11:12" x14ac:dyDescent="0.25">
      <c r="K268" s="26"/>
    </row>
    <row r="269" spans="11:12" x14ac:dyDescent="0.25">
      <c r="L269" s="26"/>
    </row>
    <row r="270" spans="11:12" x14ac:dyDescent="0.25">
      <c r="L270" s="26"/>
    </row>
    <row r="271" spans="11:12" x14ac:dyDescent="0.25">
      <c r="L271" s="26"/>
    </row>
    <row r="273" spans="11:12" x14ac:dyDescent="0.25">
      <c r="K273" s="26"/>
    </row>
    <row r="274" spans="11:12" x14ac:dyDescent="0.25">
      <c r="L274" s="26"/>
    </row>
    <row r="275" spans="11:12" x14ac:dyDescent="0.25">
      <c r="L275" s="26"/>
    </row>
    <row r="276" spans="11:12" x14ac:dyDescent="0.25">
      <c r="L276" s="26"/>
    </row>
    <row r="278" spans="11:12" x14ac:dyDescent="0.25">
      <c r="K278" s="26"/>
    </row>
    <row r="279" spans="11:12" x14ac:dyDescent="0.25">
      <c r="K279" s="26"/>
      <c r="L279" s="26"/>
    </row>
    <row r="280" spans="11:12" x14ac:dyDescent="0.25">
      <c r="K280" s="26"/>
      <c r="L280" s="26"/>
    </row>
    <row r="281" spans="11:12" x14ac:dyDescent="0.25">
      <c r="K281" s="26"/>
      <c r="L281" s="26"/>
    </row>
    <row r="282" spans="11:12" x14ac:dyDescent="0.25">
      <c r="K282" s="26"/>
    </row>
    <row r="284" spans="11:12" x14ac:dyDescent="0.25">
      <c r="K284" s="26"/>
      <c r="L284" s="26"/>
    </row>
    <row r="285" spans="11:12" x14ac:dyDescent="0.25">
      <c r="L285" s="26"/>
    </row>
    <row r="286" spans="11:12" x14ac:dyDescent="0.25">
      <c r="K286" s="26"/>
      <c r="L286" s="26"/>
    </row>
    <row r="287" spans="11:12" x14ac:dyDescent="0.25">
      <c r="K287" s="26"/>
    </row>
    <row r="288" spans="11:12" x14ac:dyDescent="0.25">
      <c r="K288" s="26"/>
    </row>
    <row r="289" spans="11:11" x14ac:dyDescent="0.25">
      <c r="K289" s="26"/>
    </row>
    <row r="291" spans="11:11" x14ac:dyDescent="0.25">
      <c r="K291" s="26"/>
    </row>
    <row r="297" spans="11:11" x14ac:dyDescent="0.25">
      <c r="K297" s="26"/>
    </row>
    <row r="302" spans="11:11" x14ac:dyDescent="0.25">
      <c r="K302" s="26"/>
    </row>
    <row r="307" spans="11:11" x14ac:dyDescent="0.25">
      <c r="K307" s="26"/>
    </row>
    <row r="312" spans="11:11" x14ac:dyDescent="0.25">
      <c r="K312" s="26"/>
    </row>
    <row r="313" spans="11:11" x14ac:dyDescent="0.25">
      <c r="K313" s="26"/>
    </row>
    <row r="314" spans="11:11" x14ac:dyDescent="0.25">
      <c r="K314" s="26"/>
    </row>
    <row r="315" spans="11:11" x14ac:dyDescent="0.25">
      <c r="K315" s="26"/>
    </row>
    <row r="316" spans="11:11" x14ac:dyDescent="0.25">
      <c r="K316" s="26"/>
    </row>
    <row r="318" spans="11:11" x14ac:dyDescent="0.25">
      <c r="K318" s="26"/>
    </row>
    <row r="320" spans="11:11" x14ac:dyDescent="0.25">
      <c r="K320" s="26"/>
    </row>
    <row r="321" spans="11:11" x14ac:dyDescent="0.25">
      <c r="K321" s="26"/>
    </row>
    <row r="322" spans="11:11" x14ac:dyDescent="0.25">
      <c r="K322" s="26"/>
    </row>
    <row r="323" spans="11:11" x14ac:dyDescent="0.25">
      <c r="K323" s="26"/>
    </row>
    <row r="325" spans="11:11" x14ac:dyDescent="0.25">
      <c r="K325" s="26"/>
    </row>
    <row r="333" spans="11:11" x14ac:dyDescent="0.25">
      <c r="K333" s="26"/>
    </row>
    <row r="334" spans="11:11" x14ac:dyDescent="0.25">
      <c r="K334" s="26"/>
    </row>
    <row r="335" spans="11:11" x14ac:dyDescent="0.25">
      <c r="K335" s="26"/>
    </row>
    <row r="338" spans="11:11" x14ac:dyDescent="0.25">
      <c r="K338" s="26"/>
    </row>
    <row r="339" spans="11:11" x14ac:dyDescent="0.25">
      <c r="K339" s="26"/>
    </row>
    <row r="340" spans="11:11" x14ac:dyDescent="0.25">
      <c r="K340" s="26"/>
    </row>
    <row r="343" spans="11:11" x14ac:dyDescent="0.25">
      <c r="K343" s="26"/>
    </row>
    <row r="344" spans="11:11" x14ac:dyDescent="0.25">
      <c r="K344" s="26"/>
    </row>
    <row r="345" spans="11:11" x14ac:dyDescent="0.25">
      <c r="K345" s="26"/>
    </row>
    <row r="348" spans="11:11" x14ac:dyDescent="0.25">
      <c r="K348" s="26"/>
    </row>
    <row r="349" spans="11:11" x14ac:dyDescent="0.25">
      <c r="K349" s="26"/>
    </row>
    <row r="350" spans="11:11" x14ac:dyDescent="0.25">
      <c r="K350" s="26"/>
    </row>
    <row r="357" spans="11:11" x14ac:dyDescent="0.25">
      <c r="K357" s="26"/>
    </row>
    <row r="358" spans="11:11" x14ac:dyDescent="0.25">
      <c r="K358" s="26"/>
    </row>
    <row r="359" spans="11:11" x14ac:dyDescent="0.25">
      <c r="K359" s="26"/>
    </row>
    <row r="362" spans="11:11" x14ac:dyDescent="0.25">
      <c r="K362" s="26"/>
    </row>
    <row r="363" spans="11:11" x14ac:dyDescent="0.25">
      <c r="K363" s="26"/>
    </row>
    <row r="364" spans="11:11" x14ac:dyDescent="0.25">
      <c r="K364" s="26"/>
    </row>
    <row r="367" spans="11:11" x14ac:dyDescent="0.25">
      <c r="K367" s="26"/>
    </row>
    <row r="368" spans="11:11" x14ac:dyDescent="0.25">
      <c r="K368" s="26"/>
    </row>
    <row r="369" spans="4:11" x14ac:dyDescent="0.25">
      <c r="K369" s="26"/>
    </row>
    <row r="372" spans="4:11" x14ac:dyDescent="0.25">
      <c r="K372" s="26"/>
    </row>
    <row r="373" spans="4:11" x14ac:dyDescent="0.25">
      <c r="K373" s="26"/>
    </row>
    <row r="374" spans="4:11" x14ac:dyDescent="0.25">
      <c r="K374" s="26"/>
    </row>
    <row r="378" spans="4:11" x14ac:dyDescent="0.25">
      <c r="D378" s="127"/>
    </row>
  </sheetData>
  <conditionalFormatting sqref="F155:F156">
    <cfRule type="cellIs" dxfId="77" priority="15" operator="lessThan">
      <formula>0</formula>
    </cfRule>
  </conditionalFormatting>
  <conditionalFormatting sqref="F167:F168">
    <cfRule type="cellIs" dxfId="76" priority="14" operator="lessThan">
      <formula>0</formula>
    </cfRule>
  </conditionalFormatting>
  <conditionalFormatting sqref="F179:F180">
    <cfRule type="cellIs" dxfId="75" priority="13" operator="lessThan">
      <formula>0</formula>
    </cfRule>
  </conditionalFormatting>
  <conditionalFormatting sqref="F267:F268">
    <cfRule type="cellIs" dxfId="74" priority="26" operator="lessThan">
      <formula>0</formula>
    </cfRule>
  </conditionalFormatting>
  <conditionalFormatting sqref="F272:F273">
    <cfRule type="cellIs" dxfId="73" priority="25" operator="lessThan">
      <formula>0</formula>
    </cfRule>
  </conditionalFormatting>
  <conditionalFormatting sqref="F277:F278">
    <cfRule type="cellIs" dxfId="72" priority="24" operator="lessThan">
      <formula>0</formula>
    </cfRule>
  </conditionalFormatting>
  <conditionalFormatting sqref="F301:F302">
    <cfRule type="cellIs" dxfId="71" priority="23" operator="lessThan">
      <formula>0</formula>
    </cfRule>
  </conditionalFormatting>
  <conditionalFormatting sqref="F306:F307">
    <cfRule type="cellIs" dxfId="70" priority="22" operator="lessThan">
      <formula>0</formula>
    </cfRule>
  </conditionalFormatting>
  <conditionalFormatting sqref="F311:F312">
    <cfRule type="cellIs" dxfId="69" priority="21" operator="lessThan">
      <formula>0</formula>
    </cfRule>
  </conditionalFormatting>
  <conditionalFormatting sqref="H53 F143:F144">
    <cfRule type="cellIs" dxfId="68" priority="16" operator="lessThan">
      <formula>0</formula>
    </cfRule>
  </conditionalFormatting>
  <conditionalFormatting sqref="I39 I51:I52 O53 N54 I57 I59:I61 I63:I64 I221:J221 E227:G227 I227:J227 K263 J265 K268 J270 K273 J275 K278:K282 J280:J284 K284 J286 K286:K289 J288:J291 K291 J293 K297 J299 K302 J304 K307 J309 K312:K316 J314:J318 K318 J320 K320:K323 J322:J325 K325 J327">
    <cfRule type="cellIs" dxfId="67" priority="20" operator="lessThan">
      <formula>0</formula>
    </cfRule>
  </conditionalFormatting>
  <conditionalFormatting sqref="I41:I44 I46:I47 F58 I75:I78 L198 K200 L202:L203 K204:K205 L206:L207 K208:K209 L212:L213 K214:K215 L216:L217 K218:K219 L223:L228 K225">
    <cfRule type="cellIs" dxfId="66" priority="18" operator="lessThan">
      <formula>0</formula>
    </cfRule>
  </conditionalFormatting>
  <conditionalFormatting sqref="I82 M119 I141:J141">
    <cfRule type="cellIs" dxfId="65" priority="19" operator="lessThan">
      <formula>0</formula>
    </cfRule>
  </conditionalFormatting>
  <conditionalFormatting sqref="I93:I95">
    <cfRule type="cellIs" dxfId="64" priority="3" operator="lessThan">
      <formula>0</formula>
    </cfRule>
  </conditionalFormatting>
  <conditionalFormatting sqref="I99:I102">
    <cfRule type="cellIs" dxfId="63" priority="2" operator="lessThan">
      <formula>0</formula>
    </cfRule>
  </conditionalFormatting>
  <conditionalFormatting sqref="I106:I110">
    <cfRule type="cellIs" dxfId="62" priority="1" operator="lessThan">
      <formula>0</formula>
    </cfRule>
  </conditionalFormatting>
  <conditionalFormatting sqref="J169">
    <cfRule type="cellIs" dxfId="61" priority="17" operator="lessThan">
      <formula>0</formula>
    </cfRule>
  </conditionalFormatting>
  <conditionalFormatting sqref="L131:L134">
    <cfRule type="cellIs" dxfId="60" priority="7" operator="lessThan">
      <formula>0</formula>
    </cfRule>
  </conditionalFormatting>
  <conditionalFormatting sqref="L137">
    <cfRule type="cellIs" dxfId="59" priority="12" operator="lessThan">
      <formula>0</formula>
    </cfRule>
  </conditionalFormatting>
  <conditionalFormatting sqref="L143:L146">
    <cfRule type="cellIs" dxfId="58" priority="6" operator="lessThan">
      <formula>0</formula>
    </cfRule>
  </conditionalFormatting>
  <conditionalFormatting sqref="L149">
    <cfRule type="cellIs" dxfId="57" priority="11" operator="lessThan">
      <formula>0</formula>
    </cfRule>
  </conditionalFormatting>
  <conditionalFormatting sqref="L155:L158">
    <cfRule type="cellIs" dxfId="56" priority="5" operator="lessThan">
      <formula>0</formula>
    </cfRule>
  </conditionalFormatting>
  <conditionalFormatting sqref="L161">
    <cfRule type="cellIs" dxfId="55" priority="10" operator="lessThan">
      <formula>0</formula>
    </cfRule>
  </conditionalFormatting>
  <conditionalFormatting sqref="L167:L170">
    <cfRule type="cellIs" dxfId="54" priority="4" operator="lessThan">
      <formula>0</formula>
    </cfRule>
  </conditionalFormatting>
  <conditionalFormatting sqref="L173">
    <cfRule type="cellIs" dxfId="53" priority="9" operator="lessThan">
      <formula>0</formula>
    </cfRule>
  </conditionalFormatting>
  <conditionalFormatting sqref="L177:L178">
    <cfRule type="cellIs" dxfId="52" priority="8" operator="lessThan">
      <formula>0</formula>
    </cfRule>
  </conditionalFormatting>
  <conditionalFormatting sqref="L230 L232:L235 L237 J245:J247 J250:J252">
    <cfRule type="cellIs" dxfId="51" priority="27" operator="lessThan">
      <formula>0</formula>
    </cfRule>
  </conditionalFormatting>
  <dataValidations count="9">
    <dataValidation type="list" allowBlank="1" showInputMessage="1" showErrorMessage="1" sqref="D12:D21" xr:uid="{503C5CA8-BD7D-4E7A-846B-E3E940DFC9B5}">
      <formula1>INDIRECT("FertiliserProducts[Product]")</formula1>
    </dataValidation>
    <dataValidation type="list" allowBlank="1" showInputMessage="1" showErrorMessage="1" sqref="Q25:R34" xr:uid="{4FA6D116-B142-46BF-BDC9-30C3C52F92B4}">
      <formula1>INDIRECT("Table_SourceData_Fertiliser_UreaAmmoniaSources[Source]")</formula1>
    </dataValidation>
    <dataValidation type="list" allowBlank="1" showInputMessage="1" showErrorMessage="1" sqref="D54:D56" xr:uid="{33480753-77EE-469B-95A8-CE1448DFB327}">
      <formula1>INDIRECT("Table_SourceData_OrganicFertiliserTypes[Organic fertiliser type]")</formula1>
    </dataValidation>
    <dataValidation type="list" allowBlank="1" showInputMessage="1" showErrorMessage="1" sqref="H25:H34 J25:J34 L25:L34 N25:N34" xr:uid="{E5125337-E9E4-407C-8CF1-A3FF9B5A58C5}">
      <formula1>INDIRECT("Table_Fertiliser_ChemicalCompounds[Fertiliser type f]")</formula1>
    </dataValidation>
    <dataValidation type="list" allowBlank="1" showInputMessage="1" showErrorMessage="1" sqref="E81" xr:uid="{2B30818A-E543-4EE6-A175-6B930BE29BB8}">
      <formula1>INDIRECT("Table_SourceData_Swine_CropProdSystems[Production system]")</formula1>
    </dataValidation>
    <dataValidation type="list" allowBlank="1" showInputMessage="1" showErrorMessage="1" sqref="E82" xr:uid="{F3F7D38A-4C94-4490-BC14-9567131D2568}">
      <formula1>INDIRECT("Table_SourceData_Swine_IrrigationMethods[Irrigation method]")</formula1>
    </dataValidation>
    <dataValidation type="list" allowBlank="1" showInputMessage="1" showErrorMessage="1" sqref="E266 E271 E276 E310 E305 E300 E178 E166 E142 E154" xr:uid="{795F3AC5-60C4-4208-8CAA-85F67AEFEAF6}">
      <formula1>"Yes, No"</formula1>
    </dataValidation>
    <dataValidation type="list" allowBlank="1" showInputMessage="1" showErrorMessage="1" sqref="E242" xr:uid="{A691600E-F8FB-4C70-9A69-998AAE05E5CA}">
      <formula1>INDIRECT("Table_SourceData_Dairy_ProductionSystemTemplates[Area]")</formula1>
    </dataValidation>
    <dataValidation type="list" allowBlank="1" showInputMessage="1" showErrorMessage="1" sqref="D294" xr:uid="{0C9FDDB5-F137-4EA7-B8B7-2DF943008501}">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A431B6-C216-4725-90A8-C81393592E24}">
  <dimension ref="A1:K346"/>
  <sheetViews>
    <sheetView showGridLines="0" topLeftCell="A2" workbookViewId="0" zoomScale="100" zoomScaleNormal="100">
      <selection activeCell="A50" sqref="A50"/>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6" customFormat="1" ht="30" customHeight="1" x14ac:dyDescent="0.35">
      <c r="A1" s="16" t="e" vm="1">
        <v>#VALUE!</v>
      </c>
      <c r="C1" s="16" t="s">
        <v>442</v>
      </c>
    </row>
    <row r="2" spans="1:11" s="3" customFormat="1" ht="20.100000000000001" customHeight="1" x14ac:dyDescent="0.25">
      <c r="A2"/>
    </row>
    <row r="3" spans="1:11" ht="20.100000000000001" customHeight="1" x14ac:dyDescent="0.25">
      <c r="A3" s="5" t="str">
        <f>HYPERLINK("#'Home'!A1", "Home")</f>
        <v>Home</v>
      </c>
      <c r="C3" s="39"/>
      <c r="D3" s="39"/>
      <c r="E3" s="39"/>
      <c r="F3" s="39"/>
      <c r="G3" s="39"/>
      <c r="H3" s="39"/>
      <c r="I3" s="39"/>
      <c r="J3" s="39"/>
      <c r="K3" s="39"/>
    </row>
    <row r="4" spans="1:11" ht="20.100000000000001" customHeight="1" x14ac:dyDescent="0.25">
      <c r="A4" s="5" t="str">
        <f>HYPERLINK("#'Overview'!A1", "Overview")</f>
        <v>Overview</v>
      </c>
    </row>
    <row r="5" spans="1:11" ht="20.100000000000001" customHeight="1" x14ac:dyDescent="0.25">
      <c r="A5" s="5" t="str">
        <f>HYPERLINK("#'Results'!A1", "Results")</f>
        <v>Results</v>
      </c>
      <c r="D5" s="2" t="s">
        <v>443</v>
      </c>
      <c r="E5" s="35"/>
      <c r="F5" s="35"/>
      <c r="G5" s="35"/>
      <c r="H5" s="35"/>
    </row>
    <row r="6" spans="1:11" ht="20.100000000000001" customHeight="1" x14ac:dyDescent="0.25">
      <c r="D6" s="8"/>
      <c r="E6" s="8"/>
      <c r="F6" s="8"/>
      <c r="G6" s="8"/>
      <c r="H6" s="8"/>
      <c r="I6" s="8"/>
      <c r="J6" s="8"/>
    </row>
    <row r="7" spans="1:11" ht="20.100000000000001" customHeight="1" x14ac:dyDescent="0.25">
      <c r="D7" s="1" t="s">
        <v>444</v>
      </c>
    </row>
    <row r="8" spans="1:11" ht="20.100000000000001" customHeight="1" x14ac:dyDescent="0.25">
      <c r="A8" s="7" t="s">
        <v>0</v>
      </c>
      <c r="D8" s="1" t="s">
        <v>445</v>
      </c>
    </row>
    <row r="9" spans="1:11" ht="20.100000000000001" customHeight="1" x14ac:dyDescent="0.25">
      <c r="A9" s="5" t="str">
        <f>HYPERLINK("#'Input - Enterprise'!A1", "Enterprise")</f>
        <v>Enterprise</v>
      </c>
      <c r="D9" s="1" t="s">
        <v>446</v>
      </c>
    </row>
    <row r="10" spans="1:11" ht="20.100000000000001" customHeight="1" x14ac:dyDescent="0.25">
      <c r="A10" s="5" t="str">
        <f>HYPERLINK("#'Input - Site'!A1", "Site")</f>
        <v>Site</v>
      </c>
    </row>
    <row r="11" spans="1:11" ht="20.100000000000001" customHeight="1" x14ac:dyDescent="0.25">
      <c r="A11" s="5" t="str">
        <f>HYPERLINK("#'Input - Crop'!A1", "Crop")</f>
        <v>Crop</v>
      </c>
      <c r="D11" s="1" t="s">
        <v>447</v>
      </c>
      <c r="E11" s="23" t="s">
        <v>448</v>
      </c>
      <c r="F11" s="26" t="s">
        <v>100</v>
      </c>
    </row>
    <row r="12" spans="1:11" ht="20.100000000000001" customHeight="1" x14ac:dyDescent="0.25">
      <c r="A12" s="5" t="str">
        <f>HYPERLINK("#'Input - Fert Prod System'!A1", "Fert Prod System")</f>
        <v>Fert Prod System</v>
      </c>
    </row>
    <row r="13" spans="1:11" ht="20.100000000000001" customHeight="1" x14ac:dyDescent="0.25">
      <c r="A13" s="5" t="str">
        <f>HYPERLINK("#'Input - Fertiliser'!A1", "Fertiliser")</f>
        <v>Fertiliser</v>
      </c>
      <c r="D13" s="94" t="s">
        <v>414</v>
      </c>
      <c r="E13" s="54"/>
      <c r="F13" s="54"/>
      <c r="G13" s="54"/>
      <c r="H13" s="55"/>
    </row>
    <row r="14" spans="1:11" ht="20.100000000000001" customHeight="1" x14ac:dyDescent="0.25">
      <c r="A14" s="99" t="str">
        <f>HYPERLINK("#'Input - Fuel'!A1", "Fuel")</f>
        <v>Fuel</v>
      </c>
      <c r="D14" s="56" t="s">
        <v>449</v>
      </c>
      <c r="E14" s="57"/>
      <c r="F14" s="57"/>
      <c r="G14" s="57"/>
      <c r="H14" s="58"/>
    </row>
    <row r="15" spans="1:11" ht="20.100000000000001" customHeight="1" x14ac:dyDescent="0.25">
      <c r="A15" s="5" t="str">
        <f>HYPERLINK("#'Input - Electricity'!A1", "Electricity")</f>
        <v>Electricity</v>
      </c>
      <c r="D15" s="8"/>
      <c r="E15" s="8"/>
      <c r="F15" s="8"/>
      <c r="G15" s="8"/>
      <c r="H15" s="8"/>
      <c r="I15" s="8"/>
      <c r="J15" s="8"/>
    </row>
    <row r="16" spans="1:11" ht="20.100000000000001" customHeight="1" x14ac:dyDescent="0.25">
      <c r="A16" s="5" t="str">
        <f>HYPERLINK("#'Input - Common farm inputs'!A1", "Common farm inputs")</f>
        <v>Common farm inputs</v>
      </c>
      <c r="D16" s="92" t="s">
        <v>450</v>
      </c>
      <c r="E16" s="92" t="s">
        <v>451</v>
      </c>
      <c r="F16" s="92" t="s">
        <v>452</v>
      </c>
      <c r="G16" s="92" t="s">
        <v>453</v>
      </c>
      <c r="H16" s="92" t="s">
        <v>454</v>
      </c>
      <c r="I16" s="92" t="s">
        <v>455</v>
      </c>
      <c r="J16" s="92" t="s">
        <v>456</v>
      </c>
    </row>
    <row r="17" spans="1:10" ht="20.100000000000001" customHeight="1" x14ac:dyDescent="0.25">
      <c r="A17" s="5" t="str">
        <f>HYPERLINK("#'Input - Crop pasture farm input'!A1", "Crop pasture farm input")</f>
        <v>Crop pasture farm input</v>
      </c>
      <c r="D17" s="23" t="s">
        <v>457</v>
      </c>
      <c r="E17" s="23" t="s">
        <v>458</v>
      </c>
      <c r="F17" s="183">
        <v>100</v>
      </c>
      <c r="G17" s="25" t="str" cm="1">
        <f t="array" ref="G17">Common_InputFunctions.Utility_LookupValueInTable(Table_Input_Fuel[[#This Row],[Fuel type (select)]],Table_FuelTypes_Units[Fuel type], Table_FuelTypes_Units[Input Unit])</f>
        <v>GJ</v>
      </c>
      <c r="H17" s="184">
        <f>1</f>
        <v>1</v>
      </c>
      <c r="I17" s="25">
        <f>Table_Input_Fuel[[#This Row],[Amount purchased]]*Table_Input_Fuel[[#This Row],[Percent consumed]]*IF(Table_Input_Fuel[[#This Row],[Amount unit]]="L", 10^-3, 1)</f>
        <v>100</v>
      </c>
      <c r="J17" s="25" t="str" cm="1">
        <f t="array" ref="J17">Common_InputFunctions.Utility_LookupValueInTable(Table_Input_Fuel[[#This Row],[Fuel type (select)]],Table_FuelTypes_Units[Fuel type], Table_FuelTypes_Units[Unit])</f>
        <v>GJ</v>
      </c>
    </row>
    <row r="18" spans="1:10" ht="20.100000000000001" customHeight="1" x14ac:dyDescent="0.25">
      <c r="A18" s="5" t="str">
        <f>HYPERLINK("#'Input - Freight'!A1", "Freight")</f>
        <v>Freight</v>
      </c>
      <c r="D18" s="23" t="s">
        <v>457</v>
      </c>
      <c r="E18" s="23" t="s">
        <v>459</v>
      </c>
      <c r="F18" s="183">
        <v>10000</v>
      </c>
      <c r="G18" s="25" t="str" cm="1">
        <f t="array" ref="G18">Common_InputFunctions.Utility_LookupValueInTable(Table_Input_Fuel[[#This Row],[Fuel type (select)]],Table_FuelTypes_Units[Fuel type], Table_FuelTypes_Units[Input Unit])</f>
        <v>L</v>
      </c>
      <c r="H18" s="185">
        <f>1</f>
        <v>1</v>
      </c>
      <c r="I18" s="25">
        <f>Table_Input_Fuel[[#This Row],[Amount purchased]]*Table_Input_Fuel[[#This Row],[Percent consumed]]*IF(Table_Input_Fuel[[#This Row],[Amount unit]]="L", 10^-3, 1)</f>
        <v>10</v>
      </c>
      <c r="J18" s="25" t="str" cm="1">
        <f t="array" ref="J18">Common_InputFunctions.Utility_LookupValueInTable(Table_Input_Fuel[[#This Row],[Fuel type (select)]],Table_FuelTypes_Units[Fuel type], Table_FuelTypes_Units[Unit])</f>
        <v>kL</v>
      </c>
    </row>
    <row r="19" spans="1:10" ht="20.100000000000001" customHeight="1" x14ac:dyDescent="0.25">
      <c r="A19" s="5" t="str">
        <f>HYPERLINK("#'Input - Manure sent off-site'!A1", "Manure sent off-site")</f>
        <v>Manure sent off-site</v>
      </c>
      <c r="D19" s="23" t="s">
        <v>460</v>
      </c>
      <c r="E19" s="23" t="s">
        <v>461</v>
      </c>
      <c r="F19" s="183">
        <v>10000</v>
      </c>
      <c r="G19" s="25" t="str" cm="1">
        <f t="array" ref="G19">Common_InputFunctions.Utility_LookupValueInTable(Table_Input_Fuel[[#This Row],[Fuel type (select)]],Table_FuelTypes_Units[Fuel type], Table_FuelTypes_Units[Input Unit])</f>
        <v>L</v>
      </c>
      <c r="H19" s="185">
        <f>1</f>
        <v>1</v>
      </c>
      <c r="I19" s="25">
        <f>Table_Input_Fuel[[#This Row],[Amount purchased]]*Table_Input_Fuel[[#This Row],[Percent consumed]]*IF(Table_Input_Fuel[[#This Row],[Amount unit]]="L", 10^-3, 1)</f>
        <v>10</v>
      </c>
      <c r="J19" s="25" t="str" cm="1">
        <f t="array" ref="J19">Common_InputFunctions.Utility_LookupValueInTable(Table_Input_Fuel[[#This Row],[Fuel type (select)]],Table_FuelTypes_Units[Fuel type], Table_FuelTypes_Units[Unit])</f>
        <v>kL</v>
      </c>
    </row>
    <row r="20" spans="1:10" ht="20.100000000000001" customHeight="1" x14ac:dyDescent="0.25">
      <c r="A20" s="5" t="str">
        <f>HYPERLINK("#'Input - Solid waste'!A1", "Solid waste")</f>
        <v>Solid waste</v>
      </c>
      <c r="D20" s="23" t="s">
        <v>462</v>
      </c>
      <c r="E20" s="23" t="s">
        <v>461</v>
      </c>
      <c r="F20" s="183">
        <v>10000</v>
      </c>
      <c r="G20" s="25" t="str" cm="1">
        <f t="array" ref="G20">Common_InputFunctions.Utility_LookupValueInTable(Table_Input_Fuel[[#This Row],[Fuel type (select)]],Table_FuelTypes_Units[Fuel type], Table_FuelTypes_Units[Input Unit])</f>
        <v>L</v>
      </c>
      <c r="H20" s="185">
        <f>1</f>
        <v>1</v>
      </c>
      <c r="I20" s="25">
        <f>Table_Input_Fuel[[#This Row],[Amount purchased]]*Table_Input_Fuel[[#This Row],[Percent consumed]]*IF(Table_Input_Fuel[[#This Row],[Amount unit]]="L", 10^-3, 1)</f>
        <v>10</v>
      </c>
      <c r="J20" s="25" t="str" cm="1">
        <f t="array" ref="J20">Common_InputFunctions.Utility_LookupValueInTable(Table_Input_Fuel[[#This Row],[Fuel type (select)]],Table_FuelTypes_Units[Fuel type], Table_FuelTypes_Units[Unit])</f>
        <v>kL</v>
      </c>
    </row>
    <row r="21" spans="1:10" ht="20.100000000000001" customHeight="1" x14ac:dyDescent="0.25">
      <c r="A21" s="5" t="str">
        <f>HYPERLINK("#'Input - Data quality'!A1", "Data quality")</f>
        <v>Data quality</v>
      </c>
      <c r="D21" s="186" t="s">
        <v>463</v>
      </c>
      <c r="E21" s="186" t="s">
        <v>464</v>
      </c>
      <c r="F21" s="183">
        <v>10000</v>
      </c>
      <c r="G21" s="187" t="str" cm="1">
        <f t="array" ref="G21">Common_InputFunctions.Utility_LookupValueInTable(Table_Input_Fuel[[#This Row],[Fuel type (select)]],Table_FuelTypes_Units[Fuel type], Table_FuelTypes_Units[Input Unit])</f>
        <v>L</v>
      </c>
      <c r="H21" s="188">
        <f>1</f>
        <v>1</v>
      </c>
      <c r="I21" s="187">
        <f>Table_Input_Fuel[[#This Row],[Amount purchased]]*Table_Input_Fuel[[#This Row],[Percent consumed]]*IF(Table_Input_Fuel[[#This Row],[Amount unit]]="L", 10^-3, 1)</f>
        <v>10</v>
      </c>
      <c r="J21" s="25" t="str" cm="1">
        <f t="array" ref="J21">Common_InputFunctions.Utility_LookupValueInTable(Table_Input_Fuel[[#This Row],[Fuel type (select)]],Table_FuelTypes_Units[Fuel type], Table_FuelTypes_Units[Unit])</f>
        <v>kL</v>
      </c>
    </row>
    <row r="22" spans="1:10" ht="20.100000000000001" customHeight="1" x14ac:dyDescent="0.25"/>
    <row r="23" spans="1:10" ht="20.100000000000001" customHeight="1" x14ac:dyDescent="0.25"/>
    <row r="24" spans="1:10" ht="20.100000000000001" customHeight="1" x14ac:dyDescent="0.25">
      <c r="A24" s="6" t="s">
        <v>2</v>
      </c>
    </row>
    <row r="25" spans="1:10" ht="20.100000000000001" customHeight="1" x14ac:dyDescent="0.25">
      <c r="A25" s="5" t="str">
        <f>HYPERLINK("#'5.1.1.1-2 Inorganic fert N2O'!A1", "5.1.1.1-2 Inorganic fert N2O")</f>
        <v>5.1.1.1-2 Inorganic fert N2O</v>
      </c>
    </row>
    <row r="26" spans="1:10" ht="20.100000000000001" customHeight="1" x14ac:dyDescent="0.25">
      <c r="A26" s="5" t="str">
        <f>HYPERLINK("#'5.1.1.3-4 Inorganic fert CO2'!A1", "5.1.1.3-4 Inorganic fert CO2")</f>
        <v>5.1.1.3-4 Inorganic fert CO2</v>
      </c>
    </row>
    <row r="27" spans="1:10" ht="20.100000000000001" customHeight="1" x14ac:dyDescent="0.25">
      <c r="A27" s="5" t="str">
        <f>HYPERLINK("#'5.2.1.1-2 Organic Fert N2O'!A1", "5.2.1.1-2 Organic fert N2O")</f>
        <v>5.2.1.1-2 Organic fert N2O</v>
      </c>
    </row>
    <row r="28" spans="1:10" ht="20.100000000000001" customHeight="1" x14ac:dyDescent="0.25">
      <c r="A28" s="5" t="str">
        <f>HYPERLINK("#'5.3.1.1-2 Lime CO2'!A1", "5.3.1.1-2 Lime CO2")</f>
        <v>5.3.1.1-2 Lime CO2</v>
      </c>
    </row>
    <row r="29" spans="1:10" ht="20.100000000000001" customHeight="1" x14ac:dyDescent="0.25">
      <c r="A29" s="5" t="str">
        <f>HYPERLINK("#'5.4.1.1-4 Atmos deposition'!A1", "5.4.1.1-4 Atmos. deposition")</f>
        <v>5.4.1.1-4 Atmos. deposition</v>
      </c>
    </row>
    <row r="30" spans="1:10" ht="20.100000000000001" customHeight="1" x14ac:dyDescent="0.25">
      <c r="A30" s="5" t="str">
        <f>HYPERLINK("#'5.5.1.1-2 Leaching and runoff'!A1", "5.5.1.1-2 Leaching &amp; runoff")</f>
        <v>5.5.1.1-2 Leaching &amp; runoff</v>
      </c>
    </row>
    <row r="31" spans="1:10" ht="20.100000000000001" customHeight="1" x14ac:dyDescent="0.25">
      <c r="A31" s="5" t="str">
        <f>HYPERLINK("#'6.1.1.1-2 Crop residue N2O'!A1", "6.1.1.1-2 Crop residue N2O")</f>
        <v>6.1.1.1-2 Crop residue N2O</v>
      </c>
    </row>
    <row r="32" spans="1:10" ht="20.100000000000001" customHeight="1" x14ac:dyDescent="0.25">
      <c r="A32" s="5" t="str">
        <f>HYPERLINK("#'6.3.1.1-2 Leach runoff crop'!A1", "6.3.1.1-2 Leach &amp; runoff (crop)")</f>
        <v>6.3.1.1-2 Leach &amp; runoff (crop)</v>
      </c>
    </row>
    <row r="33" spans="1:11" ht="20.100000000000001" customHeight="1" x14ac:dyDescent="0.25">
      <c r="A33" s="5" t="str">
        <f>HYPERLINK("#'6.4.1.1-2 Residue burning'!A1", "6.4.1.1-2 Residue burning")</f>
        <v>6.4.1.1-2 Residue burning</v>
      </c>
    </row>
    <row r="34" spans="1:11" ht="20.100000000000001" customHeight="1" x14ac:dyDescent="0.25">
      <c r="A34" s="5" t="str">
        <f>HYPERLINK("#'8.1.1.1-2 Transport fuel'!A1", "8.1.1.1-2 Transport fuel")</f>
        <v>8.1.1.1-2 Transport fuel</v>
      </c>
    </row>
    <row r="35" spans="1:11" ht="20.100000000000001" customHeight="1" x14ac:dyDescent="0.25">
      <c r="A35" s="5" t="str">
        <f>HYPERLINK("#'8.2.1.1-2 Stationary fuel'!A1", "8.2.1.1-2 Stationary fuel")</f>
        <v>8.2.1.1-2 Stationary fuel</v>
      </c>
    </row>
    <row r="36" spans="1:11" ht="20.100000000000001" customHeight="1" x14ac:dyDescent="0.25">
      <c r="A36" s="5" t="str">
        <f>HYPERLINK("#'14.1.1-2 Purchased electricity'!A1", "14.1.1-2 Purchased electricity")</f>
        <v>14.1.1-2 Purchased electricity</v>
      </c>
    </row>
    <row r="37" spans="1:11" ht="20.100000000000001" customHeight="1" x14ac:dyDescent="0.25">
      <c r="A37" s="5" t="str">
        <f>HYPERLINK("#'15 Scope 3'!A1", "15 Scope 3")</f>
        <v>15 Scope 3</v>
      </c>
    </row>
    <row r="38" spans="1:11" ht="20.100000000000001" customHeight="1" x14ac:dyDescent="0.25">
      <c r="A38" s="5" t="str">
        <f>HYPERLINK("#'Calcs - Manure sent off-site'!A1", "Calcs - Manure sent off-site")</f>
        <v>Calcs - Manure sent off-site</v>
      </c>
      <c r="C38" s="114"/>
      <c r="K38" s="114"/>
    </row>
    <row r="39" spans="1:11" ht="20.100000000000001" customHeight="1" x14ac:dyDescent="0.25">
      <c r="A39" s="5" t="str">
        <f>HYPERLINK("#'10.1.1-2 Solid waste treatment'!A1", "10.1.1-2 Solid waste treatment")</f>
        <v>10.1.1-2 Solid waste treatment</v>
      </c>
      <c r="C39" s="114"/>
      <c r="K39" s="114"/>
    </row>
    <row r="40" spans="1:11" s="126" customFormat="1" ht="20.100000000000001" customHeight="1" x14ac:dyDescent="0.25">
      <c r="A40"/>
      <c r="C40" s="1"/>
      <c r="D40" s="1"/>
      <c r="E40" s="1"/>
      <c r="F40" s="1"/>
      <c r="G40" s="1"/>
      <c r="H40" s="1"/>
      <c r="I40" s="1"/>
      <c r="J40" s="1"/>
      <c r="K40" s="1"/>
    </row>
    <row r="41" spans="1:11" s="126" customFormat="1" ht="20.100000000000001" customHeight="1" x14ac:dyDescent="0.25">
      <c r="A41"/>
      <c r="C41" s="1"/>
      <c r="D41" s="1"/>
      <c r="E41" s="1"/>
      <c r="F41" s="1"/>
      <c r="G41" s="1"/>
      <c r="H41" s="1"/>
      <c r="I41" s="1"/>
      <c r="J41" s="1"/>
      <c r="K41" s="1"/>
    </row>
    <row r="42" spans="1:11" ht="20.100000000000001" customHeight="1" x14ac:dyDescent="0.25">
      <c r="A42" s="108" t="s">
        <v>1</v>
      </c>
    </row>
    <row r="43" spans="1:11" ht="20.100000000000001" customHeight="1" x14ac:dyDescent="0.25">
      <c r="A43" s="5" t="str">
        <f>HYPERLINK("#'Constants - Ag Residue'!A1", "Constants - Ag residue")</f>
        <v>Constants - Ag residue</v>
      </c>
    </row>
    <row r="44" spans="1:11" ht="20.100000000000001" customHeight="1" x14ac:dyDescent="0.25">
      <c r="A44" s="5" t="str">
        <f>HYPERLINK("#'Constants - Common Livestock'!A1", "Constants - Common Livestock")</f>
        <v>Constants - Common Livestock</v>
      </c>
    </row>
    <row r="45" spans="1:11" ht="20.100000000000001" customHeight="1" x14ac:dyDescent="0.25">
      <c r="A45" s="5" t="str">
        <f>HYPERLINK("#'Constants - Electricity'!A1", "Constants - Electricity")</f>
        <v>Constants - Electricity</v>
      </c>
    </row>
    <row r="46" spans="1:11" ht="20.100000000000001" customHeight="1" x14ac:dyDescent="0.25">
      <c r="A46" s="5" t="str">
        <f>HYPERLINK("#'Constants - Fertiliser'!A1", "Constants - Fertiliser")</f>
        <v>Constants - Fertiliser</v>
      </c>
    </row>
    <row r="47" spans="1:11" ht="20.100000000000001" customHeight="1" x14ac:dyDescent="0.25">
      <c r="A47" s="5" t="str">
        <f>HYPERLINK("#'Constants - Fuel'!A1", "Constants - Fuel")</f>
        <v>Constants - Fuel</v>
      </c>
    </row>
    <row r="48" spans="1:11" ht="20.100000000000001" customHeight="1" x14ac:dyDescent="0.25">
      <c r="A48" s="5" t="str">
        <f>HYPERLINK("#'Constants - Scope 3'!A1", "Constants - Scope 3")</f>
        <v>Constants - Scope 3</v>
      </c>
    </row>
    <row r="49" spans="1:1" ht="20.100000000000001" customHeight="1" x14ac:dyDescent="0.25">
      <c r="A49" s="5" t="str">
        <f>HYPERLINK("#'Constants - Common'!A1", "Constants - Common")</f>
        <v>Constants - Common</v>
      </c>
    </row>
    <row r="50" spans="1:1" ht="20.100000000000001" customHeight="1" x14ac:dyDescent="0.25">
      <c r="A50" s="5" t="str">
        <f>HYPERLINK("#'Constants - Solid Waste'!A1", "Constants - Solid Waste")</f>
        <v>Constants - Solid Waste</v>
      </c>
    </row>
    <row r="51" spans="1:1" ht="20.100000000000001" customHeight="1" x14ac:dyDescent="0.25"/>
    <row r="52" spans="1:1" ht="20.100000000000001" customHeight="1" x14ac:dyDescent="0.25"/>
    <row r="53" spans="1:1" ht="20.100000000000001" customHeight="1" x14ac:dyDescent="0.25"/>
    <row r="54" spans="1:1" ht="20.100000000000001" customHeight="1" x14ac:dyDescent="0.25"/>
    <row r="55" spans="1:1" ht="20.100000000000001" customHeight="1" x14ac:dyDescent="0.25"/>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127"/>
    </row>
  </sheetData>
  <conditionalFormatting sqref="F32">
    <cfRule type="cellIs" dxfId="50" priority="9" operator="lessThan">
      <formula>0</formula>
    </cfRule>
  </conditionalFormatting>
  <conditionalFormatting sqref="F111:F112">
    <cfRule type="cellIs" dxfId="49" priority="8" operator="lessThan">
      <formula>0</formula>
    </cfRule>
  </conditionalFormatting>
  <conditionalFormatting sqref="F123:F124">
    <cfRule type="cellIs" dxfId="48" priority="7" operator="lessThan">
      <formula>0</formula>
    </cfRule>
  </conditionalFormatting>
  <conditionalFormatting sqref="F135:F136">
    <cfRule type="cellIs" dxfId="47" priority="6" operator="lessThan">
      <formula>0</formula>
    </cfRule>
  </conditionalFormatting>
  <conditionalFormatting sqref="F147:F148">
    <cfRule type="cellIs" dxfId="46" priority="5" operator="lessThan">
      <formula>0</formula>
    </cfRule>
  </conditionalFormatting>
  <conditionalFormatting sqref="F235:F236">
    <cfRule type="cellIs" dxfId="45" priority="17" operator="lessThan">
      <formula>0</formula>
    </cfRule>
  </conditionalFormatting>
  <conditionalFormatting sqref="F240:F241">
    <cfRule type="cellIs" dxfId="44" priority="16" operator="lessThan">
      <formula>0</formula>
    </cfRule>
  </conditionalFormatting>
  <conditionalFormatting sqref="F245:F246">
    <cfRule type="cellIs" dxfId="43" priority="15" operator="lessThan">
      <formula>0</formula>
    </cfRule>
  </conditionalFormatting>
  <conditionalFormatting sqref="F269:F270">
    <cfRule type="cellIs" dxfId="42" priority="14" operator="lessThan">
      <formula>0</formula>
    </cfRule>
  </conditionalFormatting>
  <conditionalFormatting sqref="F274:F275">
    <cfRule type="cellIs" dxfId="41" priority="13" operator="lessThan">
      <formula>0</formula>
    </cfRule>
  </conditionalFormatting>
  <conditionalFormatting sqref="F279:F280">
    <cfRule type="cellIs" dxfId="40" priority="12" operator="lessThan">
      <formula>0</formula>
    </cfRule>
  </conditionalFormatting>
  <conditionalFormatting sqref="I26:J27 H28:H30 I31:J31 I33:J35 I37:J38 I189:J189 E195:G195 I195:J195">
    <cfRule type="cellIs" dxfId="39" priority="11" operator="lessThan">
      <formula>0</formula>
    </cfRule>
  </conditionalFormatting>
  <conditionalFormatting sqref="I42:J46">
    <cfRule type="cellIs" dxfId="38" priority="4" operator="lessThan">
      <formula>0</formula>
    </cfRule>
  </conditionalFormatting>
  <conditionalFormatting sqref="I50:J50 I109:J109">
    <cfRule type="cellIs" dxfId="37" priority="10" operator="lessThan">
      <formula>0</formula>
    </cfRule>
  </conditionalFormatting>
  <conditionalFormatting sqref="I61:J63">
    <cfRule type="cellIs" dxfId="36" priority="3" operator="lessThan">
      <formula>0</formula>
    </cfRule>
  </conditionalFormatting>
  <conditionalFormatting sqref="I67:J70">
    <cfRule type="cellIs" dxfId="35" priority="2" operator="lessThan">
      <formula>0</formula>
    </cfRule>
  </conditionalFormatting>
  <conditionalFormatting sqref="I74:J78">
    <cfRule type="cellIs" dxfId="34" priority="1" operator="lessThan">
      <formula>0</formula>
    </cfRule>
  </conditionalFormatting>
  <dataValidations count="9">
    <dataValidation type="list" allowBlank="1" showInputMessage="1" showErrorMessage="1" sqref="E17:E21" xr:uid="{0505A050-5628-4DA0-B2D7-EFC4629B09E0}">
      <formula1>_xlfn.TRIMRANGE(INDIRECT("Table_FuelTypesPerUse["&amp;D17&amp;"]"))</formula1>
    </dataValidation>
    <dataValidation type="list" allowBlank="1" showInputMessage="1" showErrorMessage="1" sqref="D17:D21" xr:uid="{67F2E37E-A584-429C-885B-8C425BEC7C72}">
      <formula1>INDIRECT("Table_FuelTypesPerUse[#Headers]")</formula1>
    </dataValidation>
    <dataValidation type="list" allowBlank="1" showInputMessage="1" showErrorMessage="1" sqref="E11" xr:uid="{5DBB64DF-C847-4F03-90A9-5B56E3DFEE95}">
      <formula1>"Metro, Non-metro"</formula1>
    </dataValidation>
    <dataValidation type="list" allowBlank="1" showInputMessage="1" showErrorMessage="1" sqref="D29:D30" xr:uid="{72DF3EF3-DD29-4541-9E4A-67B4B4485203}">
      <formula1>INDIRECT("Table_SourceData_OrganicFertiliserTypes[Organic fertiliser type]")</formula1>
    </dataValidation>
    <dataValidation type="list" allowBlank="1" showInputMessage="1" showErrorMessage="1" sqref="E49" xr:uid="{678AFB4C-2A47-49D3-B1EC-17E272A67436}">
      <formula1>INDIRECT("Table_SourceData_Swine_CropProdSystems[Production system]")</formula1>
    </dataValidation>
    <dataValidation type="list" allowBlank="1" showInputMessage="1" showErrorMessage="1" sqref="E50" xr:uid="{C0360797-F624-42CC-BB37-6683329FA6C6}">
      <formula1>INDIRECT("Table_SourceData_Swine_IrrigationMethods[Irrigation method]")</formula1>
    </dataValidation>
    <dataValidation type="list" allowBlank="1" showInputMessage="1" showErrorMessage="1" sqref="E234 E239 E244 E278 E273 E268 E146 E134 E110 E122" xr:uid="{1973697F-8BF5-4174-92BA-87A46B0B88C3}">
      <formula1>"Yes, No"</formula1>
    </dataValidation>
    <dataValidation type="list" allowBlank="1" showInputMessage="1" showErrorMessage="1" sqref="E210" xr:uid="{99F3B51F-13E9-427F-97B3-6342B15A2901}">
      <formula1>INDIRECT("Table_SourceData_Dairy_ProductionSystemTemplates[Area]")</formula1>
    </dataValidation>
    <dataValidation type="list" allowBlank="1" showInputMessage="1" showErrorMessage="1" sqref="D262" xr:uid="{4F9AF081-70D3-47E2-93B3-11C5F0CC5FE8}">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27843D-5130-41A1-919F-B93D6628A117}">
  <dimension ref="A1:L365"/>
  <sheetViews>
    <sheetView showGridLines="0" topLeftCell="A24" workbookViewId="0" zoomScale="100" zoomScaleNormal="100">
      <selection activeCell="A50" sqref="A50"/>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395</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c r="D5" s="1" t="s">
        <v>396</v>
      </c>
      <c r="E5" s="23" t="s">
        <v>397</v>
      </c>
      <c r="F5" s="26" t="s">
        <v>100</v>
      </c>
    </row>
    <row r="6" spans="1:10" ht="20.100000000000001" customHeight="1" x14ac:dyDescent="0.25">
      <c r="E6" s="127"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row r="8" spans="1:10" ht="20.100000000000001" customHeight="1" x14ac:dyDescent="0.25">
      <c r="A8" s="7" t="s">
        <v>0</v>
      </c>
      <c r="C8" s="147"/>
      <c r="D8" s="147"/>
      <c r="E8" s="147"/>
      <c r="F8" s="147"/>
      <c r="G8" s="147"/>
      <c r="H8" s="147"/>
      <c r="I8" s="147"/>
      <c r="J8" s="147"/>
    </row>
    <row r="9" spans="1:10" ht="20.100000000000001" customHeight="1" x14ac:dyDescent="0.25">
      <c r="A9" s="5" t="str">
        <f>HYPERLINK("#'Input - Enterprise'!A1", "Enterprise")</f>
        <v>Enterprise</v>
      </c>
      <c r="D9" s="2" t="s">
        <v>398</v>
      </c>
    </row>
    <row r="10" spans="1:10" ht="20.100000000000001" customHeight="1" x14ac:dyDescent="0.25">
      <c r="A10" s="5" t="str">
        <f>HYPERLINK("#'Input - Site'!A1", "Site")</f>
        <v>Site</v>
      </c>
    </row>
    <row r="11" spans="1:10" ht="20.100000000000001" customHeight="1" x14ac:dyDescent="0.25">
      <c r="A11" s="5" t="str">
        <f>HYPERLINK("#'Input - Crop'!A1", "Crop")</f>
        <v>Crop</v>
      </c>
      <c r="D11" s="91" t="s">
        <v>399</v>
      </c>
    </row>
    <row r="12" spans="1:10" ht="20.100000000000001" customHeight="1" x14ac:dyDescent="0.25">
      <c r="A12" s="5" t="str">
        <f>HYPERLINK("#'Input - Fert Prod System'!A1", "Fert Prod System")</f>
        <v>Fert Prod System</v>
      </c>
    </row>
    <row r="13" spans="1:10" ht="20.100000000000001" customHeight="1" x14ac:dyDescent="0.25">
      <c r="A13" s="5" t="str">
        <f>HYPERLINK("#'Input - Fertiliser'!A1", "Fertiliser")</f>
        <v>Fertiliser</v>
      </c>
      <c r="D13" s="46" t="s">
        <v>400</v>
      </c>
      <c r="E13" s="49"/>
      <c r="F13" s="8"/>
    </row>
    <row r="14" spans="1:10" ht="20.100000000000001" customHeight="1" x14ac:dyDescent="0.25">
      <c r="A14" s="5" t="str">
        <f>HYPERLINK("#'Input - Fuel'!A1", "Fuel")</f>
        <v>Fuel</v>
      </c>
      <c r="D14" s="8"/>
      <c r="E14" s="8"/>
      <c r="F14" s="8"/>
    </row>
    <row r="15" spans="1:10" ht="20.100000000000001" customHeight="1" x14ac:dyDescent="0.25">
      <c r="A15" s="99" t="str">
        <f>HYPERLINK("#'Input - Electricity'!A1", "Electricity")</f>
        <v>Electricity</v>
      </c>
      <c r="D15" s="1" t="s">
        <v>401</v>
      </c>
      <c r="E15" s="175">
        <v>30000</v>
      </c>
      <c r="F15" s="26" t="s">
        <v>402</v>
      </c>
    </row>
    <row r="16" spans="1:10" ht="20.100000000000001" customHeight="1" x14ac:dyDescent="0.25">
      <c r="A16" s="5" t="str">
        <f>HYPERLINK("#'Input - Common farm inputs'!A1", "Common farm inputs")</f>
        <v>Common farm inputs</v>
      </c>
      <c r="D16" s="1" t="s">
        <v>403</v>
      </c>
      <c r="E16" s="25" t="str">
        <f>IF(X_Cell_Site_State="Western Australia", X_Cell_Site_Region, X_Cell_Site_State)</f>
        <v>Western Australia - Outback (South)</v>
      </c>
      <c r="F16" s="8"/>
    </row>
    <row r="17" spans="1:11" ht="20.100000000000001" customHeight="1" x14ac:dyDescent="0.25">
      <c r="A17" s="5" t="str">
        <f>HYPERLINK("#'Input - Crop pasture farm input'!A1", "Crop pasture farm input")</f>
        <v>Crop pasture farm input</v>
      </c>
      <c r="D17" s="1" t="s">
        <v>404</v>
      </c>
      <c r="E17" s="23" t="s">
        <v>405</v>
      </c>
      <c r="F17" s="26" t="s">
        <v>100</v>
      </c>
    </row>
    <row r="18" spans="1:11" ht="20.100000000000001" customHeight="1" x14ac:dyDescent="0.25">
      <c r="A18" s="5" t="str">
        <f>HYPERLINK("#'Input - Freight'!A1", "Freight")</f>
        <v>Freight</v>
      </c>
    </row>
    <row r="19" spans="1:11" ht="20.100000000000001" customHeight="1" x14ac:dyDescent="0.25">
      <c r="A19" s="5" t="str">
        <f>HYPERLINK("#'Input - Manure sent off-site'!A1", "Manure sent off-site")</f>
        <v>Manure sent off-site</v>
      </c>
    </row>
    <row r="20" spans="1:11" ht="20.100000000000001" customHeight="1" x14ac:dyDescent="0.25">
      <c r="A20" s="5" t="str">
        <f>HYPERLINK("#'Input - Solid waste'!A1", "Solid waste")</f>
        <v>Solid waste</v>
      </c>
      <c r="C20" s="147"/>
      <c r="D20" s="147"/>
      <c r="E20" s="147"/>
      <c r="F20" s="147"/>
      <c r="G20" s="147"/>
      <c r="H20" s="147"/>
      <c r="I20" s="147"/>
      <c r="J20" s="147"/>
    </row>
    <row r="21" spans="1:11" ht="20.100000000000001" customHeight="1" x14ac:dyDescent="0.25">
      <c r="A21" s="5" t="str">
        <f>HYPERLINK("#'Input - Data quality'!A1", "Data quality")</f>
        <v>Data quality</v>
      </c>
      <c r="D21" s="2" t="s">
        <v>406</v>
      </c>
    </row>
    <row r="22" spans="1:11" ht="20.100000000000001" customHeight="1" x14ac:dyDescent="0.25">
      <c r="E22" s="127" t="str">
        <f>IF(E16="ACT", "", "ALERT: Your farm is not in the ACT, so the JRPP is not applicable")</f>
        <v>ALERT: Your farm is not in the ACT, so the JRPP is not applicable</v>
      </c>
    </row>
    <row r="23" spans="1:11" ht="20.100000000000001" customHeight="1" x14ac:dyDescent="0.25">
      <c r="D23" s="1" t="s">
        <v>407</v>
      </c>
      <c r="E23" s="175">
        <v>30000</v>
      </c>
      <c r="F23" s="26" t="s">
        <v>402</v>
      </c>
    </row>
    <row r="24" spans="1:11" ht="20.100000000000001" customHeight="1" x14ac:dyDescent="0.25">
      <c r="A24" s="6" t="s">
        <v>2</v>
      </c>
      <c r="D24" s="1" t="s">
        <v>408</v>
      </c>
      <c r="E24" s="28">
        <v>0.1</v>
      </c>
      <c r="F24" s="26" t="s">
        <v>153</v>
      </c>
    </row>
    <row r="25" spans="1:11" ht="20.100000000000001" customHeight="1" x14ac:dyDescent="0.25">
      <c r="A25" s="5" t="str">
        <f>HYPERLINK("#'5.1.1.1-2 Inorganic fert N2O'!A1", "5.1.1.1-2 Inorganic fert N2O")</f>
        <v>5.1.1.1-2 Inorganic fert N2O</v>
      </c>
      <c r="D25" s="1" t="s">
        <v>409</v>
      </c>
      <c r="E25" s="28">
        <v>0.1</v>
      </c>
      <c r="F25" s="26" t="s">
        <v>153</v>
      </c>
    </row>
    <row r="26" spans="1:11" ht="20.100000000000001" customHeight="1" x14ac:dyDescent="0.25">
      <c r="A26" s="5" t="str">
        <f>HYPERLINK("#'5.1.1.3-4 Inorganic fert CO2'!A1", "5.1.1.3-4 Inorganic fert CO2")</f>
        <v>5.1.1.3-4 Inorganic fert CO2</v>
      </c>
    </row>
    <row r="27" spans="1:11" ht="20.100000000000001" customHeight="1" x14ac:dyDescent="0.25">
      <c r="A27" s="5" t="str">
        <f>HYPERLINK("#'5.2.1.1-2 Organic Fert N2O'!A1", "5.2.1.1-2 Organic fert N2O")</f>
        <v>5.2.1.1-2 Organic fert N2O</v>
      </c>
      <c r="D27" s="1" t="s">
        <v>410</v>
      </c>
      <c r="E27" s="175">
        <v>10000</v>
      </c>
      <c r="F27" s="26" t="s">
        <v>402</v>
      </c>
    </row>
    <row r="28" spans="1:11" ht="20.100000000000001" customHeight="1" x14ac:dyDescent="0.25">
      <c r="A28" s="5" t="str">
        <f>HYPERLINK("#'5.3.1.1-2 Lime CO2'!A1", "5.3.1.1-2 Lime CO2")</f>
        <v>5.3.1.1-2 Lime CO2</v>
      </c>
    </row>
    <row r="29" spans="1:11" ht="20.100000000000001" customHeight="1" x14ac:dyDescent="0.25">
      <c r="A29" s="5" t="str">
        <f>HYPERLINK("#'5.4.1.1-4 Atmos deposition'!A1", "5.4.1.1-4 Atmos. deposition")</f>
        <v>5.4.1.1-4 Atmos. deposition</v>
      </c>
      <c r="D29" s="1" t="s">
        <v>411</v>
      </c>
      <c r="E29" s="176" t="str">
        <f>TEXT(X_Cell_Site_StartDate, "dd mmm yyyy")</f>
        <v>01 Jan 2025</v>
      </c>
      <c r="K29" s="126"/>
    </row>
    <row r="30" spans="1:11" ht="20.100000000000001" customHeight="1" x14ac:dyDescent="0.25">
      <c r="A30" s="5" t="str">
        <f>HYPERLINK("#'5.5.1.1-2 Leaching and runoff'!A1", "5.5.1.1-2 Leaching &amp; runoff")</f>
        <v>5.5.1.1-2 Leaching &amp; runoff</v>
      </c>
      <c r="D30" s="1" t="s">
        <v>412</v>
      </c>
      <c r="E30" s="176" t="str">
        <f>TEXT(X_Cell_Site_EndDate, "dd mmm yyyy")</f>
        <v>31 Dec 2025</v>
      </c>
      <c r="K30" s="126"/>
    </row>
    <row r="31" spans="1:11" ht="20.100000000000001" customHeight="1" x14ac:dyDescent="0.25">
      <c r="A31" s="5" t="str">
        <f>HYPERLINK("#'6.1.1.1-2 Crop residue N2O'!A1", "6.1.1.1-2 Crop residue N2O")</f>
        <v>6.1.1.1-2 Crop residue N2O</v>
      </c>
      <c r="K31" s="126"/>
    </row>
    <row r="32" spans="1:11" ht="20.100000000000001" customHeight="1" x14ac:dyDescent="0.25">
      <c r="A32" s="5" t="str">
        <f>HYPERLINK("#'6.3.1.1-2 Leach runoff crop'!A1", "6.3.1.1-2 Leach &amp; runoff (crop)")</f>
        <v>6.3.1.1-2 Leach &amp; runoff (crop)</v>
      </c>
      <c r="D32" s="91" t="s">
        <v>413</v>
      </c>
      <c r="K32" s="126"/>
    </row>
    <row r="33" spans="1:12" ht="20.100000000000001" customHeight="1" x14ac:dyDescent="0.25">
      <c r="A33" s="5" t="str">
        <f>HYPERLINK("#'6.4.1.1-2 Residue burning'!A1", "6.4.1.1-2 Residue burning")</f>
        <v>6.4.1.1-2 Residue burning</v>
      </c>
      <c r="K33" s="126"/>
    </row>
    <row r="34" spans="1:12" ht="20.100000000000001" customHeight="1" x14ac:dyDescent="0.25">
      <c r="A34" s="5" t="str">
        <f>HYPERLINK("#'8.1.1.1-2 Transport fuel'!A1", "8.1.1.1-2 Transport fuel")</f>
        <v>8.1.1.1-2 Transport fuel</v>
      </c>
      <c r="D34" s="46" t="s">
        <v>414</v>
      </c>
      <c r="E34" s="49"/>
      <c r="K34" s="126"/>
    </row>
    <row r="35" spans="1:12" ht="20.100000000000001" customHeight="1" x14ac:dyDescent="0.25">
      <c r="A35" s="5" t="str">
        <f>HYPERLINK("#'8.2.1.1-2 Stationary fuel'!A1", "8.2.1.1-2 Stationary fuel")</f>
        <v>8.2.1.1-2 Stationary fuel</v>
      </c>
    </row>
    <row r="36" spans="1:12" ht="20.100000000000001" customHeight="1" x14ac:dyDescent="0.25">
      <c r="A36" s="5" t="str">
        <f>HYPERLINK("#'14.1.1-2 Purchased electricity'!A1", "14.1.1-2 Purchased electricity")</f>
        <v>14.1.1-2 Purchased electricity</v>
      </c>
      <c r="D36" s="92" t="s">
        <v>415</v>
      </c>
      <c r="E36" s="92" t="s">
        <v>416</v>
      </c>
      <c r="F36" s="92" t="s">
        <v>417</v>
      </c>
      <c r="G36" s="92" t="s">
        <v>418</v>
      </c>
      <c r="H36" s="92" t="s">
        <v>419</v>
      </c>
      <c r="I36" s="92" t="s">
        <v>420</v>
      </c>
      <c r="L36" s="126"/>
    </row>
    <row r="37" spans="1:12" ht="20.100000000000001" customHeight="1" x14ac:dyDescent="0.25">
      <c r="A37" s="5" t="str">
        <f>HYPERLINK("#'15 Scope 3'!A1", "15 Scope 3")</f>
        <v>15 Scope 3</v>
      </c>
      <c r="D37" s="30" t="s">
        <v>421</v>
      </c>
      <c r="E37" s="23" t="s">
        <v>422</v>
      </c>
      <c r="F37" s="177">
        <v>44185</v>
      </c>
      <c r="G37" s="30">
        <v>12</v>
      </c>
      <c r="H37" s="25">
        <f>Table_Input_RECSurrendered[[#This Row],[Number of certificates]]</f>
        <v>12</v>
      </c>
      <c r="I37" s="25" t="str">
        <f>IF(DATEDIF(Table_Input_RECSurrendered[[#This Row],[Generation date]],DATEVALUE($E$30),"M")&gt;36,"Ineligible - older than 36 months","Elegible")</f>
        <v>Ineligible - older than 36 months</v>
      </c>
      <c r="L37" s="126"/>
    </row>
    <row r="38" spans="1:12" ht="20.100000000000001" customHeight="1" x14ac:dyDescent="0.25">
      <c r="A38" s="5" t="str">
        <f>HYPERLINK("#'Calcs - Manure sent off-site'!A1", "Calcs - Manure sent off-site")</f>
        <v>Calcs - Manure sent off-site</v>
      </c>
      <c r="D38" s="30" t="s">
        <v>423</v>
      </c>
      <c r="E38" s="23" t="s">
        <v>424</v>
      </c>
      <c r="F38" s="177">
        <v>44575</v>
      </c>
      <c r="G38" s="30">
        <v>5</v>
      </c>
      <c r="H38" s="25">
        <f>Table_Input_RECSurrendered[[#This Row],[Number of certificates]]</f>
        <v>5</v>
      </c>
      <c r="I38" s="25" t="str">
        <f>IF(DATEDIF(Table_Input_RECSurrendered[[#This Row],[Generation date]],DATEVALUE($E$30),"M")&gt;36,"Ineligible - older than 36 months","Elegible")</f>
        <v>Ineligible - older than 36 months</v>
      </c>
    </row>
    <row r="39" spans="1:12" ht="20.100000000000001" customHeight="1" x14ac:dyDescent="0.25">
      <c r="A39" s="5" t="str">
        <f>HYPERLINK("#'10.1.1-2 Solid waste treatment'!A1", "10.1.1-2 Solid waste treatment")</f>
        <v>10.1.1-2 Solid waste treatment</v>
      </c>
      <c r="D39" s="30" t="s">
        <v>425</v>
      </c>
      <c r="E39" s="23" t="s">
        <v>422</v>
      </c>
      <c r="F39" s="177">
        <v>45438</v>
      </c>
      <c r="G39" s="30">
        <v>5</v>
      </c>
      <c r="H39" s="25">
        <f>Table_Input_RECSurrendered[[#This Row],[Number of certificates]]</f>
        <v>5</v>
      </c>
      <c r="I39" s="25" t="str">
        <f>IF(DATEDIF(Table_Input_RECSurrendered[[#This Row],[Generation date]],DATEVALUE($E$30),"M")&gt;36,"Ineligible - older than 36 months","Elegible")</f>
        <v>Elegible</v>
      </c>
    </row>
    <row r="40" spans="1:12" s="126" customFormat="1" ht="20.100000000000001" customHeight="1" x14ac:dyDescent="0.25">
      <c r="A40"/>
      <c r="C40" s="1"/>
      <c r="D40" s="1"/>
      <c r="E40" s="1"/>
      <c r="F40" s="1"/>
      <c r="G40" s="1"/>
      <c r="H40" s="1"/>
      <c r="I40" s="1"/>
      <c r="J40" s="1"/>
    </row>
    <row r="41" spans="1:12" s="126" customFormat="1" ht="20.100000000000001" customHeight="1" x14ac:dyDescent="0.25">
      <c r="A41"/>
      <c r="C41" s="1"/>
      <c r="D41" s="1" t="s">
        <v>426</v>
      </c>
      <c r="E41" s="25">
        <f>SUMIF(Table_Input_RECSurrendered[Elegibility], "Elegible", Table_Input_RECSurrendered[MWh])</f>
        <v>5</v>
      </c>
      <c r="F41" s="26" t="s">
        <v>419</v>
      </c>
      <c r="G41" s="1"/>
      <c r="H41" s="1"/>
      <c r="I41" s="1"/>
      <c r="J41" s="1"/>
      <c r="L41" s="126" t="s">
        <v>427</v>
      </c>
    </row>
    <row r="42" spans="1:12" ht="20.100000000000001" customHeight="1" x14ac:dyDescent="0.25">
      <c r="A42" s="108" t="s">
        <v>1</v>
      </c>
      <c r="C42" s="114"/>
    </row>
    <row r="43" spans="1:12" ht="20.100000000000001" customHeight="1" x14ac:dyDescent="0.25">
      <c r="A43" s="5" t="str">
        <f>HYPERLINK("#'Constants - Ag Residue'!A1", "Constants - Ag residue")</f>
        <v>Constants - Ag residue</v>
      </c>
      <c r="C43" s="114"/>
      <c r="D43" s="91" t="s">
        <v>428</v>
      </c>
      <c r="J43" s="114"/>
    </row>
    <row r="44" spans="1:12" ht="20.100000000000001" customHeight="1" x14ac:dyDescent="0.25">
      <c r="A44" s="5" t="str">
        <f>HYPERLINK("#'Constants - Common Livestock'!A1", "Constants - Common Livestock")</f>
        <v>Constants - Common Livestock</v>
      </c>
    </row>
    <row r="45" spans="1:12" ht="20.100000000000001" customHeight="1" x14ac:dyDescent="0.25">
      <c r="A45" s="5" t="str">
        <f>HYPERLINK("#'Constants - Electricity'!A1", "Constants - Electricity")</f>
        <v>Constants - Electricity</v>
      </c>
      <c r="D45" s="92" t="s">
        <v>415</v>
      </c>
      <c r="E45" s="92" t="s">
        <v>359</v>
      </c>
      <c r="F45" s="92" t="s">
        <v>417</v>
      </c>
      <c r="G45" s="92" t="s">
        <v>418</v>
      </c>
      <c r="H45" s="92" t="s">
        <v>419</v>
      </c>
      <c r="I45" s="92" t="s">
        <v>420</v>
      </c>
    </row>
    <row r="46" spans="1:12" ht="20.100000000000001" customHeight="1" x14ac:dyDescent="0.25">
      <c r="A46" s="5" t="str">
        <f>HYPERLINK("#'Constants - Fertiliser'!A1", "Constants - Fertiliser")</f>
        <v>Constants - Fertiliser</v>
      </c>
      <c r="D46" s="30" t="s">
        <v>429</v>
      </c>
      <c r="E46" s="178" t="str">
        <f>"Issued for generated electricity"</f>
        <v>Issued for generated electricity</v>
      </c>
      <c r="F46" s="177">
        <v>44697</v>
      </c>
      <c r="G46" s="30">
        <v>10</v>
      </c>
      <c r="H46" s="25">
        <f>Table_Input_RECConsumedByEntity[[#This Row],[Number of certificates]]</f>
        <v>10</v>
      </c>
      <c r="I46" s="25"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A47" s="5" t="str">
        <f>HYPERLINK("#'Constants - Fuel'!A1", "Constants - Fuel")</f>
        <v>Constants - Fuel</v>
      </c>
      <c r="D47" s="30" t="s">
        <v>430</v>
      </c>
      <c r="E47" s="178" t="str">
        <f>"Issued for generated electricity"</f>
        <v>Issued for generated electricity</v>
      </c>
      <c r="F47" s="177">
        <v>45483</v>
      </c>
      <c r="G47" s="30">
        <v>4</v>
      </c>
      <c r="H47" s="25">
        <f>Table_Input_RECConsumedByEntity[[#This Row],[Number of certificates]]</f>
        <v>4</v>
      </c>
      <c r="I47" s="25" t="str">
        <f>IF(AND(Table_Input_RECConsumedByEntity[[#This Row],[Generation date]]&gt;=DATEVALUE($E$29), Table_Input_RECConsumedByEntity[[#This Row],[Generation date]]&lt;= DATEVALUE($E$30)), "Elegible", "Ineligible - outside reporting year")</f>
        <v>Ineligible - outside reporting year</v>
      </c>
    </row>
    <row r="48" spans="1:12" ht="20.100000000000001" customHeight="1" x14ac:dyDescent="0.25">
      <c r="A48" s="5" t="str">
        <f>HYPERLINK("#'Constants - Scope 3'!A1", "Constants - Scope 3")</f>
        <v>Constants - Scope 3</v>
      </c>
      <c r="D48" s="179">
        <v>45597</v>
      </c>
      <c r="E48" s="178" t="str">
        <f>"Issued for generated electricity"</f>
        <v>Issued for generated electricity</v>
      </c>
      <c r="F48" s="177">
        <v>45607</v>
      </c>
      <c r="G48" s="30">
        <v>7</v>
      </c>
      <c r="H48" s="25">
        <f>Table_Input_RECConsumedByEntity[[#This Row],[Number of certificates]]</f>
        <v>7</v>
      </c>
      <c r="I48" s="25" t="str">
        <f>IF(AND(Table_Input_RECConsumedByEntity[[#This Row],[Generation date]]&gt;=DATEVALUE($E$29), Table_Input_RECConsumedByEntity[[#This Row],[Generation date]]&lt;= DATEVALUE($E$30)), "Elegible", "Ineligible - outside reporting year")</f>
        <v>Ineligible - outside reporting year</v>
      </c>
    </row>
    <row r="49" spans="1:6" ht="20.100000000000001" customHeight="1" x14ac:dyDescent="0.25">
      <c r="A49" s="5" t="str">
        <f>HYPERLINK("#'Constants - Common'!A1", "Constants - Common")</f>
        <v>Constants - Common</v>
      </c>
    </row>
    <row r="50" spans="1:6" ht="20.100000000000001" customHeight="1" x14ac:dyDescent="0.25">
      <c r="A50" s="5" t="str">
        <f>HYPERLINK("#'Constants - Solid Waste'!A1", "Constants - Solid Waste")</f>
        <v>Constants - Solid Waste</v>
      </c>
      <c r="D50" s="1" t="s">
        <v>431</v>
      </c>
      <c r="E50" s="25">
        <f>SUMIF(Table_Input_RECConsumedByEntity[Elegibility], "Elegible", Table_Input_RECConsumedByEntity[Number of certificates])</f>
        <v>0</v>
      </c>
      <c r="F50" s="26" t="s">
        <v>419</v>
      </c>
    </row>
    <row r="51" spans="1:6" ht="20.100000000000001" customHeight="1" x14ac:dyDescent="0.25"/>
    <row r="52" spans="1:6" ht="20.100000000000001" customHeight="1" x14ac:dyDescent="0.25"/>
    <row r="53" spans="1:6" ht="20.100000000000001" customHeight="1" x14ac:dyDescent="0.25"/>
    <row r="54" spans="1:6" ht="20.100000000000001" customHeight="1" x14ac:dyDescent="0.25"/>
    <row r="55" spans="1:6" ht="20.100000000000001" customHeight="1" x14ac:dyDescent="0.25">
      <c r="D55" s="180"/>
    </row>
    <row r="56" spans="1:6" ht="20.100000000000001" customHeight="1" x14ac:dyDescent="0.25">
      <c r="D56" s="180"/>
    </row>
    <row r="57" spans="1:6" ht="20.100000000000001" customHeight="1" x14ac:dyDescent="0.25"/>
    <row r="58" spans="1:6" ht="20.100000000000001" customHeight="1" x14ac:dyDescent="0.25"/>
    <row r="59" spans="1:6" ht="20.100000000000001" customHeight="1" x14ac:dyDescent="0.25"/>
    <row r="60" spans="1:6" ht="20.100000000000001" customHeight="1" x14ac:dyDescent="0.25"/>
    <row r="61" spans="1:6" ht="20.100000000000001" customHeight="1" x14ac:dyDescent="0.25"/>
    <row r="62" spans="1:6" ht="20.100000000000001" customHeight="1" x14ac:dyDescent="0.25"/>
    <row r="63" spans="1:6" ht="20.100000000000001" customHeight="1" x14ac:dyDescent="0.25"/>
    <row r="64" spans="1: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127"/>
    </row>
  </sheetData>
  <conditionalFormatting sqref="F130:F131">
    <cfRule type="cellIs" dxfId="33" priority="8" operator="lessThan">
      <formula>0</formula>
    </cfRule>
  </conditionalFormatting>
  <conditionalFormatting sqref="F142:F143">
    <cfRule type="cellIs" dxfId="32" priority="7" operator="lessThan">
      <formula>0</formula>
    </cfRule>
  </conditionalFormatting>
  <conditionalFormatting sqref="F154:F155">
    <cfRule type="cellIs" dxfId="31" priority="6" operator="lessThan">
      <formula>0</formula>
    </cfRule>
  </conditionalFormatting>
  <conditionalFormatting sqref="F166:F167">
    <cfRule type="cellIs" dxfId="30" priority="5" operator="lessThan">
      <formula>0</formula>
    </cfRule>
  </conditionalFormatting>
  <conditionalFormatting sqref="F254:F255">
    <cfRule type="cellIs" dxfId="29" priority="17" operator="lessThan">
      <formula>0</formula>
    </cfRule>
  </conditionalFormatting>
  <conditionalFormatting sqref="F259:F260">
    <cfRule type="cellIs" dxfId="28" priority="16" operator="lessThan">
      <formula>0</formula>
    </cfRule>
  </conditionalFormatting>
  <conditionalFormatting sqref="F264:F265">
    <cfRule type="cellIs" dxfId="27" priority="15" operator="lessThan">
      <formula>0</formula>
    </cfRule>
  </conditionalFormatting>
  <conditionalFormatting sqref="F288:F289">
    <cfRule type="cellIs" dxfId="26" priority="14" operator="lessThan">
      <formula>0</formula>
    </cfRule>
  </conditionalFormatting>
  <conditionalFormatting sqref="F293:F294">
    <cfRule type="cellIs" dxfId="25" priority="13" operator="lessThan">
      <formula>0</formula>
    </cfRule>
  </conditionalFormatting>
  <conditionalFormatting sqref="F298:F299">
    <cfRule type="cellIs" dxfId="24" priority="12" operator="lessThan">
      <formula>0</formula>
    </cfRule>
  </conditionalFormatting>
  <conditionalFormatting sqref="I59:I63">
    <cfRule type="cellIs" dxfId="23" priority="4" operator="lessThan">
      <formula>0</formula>
    </cfRule>
  </conditionalFormatting>
  <conditionalFormatting sqref="I67 I126">
    <cfRule type="cellIs" dxfId="22" priority="10" operator="lessThan">
      <formula>0</formula>
    </cfRule>
  </conditionalFormatting>
  <conditionalFormatting sqref="I78:I80">
    <cfRule type="cellIs" dxfId="21" priority="3" operator="lessThan">
      <formula>0</formula>
    </cfRule>
  </conditionalFormatting>
  <conditionalFormatting sqref="I84:I87">
    <cfRule type="cellIs" dxfId="20" priority="2" operator="lessThan">
      <formula>0</formula>
    </cfRule>
  </conditionalFormatting>
  <conditionalFormatting sqref="I91:I95">
    <cfRule type="cellIs" dxfId="19" priority="1" operator="lessThan">
      <formula>0</formula>
    </cfRule>
  </conditionalFormatting>
  <conditionalFormatting sqref="J35 I49:I50 H51:H53 I52 I54:I55 I206 I212 E214:G214">
    <cfRule type="cellIs" dxfId="18" priority="11" operator="lessThan">
      <formula>0</formula>
    </cfRule>
  </conditionalFormatting>
  <conditionalFormatting sqref="J39 I40 J41 I43">
    <cfRule type="cellIs" dxfId="17" priority="9" operator="lessThan">
      <formula>0</formula>
    </cfRule>
  </conditionalFormatting>
  <dataValidations count="7">
    <dataValidation type="list" allowBlank="1" showInputMessage="1" showErrorMessage="1" sqref="E5" xr:uid="{67C9B18F-7707-40E3-8FE3-677697FF6281}">
      <formula1>"Location-based (simpler), Market-based (more complex)"</formula1>
    </dataValidation>
    <dataValidation type="list" allowBlank="1" showInputMessage="1" showErrorMessage="1" sqref="E37:E39" xr:uid="{E0714AC4-8985-4F44-8938-471DC2884D43}">
      <formula1>"Purchased certificate, Issued for generated electricity"</formula1>
    </dataValidation>
    <dataValidation type="list" allowBlank="1" showInputMessage="1" showErrorMessage="1" sqref="E17" xr:uid="{2A1D513F-BA85-4A4B-80CA-58B090F7EB15}">
      <formula1>INDIRECT("Table_SourceData_ElectricityEFs[State, Territory or grid description]")</formula1>
    </dataValidation>
    <dataValidation type="list" allowBlank="1" showInputMessage="1" showErrorMessage="1" sqref="E69" xr:uid="{06366C45-F7D0-4779-8CF1-CBABB5AE15B2}">
      <formula1>INDIRECT("Table_SourceData_Swine_IrrigationMethods[Irrigation method]")</formula1>
    </dataValidation>
    <dataValidation type="list" allowBlank="1" showInputMessage="1" showErrorMessage="1" sqref="E253 E258 E263 E297 E292 E287 E165 E153 E129 E141" xr:uid="{17592420-E7CC-4C71-88F9-83ACE0DA0620}">
      <formula1>"Yes, No"</formula1>
    </dataValidation>
    <dataValidation type="list" allowBlank="1" showInputMessage="1" showErrorMessage="1" sqref="E229" xr:uid="{826D7770-3C0F-446E-963C-6728FC87DC70}">
      <formula1>INDIRECT("Table_SourceData_Dairy_ProductionSystemTemplates[Area]")</formula1>
    </dataValidation>
    <dataValidation type="list" allowBlank="1" showInputMessage="1" showErrorMessage="1" sqref="D281" xr:uid="{18E8D5C1-7669-4CC2-ABEF-405E8AD507F3}">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89C030-9F99-4039-8E71-7C9B3A5CBEA8}">
  <sheetPr>
    <tabColor theme="5" tint="-0.249977111117893"/>
  </sheetPr>
  <dimension ref="A1:S227"/>
  <sheetViews>
    <sheetView showGridLines="0" topLeftCell="A5" workbookViewId="0" zoomScale="100" zoomScaleNormal="100">
      <selection activeCell="A50" sqref="A50"/>
    </sheetView>
  </sheetViews>
  <sheetFormatPr defaultRowHeight="15.75" x14ac:dyDescent="0.25"/>
  <cols>
    <col min="1" max="1" width="30.7109375" style="238" customWidth="1"/>
    <col min="2" max="2" width="4.7109375" style="238" customWidth="1"/>
    <col min="3" max="3" width="4.7109375" style="240" customWidth="1"/>
    <col min="4" max="4" width="47.140625" style="240" customWidth="1"/>
    <col min="5" max="10" width="30.7109375" style="240" customWidth="1"/>
    <col min="11" max="18" width="35" style="1" customWidth="1"/>
    <col min="19" max="19" width="5.28515625" style="1" customWidth="1"/>
    <col min="20" max="16384" width="9.140625" style="238"/>
  </cols>
  <sheetData>
    <row r="1" spans="1:19" ht="30" customHeight="1" x14ac:dyDescent="0.35">
      <c r="A1" s="16" t="e" vm="1">
        <v>#VALUE!</v>
      </c>
      <c r="C1" s="38" t="s">
        <v>685</v>
      </c>
      <c r="D1" s="32"/>
      <c r="E1" s="32"/>
      <c r="F1" s="32"/>
      <c r="G1" s="32"/>
      <c r="H1" s="32"/>
      <c r="I1" s="32"/>
      <c r="J1" s="32"/>
      <c r="K1" s="32"/>
      <c r="L1" s="32"/>
      <c r="M1" s="32"/>
      <c r="N1" s="32"/>
      <c r="O1" s="32"/>
      <c r="P1" s="32"/>
      <c r="Q1" s="32"/>
      <c r="R1" s="32"/>
      <c r="S1" s="32"/>
    </row>
    <row r="2" spans="1:19" ht="20.100000000000001" customHeight="1" x14ac:dyDescent="0.25">
      <c r="A2"/>
      <c r="C2" s="3"/>
      <c r="D2" s="3"/>
      <c r="E2" s="3"/>
      <c r="F2" s="3"/>
      <c r="G2" s="3"/>
      <c r="H2" s="3"/>
      <c r="I2" s="3"/>
      <c r="J2" s="3"/>
      <c r="K2" s="3"/>
      <c r="L2" s="3"/>
      <c r="M2" s="3"/>
      <c r="N2" s="3"/>
      <c r="O2" s="3"/>
      <c r="P2" s="3"/>
      <c r="Q2" s="3"/>
      <c r="R2" s="3"/>
      <c r="S2" s="3"/>
    </row>
    <row r="3" spans="1:19" ht="20.100000000000001" customHeight="1" x14ac:dyDescent="0.25">
      <c r="A3" s="5" t="str">
        <f>HYPERLINK("#'Home'!A1", "Home")</f>
        <v>Home</v>
      </c>
      <c r="C3" s="39"/>
      <c r="D3" s="39"/>
      <c r="E3" s="39"/>
      <c r="F3" s="39"/>
      <c r="G3" s="39"/>
      <c r="H3" s="39"/>
      <c r="I3" s="39"/>
      <c r="J3" s="39"/>
      <c r="K3" s="39"/>
      <c r="L3" s="39"/>
      <c r="M3" s="39"/>
      <c r="N3" s="39"/>
      <c r="O3" s="39"/>
      <c r="P3" s="39"/>
      <c r="Q3" s="39"/>
      <c r="R3" s="39"/>
      <c r="S3" s="39"/>
    </row>
    <row r="4" spans="1:19" ht="20.100000000000001" customHeight="1" x14ac:dyDescent="0.25">
      <c r="A4" s="5" t="str">
        <f>HYPERLINK("#'Overview'!A1", "Overview")</f>
        <v>Overview</v>
      </c>
      <c r="C4" s="35"/>
      <c r="D4" s="35"/>
      <c r="E4" s="35"/>
      <c r="F4" s="35"/>
      <c r="G4" s="35"/>
      <c r="H4" s="35"/>
      <c r="I4" s="35"/>
      <c r="J4" s="35"/>
    </row>
    <row r="5" spans="1:19" ht="20.100000000000001" customHeight="1" x14ac:dyDescent="0.25">
      <c r="A5" s="5" t="str">
        <f>HYPERLINK("#'Results'!A1", "Results")</f>
        <v>Results</v>
      </c>
      <c r="C5" s="1"/>
      <c r="D5" s="2" t="s">
        <v>686</v>
      </c>
      <c r="E5" s="35"/>
      <c r="F5" s="35"/>
      <c r="G5" s="35"/>
      <c r="H5" s="35"/>
      <c r="I5" s="35"/>
      <c r="J5" s="35"/>
    </row>
    <row r="6" spans="1:19" ht="20.100000000000001" customHeight="1" x14ac:dyDescent="0.25">
      <c r="A6"/>
      <c r="C6" s="1"/>
    </row>
    <row r="7" spans="1:19" ht="20.100000000000001" customHeight="1" x14ac:dyDescent="0.25">
      <c r="A7"/>
      <c r="C7" s="1"/>
      <c r="D7" s="92" t="s">
        <v>687</v>
      </c>
      <c r="E7" s="92" t="s">
        <v>688</v>
      </c>
      <c r="F7" s="92" t="s">
        <v>689</v>
      </c>
    </row>
    <row r="8" spans="1:19" ht="20.100000000000001" customHeight="1" x14ac:dyDescent="0.25">
      <c r="A8" s="7" t="s">
        <v>0</v>
      </c>
      <c r="C8" s="1"/>
      <c r="D8" s="44" t="s">
        <v>690</v>
      </c>
      <c r="E8" s="23" t="s">
        <v>691</v>
      </c>
      <c r="F8" s="86">
        <v>100</v>
      </c>
    </row>
    <row r="9" spans="1:19" ht="20.100000000000001" customHeight="1" x14ac:dyDescent="0.25">
      <c r="A9" s="5" t="str">
        <f>HYPERLINK("#'Input - Enterprise'!A1", "Enterprise")</f>
        <v>Enterprise</v>
      </c>
      <c r="C9" s="1"/>
      <c r="D9" s="44" t="s">
        <v>692</v>
      </c>
      <c r="E9" s="186" t="s">
        <v>693</v>
      </c>
      <c r="F9" s="241">
        <v>100</v>
      </c>
    </row>
    <row r="10" spans="1:19" ht="20.100000000000001" customHeight="1" x14ac:dyDescent="0.25">
      <c r="A10" s="5" t="str">
        <f>HYPERLINK("#'Input - Site'!A1", "Site")</f>
        <v>Site</v>
      </c>
      <c r="D10" s="44" t="s">
        <v>694</v>
      </c>
      <c r="E10" s="186" t="s">
        <v>695</v>
      </c>
      <c r="F10" s="241">
        <v>100</v>
      </c>
    </row>
    <row r="11" spans="1:19" ht="20.100000000000001" customHeight="1" x14ac:dyDescent="0.25">
      <c r="A11" s="5" t="str">
        <f>HYPERLINK("#'Input - Crop'!A1", "Crop")</f>
        <v>Crop</v>
      </c>
      <c r="D11" s="44" t="s">
        <v>694</v>
      </c>
      <c r="E11" s="186" t="s">
        <v>695</v>
      </c>
      <c r="F11" s="241">
        <v>100</v>
      </c>
    </row>
    <row r="12" spans="1:19" ht="20.100000000000001" customHeight="1" x14ac:dyDescent="0.25">
      <c r="A12" s="5" t="str">
        <f>HYPERLINK("#'Input - Fert Prod System'!A1", "Fert Prod System")</f>
        <v>Fert Prod System</v>
      </c>
      <c r="C12" s="1"/>
      <c r="D12" s="44" t="s">
        <v>690</v>
      </c>
      <c r="E12" s="186" t="s">
        <v>691</v>
      </c>
      <c r="F12" s="241">
        <v>100</v>
      </c>
    </row>
    <row r="13" spans="1:19" ht="20.100000000000001" customHeight="1" x14ac:dyDescent="0.25">
      <c r="A13" s="5" t="str">
        <f>HYPERLINK("#'Input - Fertiliser'!A1", "Fertiliser")</f>
        <v>Fertiliser</v>
      </c>
      <c r="C13" s="1"/>
      <c r="D13" s="44" t="s">
        <v>690</v>
      </c>
      <c r="E13" s="186" t="s">
        <v>691</v>
      </c>
      <c r="F13" s="241">
        <v>100</v>
      </c>
    </row>
    <row r="14" spans="1:19" ht="20.100000000000001" customHeight="1" x14ac:dyDescent="0.25">
      <c r="A14" s="5" t="str">
        <f>HYPERLINK("#'Input - Fuel'!A1", "Fuel")</f>
        <v>Fuel</v>
      </c>
      <c r="D14" s="44"/>
      <c r="E14" s="23"/>
      <c r="F14" s="86"/>
    </row>
    <row r="15" spans="1:19" ht="20.100000000000001" customHeight="1" x14ac:dyDescent="0.25">
      <c r="A15" s="5" t="str">
        <f>HYPERLINK("#'Input - Electricity'!A1", "Electricity")</f>
        <v>Electricity</v>
      </c>
      <c r="D15" s="44"/>
      <c r="E15" s="23"/>
      <c r="F15" s="86"/>
    </row>
    <row r="16" spans="1:19" ht="20.100000000000001" customHeight="1" x14ac:dyDescent="0.25">
      <c r="A16" s="99" t="str">
        <f>HYPERLINK("#'Input - Common farm inputs'!A1", "Common farm inputs")</f>
        <v>Common farm inputs</v>
      </c>
      <c r="D16" s="44"/>
      <c r="E16" s="23"/>
      <c r="F16" s="86"/>
    </row>
    <row r="17" spans="1:10" ht="20.100000000000001" customHeight="1" x14ac:dyDescent="0.25">
      <c r="A17" s="5" t="str">
        <f>HYPERLINK("#'Input - Crop pasture farm input'!A1", "Crop pasture farm input")</f>
        <v>Crop pasture farm input</v>
      </c>
      <c r="C17" s="1"/>
      <c r="D17" s="44"/>
      <c r="E17" s="23"/>
      <c r="F17" s="86"/>
    </row>
    <row r="18" spans="1:10" ht="20.100000000000001" customHeight="1" x14ac:dyDescent="0.25">
      <c r="A18" s="5" t="str">
        <f>HYPERLINK("#'Input - Freight'!A1", "Freight")</f>
        <v>Freight</v>
      </c>
      <c r="C18" s="1"/>
    </row>
    <row r="19" spans="1:10" ht="20.100000000000001" customHeight="1" x14ac:dyDescent="0.25">
      <c r="A19" s="5" t="str">
        <f>HYPERLINK("#'Input - Manure sent off-site'!A1", "Manure sent off-site")</f>
        <v>Manure sent off-site</v>
      </c>
    </row>
    <row r="20" spans="1:10" ht="20.100000000000001" customHeight="1" x14ac:dyDescent="0.25">
      <c r="A20" s="5" t="str">
        <f>HYPERLINK("#'Input - Solid waste'!A1", "Solid waste")</f>
        <v>Solid waste</v>
      </c>
      <c r="D20" s="2" t="s">
        <v>696</v>
      </c>
    </row>
    <row r="21" spans="1:10" ht="20.100000000000001" customHeight="1" x14ac:dyDescent="0.25">
      <c r="A21" s="5" t="str">
        <f>HYPERLINK("#'Input - Data quality'!A1", "Data quality")</f>
        <v>Data quality</v>
      </c>
      <c r="D21" s="36"/>
      <c r="I21" s="35"/>
      <c r="J21" s="35"/>
    </row>
    <row r="22" spans="1:10" ht="20.100000000000001" customHeight="1" x14ac:dyDescent="0.25">
      <c r="A22"/>
      <c r="D22" s="242" t="s">
        <v>697</v>
      </c>
      <c r="E22" s="242" t="s">
        <v>698</v>
      </c>
      <c r="F22" s="242" t="s">
        <v>699</v>
      </c>
      <c r="G22" s="242" t="s">
        <v>453</v>
      </c>
    </row>
    <row r="23" spans="1:10" ht="20.100000000000001" customHeight="1" x14ac:dyDescent="0.25">
      <c r="A23"/>
      <c r="D23" s="44" t="s">
        <v>700</v>
      </c>
      <c r="E23" s="44" t="s">
        <v>701</v>
      </c>
      <c r="F23" s="86">
        <v>10000</v>
      </c>
      <c r="G23" s="23" t="s">
        <v>702</v>
      </c>
    </row>
    <row r="24" spans="1:10" ht="20.100000000000001" customHeight="1" x14ac:dyDescent="0.25">
      <c r="A24" s="6" t="s">
        <v>2</v>
      </c>
      <c r="D24" s="44" t="s">
        <v>703</v>
      </c>
      <c r="E24" s="44" t="s">
        <v>704</v>
      </c>
      <c r="F24" s="86">
        <v>1000</v>
      </c>
      <c r="G24" s="23" t="s">
        <v>705</v>
      </c>
    </row>
    <row r="25" spans="1:10" ht="20.100000000000001" customHeight="1" x14ac:dyDescent="0.25">
      <c r="A25" s="5" t="str">
        <f>HYPERLINK("#'5.1.1.1-2 Inorganic fert N2O'!A1", "5.1.1.1-2 Inorganic fert N2O")</f>
        <v>5.1.1.1-2 Inorganic fert N2O</v>
      </c>
      <c r="C25" s="1"/>
      <c r="D25" s="44"/>
      <c r="E25" s="44"/>
      <c r="F25" s="86"/>
      <c r="G25" s="23"/>
    </row>
    <row r="26" spans="1:10" ht="20.100000000000001" customHeight="1" x14ac:dyDescent="0.25">
      <c r="A26" s="5" t="str">
        <f>HYPERLINK("#'5.1.1.3-4 Inorganic fert CO2'!A1", "5.1.1.3-4 Inorganic fert CO2")</f>
        <v>5.1.1.3-4 Inorganic fert CO2</v>
      </c>
      <c r="C26" s="1"/>
      <c r="D26" s="44"/>
      <c r="E26" s="44"/>
      <c r="F26" s="86"/>
      <c r="G26" s="23"/>
    </row>
    <row r="27" spans="1:10" ht="20.100000000000001" customHeight="1" x14ac:dyDescent="0.25">
      <c r="A27" s="5" t="str">
        <f>HYPERLINK("#'5.2.1.1-2 Organic Fert N2O'!A1", "5.2.1.1-2 Organic fert N2O")</f>
        <v>5.2.1.1-2 Organic fert N2O</v>
      </c>
      <c r="C27" s="1"/>
      <c r="D27" s="44"/>
      <c r="E27" s="44"/>
      <c r="F27" s="86"/>
      <c r="G27" s="23"/>
    </row>
    <row r="28" spans="1:10" ht="20.100000000000001" customHeight="1" x14ac:dyDescent="0.25">
      <c r="A28" s="5" t="str">
        <f>HYPERLINK("#'5.3.1.1-2 Lime CO2'!A1", "5.3.1.1-2 Lime CO2")</f>
        <v>5.3.1.1-2 Lime CO2</v>
      </c>
      <c r="D28" s="44"/>
      <c r="E28" s="44"/>
      <c r="F28" s="86"/>
      <c r="G28" s="23"/>
    </row>
    <row r="29" spans="1:10" ht="20.100000000000001" customHeight="1" x14ac:dyDescent="0.25">
      <c r="A29" s="5" t="str">
        <f>HYPERLINK("#'5.4.1.1-4 Atmos deposition'!A1", "5.4.1.1-4 Atmos. deposition")</f>
        <v>5.4.1.1-4 Atmos. deposition</v>
      </c>
      <c r="D29" s="44"/>
      <c r="E29" s="44"/>
      <c r="F29" s="86"/>
      <c r="G29" s="23"/>
    </row>
    <row r="30" spans="1:10" ht="20.100000000000001" customHeight="1" x14ac:dyDescent="0.25">
      <c r="A30" s="5" t="str">
        <f>HYPERLINK("#'5.5.1.1-2 Leaching and runoff'!A1", "5.5.1.1-2 Leaching &amp; runoff")</f>
        <v>5.5.1.1-2 Leaching &amp; runoff</v>
      </c>
      <c r="D30" s="44"/>
      <c r="E30" s="44"/>
      <c r="F30" s="86"/>
      <c r="G30" s="23"/>
    </row>
    <row r="31" spans="1:10" ht="20.100000000000001" customHeight="1" x14ac:dyDescent="0.25">
      <c r="A31" s="5" t="str">
        <f>HYPERLINK("#'6.1.1.1-2 Crop residue N2O'!A1", "6.1.1.1-2 Crop residue N2O")</f>
        <v>6.1.1.1-2 Crop residue N2O</v>
      </c>
      <c r="D31" s="44"/>
      <c r="E31" s="44"/>
      <c r="F31" s="86"/>
      <c r="G31" s="23"/>
    </row>
    <row r="32" spans="1:10" ht="20.100000000000001" customHeight="1" x14ac:dyDescent="0.25">
      <c r="A32" s="5" t="str">
        <f>HYPERLINK("#'6.3.1.1-2 Leach runoff crop'!A1", "6.3.1.1-2 Leach &amp; runoff (crop)")</f>
        <v>6.3.1.1-2 Leach &amp; runoff (crop)</v>
      </c>
      <c r="D32" s="44"/>
      <c r="E32" s="44"/>
      <c r="F32" s="86"/>
      <c r="G32" s="23"/>
    </row>
    <row r="33" spans="1:6" ht="20.100000000000001" customHeight="1" x14ac:dyDescent="0.25">
      <c r="A33" s="5" t="str">
        <f>HYPERLINK("#'6.4.1.1-2 Residue burning'!A1", "6.4.1.1-2 Residue burning")</f>
        <v>6.4.1.1-2 Residue burning</v>
      </c>
    </row>
    <row r="34" spans="1:6" ht="20.100000000000001" customHeight="1" x14ac:dyDescent="0.25">
      <c r="A34" s="5" t="str">
        <f>HYPERLINK("#'8.1.1.1-2 Transport fuel'!A1", "8.1.1.1-2 Transport fuel")</f>
        <v>8.1.1.1-2 Transport fuel</v>
      </c>
    </row>
    <row r="35" spans="1:6" ht="20.100000000000001" customHeight="1" x14ac:dyDescent="0.25">
      <c r="A35" s="5" t="str">
        <f>HYPERLINK("#'8.2.1.1-2 Stationary fuel'!A1", "8.2.1.1-2 Stationary fuel")</f>
        <v>8.2.1.1-2 Stationary fuel</v>
      </c>
      <c r="D35" s="2" t="s">
        <v>706</v>
      </c>
    </row>
    <row r="36" spans="1:6" ht="20.100000000000001" customHeight="1" x14ac:dyDescent="0.25">
      <c r="A36" s="5" t="str">
        <f>HYPERLINK("#'14.1.1-2 Purchased electricity'!A1", "14.1.1-2 Purchased electricity")</f>
        <v>14.1.1-2 Purchased electricity</v>
      </c>
      <c r="D36" s="36"/>
    </row>
    <row r="37" spans="1:6" ht="20.100000000000001" customHeight="1" x14ac:dyDescent="0.25">
      <c r="A37" s="5" t="str">
        <f>HYPERLINK("#'15 Scope 3'!A1", "15 Scope 3")</f>
        <v>15 Scope 3</v>
      </c>
      <c r="D37" s="92" t="s">
        <v>707</v>
      </c>
      <c r="E37" s="92" t="s">
        <v>545</v>
      </c>
      <c r="F37" s="92" t="s">
        <v>453</v>
      </c>
    </row>
    <row r="38" spans="1:6" ht="20.100000000000001" customHeight="1" x14ac:dyDescent="0.25">
      <c r="A38" s="5" t="str">
        <f>HYPERLINK("#'Calcs - Manure sent off-site'!A1", "Calcs - Manure sent off-site")</f>
        <v>Calcs - Manure sent off-site</v>
      </c>
      <c r="D38" s="44" t="s">
        <v>708</v>
      </c>
      <c r="E38" s="86">
        <v>1000</v>
      </c>
      <c r="F38" s="44" t="s">
        <v>283</v>
      </c>
    </row>
    <row r="39" spans="1:6" ht="20.100000000000001" customHeight="1" x14ac:dyDescent="0.25">
      <c r="A39" s="5" t="str">
        <f>HYPERLINK("#'10.1.1-2 Solid waste treatment'!A1", "10.1.1-2 Solid waste treatment")</f>
        <v>10.1.1-2 Solid waste treatment</v>
      </c>
      <c r="D39" s="44"/>
      <c r="E39" s="86"/>
      <c r="F39" s="44"/>
    </row>
    <row r="40" spans="1:6" ht="20.100000000000001" customHeight="1" x14ac:dyDescent="0.25">
      <c r="A40"/>
      <c r="D40" s="44"/>
      <c r="E40" s="86"/>
      <c r="F40" s="44"/>
    </row>
    <row r="41" spans="1:6" ht="20.100000000000001" customHeight="1" x14ac:dyDescent="0.25">
      <c r="A41"/>
      <c r="D41" s="44"/>
      <c r="E41" s="86"/>
      <c r="F41" s="44"/>
    </row>
    <row r="42" spans="1:6" ht="20.100000000000001" customHeight="1" x14ac:dyDescent="0.25">
      <c r="A42" s="108" t="s">
        <v>1</v>
      </c>
      <c r="D42" s="44"/>
      <c r="E42" s="86"/>
      <c r="F42" s="44"/>
    </row>
    <row r="43" spans="1:6" ht="20.100000000000001" customHeight="1" x14ac:dyDescent="0.25">
      <c r="A43" s="5" t="str">
        <f>HYPERLINK("#'Constants - Ag Residue'!A1", "Constants - Ag residue")</f>
        <v>Constants - Ag residue</v>
      </c>
      <c r="D43" s="44"/>
      <c r="E43" s="86"/>
      <c r="F43" s="44"/>
    </row>
    <row r="44" spans="1:6" ht="20.100000000000001" customHeight="1" x14ac:dyDescent="0.25">
      <c r="A44" s="5" t="str">
        <f>HYPERLINK("#'Constants - Common Livestock'!A1", "Constants - Common Livestock")</f>
        <v>Constants - Common Livestock</v>
      </c>
      <c r="C44" s="1"/>
      <c r="D44" s="44"/>
      <c r="E44" s="86"/>
      <c r="F44" s="44"/>
    </row>
    <row r="45" spans="1:6" ht="20.100000000000001" customHeight="1" x14ac:dyDescent="0.25">
      <c r="A45" s="5" t="str">
        <f>HYPERLINK("#'Constants - Electricity'!A1", "Constants - Electricity")</f>
        <v>Constants - Electricity</v>
      </c>
      <c r="C45" s="1"/>
      <c r="D45" s="44"/>
      <c r="E45" s="86"/>
      <c r="F45" s="44"/>
    </row>
    <row r="46" spans="1:6" ht="20.100000000000001" customHeight="1" x14ac:dyDescent="0.25">
      <c r="A46" s="5" t="str">
        <f>HYPERLINK("#'Constants - Fertiliser'!A1", "Constants - Fertiliser")</f>
        <v>Constants - Fertiliser</v>
      </c>
      <c r="C46" s="1"/>
      <c r="D46" s="44"/>
      <c r="E46" s="86"/>
      <c r="F46" s="44"/>
    </row>
    <row r="47" spans="1:6" ht="20.100000000000001" customHeight="1" x14ac:dyDescent="0.25">
      <c r="A47" s="5" t="str">
        <f>HYPERLINK("#'Constants - Fuel'!A1", "Constants - Fuel")</f>
        <v>Constants - Fuel</v>
      </c>
      <c r="C47" s="1"/>
      <c r="D47" s="44"/>
      <c r="E47" s="86"/>
      <c r="F47" s="44"/>
    </row>
    <row r="48" spans="1:6" ht="20.100000000000001" customHeight="1" x14ac:dyDescent="0.25">
      <c r="A48" s="5" t="str">
        <f>HYPERLINK("#'Constants - Scope 3'!A1", "Constants - Scope 3")</f>
        <v>Constants - Scope 3</v>
      </c>
      <c r="C48" s="1"/>
    </row>
    <row r="49" spans="1:3" ht="20.100000000000001" customHeight="1" x14ac:dyDescent="0.25">
      <c r="A49" s="5" t="str">
        <f>HYPERLINK("#'Constants - Common'!A1", "Constants - Common")</f>
        <v>Constants - Common</v>
      </c>
      <c r="C49" s="1"/>
    </row>
    <row r="50" spans="1:3" ht="20.100000000000001" customHeight="1" x14ac:dyDescent="0.25">
      <c r="A50" s="5" t="str">
        <f>HYPERLINK("#'Constants - Solid Waste'!A1", "Constants - Solid Waste")</f>
        <v>Constants - Solid Waste</v>
      </c>
    </row>
    <row r="51" spans="1:3" ht="20.100000000000001" customHeight="1" x14ac:dyDescent="0.25">
      <c r="A51"/>
    </row>
    <row r="52" spans="1:3" ht="20.100000000000001" customHeight="1" x14ac:dyDescent="0.25">
      <c r="A52"/>
    </row>
    <row r="53" spans="1:3" ht="20.100000000000001" customHeight="1" x14ac:dyDescent="0.25">
      <c r="A53"/>
    </row>
    <row r="54" spans="1:3" ht="20.100000000000001" customHeight="1" x14ac:dyDescent="0.25">
      <c r="A54"/>
    </row>
    <row r="55" spans="1:3" ht="20.100000000000001" customHeight="1" x14ac:dyDescent="0.25">
      <c r="A55"/>
    </row>
    <row r="56" spans="1:3" ht="20.100000000000001" customHeight="1" x14ac:dyDescent="0.25">
      <c r="A56"/>
    </row>
    <row r="57" spans="1:3" ht="20.100000000000001" customHeight="1" x14ac:dyDescent="0.25">
      <c r="A57"/>
    </row>
    <row r="58" spans="1:3" ht="20.100000000000001" customHeight="1" x14ac:dyDescent="0.25">
      <c r="A58"/>
    </row>
    <row r="59" spans="1:3" ht="20.100000000000001" customHeight="1" x14ac:dyDescent="0.25">
      <c r="A59"/>
    </row>
    <row r="60" spans="1:3" ht="20.100000000000001" customHeight="1" x14ac:dyDescent="0.25">
      <c r="A60"/>
    </row>
    <row r="61" spans="1:3" ht="20.100000000000001" customHeight="1" x14ac:dyDescent="0.25">
      <c r="A61"/>
    </row>
    <row r="62" spans="1:3" ht="20.100000000000001" customHeight="1" x14ac:dyDescent="0.25">
      <c r="A62"/>
    </row>
    <row r="63" spans="1:3" ht="20.100000000000001" customHeight="1" x14ac:dyDescent="0.25">
      <c r="A63"/>
    </row>
    <row r="64" spans="1:3" ht="20.100000000000001" customHeight="1" x14ac:dyDescent="0.25">
      <c r="A64"/>
    </row>
    <row r="65" spans="1:11" ht="20.100000000000001" customHeight="1" x14ac:dyDescent="0.25">
      <c r="A65"/>
    </row>
    <row r="66" spans="1:11" ht="20.100000000000001" customHeight="1" x14ac:dyDescent="0.25">
      <c r="A66"/>
    </row>
    <row r="67" spans="1:11" ht="20.100000000000001" customHeight="1" x14ac:dyDescent="0.25">
      <c r="A67"/>
    </row>
    <row r="68" spans="1:11" ht="20.100000000000001" customHeight="1" x14ac:dyDescent="0.25">
      <c r="A68"/>
    </row>
    <row r="69" spans="1:11" ht="20.100000000000001" customHeight="1" x14ac:dyDescent="0.25">
      <c r="A69"/>
    </row>
    <row r="70" spans="1:11" ht="20.100000000000001" customHeight="1" x14ac:dyDescent="0.25">
      <c r="A70"/>
    </row>
    <row r="71" spans="1:11" ht="20.100000000000001" customHeight="1" x14ac:dyDescent="0.25">
      <c r="A71"/>
    </row>
    <row r="72" spans="1:11" ht="20.100000000000001" customHeight="1" x14ac:dyDescent="0.25">
      <c r="A72"/>
    </row>
    <row r="73" spans="1:11" ht="20.100000000000001" customHeight="1" x14ac:dyDescent="0.25">
      <c r="A73"/>
    </row>
    <row r="74" spans="1:11" ht="20.100000000000001" customHeight="1" x14ac:dyDescent="0.25">
      <c r="A74"/>
      <c r="K74" s="240"/>
    </row>
    <row r="75" spans="1:11" ht="20.100000000000001" customHeight="1" x14ac:dyDescent="0.25">
      <c r="A75"/>
    </row>
    <row r="76" spans="1:11" ht="20.100000000000001" customHeight="1" x14ac:dyDescent="0.25">
      <c r="A76"/>
    </row>
    <row r="77" spans="1:11" ht="20.100000000000001" customHeight="1" x14ac:dyDescent="0.25">
      <c r="A77"/>
    </row>
    <row r="78" spans="1:11" ht="20.100000000000001" customHeight="1" x14ac:dyDescent="0.25">
      <c r="A78"/>
    </row>
    <row r="79" spans="1:11" ht="20.100000000000001" customHeight="1" x14ac:dyDescent="0.25">
      <c r="A79"/>
    </row>
    <row r="80" spans="1:11" ht="20.100000000000001" customHeight="1" x14ac:dyDescent="0.25">
      <c r="A80"/>
    </row>
    <row r="81" spans="1:10" ht="20.100000000000001" customHeight="1" x14ac:dyDescent="0.25">
      <c r="A81"/>
    </row>
    <row r="82" spans="1:10" ht="20.100000000000001" customHeight="1" x14ac:dyDescent="0.25">
      <c r="A82"/>
    </row>
    <row r="83" spans="1:10" ht="20.100000000000001" customHeight="1" x14ac:dyDescent="0.25">
      <c r="A83"/>
    </row>
    <row r="84" spans="1:10" ht="20.100000000000001" customHeight="1" x14ac:dyDescent="0.25">
      <c r="A84"/>
    </row>
    <row r="85" spans="1:10" ht="20.100000000000001" customHeight="1" x14ac:dyDescent="0.25">
      <c r="A85"/>
    </row>
    <row r="86" spans="1:10" ht="20.100000000000001" customHeight="1" x14ac:dyDescent="0.25">
      <c r="A86"/>
    </row>
    <row r="87" spans="1:10" ht="20.100000000000001" customHeight="1" x14ac:dyDescent="0.25">
      <c r="A87"/>
    </row>
    <row r="88" spans="1:10" ht="20.100000000000001" customHeight="1" x14ac:dyDescent="0.25">
      <c r="A88"/>
    </row>
    <row r="89" spans="1:10" ht="20.100000000000001" customHeight="1" x14ac:dyDescent="0.25">
      <c r="A89"/>
    </row>
    <row r="90" spans="1:10" ht="20.100000000000001" customHeight="1" x14ac:dyDescent="0.25">
      <c r="A90"/>
    </row>
    <row r="91" spans="1:10" ht="20.100000000000001" customHeight="1" x14ac:dyDescent="0.25">
      <c r="A91"/>
    </row>
    <row r="92" spans="1:10" ht="20.100000000000001" customHeight="1" x14ac:dyDescent="0.25">
      <c r="A92"/>
      <c r="J92" s="35"/>
    </row>
    <row r="93" spans="1:10" ht="20.100000000000001" customHeight="1" x14ac:dyDescent="0.25">
      <c r="A93"/>
      <c r="J93" s="35"/>
    </row>
    <row r="94" spans="1:10" ht="20.100000000000001" customHeight="1" x14ac:dyDescent="0.25">
      <c r="A94"/>
      <c r="J94" s="35"/>
    </row>
    <row r="95" spans="1:10" ht="20.100000000000001" customHeight="1" x14ac:dyDescent="0.25">
      <c r="A95"/>
      <c r="J95" s="35"/>
    </row>
    <row r="96" spans="1:10" ht="20.100000000000001" customHeight="1" x14ac:dyDescent="0.25">
      <c r="A96"/>
      <c r="J96" s="35"/>
    </row>
    <row r="97" spans="1:10" ht="20.100000000000001" customHeight="1" x14ac:dyDescent="0.25">
      <c r="A97"/>
      <c r="J97" s="2"/>
    </row>
    <row r="98" spans="1:10" ht="20.100000000000001" customHeight="1" x14ac:dyDescent="0.25">
      <c r="A98"/>
      <c r="J98" s="1"/>
    </row>
    <row r="99" spans="1:10" ht="20.100000000000001" customHeight="1" x14ac:dyDescent="0.25">
      <c r="A99"/>
      <c r="J99" s="1"/>
    </row>
    <row r="100" spans="1:10" ht="20.100000000000001" customHeight="1" x14ac:dyDescent="0.25">
      <c r="A100"/>
      <c r="J100" s="1"/>
    </row>
    <row r="101" spans="1:10" ht="20.100000000000001" customHeight="1" x14ac:dyDescent="0.25">
      <c r="A101"/>
      <c r="J101" s="1"/>
    </row>
    <row r="102" spans="1:10" ht="20.100000000000001" customHeight="1" x14ac:dyDescent="0.25">
      <c r="A102"/>
      <c r="J102" s="1"/>
    </row>
    <row r="103" spans="1:10" ht="20.100000000000001" customHeight="1" x14ac:dyDescent="0.25">
      <c r="A103"/>
    </row>
    <row r="104" spans="1:10" ht="20.100000000000001" customHeight="1" x14ac:dyDescent="0.25">
      <c r="A104"/>
    </row>
    <row r="105" spans="1:10" ht="20.100000000000001" customHeight="1" x14ac:dyDescent="0.25">
      <c r="A105"/>
    </row>
    <row r="106" spans="1:10" ht="20.100000000000001" customHeight="1" x14ac:dyDescent="0.25">
      <c r="A106"/>
    </row>
    <row r="107" spans="1:10" ht="20.100000000000001" customHeight="1" x14ac:dyDescent="0.25">
      <c r="A107"/>
      <c r="J107" s="1"/>
    </row>
    <row r="108" spans="1:10" ht="20.100000000000001" customHeight="1" x14ac:dyDescent="0.25">
      <c r="A108"/>
      <c r="J108" s="1"/>
    </row>
    <row r="109" spans="1:10" ht="20.100000000000001" customHeight="1" x14ac:dyDescent="0.25">
      <c r="A109"/>
      <c r="J109" s="1"/>
    </row>
    <row r="110" spans="1:10" ht="20.100000000000001" customHeight="1" x14ac:dyDescent="0.25">
      <c r="A110"/>
      <c r="J110" s="1"/>
    </row>
    <row r="111" spans="1:10" ht="20.100000000000001" customHeight="1" x14ac:dyDescent="0.25">
      <c r="A111"/>
      <c r="J111" s="1"/>
    </row>
    <row r="112" spans="1:10" ht="20.100000000000001" customHeight="1" x14ac:dyDescent="0.25">
      <c r="A112"/>
      <c r="J112" s="1"/>
    </row>
    <row r="113" spans="1:16" ht="20.100000000000001" customHeight="1" x14ac:dyDescent="0.25">
      <c r="A113"/>
      <c r="J113" s="1"/>
      <c r="L113" s="35"/>
      <c r="M113" s="35"/>
      <c r="N113" s="35"/>
      <c r="O113" s="35"/>
      <c r="P113" s="35"/>
    </row>
    <row r="114" spans="1:16" ht="20.100000000000001" customHeight="1" x14ac:dyDescent="0.25">
      <c r="A114"/>
      <c r="J114" s="1"/>
      <c r="L114" s="35"/>
      <c r="M114" s="35"/>
      <c r="N114" s="35"/>
      <c r="O114" s="35"/>
      <c r="P114" s="35"/>
    </row>
    <row r="115" spans="1:16" ht="20.100000000000001" customHeight="1" x14ac:dyDescent="0.25">
      <c r="A115"/>
      <c r="J115" s="1"/>
      <c r="L115" s="35"/>
      <c r="M115" s="35"/>
      <c r="N115" s="35"/>
      <c r="O115" s="35"/>
      <c r="P115" s="35"/>
    </row>
    <row r="116" spans="1:16" ht="20.100000000000001" customHeight="1" x14ac:dyDescent="0.25">
      <c r="A116"/>
      <c r="I116" s="35"/>
      <c r="J116" s="1"/>
      <c r="N116" s="35"/>
      <c r="O116" s="35"/>
      <c r="P116" s="35"/>
    </row>
    <row r="117" spans="1:16" ht="20.100000000000001" customHeight="1" x14ac:dyDescent="0.25">
      <c r="A117"/>
      <c r="I117" s="35"/>
      <c r="J117" s="1"/>
      <c r="N117" s="35"/>
      <c r="O117" s="35"/>
      <c r="P117" s="35"/>
    </row>
    <row r="118" spans="1:16" ht="20.100000000000001" customHeight="1" x14ac:dyDescent="0.25">
      <c r="A118"/>
      <c r="J118" s="35"/>
      <c r="N118" s="2"/>
      <c r="O118" s="2"/>
      <c r="P118" s="35"/>
    </row>
    <row r="119" spans="1:16" ht="20.100000000000001" customHeight="1" x14ac:dyDescent="0.25">
      <c r="A119"/>
      <c r="J119" s="35"/>
      <c r="P119" s="243"/>
    </row>
    <row r="120" spans="1:16" ht="20.100000000000001" customHeight="1" x14ac:dyDescent="0.25">
      <c r="A120"/>
      <c r="J120" s="35"/>
      <c r="P120" s="243"/>
    </row>
    <row r="121" spans="1:16" ht="20.100000000000001" customHeight="1" x14ac:dyDescent="0.25">
      <c r="A121"/>
      <c r="J121" s="2"/>
      <c r="P121" s="243"/>
    </row>
    <row r="122" spans="1:16" ht="20.100000000000001" customHeight="1" x14ac:dyDescent="0.25">
      <c r="A122"/>
      <c r="G122" s="35"/>
      <c r="H122" s="1"/>
      <c r="J122" s="1"/>
      <c r="P122" s="243"/>
    </row>
    <row r="123" spans="1:16" ht="20.100000000000001" customHeight="1" x14ac:dyDescent="0.25">
      <c r="A123"/>
      <c r="G123" s="35"/>
      <c r="H123" s="1"/>
      <c r="J123" s="1"/>
      <c r="P123" s="243"/>
    </row>
    <row r="124" spans="1:16" ht="20.100000000000001" customHeight="1" x14ac:dyDescent="0.25">
      <c r="A124"/>
      <c r="G124" s="35"/>
      <c r="H124" s="35"/>
      <c r="J124" s="1"/>
      <c r="N124" s="35"/>
      <c r="O124" s="35"/>
      <c r="P124" s="35"/>
    </row>
    <row r="125" spans="1:16" ht="20.100000000000001" customHeight="1" x14ac:dyDescent="0.25">
      <c r="A125"/>
      <c r="G125" s="35"/>
      <c r="H125" s="35"/>
      <c r="I125" s="35"/>
      <c r="J125" s="1"/>
      <c r="N125" s="35"/>
      <c r="O125" s="35"/>
      <c r="P125" s="35"/>
    </row>
    <row r="126" spans="1:16" ht="20.100000000000001" customHeight="1" x14ac:dyDescent="0.25">
      <c r="A126"/>
      <c r="G126" s="35"/>
      <c r="I126" s="35"/>
      <c r="J126" s="1"/>
    </row>
    <row r="127" spans="1:16" ht="20.100000000000001" customHeight="1" x14ac:dyDescent="0.25">
      <c r="A127"/>
      <c r="I127" s="35"/>
      <c r="J127" s="35"/>
    </row>
    <row r="128" spans="1:16" ht="20.100000000000001" customHeight="1" x14ac:dyDescent="0.25">
      <c r="A128"/>
      <c r="I128" s="35"/>
      <c r="J128" s="35"/>
    </row>
    <row r="129" spans="1:13" ht="20.100000000000001" customHeight="1" x14ac:dyDescent="0.25">
      <c r="A129"/>
      <c r="I129" s="35"/>
      <c r="L129" s="35"/>
      <c r="M129" s="35"/>
    </row>
    <row r="130" spans="1:13" ht="20.100000000000001" customHeight="1" x14ac:dyDescent="0.25">
      <c r="A130"/>
      <c r="I130" s="35"/>
      <c r="L130" s="35"/>
      <c r="M130" s="35"/>
    </row>
    <row r="131" spans="1:13" ht="20.100000000000001" customHeight="1" x14ac:dyDescent="0.25">
      <c r="A131"/>
      <c r="G131" s="1"/>
      <c r="I131" s="1"/>
      <c r="L131" s="2"/>
      <c r="M131" s="2"/>
    </row>
    <row r="132" spans="1:13" ht="20.100000000000001" customHeight="1" x14ac:dyDescent="0.25">
      <c r="A132"/>
      <c r="G132" s="35"/>
      <c r="I132" s="1"/>
    </row>
    <row r="133" spans="1:13" ht="20.100000000000001" customHeight="1" x14ac:dyDescent="0.25">
      <c r="A133"/>
      <c r="G133" s="35"/>
      <c r="I133" s="1"/>
    </row>
    <row r="134" spans="1:13" ht="20.100000000000001" customHeight="1" x14ac:dyDescent="0.25">
      <c r="A134"/>
      <c r="I134" s="1"/>
    </row>
    <row r="135" spans="1:13" ht="20.100000000000001" customHeight="1" x14ac:dyDescent="0.25">
      <c r="A135"/>
      <c r="I135" s="1"/>
    </row>
    <row r="136" spans="1:13" ht="20.100000000000001" customHeight="1" x14ac:dyDescent="0.25">
      <c r="A136"/>
      <c r="I136" s="35"/>
    </row>
    <row r="137" spans="1:13" ht="20.100000000000001" customHeight="1" x14ac:dyDescent="0.25">
      <c r="A137"/>
      <c r="I137" s="35"/>
      <c r="L137" s="35"/>
      <c r="M137" s="35"/>
    </row>
    <row r="138" spans="1:13" ht="20.100000000000001" customHeight="1" x14ac:dyDescent="0.25">
      <c r="A138"/>
      <c r="L138" s="35"/>
      <c r="M138" s="35"/>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238"/>
    </row>
    <row r="166" spans="11:19" ht="20.100000000000001" customHeight="1" x14ac:dyDescent="0.25">
      <c r="S166" s="238"/>
    </row>
    <row r="167" spans="11:19" ht="20.100000000000001" customHeight="1" x14ac:dyDescent="0.25">
      <c r="S167" s="238"/>
    </row>
    <row r="168" spans="11:19" ht="20.100000000000001" customHeight="1" x14ac:dyDescent="0.25">
      <c r="S168" s="238"/>
    </row>
    <row r="169" spans="11:19" ht="20.100000000000001" customHeight="1" x14ac:dyDescent="0.25">
      <c r="S169" s="238"/>
    </row>
    <row r="170" spans="11:19" ht="20.100000000000001" customHeight="1" x14ac:dyDescent="0.25">
      <c r="S170" s="238"/>
    </row>
    <row r="171" spans="11:19" ht="20.100000000000001" customHeight="1" x14ac:dyDescent="0.25">
      <c r="S171" s="238"/>
    </row>
    <row r="172" spans="11:19" ht="20.100000000000001" customHeight="1" x14ac:dyDescent="0.25">
      <c r="S172" s="238"/>
    </row>
    <row r="173" spans="11:19" ht="20.100000000000001" customHeight="1" x14ac:dyDescent="0.25">
      <c r="S173" s="238"/>
    </row>
    <row r="174" spans="11:19" ht="20.100000000000001" customHeight="1" x14ac:dyDescent="0.25">
      <c r="S174" s="238"/>
    </row>
    <row r="175" spans="11:19" ht="20.100000000000001" customHeight="1" x14ac:dyDescent="0.25">
      <c r="S175" s="238"/>
    </row>
    <row r="176" spans="11:19" ht="20.100000000000001" customHeight="1" x14ac:dyDescent="0.25">
      <c r="K176" s="35"/>
    </row>
    <row r="177" spans="11:19" ht="20.100000000000001" customHeight="1" x14ac:dyDescent="0.25">
      <c r="K177" s="35"/>
    </row>
    <row r="178" spans="11:19" ht="20.100000000000001" customHeight="1" x14ac:dyDescent="0.25"/>
    <row r="179" spans="11:19" ht="20.100000000000001" customHeight="1" x14ac:dyDescent="0.25"/>
    <row r="180" spans="11:19" ht="20.100000000000001" customHeight="1" x14ac:dyDescent="0.25">
      <c r="S180" s="238"/>
    </row>
    <row r="181" spans="11:19" ht="20.100000000000001" customHeight="1" x14ac:dyDescent="0.25">
      <c r="S181" s="238"/>
    </row>
    <row r="182" spans="11:19" ht="20.100000000000001" customHeight="1" x14ac:dyDescent="0.25">
      <c r="S182" s="238"/>
    </row>
    <row r="183" spans="11:19" ht="20.100000000000001" customHeight="1" x14ac:dyDescent="0.25">
      <c r="S183" s="238"/>
    </row>
    <row r="184" spans="11:19" ht="20.100000000000001" customHeight="1" x14ac:dyDescent="0.25">
      <c r="S184" s="238"/>
    </row>
    <row r="185" spans="11:19" ht="20.100000000000001" customHeight="1" x14ac:dyDescent="0.25">
      <c r="S185" s="238"/>
    </row>
    <row r="186" spans="11:19" ht="20.100000000000001" customHeight="1" x14ac:dyDescent="0.25">
      <c r="S186" s="238"/>
    </row>
    <row r="187" spans="11:19" ht="20.100000000000001" customHeight="1" x14ac:dyDescent="0.25">
      <c r="S187" s="238"/>
    </row>
    <row r="188" spans="11:19" ht="20.100000000000001" customHeight="1" x14ac:dyDescent="0.25">
      <c r="S188" s="238"/>
    </row>
    <row r="189" spans="11:19" ht="20.100000000000001" customHeight="1" x14ac:dyDescent="0.25">
      <c r="S189" s="238"/>
    </row>
    <row r="190" spans="11:19" ht="20.100000000000001" customHeight="1" x14ac:dyDescent="0.25">
      <c r="S190" s="238"/>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dataValidations count="3">
    <dataValidation type="list" allowBlank="1" showInputMessage="1" showErrorMessage="1" sqref="N122:N123 H122:H123 J125:J126 L135:L136" xr:uid="{1F38B1CC-166C-490E-8F5A-3C8C7CE83E45}">
      <formula1>INDIRECT("Table_Scope3_AquacultureFeedBait[Feed / Bait ingredient]")</formula1>
    </dataValidation>
    <dataValidation type="list" allowBlank="1" showInputMessage="1" showErrorMessage="1" sqref="G23:G32" xr:uid="{2C9374E6-D715-4F0F-B485-DCD5B875EC0F}">
      <formula1>"Hour, Hectare"</formula1>
    </dataValidation>
    <dataValidation type="list" allowBlank="1" showInputMessage="1" showErrorMessage="1" sqref="E8:E17" xr:uid="{9E23D3D3-B9F2-430F-A6EA-E6EF663A70C3}">
      <formula1>INDIRECT("Table_SourceData_Scope3_ChemicalsCleaning[Product]")</formula1>
    </dataValidation>
  </dataValidations>
  <pageMargins left="0.7" right="0.7" top="0.75" bottom="0.75" header="0.3" footer="0.3"/>
  <pageSetup orientation="portrait" r:id="rId1"/>
  <tableParts count="3">
    <tablePart r:id="rId2"/>
    <tablePart r:id="rId3"/>
    <tablePart r:id="rId4"/>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331A96-C7BF-4F3A-AE81-EEA8945F7578}">
  <sheetPr>
    <tabColor theme="5" tint="-0.249977111117893"/>
  </sheetPr>
  <dimension ref="A1:S160"/>
  <sheetViews>
    <sheetView showGridLines="0" workbookViewId="0" zoomScale="100" zoomScaleNormal="100">
      <selection activeCell="A50" sqref="A50"/>
    </sheetView>
  </sheetViews>
  <sheetFormatPr defaultRowHeight="15.75" x14ac:dyDescent="0.25"/>
  <cols>
    <col min="1" max="1" width="35" style="239" customWidth="1"/>
    <col min="2" max="2" width="5.28515625" style="239" customWidth="1"/>
    <col min="3" max="3" width="5.28515625" style="1" customWidth="1"/>
    <col min="4" max="18" width="35" style="1" customWidth="1"/>
    <col min="19" max="19" width="5.28515625" style="1" customWidth="1"/>
    <col min="20" max="16384" width="9.140625" style="239"/>
  </cols>
  <sheetData>
    <row r="1" spans="1:19" s="16" customFormat="1" ht="25.5" x14ac:dyDescent="0.35">
      <c r="C1" s="16" t="s">
        <v>709</v>
      </c>
    </row>
    <row r="2" spans="1:19" s="3" customFormat="1" x14ac:dyDescent="0.25">
      <c r="A2"/>
    </row>
    <row r="3" spans="1:19" ht="20.25" x14ac:dyDescent="0.25">
      <c r="A3" s="5" t="str">
        <f>HYPERLINK("#'Home'!A1", "Home")</f>
        <v>Home</v>
      </c>
      <c r="C3" s="39"/>
      <c r="D3" s="39"/>
      <c r="E3" s="39"/>
      <c r="F3" s="39"/>
      <c r="G3" s="39"/>
      <c r="H3" s="39"/>
      <c r="I3" s="39"/>
      <c r="J3" s="39"/>
      <c r="K3" s="39"/>
      <c r="L3" s="39"/>
      <c r="M3" s="39"/>
      <c r="N3" s="39"/>
      <c r="O3" s="39"/>
      <c r="P3" s="39"/>
      <c r="Q3" s="39"/>
      <c r="R3" s="39"/>
      <c r="S3" s="39"/>
    </row>
    <row r="4" spans="1:19" x14ac:dyDescent="0.25">
      <c r="A4" s="5" t="str">
        <f>HYPERLINK("#'Overview'!A1", "Overview")</f>
        <v>Overview</v>
      </c>
    </row>
    <row r="5" spans="1:19" ht="18.75" x14ac:dyDescent="0.25">
      <c r="A5" s="5" t="str">
        <f>HYPERLINK("#'Results'!A1", "Results")</f>
        <v>Results</v>
      </c>
      <c r="D5" s="244" t="s">
        <v>710</v>
      </c>
      <c r="E5" s="243"/>
      <c r="F5" s="243"/>
      <c r="G5" s="243"/>
      <c r="H5" s="243"/>
      <c r="I5" s="243"/>
      <c r="J5" s="243"/>
    </row>
    <row r="6" spans="1:19" x14ac:dyDescent="0.25">
      <c r="A6"/>
      <c r="D6" s="245" t="s">
        <v>711</v>
      </c>
      <c r="E6" s="245"/>
      <c r="F6" s="94"/>
      <c r="G6" s="55"/>
      <c r="H6" s="35"/>
      <c r="I6" s="35"/>
      <c r="J6" s="35"/>
    </row>
    <row r="7" spans="1:19" x14ac:dyDescent="0.25">
      <c r="A7"/>
      <c r="D7" s="56" t="s">
        <v>712</v>
      </c>
      <c r="E7" s="57"/>
      <c r="F7" s="57"/>
      <c r="G7" s="58"/>
      <c r="H7" s="35"/>
      <c r="I7" s="35"/>
      <c r="J7" s="35"/>
    </row>
    <row r="8" spans="1:19" x14ac:dyDescent="0.25">
      <c r="A8" s="7" t="s">
        <v>0</v>
      </c>
      <c r="D8" s="243"/>
      <c r="E8" s="243"/>
      <c r="F8" s="243"/>
      <c r="G8" s="243"/>
      <c r="H8" s="243"/>
      <c r="I8" s="243"/>
      <c r="J8" s="243"/>
      <c r="K8" s="127" t="str" cm="1">
        <f t="array" ref="K8">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8" s="127" t="str" cm="1">
        <f t="array" ref="N8">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8" s="127" t="str" cm="1">
        <f t="array" ref="Q8">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9" spans="1:19" x14ac:dyDescent="0.25">
      <c r="A9" s="5" t="str">
        <f>HYPERLINK("#'Input - Enterprise'!A1", "Enterprise")</f>
        <v>Enterprise</v>
      </c>
      <c r="D9" s="246" t="s">
        <v>687</v>
      </c>
      <c r="E9" s="246" t="s">
        <v>713</v>
      </c>
      <c r="F9" s="246" t="s">
        <v>714</v>
      </c>
      <c r="G9" s="246" t="s">
        <v>208</v>
      </c>
      <c r="H9" s="246" t="s">
        <v>715</v>
      </c>
      <c r="I9" s="246" t="s">
        <v>716</v>
      </c>
      <c r="J9" s="246" t="s">
        <v>717</v>
      </c>
      <c r="K9" s="247" t="s">
        <v>718</v>
      </c>
      <c r="L9" s="247" t="s">
        <v>719</v>
      </c>
      <c r="M9" s="247" t="s">
        <v>720</v>
      </c>
      <c r="N9" s="247" t="s">
        <v>721</v>
      </c>
      <c r="O9" s="247" t="s">
        <v>722</v>
      </c>
      <c r="P9" s="247" t="s">
        <v>723</v>
      </c>
      <c r="Q9" s="247" t="s">
        <v>724</v>
      </c>
      <c r="R9" s="247" t="s">
        <v>725</v>
      </c>
    </row>
    <row r="10" spans="1:19" x14ac:dyDescent="0.25">
      <c r="A10" s="5" t="str">
        <f>HYPERLINK("#'Input - Site'!A1", "Site")</f>
        <v>Site</v>
      </c>
      <c r="D10" s="93" t="s">
        <v>726</v>
      </c>
      <c r="E10" s="248">
        <v>10</v>
      </c>
      <c r="F10" s="23" t="s">
        <v>281</v>
      </c>
      <c r="G10" s="86">
        <v>100</v>
      </c>
      <c r="H10" s="25">
        <f>Table_Input_Pesticides[[#This Row],[Amount applied per ha]]*Table_Input_Pesticides[[#This Row],[Application area (ha)]]</f>
        <v>1000</v>
      </c>
      <c r="I10" s="23" t="s">
        <v>727</v>
      </c>
      <c r="J10" s="23" t="s">
        <v>728</v>
      </c>
      <c r="K10" s="86">
        <v>100</v>
      </c>
      <c r="L10" s="25">
        <f>Table_Input_Pesticides[[#This Row],[Total applied]]*Table_Input_Pesticides[[#This Row],[Active ingredient 1 amount]]*IF(Table_Input_Pesticides[[#This Row],[Constituent unit (select)]]="fraction of product", 1, 10^-3)</f>
        <v>100</v>
      </c>
      <c r="M10" s="23" t="s">
        <v>728</v>
      </c>
      <c r="N10" s="86">
        <v>100</v>
      </c>
      <c r="O10" s="25">
        <f>Table_Input_Pesticides[[#This Row],[Total applied]]*Table_Input_Pesticides[[#This Row],[Active ingredient 2 amount]]*IF(Table_Input_Pesticides[[#This Row],[Constituent unit (select)]]="fraction of product", 1, 10^-3)</f>
        <v>100</v>
      </c>
      <c r="P10" s="23" t="s">
        <v>729</v>
      </c>
      <c r="Q10" s="86">
        <v>100</v>
      </c>
      <c r="R10" s="25">
        <f>Table_Input_Pesticides[[#This Row],[Total applied]]*Table_Input_Pesticides[[#This Row],[Active ingredient 3 amount]]*IF(Table_Input_Pesticides[[#This Row],[Constituent unit (select)]]="fraction of product", 1, 10^-3)</f>
        <v>100</v>
      </c>
    </row>
    <row r="11" spans="1:19" x14ac:dyDescent="0.25">
      <c r="A11" s="5" t="str">
        <f>HYPERLINK("#'Input - Crop'!A1", "Crop")</f>
        <v>Crop</v>
      </c>
      <c r="D11" s="93" t="s">
        <v>730</v>
      </c>
      <c r="E11" s="248">
        <v>10</v>
      </c>
      <c r="F11" s="23" t="s">
        <v>731</v>
      </c>
      <c r="G11" s="86">
        <v>100</v>
      </c>
      <c r="H11" s="25">
        <f>Table_Input_Pesticides[[#This Row],[Amount applied per ha]]*Table_Input_Pesticides[[#This Row],[Application area (ha)]]</f>
        <v>1000</v>
      </c>
      <c r="I11" s="23" t="s">
        <v>727</v>
      </c>
      <c r="J11" s="23" t="s">
        <v>728</v>
      </c>
      <c r="K11" s="86">
        <v>100</v>
      </c>
      <c r="L11" s="25">
        <f>Table_Input_Pesticides[[#This Row],[Total applied]]*Table_Input_Pesticides[[#This Row],[Active ingredient 1 amount]]*IF(Table_Input_Pesticides[[#This Row],[Constituent unit (select)]]="fraction of product", 1, 10^-3)</f>
        <v>100</v>
      </c>
      <c r="M11" s="23" t="s">
        <v>732</v>
      </c>
      <c r="N11" s="86">
        <v>100</v>
      </c>
      <c r="O11" s="25">
        <f>Table_Input_Pesticides[[#This Row],[Total applied]]*Table_Input_Pesticides[[#This Row],[Active ingredient 2 amount]]*IF(Table_Input_Pesticides[[#This Row],[Constituent unit (select)]]="fraction of product", 1, 10^-3)</f>
        <v>100</v>
      </c>
      <c r="P11" s="23" t="s">
        <v>733</v>
      </c>
      <c r="Q11" s="86">
        <v>100</v>
      </c>
      <c r="R11" s="25">
        <f>Table_Input_Pesticides[[#This Row],[Total applied]]*Table_Input_Pesticides[[#This Row],[Active ingredient 3 amount]]*IF(Table_Input_Pesticides[[#This Row],[Constituent unit (select)]]="fraction of product", 1, 10^-3)</f>
        <v>100</v>
      </c>
    </row>
    <row r="12" spans="1:19" x14ac:dyDescent="0.25">
      <c r="A12" s="5" t="str">
        <f>HYPERLINK("#'Input - Fert Prod System'!A1", "Fert Prod System")</f>
        <v>Fert Prod System</v>
      </c>
      <c r="D12" s="93" t="s">
        <v>734</v>
      </c>
      <c r="E12" s="248">
        <v>10</v>
      </c>
      <c r="F12" s="23" t="s">
        <v>281</v>
      </c>
      <c r="G12" s="86">
        <v>100</v>
      </c>
      <c r="H12" s="25">
        <f>Table_Input_Pesticides[[#This Row],[Amount applied per ha]]*Table_Input_Pesticides[[#This Row],[Application area (ha)]]</f>
        <v>1000</v>
      </c>
      <c r="I12" s="23" t="s">
        <v>727</v>
      </c>
      <c r="J12" s="23" t="s">
        <v>728</v>
      </c>
      <c r="K12" s="86">
        <v>100</v>
      </c>
      <c r="L12" s="25">
        <f>Table_Input_Pesticides[[#This Row],[Total applied]]*Table_Input_Pesticides[[#This Row],[Active ingredient 1 amount]]*IF(Table_Input_Pesticides[[#This Row],[Constituent unit (select)]]="fraction of product", 1, 10^-3)</f>
        <v>100</v>
      </c>
      <c r="M12" s="23" t="s">
        <v>735</v>
      </c>
      <c r="N12" s="86">
        <v>100</v>
      </c>
      <c r="O12" s="25">
        <f>Table_Input_Pesticides[[#This Row],[Total applied]]*Table_Input_Pesticides[[#This Row],[Active ingredient 2 amount]]*IF(Table_Input_Pesticides[[#This Row],[Constituent unit (select)]]="fraction of product", 1, 10^-3)</f>
        <v>100</v>
      </c>
      <c r="P12" s="23" t="s">
        <v>736</v>
      </c>
      <c r="Q12" s="86">
        <v>100</v>
      </c>
      <c r="R12" s="25">
        <f>Table_Input_Pesticides[[#This Row],[Total applied]]*Table_Input_Pesticides[[#This Row],[Active ingredient 3 amount]]*IF(Table_Input_Pesticides[[#This Row],[Constituent unit (select)]]="fraction of product", 1, 10^-3)</f>
        <v>100</v>
      </c>
    </row>
    <row r="13" spans="1:19" x14ac:dyDescent="0.25">
      <c r="A13" s="5" t="str">
        <f>HYPERLINK("#'Input - Fertiliser'!A1", "Fertiliser")</f>
        <v>Fertiliser</v>
      </c>
      <c r="D13" s="93"/>
      <c r="E13" s="248"/>
      <c r="F13" s="23"/>
      <c r="G13" s="86"/>
      <c r="H13" s="25">
        <f>Table_Input_Pesticides[[#This Row],[Amount applied per ha]]*Table_Input_Pesticides[[#This Row],[Application area (ha)]]</f>
        <v>0</v>
      </c>
      <c r="I13" s="23"/>
      <c r="J13" s="23"/>
      <c r="K13" s="86"/>
      <c r="L13" s="25">
        <f>Table_Input_Pesticides[[#This Row],[Total applied]]*Table_Input_Pesticides[[#This Row],[Active ingredient 1 amount]]*IF(Table_Input_Pesticides[[#This Row],[Constituent unit (select)]]="fraction of product", 1, 10^-3)</f>
        <v>0</v>
      </c>
      <c r="M13" s="23"/>
      <c r="N13" s="86"/>
      <c r="O13" s="25">
        <f>Table_Input_Pesticides[[#This Row],[Total applied]]*Table_Input_Pesticides[[#This Row],[Active ingredient 2 amount]]*IF(Table_Input_Pesticides[[#This Row],[Constituent unit (select)]]="fraction of product", 1, 10^-3)</f>
        <v>0</v>
      </c>
      <c r="P13" s="23"/>
      <c r="Q13" s="86"/>
      <c r="R13" s="25">
        <f>Table_Input_Pesticides[[#This Row],[Total applied]]*Table_Input_Pesticides[[#This Row],[Active ingredient 3 amount]]*IF(Table_Input_Pesticides[[#This Row],[Constituent unit (select)]]="fraction of product", 1, 10^-3)</f>
        <v>0</v>
      </c>
    </row>
    <row r="14" spans="1:19" x14ac:dyDescent="0.25">
      <c r="A14" s="5" t="str">
        <f>HYPERLINK("#'Input - Fuel'!A1", "Fuel")</f>
        <v>Fuel</v>
      </c>
      <c r="D14" s="93"/>
      <c r="E14" s="248"/>
      <c r="F14" s="23"/>
      <c r="G14" s="86"/>
      <c r="H14" s="25">
        <f>Table_Input_Pesticides[[#This Row],[Amount applied per ha]]*Table_Input_Pesticides[[#This Row],[Application area (ha)]]</f>
        <v>0</v>
      </c>
      <c r="I14" s="23"/>
      <c r="J14" s="23"/>
      <c r="K14" s="86"/>
      <c r="L14" s="25">
        <f>Table_Input_Pesticides[[#This Row],[Total applied]]*Table_Input_Pesticides[[#This Row],[Active ingredient 1 amount]]*IF(Table_Input_Pesticides[[#This Row],[Constituent unit (select)]]="fraction of product", 1, 10^-3)</f>
        <v>0</v>
      </c>
      <c r="M14" s="23"/>
      <c r="N14" s="86"/>
      <c r="O14" s="25">
        <f>Table_Input_Pesticides[[#This Row],[Total applied]]*Table_Input_Pesticides[[#This Row],[Active ingredient 2 amount]]*IF(Table_Input_Pesticides[[#This Row],[Constituent unit (select)]]="fraction of product", 1, 10^-3)</f>
        <v>0</v>
      </c>
      <c r="P14" s="23"/>
      <c r="Q14" s="86"/>
      <c r="R14" s="25">
        <f>Table_Input_Pesticides[[#This Row],[Total applied]]*Table_Input_Pesticides[[#This Row],[Active ingredient 3 amount]]*IF(Table_Input_Pesticides[[#This Row],[Constituent unit (select)]]="fraction of product", 1, 10^-3)</f>
        <v>0</v>
      </c>
    </row>
    <row r="15" spans="1:19" x14ac:dyDescent="0.25">
      <c r="A15" s="5" t="str">
        <f>HYPERLINK("#'Input - Electricity'!A1", "Electricity")</f>
        <v>Electricity</v>
      </c>
      <c r="D15" s="93"/>
      <c r="E15" s="248"/>
      <c r="F15" s="23"/>
      <c r="G15" s="86"/>
      <c r="H15" s="25">
        <f>Table_Input_Pesticides[[#This Row],[Amount applied per ha]]*Table_Input_Pesticides[[#This Row],[Application area (ha)]]</f>
        <v>0</v>
      </c>
      <c r="I15" s="23"/>
      <c r="J15" s="23"/>
      <c r="K15" s="86"/>
      <c r="L15" s="25">
        <f>Table_Input_Pesticides[[#This Row],[Total applied]]*Table_Input_Pesticides[[#This Row],[Active ingredient 1 amount]]*IF(Table_Input_Pesticides[[#This Row],[Constituent unit (select)]]="fraction of product", 1, 10^-3)</f>
        <v>0</v>
      </c>
      <c r="M15" s="23"/>
      <c r="N15" s="86"/>
      <c r="O15" s="25">
        <f>Table_Input_Pesticides[[#This Row],[Total applied]]*Table_Input_Pesticides[[#This Row],[Active ingredient 2 amount]]*IF(Table_Input_Pesticides[[#This Row],[Constituent unit (select)]]="fraction of product", 1, 10^-3)</f>
        <v>0</v>
      </c>
      <c r="P15" s="23"/>
      <c r="Q15" s="86"/>
      <c r="R15" s="25">
        <f>Table_Input_Pesticides[[#This Row],[Total applied]]*Table_Input_Pesticides[[#This Row],[Active ingredient 3 amount]]*IF(Table_Input_Pesticides[[#This Row],[Constituent unit (select)]]="fraction of product", 1, 10^-3)</f>
        <v>0</v>
      </c>
    </row>
    <row r="16" spans="1:19" x14ac:dyDescent="0.25">
      <c r="A16" s="5" t="str">
        <f>HYPERLINK("#'Input - Common farm inputs'!A1", "Common farm inputs")</f>
        <v>Common farm inputs</v>
      </c>
      <c r="D16" s="93"/>
      <c r="E16" s="248"/>
      <c r="F16" s="23"/>
      <c r="G16" s="86"/>
      <c r="H16" s="25">
        <f>Table_Input_Pesticides[[#This Row],[Amount applied per ha]]*Table_Input_Pesticides[[#This Row],[Application area (ha)]]</f>
        <v>0</v>
      </c>
      <c r="I16" s="23"/>
      <c r="J16" s="23"/>
      <c r="K16" s="86"/>
      <c r="L16" s="25">
        <f>Table_Input_Pesticides[[#This Row],[Total applied]]*Table_Input_Pesticides[[#This Row],[Active ingredient 1 amount]]*IF(Table_Input_Pesticides[[#This Row],[Constituent unit (select)]]="fraction of product", 1, 10^-3)</f>
        <v>0</v>
      </c>
      <c r="M16" s="23"/>
      <c r="N16" s="86"/>
      <c r="O16" s="25">
        <f>Table_Input_Pesticides[[#This Row],[Total applied]]*Table_Input_Pesticides[[#This Row],[Active ingredient 2 amount]]*IF(Table_Input_Pesticides[[#This Row],[Constituent unit (select)]]="fraction of product", 1, 10^-3)</f>
        <v>0</v>
      </c>
      <c r="P16" s="23"/>
      <c r="Q16" s="86"/>
      <c r="R16" s="25">
        <f>Table_Input_Pesticides[[#This Row],[Total applied]]*Table_Input_Pesticides[[#This Row],[Active ingredient 3 amount]]*IF(Table_Input_Pesticides[[#This Row],[Constituent unit (select)]]="fraction of product", 1, 10^-3)</f>
        <v>0</v>
      </c>
    </row>
    <row r="17" spans="1:18" x14ac:dyDescent="0.25">
      <c r="A17" s="99" t="str">
        <f>HYPERLINK("#'Input - Crop pasture farm input'!A1", "Crop pasture farm input")</f>
        <v>Crop pasture farm input</v>
      </c>
      <c r="D17" s="93"/>
      <c r="E17" s="248"/>
      <c r="F17" s="23"/>
      <c r="G17" s="86"/>
      <c r="H17" s="25">
        <f>Table_Input_Pesticides[[#This Row],[Amount applied per ha]]*Table_Input_Pesticides[[#This Row],[Application area (ha)]]</f>
        <v>0</v>
      </c>
      <c r="I17" s="23"/>
      <c r="J17" s="23"/>
      <c r="K17" s="86"/>
      <c r="L17" s="25">
        <f>Table_Input_Pesticides[[#This Row],[Total applied]]*Table_Input_Pesticides[[#This Row],[Active ingredient 1 amount]]*IF(Table_Input_Pesticides[[#This Row],[Constituent unit (select)]]="fraction of product", 1, 10^-3)</f>
        <v>0</v>
      </c>
      <c r="M17" s="23"/>
      <c r="N17" s="86"/>
      <c r="O17" s="25">
        <f>Table_Input_Pesticides[[#This Row],[Total applied]]*Table_Input_Pesticides[[#This Row],[Active ingredient 2 amount]]*IF(Table_Input_Pesticides[[#This Row],[Constituent unit (select)]]="fraction of product", 1, 10^-3)</f>
        <v>0</v>
      </c>
      <c r="P17" s="23"/>
      <c r="Q17" s="86"/>
      <c r="R17" s="25">
        <f>Table_Input_Pesticides[[#This Row],[Total applied]]*Table_Input_Pesticides[[#This Row],[Active ingredient 3 amount]]*IF(Table_Input_Pesticides[[#This Row],[Constituent unit (select)]]="fraction of product", 1, 10^-3)</f>
        <v>0</v>
      </c>
    </row>
    <row r="18" spans="1:18" x14ac:dyDescent="0.25">
      <c r="A18" s="5" t="str">
        <f>HYPERLINK("#'Input - Freight'!A1", "Freight")</f>
        <v>Freight</v>
      </c>
      <c r="D18" s="93"/>
      <c r="E18" s="248"/>
      <c r="F18" s="23"/>
      <c r="G18" s="86"/>
      <c r="H18" s="25">
        <f>Table_Input_Pesticides[[#This Row],[Amount applied per ha]]*Table_Input_Pesticides[[#This Row],[Application area (ha)]]</f>
        <v>0</v>
      </c>
      <c r="I18" s="23"/>
      <c r="J18" s="23"/>
      <c r="K18" s="86"/>
      <c r="L18" s="25">
        <f>Table_Input_Pesticides[[#This Row],[Total applied]]*Table_Input_Pesticides[[#This Row],[Active ingredient 1 amount]]*IF(Table_Input_Pesticides[[#This Row],[Constituent unit (select)]]="fraction of product", 1, 10^-3)</f>
        <v>0</v>
      </c>
      <c r="M18" s="23"/>
      <c r="N18" s="86"/>
      <c r="O18" s="25">
        <f>Table_Input_Pesticides[[#This Row],[Total applied]]*Table_Input_Pesticides[[#This Row],[Active ingredient 2 amount]]*IF(Table_Input_Pesticides[[#This Row],[Constituent unit (select)]]="fraction of product", 1, 10^-3)</f>
        <v>0</v>
      </c>
      <c r="P18" s="23"/>
      <c r="Q18" s="86"/>
      <c r="R18" s="25">
        <f>Table_Input_Pesticides[[#This Row],[Total applied]]*Table_Input_Pesticides[[#This Row],[Active ingredient 3 amount]]*IF(Table_Input_Pesticides[[#This Row],[Constituent unit (select)]]="fraction of product", 1, 10^-3)</f>
        <v>0</v>
      </c>
    </row>
    <row r="19" spans="1:18" x14ac:dyDescent="0.25">
      <c r="A19" s="5" t="str">
        <f>HYPERLINK("#'Input - Manure sent off-site'!A1", "Manure sent off-site")</f>
        <v>Manure sent off-site</v>
      </c>
      <c r="D19" s="93"/>
      <c r="E19" s="248"/>
      <c r="F19" s="23"/>
      <c r="G19" s="86"/>
      <c r="H19" s="25">
        <f>Table_Input_Pesticides[[#This Row],[Amount applied per ha]]*Table_Input_Pesticides[[#This Row],[Application area (ha)]]</f>
        <v>0</v>
      </c>
      <c r="I19" s="23"/>
      <c r="J19" s="23"/>
      <c r="K19" s="86"/>
      <c r="L19" s="25">
        <f>Table_Input_Pesticides[[#This Row],[Total applied]]*Table_Input_Pesticides[[#This Row],[Active ingredient 1 amount]]*IF(Table_Input_Pesticides[[#This Row],[Constituent unit (select)]]="fraction of product", 1, 10^-3)</f>
        <v>0</v>
      </c>
      <c r="M19" s="23"/>
      <c r="N19" s="86"/>
      <c r="O19" s="25">
        <f>Table_Input_Pesticides[[#This Row],[Total applied]]*Table_Input_Pesticides[[#This Row],[Active ingredient 2 amount]]*IF(Table_Input_Pesticides[[#This Row],[Constituent unit (select)]]="fraction of product", 1, 10^-3)</f>
        <v>0</v>
      </c>
      <c r="P19" s="23"/>
      <c r="Q19" s="86"/>
      <c r="R19" s="25">
        <f>Table_Input_Pesticides[[#This Row],[Total applied]]*Table_Input_Pesticides[[#This Row],[Active ingredient 3 amount]]*IF(Table_Input_Pesticides[[#This Row],[Constituent unit (select)]]="fraction of product", 1, 10^-3)</f>
        <v>0</v>
      </c>
    </row>
    <row r="20" spans="1:18" x14ac:dyDescent="0.25">
      <c r="A20" s="5" t="str">
        <f>HYPERLINK("#'Input - Solid waste'!A1", "Solid waste")</f>
        <v>Solid waste</v>
      </c>
    </row>
    <row r="21" spans="1:18" x14ac:dyDescent="0.25">
      <c r="A21" s="5" t="str">
        <f>HYPERLINK("#'Input - Data quality'!A1", "Data quality")</f>
        <v>Data quality</v>
      </c>
    </row>
    <row r="22" spans="1:18" ht="23.25" x14ac:dyDescent="0.25">
      <c r="A22"/>
      <c r="D22" s="2" t="s">
        <v>737</v>
      </c>
      <c r="E22" s="240"/>
      <c r="F22" s="240"/>
    </row>
    <row r="23" spans="1:18" x14ac:dyDescent="0.25">
      <c r="A23"/>
      <c r="D23" s="1" t="str">
        <f>'Constants - Scope 3'!E204</f>
        <v>Barley grain (for seed)</v>
      </c>
      <c r="E23" s="86">
        <v>500</v>
      </c>
      <c r="F23" s="26" t="s">
        <v>283</v>
      </c>
    </row>
    <row r="24" spans="1:18" x14ac:dyDescent="0.25">
      <c r="A24" s="6" t="s">
        <v>2</v>
      </c>
      <c r="D24" s="1" t="str">
        <f>'Constants - Scope 3'!E205</f>
        <v>Maize grain (for seed)</v>
      </c>
      <c r="E24" s="86">
        <v>600</v>
      </c>
      <c r="F24" s="26" t="s">
        <v>283</v>
      </c>
    </row>
    <row r="25" spans="1:18" x14ac:dyDescent="0.25">
      <c r="A25" s="5" t="str">
        <f>HYPERLINK("#'5.1.1.1-2 Inorganic fert N2O'!A1", "5.1.1.1-2 Inorganic fert N2O")</f>
        <v>5.1.1.1-2 Inorganic fert N2O</v>
      </c>
      <c r="D25" s="1" t="str">
        <f>'Constants - Scope 3'!E207</f>
        <v>Oat grain (for seed)</v>
      </c>
      <c r="E25" s="86">
        <v>700</v>
      </c>
      <c r="F25" s="26" t="s">
        <v>283</v>
      </c>
    </row>
    <row r="26" spans="1:18" x14ac:dyDescent="0.25">
      <c r="A26" s="5" t="str">
        <f>HYPERLINK("#'5.1.1.3-4 Inorganic fert CO2'!A1", "5.1.1.3-4 Inorganic fert CO2")</f>
        <v>5.1.1.3-4 Inorganic fert CO2</v>
      </c>
      <c r="D26" s="1" t="str">
        <f>'Constants - Scope 3'!E208</f>
        <v>Sorghum grain (for seed)</v>
      </c>
      <c r="E26" s="86">
        <v>800</v>
      </c>
      <c r="F26" s="26" t="s">
        <v>283</v>
      </c>
    </row>
    <row r="27" spans="1:18" x14ac:dyDescent="0.25">
      <c r="A27" s="5" t="str">
        <f>HYPERLINK("#'5.2.1.1-2 Organic Fert N2O'!A1", "5.2.1.1-2 Organic fert N2O")</f>
        <v>5.2.1.1-2 Organic fert N2O</v>
      </c>
      <c r="D27" s="1" t="str">
        <f>'Constants - Scope 3'!E209</f>
        <v>Wheat grain (for seed)</v>
      </c>
      <c r="E27" s="86">
        <v>900</v>
      </c>
      <c r="F27" s="26" t="s">
        <v>283</v>
      </c>
    </row>
    <row r="28" spans="1:18" x14ac:dyDescent="0.25">
      <c r="A28" s="5" t="str">
        <f>HYPERLINK("#'5.3.1.1-2 Lime CO2'!A1", "5.3.1.1-2 Lime CO2")</f>
        <v>5.3.1.1-2 Lime CO2</v>
      </c>
    </row>
    <row r="29" spans="1:18" x14ac:dyDescent="0.25">
      <c r="A29" s="5" t="str">
        <f>HYPERLINK("#'5.4.1.1-4 Atmos deposition'!A1", "5.4.1.1-4 Atmos. deposition")</f>
        <v>5.4.1.1-4 Atmos. deposition</v>
      </c>
    </row>
    <row r="30" spans="1:18" x14ac:dyDescent="0.25">
      <c r="A30" s="5" t="str">
        <f>HYPERLINK("#'5.5.1.1-2 Leaching and runoff'!A1", "5.5.1.1-2 Leaching &amp; runoff")</f>
        <v>5.5.1.1-2 Leaching &amp; runoff</v>
      </c>
    </row>
    <row r="31" spans="1:18" x14ac:dyDescent="0.25">
      <c r="A31" s="5" t="str">
        <f>HYPERLINK("#'6.1.1.1-2 Crop residue N2O'!A1", "6.1.1.1-2 Crop residue N2O")</f>
        <v>6.1.1.1-2 Crop residue N2O</v>
      </c>
    </row>
    <row r="32" spans="1:18" x14ac:dyDescent="0.25">
      <c r="A32" s="5" t="str">
        <f>HYPERLINK("#'6.3.1.1-2 Leach runoff crop'!A1", "6.3.1.1-2 Leach &amp; runoff (crop)")</f>
        <v>6.3.1.1-2 Leach &amp; runoff (crop)</v>
      </c>
    </row>
    <row r="33" spans="1:1" x14ac:dyDescent="0.25">
      <c r="A33" s="5" t="str">
        <f>HYPERLINK("#'6.4.1.1-2 Residue burning'!A1", "6.4.1.1-2 Residue burning")</f>
        <v>6.4.1.1-2 Residue burning</v>
      </c>
    </row>
    <row r="34" spans="1:1" x14ac:dyDescent="0.25">
      <c r="A34" s="5" t="str">
        <f>HYPERLINK("#'8.1.1.1-2 Transport fuel'!A1", "8.1.1.1-2 Transport fuel")</f>
        <v>8.1.1.1-2 Transport fuel</v>
      </c>
    </row>
    <row r="35" spans="1:1" x14ac:dyDescent="0.25">
      <c r="A35" s="5" t="str">
        <f>HYPERLINK("#'8.2.1.1-2 Stationary fuel'!A1", "8.2.1.1-2 Stationary fuel")</f>
        <v>8.2.1.1-2 Stationary fuel</v>
      </c>
    </row>
    <row r="36" spans="1:1" x14ac:dyDescent="0.25">
      <c r="A36" s="5" t="str">
        <f>HYPERLINK("#'14.1.1-2 Purchased electricity'!A1", "14.1.1-2 Purchased electricity")</f>
        <v>14.1.1-2 Purchased electricity</v>
      </c>
    </row>
    <row r="37" spans="1:1" x14ac:dyDescent="0.25">
      <c r="A37" s="5" t="str">
        <f>HYPERLINK("#'15 Scope 3'!A1", "15 Scope 3")</f>
        <v>15 Scope 3</v>
      </c>
    </row>
    <row r="38" spans="1:1" x14ac:dyDescent="0.25">
      <c r="A38" s="5" t="str">
        <f>HYPERLINK("#'Calcs - Manure sent off-site'!A1", "Calcs - Manure sent off-site")</f>
        <v>Calcs - Manure sent off-site</v>
      </c>
    </row>
    <row r="39" spans="1:1" x14ac:dyDescent="0.25">
      <c r="A39" s="5" t="str">
        <f>HYPERLINK("#'10.1.1-2 Solid waste treatment'!A1", "10.1.1-2 Solid waste treatment")</f>
        <v>10.1.1-2 Solid waste treatment</v>
      </c>
    </row>
    <row r="40" spans="1:1" x14ac:dyDescent="0.25">
      <c r="A40"/>
    </row>
    <row r="41" spans="1:1" x14ac:dyDescent="0.25">
      <c r="A41"/>
    </row>
    <row r="42" spans="1:1" x14ac:dyDescent="0.25">
      <c r="A42" s="108" t="s">
        <v>1</v>
      </c>
    </row>
    <row r="43" spans="1:1" x14ac:dyDescent="0.25">
      <c r="A43" s="5" t="str">
        <f>HYPERLINK("#'Constants - Ag Residue'!A1", "Constants - Ag residue")</f>
        <v>Constants - Ag residue</v>
      </c>
    </row>
    <row r="44" spans="1:1" x14ac:dyDescent="0.25">
      <c r="A44" s="5" t="str">
        <f>HYPERLINK("#'Constants - Common Livestock'!A1", "Constants - Common Livestock")</f>
        <v>Constants - Common Livestock</v>
      </c>
    </row>
    <row r="45" spans="1:1" x14ac:dyDescent="0.25">
      <c r="A45" s="5" t="str">
        <f>HYPERLINK("#'Constants - Electricity'!A1", "Constants - Electricity")</f>
        <v>Constants - Electricity</v>
      </c>
    </row>
    <row r="46" spans="1:1" x14ac:dyDescent="0.25">
      <c r="A46" s="5" t="str">
        <f>HYPERLINK("#'Constants - Fertiliser'!A1", "Constants - Fertiliser")</f>
        <v>Constants - Fertiliser</v>
      </c>
    </row>
    <row r="47" spans="1:1" x14ac:dyDescent="0.25">
      <c r="A47" s="5" t="str">
        <f>HYPERLINK("#'Constants - Fuel'!A1", "Constants - Fuel")</f>
        <v>Constants - Fuel</v>
      </c>
    </row>
    <row r="48" spans="1:1" x14ac:dyDescent="0.25">
      <c r="A48" s="5" t="str">
        <f>HYPERLINK("#'Constants - Scope 3'!A1", "Constants - Scope 3")</f>
        <v>Constants - Scope 3</v>
      </c>
    </row>
    <row r="49" spans="1:1" x14ac:dyDescent="0.25">
      <c r="A49" s="5" t="str">
        <f>HYPERLINK("#'Constants - Common'!A1", "Constants - Common")</f>
        <v>Constants - Common</v>
      </c>
    </row>
    <row r="50" spans="1:1" x14ac:dyDescent="0.25">
      <c r="A50" s="5" t="str">
        <f>HYPERLINK("#'Constants - Solid Waste'!A1", "Constants - Solid Waste")</f>
        <v>Constants - Solid Waste</v>
      </c>
    </row>
    <row r="51" spans="1:1" x14ac:dyDescent="0.25">
      <c r="A51"/>
    </row>
    <row r="52" spans="1:1" x14ac:dyDescent="0.25">
      <c r="A52"/>
    </row>
    <row r="53" spans="1:1" x14ac:dyDescent="0.25">
      <c r="A53"/>
    </row>
    <row r="54" spans="1:1" x14ac:dyDescent="0.25">
      <c r="A54"/>
    </row>
    <row r="55" spans="1:1" x14ac:dyDescent="0.25">
      <c r="A55"/>
    </row>
    <row r="56" spans="1:1" x14ac:dyDescent="0.25">
      <c r="A56"/>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J10:J19 M10:M19 P10:P19" xr:uid="{0DA3792D-B907-41C0-A468-29015ADD845B}">
      <formula1>INDIRECT("Table_SourceData_Scope3_Pesticides[Product]")</formula1>
    </dataValidation>
    <dataValidation type="list" allowBlank="1" showInputMessage="1" showErrorMessage="1" sqref="I10:I19" xr:uid="{E529C3A1-C30F-45CB-82DA-2076B4A70E31}">
      <formula1>"grams/litre or grams/kg, fraction of product"</formula1>
    </dataValidation>
    <dataValidation type="list" allowBlank="1" showInputMessage="1" showErrorMessage="1" sqref="F10:F19" xr:uid="{2553B617-E524-487D-A968-259A179FA2AB}">
      <formula1>"kg / hectare, litre / hectare"</formula1>
    </dataValidation>
  </dataValidation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73117-AB6E-4615-B6D0-64470ACFC355}">
  <sheetPr>
    <tabColor theme="5" tint="-0.249977111117893"/>
  </sheetPr>
  <dimension ref="A1:J160"/>
  <sheetViews>
    <sheetView showGridLines="0" workbookViewId="0" zoomScale="100" zoomScaleNormal="100">
      <selection activeCell="A50" sqref="A50"/>
    </sheetView>
  </sheetViews>
  <sheetFormatPr defaultRowHeight="15.75" x14ac:dyDescent="0.25"/>
  <cols>
    <col min="1" max="1" width="35" style="239" customWidth="1"/>
    <col min="2" max="2" width="5.28515625" style="239" customWidth="1"/>
    <col min="3" max="3" width="5.28515625" style="1" customWidth="1"/>
    <col min="4" max="4" width="46.5703125" style="1" customWidth="1"/>
    <col min="5" max="9" width="35" style="1" customWidth="1"/>
    <col min="10" max="10" width="5.28515625" style="1" customWidth="1"/>
    <col min="11" max="16384" width="9.140625" style="239"/>
  </cols>
  <sheetData>
    <row r="1" spans="1:10" s="16" customFormat="1" ht="30" customHeight="1" x14ac:dyDescent="0.35">
      <c r="C1" s="16" t="s">
        <v>738</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row>
    <row r="6" spans="1:10" ht="20.100000000000001" customHeight="1" x14ac:dyDescent="0.25">
      <c r="A6"/>
      <c r="D6" s="2" t="s">
        <v>739</v>
      </c>
    </row>
    <row r="7" spans="1:10" ht="20.100000000000001" customHeight="1" x14ac:dyDescent="0.25">
      <c r="A7"/>
    </row>
    <row r="8" spans="1:10" ht="20.100000000000001" customHeight="1" x14ac:dyDescent="0.25">
      <c r="A8" s="7" t="s">
        <v>0</v>
      </c>
      <c r="D8" s="30" t="s">
        <v>740</v>
      </c>
      <c r="E8" s="30" t="s">
        <v>741</v>
      </c>
      <c r="F8" s="30" t="s">
        <v>742</v>
      </c>
      <c r="G8" s="30" t="s">
        <v>743</v>
      </c>
      <c r="H8" s="30" t="s">
        <v>744</v>
      </c>
    </row>
    <row r="9" spans="1:10" ht="20.100000000000001" customHeight="1" x14ac:dyDescent="0.25">
      <c r="A9" s="5" t="str">
        <f>HYPERLINK("#'Input - Enterprise'!A1", "Enterprise")</f>
        <v>Enterprise</v>
      </c>
      <c r="D9" s="30" t="s">
        <v>745</v>
      </c>
      <c r="E9" s="23" t="s">
        <v>746</v>
      </c>
      <c r="F9" s="30">
        <v>986</v>
      </c>
      <c r="G9" s="30">
        <v>10</v>
      </c>
      <c r="H9" s="30">
        <v>52</v>
      </c>
    </row>
    <row r="10" spans="1:10" ht="20.100000000000001" customHeight="1" x14ac:dyDescent="0.25">
      <c r="A10" s="5" t="str">
        <f>HYPERLINK("#'Input - Site'!A1", "Site")</f>
        <v>Site</v>
      </c>
      <c r="D10" s="30" t="s">
        <v>747</v>
      </c>
      <c r="E10" s="23" t="s">
        <v>748</v>
      </c>
      <c r="F10" s="30">
        <v>65</v>
      </c>
      <c r="G10" s="30">
        <v>10</v>
      </c>
      <c r="H10" s="30">
        <v>6</v>
      </c>
    </row>
    <row r="11" spans="1:10" ht="20.100000000000001" customHeight="1" x14ac:dyDescent="0.25">
      <c r="A11" s="5" t="str">
        <f>HYPERLINK("#'Input - Crop'!A1", "Crop")</f>
        <v>Crop</v>
      </c>
      <c r="D11" s="30"/>
      <c r="E11" s="23"/>
      <c r="F11" s="30"/>
      <c r="G11" s="30"/>
      <c r="H11" s="30"/>
    </row>
    <row r="12" spans="1:10" ht="20.100000000000001" customHeight="1" x14ac:dyDescent="0.25">
      <c r="A12" s="5" t="str">
        <f>HYPERLINK("#'Input - Fert Prod System'!A1", "Fert Prod System")</f>
        <v>Fert Prod System</v>
      </c>
      <c r="D12" s="30"/>
      <c r="E12" s="23"/>
      <c r="F12" s="30"/>
      <c r="G12" s="30"/>
      <c r="H12" s="30"/>
    </row>
    <row r="13" spans="1:10" ht="20.100000000000001" customHeight="1" x14ac:dyDescent="0.25">
      <c r="A13" s="5" t="str">
        <f>HYPERLINK("#'Input - Fertiliser'!A1", "Fertiliser")</f>
        <v>Fertiliser</v>
      </c>
      <c r="D13" s="30"/>
      <c r="E13" s="23"/>
      <c r="F13" s="30"/>
      <c r="G13" s="30"/>
      <c r="H13" s="30"/>
    </row>
    <row r="14" spans="1:10" ht="20.100000000000001" customHeight="1" x14ac:dyDescent="0.25">
      <c r="A14" s="5" t="str">
        <f>HYPERLINK("#'Input - Fuel'!A1", "Fuel")</f>
        <v>Fuel</v>
      </c>
      <c r="D14" s="30"/>
      <c r="E14" s="23"/>
      <c r="F14" s="30"/>
      <c r="G14" s="30"/>
      <c r="H14" s="30"/>
    </row>
    <row r="15" spans="1:10" ht="20.100000000000001" customHeight="1" x14ac:dyDescent="0.25">
      <c r="A15" s="5" t="str">
        <f>HYPERLINK("#'Input - Electricity'!A1", "Electricity")</f>
        <v>Electricity</v>
      </c>
      <c r="D15" s="30"/>
      <c r="E15" s="23"/>
      <c r="F15" s="30"/>
      <c r="G15" s="30"/>
      <c r="H15" s="30"/>
    </row>
    <row r="16" spans="1:10" ht="20.100000000000001" customHeight="1" x14ac:dyDescent="0.25">
      <c r="A16" s="5" t="str">
        <f>HYPERLINK("#'Input - Common farm inputs'!A1", "Common farm inputs")</f>
        <v>Common farm inputs</v>
      </c>
      <c r="D16" s="30"/>
      <c r="E16" s="23"/>
      <c r="F16" s="30"/>
      <c r="G16" s="30"/>
      <c r="H16" s="30"/>
    </row>
    <row r="17" spans="1:8" ht="20.100000000000001" customHeight="1" x14ac:dyDescent="0.25">
      <c r="A17" s="5" t="str">
        <f>HYPERLINK("#'Input - Crop pasture farm input'!A1", "Crop pasture farm input")</f>
        <v>Crop pasture farm input</v>
      </c>
      <c r="D17" s="30"/>
      <c r="E17" s="23"/>
      <c r="F17" s="30"/>
      <c r="G17" s="30"/>
      <c r="H17" s="30"/>
    </row>
    <row r="18" spans="1:8" ht="20.100000000000001" customHeight="1" x14ac:dyDescent="0.25">
      <c r="A18" s="99" t="str">
        <f>HYPERLINK("#'Input - Freight'!A1", "Freight")</f>
        <v>Freight</v>
      </c>
      <c r="D18" s="30"/>
      <c r="E18" s="23"/>
      <c r="F18" s="30"/>
      <c r="G18" s="30"/>
      <c r="H18" s="30"/>
    </row>
    <row r="19" spans="1:8" ht="20.100000000000001" customHeight="1" x14ac:dyDescent="0.25">
      <c r="A19" s="5" t="str">
        <f>HYPERLINK("#'Input - Manure sent off-site'!A1", "Manure sent off-site")</f>
        <v>Manure sent off-site</v>
      </c>
    </row>
    <row r="20" spans="1:8" ht="20.100000000000001" customHeight="1" x14ac:dyDescent="0.25">
      <c r="A20" s="5" t="str">
        <f>HYPERLINK("#'Input - Solid waste'!A1", "Solid waste")</f>
        <v>Solid waste</v>
      </c>
    </row>
    <row r="21" spans="1:8" ht="20.100000000000001" customHeight="1" x14ac:dyDescent="0.25">
      <c r="A21" s="5" t="str">
        <f>HYPERLINK("#'Input - Data quality'!A1", "Data quality")</f>
        <v>Data quality</v>
      </c>
    </row>
    <row r="22" spans="1:8" ht="20.100000000000001" customHeight="1" x14ac:dyDescent="0.25">
      <c r="A22"/>
      <c r="D22" s="2" t="s">
        <v>749</v>
      </c>
    </row>
    <row r="23" spans="1:8" ht="20.100000000000001" customHeight="1" x14ac:dyDescent="0.25">
      <c r="A23"/>
    </row>
    <row r="24" spans="1:8" ht="20.100000000000001" customHeight="1" x14ac:dyDescent="0.25">
      <c r="A24" s="6" t="s">
        <v>2</v>
      </c>
      <c r="D24" s="30" t="s">
        <v>740</v>
      </c>
      <c r="E24" s="30" t="s">
        <v>741</v>
      </c>
      <c r="F24" s="30" t="s">
        <v>742</v>
      </c>
      <c r="G24" s="30" t="s">
        <v>743</v>
      </c>
      <c r="H24" s="30" t="s">
        <v>744</v>
      </c>
    </row>
    <row r="25" spans="1:8" ht="20.100000000000001" customHeight="1" x14ac:dyDescent="0.25">
      <c r="A25" s="5" t="str">
        <f>HYPERLINK("#'5.1.1.1-2 Inorganic fert N2O'!A1", "5.1.1.1-2 Inorganic fert N2O")</f>
        <v>5.1.1.1-2 Inorganic fert N2O</v>
      </c>
      <c r="D25" s="30" t="s">
        <v>750</v>
      </c>
      <c r="E25" s="23" t="s">
        <v>746</v>
      </c>
      <c r="F25" s="30">
        <v>65</v>
      </c>
      <c r="G25" s="30">
        <v>20</v>
      </c>
      <c r="H25" s="30">
        <v>52</v>
      </c>
    </row>
    <row r="26" spans="1:8" ht="20.100000000000001" customHeight="1" x14ac:dyDescent="0.25">
      <c r="A26" s="5" t="str">
        <f>HYPERLINK("#'5.1.1.3-4 Inorganic fert CO2'!A1", "5.1.1.3-4 Inorganic fert CO2")</f>
        <v>5.1.1.3-4 Inorganic fert CO2</v>
      </c>
      <c r="D26" s="30"/>
      <c r="E26" s="23"/>
      <c r="F26" s="30"/>
      <c r="G26" s="30"/>
      <c r="H26" s="30"/>
    </row>
    <row r="27" spans="1:8" ht="20.100000000000001" customHeight="1" x14ac:dyDescent="0.25">
      <c r="A27" s="5" t="str">
        <f>HYPERLINK("#'5.2.1.1-2 Organic Fert N2O'!A1", "5.2.1.1-2 Organic fert N2O")</f>
        <v>5.2.1.1-2 Organic fert N2O</v>
      </c>
      <c r="D27" s="30"/>
      <c r="E27" s="23"/>
      <c r="F27" s="30"/>
      <c r="G27" s="30"/>
      <c r="H27" s="30"/>
    </row>
    <row r="28" spans="1:8" ht="20.100000000000001" customHeight="1" x14ac:dyDescent="0.25">
      <c r="A28" s="5" t="str">
        <f>HYPERLINK("#'5.3.1.1-2 Lime CO2'!A1", "5.3.1.1-2 Lime CO2")</f>
        <v>5.3.1.1-2 Lime CO2</v>
      </c>
      <c r="D28" s="30"/>
      <c r="E28" s="23"/>
      <c r="F28" s="30"/>
      <c r="G28" s="30"/>
      <c r="H28" s="30"/>
    </row>
    <row r="29" spans="1:8" ht="20.100000000000001" customHeight="1" x14ac:dyDescent="0.25">
      <c r="A29" s="5" t="str">
        <f>HYPERLINK("#'5.4.1.1-4 Atmos deposition'!A1", "5.4.1.1-4 Atmos. deposition")</f>
        <v>5.4.1.1-4 Atmos. deposition</v>
      </c>
      <c r="D29" s="30"/>
      <c r="E29" s="23"/>
      <c r="F29" s="30"/>
      <c r="G29" s="30"/>
      <c r="H29" s="30"/>
    </row>
    <row r="30" spans="1:8" ht="20.100000000000001" customHeight="1" x14ac:dyDescent="0.25">
      <c r="A30" s="5" t="str">
        <f>HYPERLINK("#'5.5.1.1-2 Leaching and runoff'!A1", "5.5.1.1-2 Leaching &amp; runoff")</f>
        <v>5.5.1.1-2 Leaching &amp; runoff</v>
      </c>
      <c r="D30" s="30"/>
      <c r="E30" s="23"/>
      <c r="F30" s="30"/>
      <c r="G30" s="30"/>
      <c r="H30" s="30"/>
    </row>
    <row r="31" spans="1:8" ht="20.100000000000001" customHeight="1" x14ac:dyDescent="0.25">
      <c r="A31" s="5" t="str">
        <f>HYPERLINK("#'6.1.1.1-2 Crop residue N2O'!A1", "6.1.1.1-2 Crop residue N2O")</f>
        <v>6.1.1.1-2 Crop residue N2O</v>
      </c>
      <c r="D31" s="30"/>
      <c r="E31" s="23"/>
      <c r="F31" s="30"/>
      <c r="G31" s="30"/>
      <c r="H31" s="30"/>
    </row>
    <row r="32" spans="1:8" ht="20.100000000000001" customHeight="1" x14ac:dyDescent="0.25">
      <c r="A32" s="5" t="str">
        <f>HYPERLINK("#'6.3.1.1-2 Leach runoff crop'!A1", "6.3.1.1-2 Leach &amp; runoff (crop)")</f>
        <v>6.3.1.1-2 Leach &amp; runoff (crop)</v>
      </c>
      <c r="D32" s="30"/>
      <c r="E32" s="23"/>
      <c r="F32" s="30"/>
      <c r="G32" s="30"/>
      <c r="H32" s="30"/>
    </row>
    <row r="33" spans="1:8" ht="20.100000000000001" customHeight="1" x14ac:dyDescent="0.25">
      <c r="A33" s="5" t="str">
        <f>HYPERLINK("#'6.4.1.1-2 Residue burning'!A1", "6.4.1.1-2 Residue burning")</f>
        <v>6.4.1.1-2 Residue burning</v>
      </c>
      <c r="D33" s="30"/>
      <c r="E33" s="23"/>
      <c r="F33" s="30"/>
      <c r="G33" s="30"/>
      <c r="H33" s="30"/>
    </row>
    <row r="34" spans="1:8" ht="20.100000000000001" customHeight="1" x14ac:dyDescent="0.25">
      <c r="A34" s="5" t="str">
        <f>HYPERLINK("#'8.1.1.1-2 Transport fuel'!A1", "8.1.1.1-2 Transport fuel")</f>
        <v>8.1.1.1-2 Transport fuel</v>
      </c>
      <c r="D34" s="30"/>
      <c r="E34" s="23"/>
      <c r="F34" s="30"/>
      <c r="G34" s="30"/>
      <c r="H34" s="30"/>
    </row>
    <row r="35" spans="1:8" ht="20.100000000000001" customHeight="1" x14ac:dyDescent="0.25">
      <c r="A35" s="5" t="str">
        <f>HYPERLINK("#'8.2.1.1-2 Stationary fuel'!A1", "8.2.1.1-2 Stationary fuel")</f>
        <v>8.2.1.1-2 Stationary fuel</v>
      </c>
    </row>
    <row r="36" spans="1:8" ht="20.100000000000001" customHeight="1" x14ac:dyDescent="0.25">
      <c r="A36" s="5" t="str">
        <f>HYPERLINK("#'14.1.1-2 Purchased electricity'!A1", "14.1.1-2 Purchased electricity")</f>
        <v>14.1.1-2 Purchased electricity</v>
      </c>
    </row>
    <row r="37" spans="1:8" ht="20.100000000000001" customHeight="1" x14ac:dyDescent="0.25">
      <c r="A37" s="5" t="str">
        <f>HYPERLINK("#'15 Scope 3'!A1", "15 Scope 3")</f>
        <v>15 Scope 3</v>
      </c>
    </row>
    <row r="38" spans="1:8" ht="20.100000000000001" customHeight="1" x14ac:dyDescent="0.25">
      <c r="A38" s="5" t="str">
        <f>HYPERLINK("#'Calcs - Manure sent off-site'!A1", "Calcs - Manure sent off-site")</f>
        <v>Calcs - Manure sent off-site</v>
      </c>
    </row>
    <row r="39" spans="1:8" ht="20.100000000000001" customHeight="1" x14ac:dyDescent="0.25">
      <c r="A39" s="5" t="str">
        <f>HYPERLINK("#'10.1.1-2 Solid waste treatment'!A1", "10.1.1-2 Solid waste treatment")</f>
        <v>10.1.1-2 Solid waste treatment</v>
      </c>
    </row>
    <row r="40" spans="1:8" ht="20.100000000000001" customHeight="1" x14ac:dyDescent="0.25">
      <c r="A40"/>
    </row>
    <row r="41" spans="1:8" ht="20.100000000000001" customHeight="1" x14ac:dyDescent="0.25">
      <c r="A41"/>
    </row>
    <row r="42" spans="1:8" ht="20.100000000000001" customHeight="1" x14ac:dyDescent="0.25">
      <c r="A42" s="108" t="s">
        <v>1</v>
      </c>
    </row>
    <row r="43" spans="1:8" ht="20.100000000000001" customHeight="1" x14ac:dyDescent="0.25">
      <c r="A43" s="5" t="str">
        <f>HYPERLINK("#'Constants - Ag Residue'!A1", "Constants - Ag residue")</f>
        <v>Constants - Ag residue</v>
      </c>
    </row>
    <row r="44" spans="1:8" ht="20.100000000000001" customHeight="1" x14ac:dyDescent="0.25">
      <c r="A44" s="5" t="str">
        <f>HYPERLINK("#'Constants - Common Livestock'!A1", "Constants - Common Livestock")</f>
        <v>Constants - Common Livestock</v>
      </c>
    </row>
    <row r="45" spans="1:8" ht="20.100000000000001" customHeight="1" x14ac:dyDescent="0.25">
      <c r="A45" s="5" t="str">
        <f>HYPERLINK("#'Constants - Electricity'!A1", "Constants - Electricity")</f>
        <v>Constants - Electricity</v>
      </c>
    </row>
    <row r="46" spans="1:8" ht="20.100000000000001" customHeight="1" x14ac:dyDescent="0.25">
      <c r="A46" s="5" t="str">
        <f>HYPERLINK("#'Constants - Fertiliser'!A1", "Constants - Fertiliser")</f>
        <v>Constants - Fertiliser</v>
      </c>
    </row>
    <row r="47" spans="1:8" ht="20.100000000000001" customHeight="1" x14ac:dyDescent="0.25">
      <c r="A47" s="5" t="str">
        <f>HYPERLINK("#'Constants - Fuel'!A1", "Constants - Fuel")</f>
        <v>Constants - Fuel</v>
      </c>
    </row>
    <row r="48" spans="1:8" ht="20.100000000000001" customHeight="1" x14ac:dyDescent="0.25">
      <c r="A48" s="5" t="str">
        <f>HYPERLINK("#'Constants - Scope 3'!A1", "Constants - Scope 3")</f>
        <v>Constants - Scope 3</v>
      </c>
    </row>
    <row r="49" spans="1:1" ht="20.100000000000001" customHeight="1" x14ac:dyDescent="0.25">
      <c r="A49" s="5" t="str">
        <f>HYPERLINK("#'Constants - Common'!A1", "Constants - Common")</f>
        <v>Constants - Common</v>
      </c>
    </row>
    <row r="50" spans="1:1" ht="20.100000000000001" customHeight="1" x14ac:dyDescent="0.25">
      <c r="A50" s="5" t="str">
        <f>HYPERLINK("#'Constants - Solid Waste'!A1", "Constants - Solid Waste")</f>
        <v>Constants - Solid Waste</v>
      </c>
    </row>
    <row r="51" spans="1:1" ht="20.100000000000001" customHeight="1" x14ac:dyDescent="0.25">
      <c r="A51"/>
    </row>
    <row r="52" spans="1:1" x14ac:dyDescent="0.25">
      <c r="A52"/>
    </row>
    <row r="53" spans="1:1" x14ac:dyDescent="0.25">
      <c r="A53"/>
    </row>
    <row r="54" spans="1:1" x14ac:dyDescent="0.25">
      <c r="A54"/>
    </row>
    <row r="55" spans="1:1" x14ac:dyDescent="0.25">
      <c r="A55"/>
    </row>
    <row r="56" spans="1:1" x14ac:dyDescent="0.25">
      <c r="A56"/>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1">
    <dataValidation type="list" allowBlank="1" showInputMessage="1" showErrorMessage="1" sqref="E9:E18 E25:E34" xr:uid="{CE8B93F5-1E27-404E-A33E-79F5DB06C2F7}">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CB5349-6427-4891-8092-DB3DE685DE59}">
  <sheetPr>
    <tabColor theme="5" tint="-0.249977111117893"/>
  </sheetPr>
  <dimension ref="A1:K160"/>
  <sheetViews>
    <sheetView showGridLines="0" workbookViewId="0" zoomScale="100" zoomScaleNormal="100">
      <selection activeCell="A50" sqref="A50"/>
    </sheetView>
  </sheetViews>
  <sheetFormatPr defaultRowHeight="15.75" x14ac:dyDescent="0.25"/>
  <cols>
    <col min="1" max="1" width="35" style="239" customWidth="1"/>
    <col min="2" max="2" width="5.28515625" style="239" customWidth="1"/>
    <col min="3" max="3" width="5.28515625" style="1" customWidth="1"/>
    <col min="4" max="10" width="35" style="1" customWidth="1"/>
    <col min="11" max="11" width="5.28515625" style="1" customWidth="1"/>
    <col min="12" max="16384" width="9.140625" style="239"/>
  </cols>
  <sheetData>
    <row r="1" spans="1:11" ht="25.5" x14ac:dyDescent="0.35">
      <c r="A1" s="16" t="e" vm="1">
        <v>#VALUE!</v>
      </c>
      <c r="C1" s="16" t="s">
        <v>751</v>
      </c>
      <c r="D1" s="16"/>
      <c r="E1" s="16"/>
      <c r="F1" s="16"/>
      <c r="G1" s="16"/>
      <c r="H1" s="16"/>
      <c r="I1" s="16"/>
      <c r="J1" s="16"/>
      <c r="K1" s="16"/>
    </row>
    <row r="2" spans="1:11" s="3" customFormat="1" x14ac:dyDescent="0.25">
      <c r="A2"/>
    </row>
    <row r="3" spans="1:11" ht="20.25" x14ac:dyDescent="0.25">
      <c r="A3" s="5" t="str">
        <f>HYPERLINK("#'Home'!A1", "Home")</f>
        <v>Home</v>
      </c>
      <c r="C3" s="39"/>
      <c r="D3" s="39"/>
      <c r="E3" s="39"/>
      <c r="F3" s="39"/>
      <c r="G3" s="39"/>
      <c r="H3" s="39"/>
      <c r="I3" s="39"/>
      <c r="J3" s="39"/>
      <c r="K3" s="39"/>
    </row>
    <row r="4" spans="1:11" x14ac:dyDescent="0.25">
      <c r="A4" s="5" t="str">
        <f>HYPERLINK("#'Overview'!A1", "Overview")</f>
        <v>Overview</v>
      </c>
    </row>
    <row r="5" spans="1:11" ht="23.25" x14ac:dyDescent="0.25">
      <c r="A5" s="5" t="str">
        <f>HYPERLINK("#'Results'!A1", "Results")</f>
        <v>Results</v>
      </c>
      <c r="D5" s="2" t="s">
        <v>752</v>
      </c>
    </row>
    <row r="6" spans="1:11" x14ac:dyDescent="0.25">
      <c r="A6"/>
    </row>
    <row r="7" spans="1:11" x14ac:dyDescent="0.25">
      <c r="A7"/>
      <c r="D7" s="1" t="s">
        <v>753</v>
      </c>
    </row>
    <row r="8" spans="1:11" ht="18.75" x14ac:dyDescent="0.25">
      <c r="A8" s="7" t="s">
        <v>0</v>
      </c>
      <c r="D8" s="1" t="s">
        <v>754</v>
      </c>
    </row>
    <row r="9" spans="1:11" x14ac:dyDescent="0.25">
      <c r="A9" s="5" t="str">
        <f>HYPERLINK("#'Input - Enterprise'!A1", "Enterprise")</f>
        <v>Enterprise</v>
      </c>
    </row>
    <row r="10" spans="1:11" x14ac:dyDescent="0.25">
      <c r="A10" s="5" t="str">
        <f>HYPERLINK("#'Input - Site'!A1", "Site")</f>
        <v>Site</v>
      </c>
      <c r="D10" s="1" t="s">
        <v>755</v>
      </c>
      <c r="F10" s="86">
        <v>1000</v>
      </c>
      <c r="G10" s="26" t="s">
        <v>756</v>
      </c>
    </row>
    <row r="11" spans="1:11" x14ac:dyDescent="0.25">
      <c r="A11" s="5" t="str">
        <f>HYPERLINK("#'Input - Crop'!A1", "Crop")</f>
        <v>Crop</v>
      </c>
      <c r="D11" s="1" t="s">
        <v>757</v>
      </c>
      <c r="F11" s="86">
        <v>2000</v>
      </c>
      <c r="G11" s="26" t="s">
        <v>756</v>
      </c>
    </row>
    <row r="12" spans="1:11" x14ac:dyDescent="0.25">
      <c r="A12" s="5" t="str">
        <f>HYPERLINK("#'Input - Fert Prod System'!A1", "Fert Prod System")</f>
        <v>Fert Prod System</v>
      </c>
    </row>
    <row r="13" spans="1:11" x14ac:dyDescent="0.25">
      <c r="A13" s="5" t="str">
        <f>HYPERLINK("#'Input - Fertiliser'!A1", "Fertiliser")</f>
        <v>Fertiliser</v>
      </c>
      <c r="D13" s="1" t="s">
        <v>758</v>
      </c>
      <c r="F13" s="23" t="s">
        <v>184</v>
      </c>
      <c r="G13" s="26" t="s">
        <v>100</v>
      </c>
    </row>
    <row r="14" spans="1:11" x14ac:dyDescent="0.25">
      <c r="A14" s="5" t="str">
        <f>HYPERLINK("#'Input - Fuel'!A1", "Fuel")</f>
        <v>Fuel</v>
      </c>
      <c r="D14" s="1" t="s">
        <v>759</v>
      </c>
      <c r="F14" s="23" t="s">
        <v>371</v>
      </c>
      <c r="G14" s="26" t="s">
        <v>100</v>
      </c>
    </row>
    <row r="15" spans="1:11" x14ac:dyDescent="0.25">
      <c r="A15" s="5" t="str">
        <f>HYPERLINK("#'Input - Electricity'!A1", "Electricity")</f>
        <v>Electricity</v>
      </c>
    </row>
    <row r="16" spans="1:11" x14ac:dyDescent="0.25">
      <c r="A16" s="5" t="str">
        <f>HYPERLINK("#'Input - Common farm inputs'!A1", "Common farm inputs")</f>
        <v>Common farm inputs</v>
      </c>
    </row>
    <row r="17" spans="1:1" x14ac:dyDescent="0.25">
      <c r="A17" s="5" t="str">
        <f>HYPERLINK("#'Input - Crop pasture farm input'!A1", "Crop pasture farm input")</f>
        <v>Crop pasture farm input</v>
      </c>
    </row>
    <row r="18" spans="1:1" x14ac:dyDescent="0.25">
      <c r="A18" s="5" t="str">
        <f>HYPERLINK("#'Input - Freight'!A1", "Freight")</f>
        <v>Freight</v>
      </c>
    </row>
    <row r="19" spans="1:1" x14ac:dyDescent="0.25">
      <c r="A19" s="99" t="str">
        <f>HYPERLINK("#'Input - Manure sent off-site'!A1", "Manure sent off-site")</f>
        <v>Manure sent off-site</v>
      </c>
    </row>
    <row r="20" spans="1:1" x14ac:dyDescent="0.25">
      <c r="A20" s="5" t="str">
        <f>HYPERLINK("#'Input - Solid waste'!A1", "Solid waste")</f>
        <v>Solid waste</v>
      </c>
    </row>
    <row r="21" spans="1:1" x14ac:dyDescent="0.25">
      <c r="A21" s="5" t="str">
        <f>HYPERLINK("#'Input - Data quality'!A1", "Data quality")</f>
        <v>Data quality</v>
      </c>
    </row>
    <row r="22" spans="1:1" x14ac:dyDescent="0.25">
      <c r="A22"/>
    </row>
    <row r="23" spans="1:1" x14ac:dyDescent="0.25">
      <c r="A23"/>
    </row>
    <row r="24" spans="1:1" x14ac:dyDescent="0.25">
      <c r="A24" s="6" t="s">
        <v>2</v>
      </c>
    </row>
    <row r="25" spans="1:1" x14ac:dyDescent="0.25">
      <c r="A25" s="5" t="str">
        <f>HYPERLINK("#'5.1.1.1-2 Inorganic fert N2O'!A1", "5.1.1.1-2 Inorganic fert N2O")</f>
        <v>5.1.1.1-2 Inorganic fert N2O</v>
      </c>
    </row>
    <row r="26" spans="1:1" x14ac:dyDescent="0.25">
      <c r="A26" s="5" t="str">
        <f>HYPERLINK("#'5.1.1.3-4 Inorganic fert CO2'!A1", "5.1.1.3-4 Inorganic fert CO2")</f>
        <v>5.1.1.3-4 Inorganic fert CO2</v>
      </c>
    </row>
    <row r="27" spans="1:1" x14ac:dyDescent="0.25">
      <c r="A27" s="5" t="str">
        <f>HYPERLINK("#'5.2.1.1-2 Organic Fert N2O'!A1", "5.2.1.1-2 Organic fert N2O")</f>
        <v>5.2.1.1-2 Organic fert N2O</v>
      </c>
    </row>
    <row r="28" spans="1:1" x14ac:dyDescent="0.25">
      <c r="A28" s="5" t="str">
        <f>HYPERLINK("#'5.3.1.1-2 Lime CO2'!A1", "5.3.1.1-2 Lime CO2")</f>
        <v>5.3.1.1-2 Lime CO2</v>
      </c>
    </row>
    <row r="29" spans="1:1" x14ac:dyDescent="0.25">
      <c r="A29" s="5" t="str">
        <f>HYPERLINK("#'5.4.1.1-4 Atmos deposition'!A1", "5.4.1.1-4 Atmos. deposition")</f>
        <v>5.4.1.1-4 Atmos. deposition</v>
      </c>
    </row>
    <row r="30" spans="1:1" x14ac:dyDescent="0.25">
      <c r="A30" s="5" t="str">
        <f>HYPERLINK("#'5.5.1.1-2 Leaching and runoff'!A1", "5.5.1.1-2 Leaching &amp; runoff")</f>
        <v>5.5.1.1-2 Leaching &amp; runoff</v>
      </c>
    </row>
    <row r="31" spans="1:1" x14ac:dyDescent="0.25">
      <c r="A31" s="5" t="str">
        <f>HYPERLINK("#'6.1.1.1-2 Crop residue N2O'!A1", "6.1.1.1-2 Crop residue N2O")</f>
        <v>6.1.1.1-2 Crop residue N2O</v>
      </c>
    </row>
    <row r="32" spans="1:1" x14ac:dyDescent="0.25">
      <c r="A32" s="5" t="str">
        <f>HYPERLINK("#'6.3.1.1-2 Leach runoff crop'!A1", "6.3.1.1-2 Leach &amp; runoff (crop)")</f>
        <v>6.3.1.1-2 Leach &amp; runoff (crop)</v>
      </c>
    </row>
    <row r="33" spans="1:1" x14ac:dyDescent="0.25">
      <c r="A33" s="5" t="str">
        <f>HYPERLINK("#'6.4.1.1-2 Residue burning'!A1", "6.4.1.1-2 Residue burning")</f>
        <v>6.4.1.1-2 Residue burning</v>
      </c>
    </row>
    <row r="34" spans="1:1" x14ac:dyDescent="0.25">
      <c r="A34" s="5" t="str">
        <f>HYPERLINK("#'8.1.1.1-2 Transport fuel'!A1", "8.1.1.1-2 Transport fuel")</f>
        <v>8.1.1.1-2 Transport fuel</v>
      </c>
    </row>
    <row r="35" spans="1:1" x14ac:dyDescent="0.25">
      <c r="A35" s="5" t="str">
        <f>HYPERLINK("#'8.2.1.1-2 Stationary fuel'!A1", "8.2.1.1-2 Stationary fuel")</f>
        <v>8.2.1.1-2 Stationary fuel</v>
      </c>
    </row>
    <row r="36" spans="1:1" x14ac:dyDescent="0.25">
      <c r="A36" s="5" t="str">
        <f>HYPERLINK("#'14.1.1-2 Purchased electricity'!A1", "14.1.1-2 Purchased electricity")</f>
        <v>14.1.1-2 Purchased electricity</v>
      </c>
    </row>
    <row r="37" spans="1:1" x14ac:dyDescent="0.25">
      <c r="A37" s="5" t="str">
        <f>HYPERLINK("#'15 Scope 3'!A1", "15 Scope 3")</f>
        <v>15 Scope 3</v>
      </c>
    </row>
    <row r="38" spans="1:1" x14ac:dyDescent="0.25">
      <c r="A38" s="5" t="str">
        <f>HYPERLINK("#'Calcs - Manure sent off-site'!A1", "Calcs - Manure sent off-site")</f>
        <v>Calcs - Manure sent off-site</v>
      </c>
    </row>
    <row r="39" spans="1:1" x14ac:dyDescent="0.25">
      <c r="A39" s="5" t="str">
        <f>HYPERLINK("#'10.1.1-2 Solid waste treatment'!A1", "10.1.1-2 Solid waste treatment")</f>
        <v>10.1.1-2 Solid waste treatment</v>
      </c>
    </row>
    <row r="40" spans="1:1" x14ac:dyDescent="0.25">
      <c r="A40"/>
    </row>
    <row r="41" spans="1:1" x14ac:dyDescent="0.25">
      <c r="A41"/>
    </row>
    <row r="42" spans="1:1" x14ac:dyDescent="0.25">
      <c r="A42" s="108" t="s">
        <v>1</v>
      </c>
    </row>
    <row r="43" spans="1:1" x14ac:dyDescent="0.25">
      <c r="A43" s="5" t="str">
        <f>HYPERLINK("#'Constants - Ag Residue'!A1", "Constants - Ag residue")</f>
        <v>Constants - Ag residue</v>
      </c>
    </row>
    <row r="44" spans="1:1" x14ac:dyDescent="0.25">
      <c r="A44" s="5" t="str">
        <f>HYPERLINK("#'Constants - Common Livestock'!A1", "Constants - Common Livestock")</f>
        <v>Constants - Common Livestock</v>
      </c>
    </row>
    <row r="45" spans="1:1" x14ac:dyDescent="0.25">
      <c r="A45" s="5" t="str">
        <f>HYPERLINK("#'Constants - Electricity'!A1", "Constants - Electricity")</f>
        <v>Constants - Electricity</v>
      </c>
    </row>
    <row r="46" spans="1:1" x14ac:dyDescent="0.25">
      <c r="A46" s="5" t="str">
        <f>HYPERLINK("#'Constants - Fertiliser'!A1", "Constants - Fertiliser")</f>
        <v>Constants - Fertiliser</v>
      </c>
    </row>
    <row r="47" spans="1:1" x14ac:dyDescent="0.25">
      <c r="A47" s="5" t="str">
        <f>HYPERLINK("#'Constants - Fuel'!A1", "Constants - Fuel")</f>
        <v>Constants - Fuel</v>
      </c>
    </row>
    <row r="48" spans="1:1" x14ac:dyDescent="0.25">
      <c r="A48" s="5" t="str">
        <f>HYPERLINK("#'Constants - Scope 3'!A1", "Constants - Scope 3")</f>
        <v>Constants - Scope 3</v>
      </c>
    </row>
    <row r="49" spans="1:1" x14ac:dyDescent="0.25">
      <c r="A49" s="5" t="str">
        <f>HYPERLINK("#'Constants - Common'!A1", "Constants - Common")</f>
        <v>Constants - Common</v>
      </c>
    </row>
    <row r="50" spans="1:1" x14ac:dyDescent="0.25">
      <c r="A50" s="5" t="str">
        <f>HYPERLINK("#'Constants - Solid Waste'!A1", "Constants - Solid Waste")</f>
        <v>Constants - Solid Waste</v>
      </c>
    </row>
    <row r="51" spans="1:1" x14ac:dyDescent="0.25">
      <c r="A51"/>
    </row>
    <row r="52" spans="1:1" x14ac:dyDescent="0.25">
      <c r="A52"/>
    </row>
    <row r="53" spans="1:1" x14ac:dyDescent="0.25">
      <c r="A53"/>
    </row>
    <row r="54" spans="1:1" x14ac:dyDescent="0.25">
      <c r="A54"/>
    </row>
    <row r="55" spans="1:1" x14ac:dyDescent="0.25">
      <c r="A55"/>
    </row>
    <row r="56" spans="1:1" x14ac:dyDescent="0.25">
      <c r="A56"/>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2">
    <dataValidation type="list" allowBlank="1" showInputMessage="1" showErrorMessage="1" sqref="F14" xr:uid="{85ACE87B-C35C-4B31-B116-C3DE7963B937}">
      <formula1>INDIRECT("Table_SourceData_Fertiliser_IrrigationMethods[Irrigation method]")</formula1>
    </dataValidation>
    <dataValidation type="list" allowBlank="1" showInputMessage="1" showErrorMessage="1" sqref="F13" xr:uid="{7D7B2A1C-1111-42F2-9BB5-A6D1157CC606}">
      <formula1>INDIRECT("Table_SourceData_Fertiliser_CropProdSystems[Production system]")</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5DD29B-DE5D-48E2-A5FA-9DE50EA3A7FD}">
  <dimension ref="A1:X342"/>
  <sheetViews>
    <sheetView showGridLines="0" topLeftCell="F80" workbookViewId="0" zoomScale="100" zoomScaleNormal="100">
      <selection activeCell="A50" sqref="A50"/>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25.28515625" style="1" customWidth="1"/>
    <col min="11" max="11" width="4.7109375" customWidth="1"/>
    <col min="12" max="12" width="4.7109375" style="1" customWidth="1"/>
    <col min="13" max="23" width="30.7109375" style="1" customWidth="1"/>
    <col min="24" max="24" width="4.7109375" style="1" customWidth="1"/>
  </cols>
  <sheetData>
    <row r="1" spans="1:24" s="31" customFormat="1" ht="30" customHeight="1" x14ac:dyDescent="0.35">
      <c r="A1" s="16" t="e" vm="1">
        <v>#VALUE!</v>
      </c>
      <c r="C1" s="31" t="s">
        <v>266</v>
      </c>
      <c r="K1"/>
    </row>
    <row r="2" spans="1:24" s="3" customFormat="1" ht="20.100000000000001" customHeight="1" x14ac:dyDescent="0.25">
      <c r="A2"/>
      <c r="K2"/>
    </row>
    <row r="3" spans="1:24" ht="20.100000000000001" customHeight="1" x14ac:dyDescent="0.25">
      <c r="A3" s="5" t="str">
        <f>HYPERLINK("#'Home'!A1", "Home")</f>
        <v>Home</v>
      </c>
      <c r="C3" s="33"/>
      <c r="D3" s="33" t="s">
        <v>135</v>
      </c>
      <c r="E3" s="33"/>
      <c r="F3" s="33"/>
      <c r="G3" s="33"/>
      <c r="H3" s="33"/>
      <c r="I3" s="33"/>
      <c r="J3" s="33"/>
      <c r="L3" s="33"/>
      <c r="M3" s="33" t="s">
        <v>136</v>
      </c>
      <c r="N3" s="33"/>
      <c r="O3" s="33"/>
      <c r="P3" s="33"/>
      <c r="Q3" s="33"/>
      <c r="R3" s="33"/>
      <c r="S3" s="33"/>
      <c r="T3" s="33"/>
      <c r="U3" s="33"/>
      <c r="V3" s="33"/>
      <c r="W3" s="33"/>
      <c r="X3" s="33"/>
    </row>
    <row r="4" spans="1:24" ht="20.100000000000001" customHeight="1" x14ac:dyDescent="0.25">
      <c r="A4" s="5" t="str">
        <f>HYPERLINK("#'Overview'!A1", "Overview")</f>
        <v>Overview</v>
      </c>
    </row>
    <row r="5" spans="1:24" ht="20.100000000000001" customHeight="1" x14ac:dyDescent="0.25">
      <c r="A5" s="5" t="str">
        <f>HYPERLINK("#'Results'!A1", "Results")</f>
        <v>Results</v>
      </c>
      <c r="D5" s="2" t="str" cm="1">
        <f t="array" ref="D5">Fertiliser_Equations_InorganicN2O.VEERG_5_1_1_1__2_MassOfNitrogenInInorganicFertiliser_Title()</f>
        <v>Mass of nitrogen in inorganic fertiliser applied to production system</v>
      </c>
      <c r="M5" s="2" t="str" cm="1">
        <f t="array" ref="M5">Fertiliser_Equations_InorganicN2O.VEERG_5_1_1_2__1_EmissionFactorIrrigatedMaize_Title()</f>
        <v>Emission factor for nitrous oxide for irrigated maize</v>
      </c>
    </row>
    <row r="6" spans="1:24" ht="20.100000000000001" customHeight="1" x14ac:dyDescent="0.25">
      <c r="D6" s="27" t="str" cm="1">
        <f t="array" ref="D6">Fertiliser_Equations_InorganicN2O.VEERG_5_1_1_1__2_MassOfNitrogenInInorganicFertiliser_Source()</f>
        <v>VEERG 2026: 5.1.1.1, Equation (2)</v>
      </c>
      <c r="M6" s="27" t="str" cm="1">
        <f t="array" ref="M6">Fertiliser_Equations_InorganicN2O.VEERG_5_1_1_2__1_EmissionFactorIrrigatedMaize_Source()</f>
        <v>VEERG 2026: 5.1.1.2, Equation (1)</v>
      </c>
    </row>
    <row r="7" spans="1:24" ht="20.100000000000001" customHeight="1" x14ac:dyDescent="0.25">
      <c r="D7" s="133" t="s">
        <v>267</v>
      </c>
      <c r="E7" s="133" t="str" cm="1">
        <f t="array" aca="1" ref="E7" ca="1">Common_InputFunctions.Utility_DisplayFunctionName(G19)</f>
        <v>=Fertiliser_Equations_InorganicN2O.VEERG_5_1_1_1__2_MassOfNitrogenInInorganicFertiliser</v>
      </c>
    </row>
    <row r="8" spans="1:24" ht="20.100000000000001" customHeight="1" x14ac:dyDescent="0.25">
      <c r="A8" s="7" t="s">
        <v>0</v>
      </c>
    </row>
    <row r="9" spans="1:24" ht="20.100000000000001" customHeight="1" x14ac:dyDescent="0.25">
      <c r="A9" s="5" t="str">
        <f>HYPERLINK("#'Input - Enterprise'!A1", "Enterprise")</f>
        <v>Enterprise</v>
      </c>
      <c r="M9" s="88" t="s">
        <v>268</v>
      </c>
      <c r="N9" s="1" t="str" cm="1">
        <f t="array" ref="N9">Fertiliser_Equations_InorganicN2O.VEERG_5_1_1_2__1_EmissionFactorIrrigatedMaize_Variable()</f>
        <v>EF_fjIrrigatedMaizeN2O</v>
      </c>
    </row>
    <row r="10" spans="1:24" ht="20.100000000000001" customHeight="1" x14ac:dyDescent="0.25">
      <c r="A10" s="5" t="str">
        <f>HYPERLINK("#'Input - Site'!A1", "Site")</f>
        <v>Site</v>
      </c>
      <c r="D10" s="88" t="s">
        <v>268</v>
      </c>
      <c r="E10" s="1" t="str" cm="1">
        <f t="array" ref="E10">Fertiliser_Equations_InorganicN2O.VEERG_5_1_1_1__2_MassOfNitrogenInInorganicFertiliser_Variable()</f>
        <v>MN_jf</v>
      </c>
      <c r="M10" s="88" t="s">
        <v>121</v>
      </c>
      <c r="N10" s="15" t="str" cm="1">
        <f t="array" ref="N10">Fertiliser_Equations_InorganicN2O.VEERG_5_1_1_2__1_EmissionFactorIrrigatedMaize_Unit()</f>
        <v>kg N2O-N/kg N applied</v>
      </c>
    </row>
    <row r="11" spans="1:24" ht="20.100000000000001" customHeight="1" x14ac:dyDescent="0.25">
      <c r="A11" s="5" t="str">
        <f>HYPERLINK("#'Input - Crop'!A1", "Crop")</f>
        <v>Crop</v>
      </c>
      <c r="D11" s="88" t="s">
        <v>121</v>
      </c>
      <c r="E11" s="15" t="str" cm="1">
        <f t="array" ref="E11">Fertiliser_Equations_InorganicN2O.VEERG_5_1_1_1__2_MassOfNitrogenInInorganicFertiliser_Unit()</f>
        <v>kg N</v>
      </c>
    </row>
    <row r="12" spans="1:24" ht="20.100000000000001" customHeight="1" x14ac:dyDescent="0.25">
      <c r="A12" s="5" t="str">
        <f>HYPERLINK("#'Input - Fert Prod System'!A1", "Fert Prod System")</f>
        <v>Fert Prod System</v>
      </c>
      <c r="M12" s="134" t="str" cm="1">
        <f t="array" ref="M12:N13">_xlfn.CHOOSECOLS(Fertiliser_Equations_InorganicN2O.VEERG_5_1_1_2__1_EmissionFactorIrrigatedMaize_Arguments(), 1, 2)</f>
        <v>N_fjIrrigatedMaize</v>
      </c>
      <c r="N12" s="135" t="str">
        <v>application rate of inorganic fertiliser type f in the irrigated maize crop</v>
      </c>
      <c r="O12" s="136"/>
      <c r="P12" s="134" t="str" cm="1">
        <f t="array" ref="P12:Q13">_xlfn.CHOOSECOLS(Fertiliser_Equations_InorganicN2O.VEERG_5_1_1_2__1_EmissionFactorIrrigatedMaize_Arguments(), 3,4)</f>
        <v>kg N/ha</v>
      </c>
      <c r="Q12" s="137" t="str">
        <v>Input</v>
      </c>
      <c r="R12" s="139" t="str" cm="1">
        <f t="array" aca="1" ref="R12" ca="1">HYPERLINK(Common_InputFunctions.Utility_SourceHyperlink($M$41), $M$41)</f>
        <v>M2_Table_FertApplications</v>
      </c>
      <c r="S12" s="140"/>
    </row>
    <row r="13" spans="1:24" ht="20.100000000000001" customHeight="1" x14ac:dyDescent="0.25">
      <c r="A13" s="5" t="str">
        <f>HYPERLINK("#'Input - Fertiliser'!A1", "Fertiliser")</f>
        <v>Fertiliser</v>
      </c>
      <c r="D13" s="134" t="str" cm="1">
        <f t="array" ref="D13:E14">_xlfn.CHOOSECOLS(Fertiliser_Equations_InorganicN2O.VEERG_5_1_1_1__2_MassOfNitrogenInInorganicFertiliser_Arguments(), 1,2)</f>
        <v>TM_jf</v>
      </c>
      <c r="E13" s="134" t="str">
        <v>total mass of inorganic fertiliser type f applied to production system j</v>
      </c>
      <c r="F13" s="134"/>
      <c r="G13" s="134" t="str" cm="1">
        <f t="array" ref="G13:H14">_xlfn.CHOOSECOLS(Fertiliser_Equations_InorganicN2O.VEERG_5_1_1_1__2_MassOfNitrogenInInorganicFertiliser_Arguments(), 3,4)</f>
        <v>kg</v>
      </c>
      <c r="H13" s="137" t="str">
        <v>Input</v>
      </c>
      <c r="I13" s="141" t="str" cm="1">
        <f t="array" aca="1" ref="I13" ca="1">HYPERLINK(Common_InputFunctions.Utility_SourceHyperlink($D$16), $D$16)</f>
        <v>Table_MN_j_f</v>
      </c>
      <c r="M13" s="134" t="str">
        <v>f</v>
      </c>
      <c r="N13" s="135" t="str">
        <v>Inorganic fertiliser type</v>
      </c>
      <c r="O13" s="136"/>
      <c r="P13" s="134" t="str">
        <v/>
      </c>
      <c r="Q13" s="138" t="str">
        <v>Constant</v>
      </c>
      <c r="R13" s="135" t="s">
        <v>269</v>
      </c>
      <c r="S13" s="140"/>
    </row>
    <row r="14" spans="1:24" ht="20.100000000000001" customHeight="1" x14ac:dyDescent="0.25">
      <c r="A14" s="5" t="str">
        <f>HYPERLINK("#'Input - Fuel'!A1", "Fuel")</f>
        <v>Fuel</v>
      </c>
      <c r="D14" s="134" t="str">
        <v>FN_inorganicf</v>
      </c>
      <c r="E14" s="135" t="str">
        <v xml:space="preserve">fraction of nitrogen in inorganic fertiliser type f </v>
      </c>
      <c r="F14" s="143"/>
      <c r="G14" s="134" t="str">
        <v>kg N/kg</v>
      </c>
      <c r="H14" s="138" t="str">
        <v>Constant</v>
      </c>
      <c r="I14" s="141" t="str" cm="1">
        <f t="array" aca="1" ref="I14" ca="1">HYPERLINK(Common_InputFunctions.Utility_SourceHyperlink($D$16), $D$16)</f>
        <v>Table_MN_j_f</v>
      </c>
    </row>
    <row r="15" spans="1:24" ht="20.100000000000001" customHeight="1" x14ac:dyDescent="0.25">
      <c r="A15" s="5" t="str">
        <f>HYPERLINK("#'Input - Electricity'!A1", "Electricity")</f>
        <v>Electricity</v>
      </c>
    </row>
    <row r="16" spans="1:24" ht="20.100000000000001" customHeight="1" x14ac:dyDescent="0.25">
      <c r="A16" s="5" t="str">
        <f>HYPERLINK("#'Input - Common farm inputs'!A1", "Common farm inputs")</f>
        <v>Common farm inputs</v>
      </c>
      <c r="D16" s="144" t="s">
        <v>270</v>
      </c>
      <c r="M16" s="2"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5" t="str">
        <f>HYPERLINK("#'Input - Crop pasture farm input'!A1", "Crop pasture farm input")</f>
        <v>Crop pasture farm input</v>
      </c>
      <c r="D17" s="145" t="s">
        <v>271</v>
      </c>
      <c r="M17" s="27" t="str" cm="1">
        <f t="array" ref="M17">Fertiliser_Equations_InorganicN2O.VEERG_5_1_1_2__2_EmissionFactorNonIrrigatedGrainsHighRainfall_Source()</f>
        <v>VEERG 2026: 5.1.1.2, Equation (2)</v>
      </c>
    </row>
    <row r="18" spans="1:19" ht="20.100000000000001" customHeight="1" x14ac:dyDescent="0.25">
      <c r="A18" s="5" t="str">
        <f>HYPERLINK("#'Input - Freight'!A1", "Freight")</f>
        <v>Freight</v>
      </c>
      <c r="D18" s="146" t="s">
        <v>272</v>
      </c>
      <c r="E18" s="92" t="s">
        <v>273</v>
      </c>
      <c r="F18" s="146" t="s">
        <v>274</v>
      </c>
      <c r="G18" s="146" t="s">
        <v>275</v>
      </c>
    </row>
    <row r="19" spans="1:19" ht="20.100000000000001" customHeight="1" x14ac:dyDescent="0.25">
      <c r="A19" s="5" t="str">
        <f>HYPERLINK("#'Input - Manure sent off-site'!A1", "Manure sent off-site")</f>
        <v>Manure sent off-site</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f],Table_Fertiliser_ChemicalCompounds[FNinorganic f])</f>
        <v>0.1</v>
      </c>
      <c r="G19" s="25" cm="1">
        <f t="array" ref="G19">Fertiliser_Equations_InorganicN2O.VEERG_5_1_1_1__2_MassOfNitrogenInInorganicFertiliser(E19,F19)</f>
        <v>0</v>
      </c>
    </row>
    <row r="20" spans="1:19" ht="20.100000000000001" customHeight="1" x14ac:dyDescent="0.25">
      <c r="A20" s="5" t="str">
        <f>HYPERLINK("#'Input - Solid waste'!A1", "Solid waste")</f>
        <v>Solid waste</v>
      </c>
      <c r="D20" s="25" t="str">
        <v>Diammonium phosphate (DAP)</v>
      </c>
      <c r="E20" s="2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f],Table_Fertiliser_ChemicalCompounds[FNinorganic f])</f>
        <v>0.18</v>
      </c>
      <c r="G20" s="25" cm="1">
        <f t="array" ref="G20">Fertiliser_Equations_InorganicN2O.VEERG_5_1_1_1__2_MassOfNitrogenInInorganicFertiliser(E20,F20)</f>
        <v>0</v>
      </c>
      <c r="M20" s="88" t="s">
        <v>268</v>
      </c>
      <c r="N20" s="1" t="str" cm="1">
        <f t="array" ref="N20">Fertiliser_Equations_InorganicN2O.VEERG_5_1_1_2__2_EmissionFactorNonIrrigatedGrainsHighRainfall_Variable()</f>
        <v>EF_fjNonIrrigatedGrainsN2O</v>
      </c>
    </row>
    <row r="21" spans="1:19" ht="20.100000000000001" customHeight="1" x14ac:dyDescent="0.25">
      <c r="A21" s="5" t="str">
        <f>HYPERLINK("#'Input - Data quality'!A1", "Data quality")</f>
        <v>Data quality</v>
      </c>
      <c r="D21" s="25" t="str">
        <v>Urea</v>
      </c>
      <c r="E21" s="2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25" cm="1">
        <f t="array" ref="F21">Common_InputFunctions.Utility_LookupValueInTableNumber(D21,Table_Fertiliser_ChemicalCompounds[Fertiliser type f],Table_Fertiliser_ChemicalCompounds[FNinorganic f])</f>
        <v>0.46</v>
      </c>
      <c r="G21" s="25" cm="1">
        <f t="array" ref="G21">Fertiliser_Equations_InorganicN2O.VEERG_5_1_1_1__2_MassOfNitrogenInInorganicFertiliser(E21,F21)</f>
        <v>115999.99400000001</v>
      </c>
      <c r="M21" s="88" t="s">
        <v>121</v>
      </c>
      <c r="N21" s="15" t="str" cm="1">
        <f t="array" ref="N21">Fertiliser_Equations_InorganicN2O.VEERG_5_1_1_2__2_EmissionFactorNonIrrigatedGrainsHighRainfall_Unit()</f>
        <v>kg N2O-N/kg N applied</v>
      </c>
    </row>
    <row r="22" spans="1:19" ht="20.100000000000001" customHeight="1" x14ac:dyDescent="0.25">
      <c r="D22" s="25" t="str">
        <v>Sulphate of ammonia (SOA)</v>
      </c>
      <c r="E22" s="2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f],Table_Fertiliser_ChemicalCompounds[FNinorganic f])</f>
        <v>0.21</v>
      </c>
      <c r="G22" s="25" cm="1">
        <f t="array" ref="G22">Fertiliser_Equations_InorganicN2O.VEERG_5_1_1_1__2_MassOfNitrogenInInorganicFertiliser(E22,F22)</f>
        <v>0</v>
      </c>
    </row>
    <row r="23" spans="1:19" ht="20.100000000000001" customHeight="1" x14ac:dyDescent="0.25">
      <c r="D23" s="25" t="str">
        <v>Urea-ammonium nitrate (UAN)</v>
      </c>
      <c r="E23" s="2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f],Table_Fertiliser_ChemicalCompounds[FNinorganic f])</f>
        <v>0.32</v>
      </c>
      <c r="G23" s="25" cm="1">
        <f t="array" ref="G23">Fertiliser_Equations_InorganicN2O.VEERG_5_1_1_1__2_MassOfNitrogenInInorganicFertiliser(E23,F23)</f>
        <v>0</v>
      </c>
      <c r="M23" s="134" t="str" cm="1">
        <f t="array" ref="M23:N24">_xlfn.CHOOSECOLS(Fertiliser_Equations_InorganicN2O.VEERG_5_1_1_2__2_EmissionFactorNonIrrigatedGrainsHighRainfall_Arguments(), 1, 2)</f>
        <v>N_fjNonIrrigatedGrains</v>
      </c>
      <c r="N23" s="135" t="str">
        <v>application rate of inorganic fertiliser type f in the grains crop</v>
      </c>
      <c r="O23" s="136"/>
      <c r="P23" s="134" t="str" cm="1">
        <f t="array" ref="P23:Q24">_xlfn.CHOOSECOLS(Fertiliser_Equations_InorganicN2O.VEERG_5_1_1_2__2_EmissionFactorNonIrrigatedGrainsHighRainfall_Arguments(), 3,4)</f>
        <v>kg N/ha</v>
      </c>
      <c r="Q23" s="137" t="str">
        <v>Input</v>
      </c>
      <c r="R23" s="139" t="str" cm="1">
        <f t="array" aca="1" ref="R23" ca="1">HYPERLINK(Common_InputFunctions.Utility_SourceHyperlink($M$41), $M$41)</f>
        <v>M2_Table_FertApplications</v>
      </c>
      <c r="S23" s="143"/>
    </row>
    <row r="24" spans="1:19" ht="20.100000000000001" customHeight="1" x14ac:dyDescent="0.25">
      <c r="A24" s="6" t="s">
        <v>2</v>
      </c>
      <c r="D24" s="25" t="str">
        <v>Ammonium nitrate (AN)</v>
      </c>
      <c r="E24" s="2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f],Table_Fertiliser_ChemicalCompounds[FNinorganic f])</f>
        <v>0.33700000000000002</v>
      </c>
      <c r="G24" s="25" cm="1">
        <f t="array" ref="G24">Fertiliser_Equations_InorganicN2O.VEERG_5_1_1_1__2_MassOfNitrogenInInorganicFertiliser(E24,F24)</f>
        <v>0</v>
      </c>
      <c r="J24" s="26"/>
      <c r="M24" s="134" t="str">
        <v>f</v>
      </c>
      <c r="N24" s="135" t="str">
        <v>Inorganic fertiliser type</v>
      </c>
      <c r="O24" s="136"/>
      <c r="P24" s="134" t="str">
        <v/>
      </c>
      <c r="Q24" s="138" t="str">
        <v>Constant</v>
      </c>
      <c r="R24" s="135" t="s">
        <v>269</v>
      </c>
      <c r="S24" s="143"/>
    </row>
    <row r="25" spans="1:19" ht="20.100000000000001" customHeight="1" x14ac:dyDescent="0.25">
      <c r="A25" s="142" t="str">
        <f>HYPERLINK("#'5.1.1.1-2 Inorganic fert N2O'!A1", "5.1.1.1-2 Inorganic fert N2O")</f>
        <v>5.1.1.1-2 Inorganic fert N2O</v>
      </c>
      <c r="D25" s="25" t="str">
        <v>Calcium ammonium nitrate (CAN)</v>
      </c>
      <c r="E25" s="2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f],Table_Fertiliser_ChemicalCompounds[FNinorganic f])</f>
        <v>0.27</v>
      </c>
      <c r="G25" s="25" cm="1">
        <f t="array" ref="G25">Fertiliser_Equations_InorganicN2O.VEERG_5_1_1_1__2_MassOfNitrogenInInorganicFertiliser(E25,F25)</f>
        <v>0</v>
      </c>
      <c r="J25" s="26"/>
    </row>
    <row r="26" spans="1:19" ht="20.100000000000001" customHeight="1" x14ac:dyDescent="0.25">
      <c r="A26" s="5" t="str">
        <f>HYPERLINK("#'5.1.1.3-4 Inorganic fert CO2'!A1", "5.1.1.3-4 Inorganic fert CO2")</f>
        <v>5.1.1.3-4 Inorganic fert CO2</v>
      </c>
      <c r="D26" s="25" t="str">
        <v>Nitrogen - Ammoniacal</v>
      </c>
      <c r="E26" s="2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12400</v>
      </c>
      <c r="F26" s="25" cm="1">
        <f t="array" ref="F26">Common_InputFunctions.Utility_LookupValueInTableNumber(D26,Table_Fertiliser_ChemicalCompounds[Fertiliser type f],Table_Fertiliser_ChemicalCompounds[FNinorganic f])</f>
        <v>1</v>
      </c>
      <c r="G26" s="25" cm="1">
        <f t="array" ref="G26">Fertiliser_Equations_InorganicN2O.VEERG_5_1_1_1__2_MassOfNitrogenInInorganicFertiliser(E26,F26)</f>
        <v>12400</v>
      </c>
    </row>
    <row r="27" spans="1:19" ht="20.100000000000001" customHeight="1" x14ac:dyDescent="0.25">
      <c r="A27" s="5" t="str">
        <f>HYPERLINK("#'5.2.1.1-2 Organic Fert N2O'!A1", "5.2.1.1-2 Organic fert N2O")</f>
        <v>5.2.1.1-2 Organic fert N2O</v>
      </c>
      <c r="D27" s="25" t="str">
        <v>Nitrogen - Nitrate</v>
      </c>
      <c r="E27" s="2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5500</v>
      </c>
      <c r="F27" s="25" cm="1">
        <f t="array" ref="F27">Common_InputFunctions.Utility_LookupValueInTableNumber(D27,Table_Fertiliser_ChemicalCompounds[Fertiliser type f],Table_Fertiliser_ChemicalCompounds[FNinorganic f])</f>
        <v>1</v>
      </c>
      <c r="G27" s="25" cm="1">
        <f t="array" ref="G27">Fertiliser_Equations_InorganicN2O.VEERG_5_1_1_1__2_MassOfNitrogenInInorganicFertiliser(E27,F27)</f>
        <v>5500</v>
      </c>
      <c r="M27" s="2" t="str" cm="1">
        <f t="array" ref="M27">Fertiliser_Equations_InorganicN2O.VEERG_5_1_1_2__3_EmissionFactorCotton_Title()</f>
        <v>Emission factor for nitrous oxide for cotton</v>
      </c>
    </row>
    <row r="28" spans="1:19" ht="20.100000000000001" customHeight="1" x14ac:dyDescent="0.25">
      <c r="A28" s="5" t="str">
        <f>HYPERLINK("#'5.3.1.1-2 Lime CO2'!A1", "5.3.1.1-2 Lime CO2")</f>
        <v>5.3.1.1-2 Lime CO2</v>
      </c>
      <c r="D28" s="25" t="str">
        <v>Nitrogen - Generic</v>
      </c>
      <c r="E28" s="2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25" cm="1">
        <f t="array" ref="F28">Common_InputFunctions.Utility_LookupValueInTableNumber(D28,Table_Fertiliser_ChemicalCompounds[Fertiliser type f],Table_Fertiliser_ChemicalCompounds[FNinorganic f])</f>
        <v>1</v>
      </c>
      <c r="G28" s="25" cm="1">
        <f t="array" ref="G28">Fertiliser_Equations_InorganicN2O.VEERG_5_1_1_1__2_MassOfNitrogenInInorganicFertiliser(E28,F28)</f>
        <v>0</v>
      </c>
      <c r="M28" s="27" t="str" cm="1">
        <f t="array" ref="M28">Fertiliser_Equations_InorganicN2O.VEERG_5_1_1_2__3_EmissionFactorCotton_Source()</f>
        <v>VEERG 2026: 5.1.1.2, Equation (3)</v>
      </c>
    </row>
    <row r="29" spans="1:19" ht="20.100000000000001" customHeight="1" x14ac:dyDescent="0.25">
      <c r="A29" s="5" t="str">
        <f>HYPERLINK("#'5.4.1.1-4 Atmos deposition'!A1", "5.4.1.1-4 Atmos. deposition")</f>
        <v>5.4.1.1-4 Atmos. deposition</v>
      </c>
      <c r="D29" s="25" t="str">
        <v>Phosphorus - Generic</v>
      </c>
      <c r="E29" s="2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5200</v>
      </c>
      <c r="F29" s="25" cm="1">
        <f t="array" ref="F29">Common_InputFunctions.Utility_LookupValueInTableNumber(D29,Table_Fertiliser_ChemicalCompounds[Fertiliser type f],Table_Fertiliser_ChemicalCompounds[FNinorganic f])</f>
        <v>0</v>
      </c>
      <c r="G29" s="25" cm="1">
        <f t="array" ref="G29">Fertiliser_Equations_InorganicN2O.VEERG_5_1_1_1__2_MassOfNitrogenInInorganicFertiliser(E29,F29)</f>
        <v>0</v>
      </c>
    </row>
    <row r="30" spans="1:19" ht="20.100000000000001" customHeight="1" x14ac:dyDescent="0.25">
      <c r="A30" s="5" t="str">
        <f>HYPERLINK("#'5.5.1.1-2 Leaching and runoff'!A1", "5.5.1.1-2 Leaching &amp; runoff")</f>
        <v>5.5.1.1-2 Leaching &amp; runoff</v>
      </c>
      <c r="D30" s="25" t="str">
        <v>Potassium - Generic</v>
      </c>
      <c r="E30" s="2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43000</v>
      </c>
      <c r="F30" s="25" cm="1">
        <f t="array" ref="F30">Common_InputFunctions.Utility_LookupValueInTableNumber(D30,Table_Fertiliser_ChemicalCompounds[Fertiliser type f],Table_Fertiliser_ChemicalCompounds[FNinorganic f])</f>
        <v>0</v>
      </c>
      <c r="G30" s="25" cm="1">
        <f t="array" ref="G30">Fertiliser_Equations_InorganicN2O.VEERG_5_1_1_1__2_MassOfNitrogenInInorganicFertiliser(E30,F30)</f>
        <v>0</v>
      </c>
    </row>
    <row r="31" spans="1:19" ht="20.100000000000001" customHeight="1" x14ac:dyDescent="0.25">
      <c r="A31" s="5" t="str">
        <f>HYPERLINK("#'6.1.1.1-2 Crop residue N2O'!A1", "6.1.1.1-2 Crop residue N2O")</f>
        <v>6.1.1.1-2 Crop residue N2O</v>
      </c>
      <c r="D31" s="25" t="str">
        <v>Sulfur - Generic</v>
      </c>
      <c r="E31" s="2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18900</v>
      </c>
      <c r="F31" s="25" cm="1">
        <f t="array" ref="F31">Common_InputFunctions.Utility_LookupValueInTableNumber(D31,Table_Fertiliser_ChemicalCompounds[Fertiliser type f],Table_Fertiliser_ChemicalCompounds[FNinorganic f])</f>
        <v>0</v>
      </c>
      <c r="G31" s="25" cm="1">
        <f t="array" ref="G31">Fertiliser_Equations_InorganicN2O.VEERG_5_1_1_1__2_MassOfNitrogenInInorganicFertiliser(E31,F31)</f>
        <v>0</v>
      </c>
    </row>
    <row r="32" spans="1:19" ht="20.100000000000001" customHeight="1" x14ac:dyDescent="0.25">
      <c r="A32" s="5" t="str">
        <f>HYPERLINK("#'6.3.1.1-2 Leach runoff crop'!A1", "6.3.1.1-2 Leach &amp; runoff (crop)")</f>
        <v>6.3.1.1-2 Leach &amp; runoff (crop)</v>
      </c>
      <c r="D32" s="25" t="str">
        <v>Zinc - Generic</v>
      </c>
      <c r="E32" s="2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25" cm="1">
        <f t="array" ref="F32">Common_InputFunctions.Utility_LookupValueInTableNumber(D32,Table_Fertiliser_ChemicalCompounds[Fertiliser type f],Table_Fertiliser_ChemicalCompounds[FNinorganic f])</f>
        <v>0</v>
      </c>
      <c r="G32" s="25" cm="1">
        <f t="array" ref="G32">Fertiliser_Equations_InorganicN2O.VEERG_5_1_1_1__2_MassOfNitrogenInInorganicFertiliser(E32,F32)</f>
        <v>0</v>
      </c>
      <c r="M32" s="88" t="s">
        <v>268</v>
      </c>
      <c r="N32" s="1" t="str" cm="1">
        <f t="array" ref="N32">Fertiliser_Equations_InorganicN2O.VEERG_5_1_1_2__3_EmissionFactorCotton_Variable()</f>
        <v>EF_fjCottonN2O</v>
      </c>
    </row>
    <row r="33" spans="1:23" ht="20.100000000000001" customHeight="1" x14ac:dyDescent="0.25">
      <c r="A33" s="5" t="str">
        <f>HYPERLINK("#'6.4.1.1-2 Residue burning'!A1", "6.4.1.1-2 Residue burning")</f>
        <v>6.4.1.1-2 Residue burning</v>
      </c>
      <c r="D33" s="25" t="str">
        <v>Muriate of potash (MOP)</v>
      </c>
      <c r="E33" s="2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f],Table_Fertiliser_ChemicalCompounds[FNinorganic f])</f>
        <v>0</v>
      </c>
      <c r="G33" s="25" cm="1">
        <f t="array" ref="G33">Fertiliser_Equations_InorganicN2O.VEERG_5_1_1_1__2_MassOfNitrogenInInorganicFertiliser(E33,F33)</f>
        <v>0</v>
      </c>
      <c r="M33" s="88" t="s">
        <v>121</v>
      </c>
      <c r="N33" s="15" t="str" cm="1">
        <f t="array" ref="N33">Fertiliser_Equations_InorganicN2O.VEERG_5_1_1_2__3_EmissionFactorCotton_Unit()</f>
        <v>kg N2O-N/kg N applied</v>
      </c>
    </row>
    <row r="34" spans="1:23" ht="20.100000000000001" customHeight="1" x14ac:dyDescent="0.25">
      <c r="A34" s="5" t="str">
        <f>HYPERLINK("#'8.1.1.1-2 Transport fuel'!A1", "8.1.1.1-2 Transport fuel")</f>
        <v>8.1.1.1-2 Transport fuel</v>
      </c>
      <c r="D34" s="25" t="str">
        <v>Double superphosphate</v>
      </c>
      <c r="E34" s="2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f],Table_Fertiliser_ChemicalCompounds[FNinorganic f])</f>
        <v>0</v>
      </c>
      <c r="G34" s="25" cm="1">
        <f t="array" ref="G34">Fertiliser_Equations_InorganicN2O.VEERG_5_1_1_1__2_MassOfNitrogenInInorganicFertiliser(E34,F34)</f>
        <v>0</v>
      </c>
    </row>
    <row r="35" spans="1:23" ht="20.100000000000001" customHeight="1" x14ac:dyDescent="0.25">
      <c r="A35" s="5" t="str">
        <f>HYPERLINK("#'8.2.1.1-2 Stationary fuel'!A1", "8.2.1.1-2 Stationary fuel")</f>
        <v>8.2.1.1-2 Stationary fuel</v>
      </c>
      <c r="D35" s="25" t="str">
        <v>Single superphosphate (SSP)</v>
      </c>
      <c r="E35" s="2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f],Table_Fertiliser_ChemicalCompounds[FNinorganic f])</f>
        <v>0</v>
      </c>
      <c r="G35" s="25" cm="1">
        <f t="array" ref="G35">Fertiliser_Equations_InorganicN2O.VEERG_5_1_1_1__2_MassOfNitrogenInInorganicFertiliser(E35,F35)</f>
        <v>0</v>
      </c>
      <c r="M35" s="134" t="str" cm="1">
        <f t="array" ref="M35:N36">_xlfn.CHOOSECOLS(Fertiliser_Equations_InorganicN2O.VEERG_5_1_1_2__3_EmissionFactorCotton_Arguments(), 1, 2)</f>
        <v>N_fjCotton</v>
      </c>
      <c r="N35" s="135" t="str">
        <v>application rate of inorganic fertiliser type f in the cotton crop</v>
      </c>
      <c r="O35" s="136"/>
      <c r="P35" s="135" t="str" cm="1">
        <f t="array" ref="P35:Q36">_xlfn.CHOOSECOLS(Fertiliser_Equations_InorganicN2O.VEERG_5_1_1_2__3_EmissionFactorCotton_Arguments(), 3,4)</f>
        <v>kg N/ha</v>
      </c>
      <c r="Q35" s="137" t="str">
        <v>Input</v>
      </c>
      <c r="R35" s="139" t="str" cm="1">
        <f t="array" aca="1" ref="R35" ca="1">HYPERLINK(Common_InputFunctions.Utility_SourceHyperlink($M$41), $M$41)</f>
        <v>M2_Table_FertApplications</v>
      </c>
      <c r="S35" s="143"/>
    </row>
    <row r="36" spans="1:23" ht="20.100000000000001" customHeight="1" x14ac:dyDescent="0.25">
      <c r="A36" s="5" t="str">
        <f>HYPERLINK("#'14.1.1-2 Purchased electricity'!A1", "14.1.1-2 Purchased electricity")</f>
        <v>14.1.1-2 Purchased electricity</v>
      </c>
      <c r="D36" s="25" t="str">
        <v>Ammonia</v>
      </c>
      <c r="E36" s="2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25" cm="1">
        <f t="array" ref="F36">Common_InputFunctions.Utility_LookupValueInTableNumber(D36,Table_Fertiliser_ChemicalCompounds[Fertiliser type f],Table_Fertiliser_ChemicalCompounds[FNinorganic f])</f>
        <v>0.82350000000000001</v>
      </c>
      <c r="G36" s="25" cm="1">
        <f t="array" ref="G36">Fertiliser_Equations_InorganicN2O.VEERG_5_1_1_1__2_MassOfNitrogenInInorganicFertiliser(E36,F36)</f>
        <v>41175</v>
      </c>
      <c r="M36" s="134" t="str">
        <v>f</v>
      </c>
      <c r="N36" s="135" t="str">
        <v>Inorganic fertiliser type</v>
      </c>
      <c r="O36" s="136"/>
      <c r="P36" s="135" t="str">
        <v/>
      </c>
      <c r="Q36" s="138" t="str">
        <v>Constant</v>
      </c>
      <c r="R36" s="135" t="s">
        <v>269</v>
      </c>
      <c r="S36" s="143"/>
    </row>
    <row r="37" spans="1:23" ht="20.100000000000001" customHeight="1" x14ac:dyDescent="0.25">
      <c r="A37" s="5" t="str">
        <f>HYPERLINK("#'15 Scope 3'!A1", "15 Scope 3")</f>
        <v>15 Scope 3</v>
      </c>
      <c r="D37" s="25" t="str">
        <v>Calcium nitrate</v>
      </c>
      <c r="E37" s="2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25" cm="1">
        <f t="array" ref="F37">Common_InputFunctions.Utility_LookupValueInTableNumber(D37,Table_Fertiliser_ChemicalCompounds[Fertiliser type f],Table_Fertiliser_ChemicalCompounds[FNinorganic f])</f>
        <v>0.155</v>
      </c>
      <c r="G37" s="25" cm="1">
        <f t="array" ref="G37">Fertiliser_Equations_InorganicN2O.VEERG_5_1_1_1__2_MassOfNitrogenInInorganicFertiliser(E37,F37)</f>
        <v>7750</v>
      </c>
    </row>
    <row r="38" spans="1:23" ht="20.100000000000001" customHeight="1" x14ac:dyDescent="0.25">
      <c r="A38" s="5" t="str">
        <f>HYPERLINK("#'Calcs - Manure sent off-site'!A1", "Calcs - Manure sent off-site")</f>
        <v>Calcs - Manure sent off-site</v>
      </c>
      <c r="N38" s="127"/>
      <c r="O38" s="127"/>
      <c r="P38" s="127"/>
    </row>
    <row r="39" spans="1:23" ht="20.100000000000001" customHeight="1" x14ac:dyDescent="0.25">
      <c r="A39" s="5" t="str">
        <f>HYPERLINK("#'10.1.1-2 Solid waste treatment'!A1", "10.1.1-2 Solid waste treatment")</f>
        <v>10.1.1-2 Solid waste treatment</v>
      </c>
      <c r="C39" s="147"/>
      <c r="D39" s="147"/>
      <c r="E39" s="147"/>
      <c r="F39" s="147"/>
      <c r="G39" s="147"/>
      <c r="H39" s="147"/>
      <c r="I39" s="147"/>
      <c r="J39" s="147"/>
      <c r="M39" s="127" t="s">
        <v>276</v>
      </c>
    </row>
    <row r="40" spans="1:23" ht="20.100000000000001" customHeight="1" x14ac:dyDescent="0.25">
      <c r="D40" s="2" t="str" cm="1">
        <f t="array" ref="D40">Fertiliser_Equations_InorganicN2O.VEERG_5_1_1_1__1_InorganicFertiliserApplicationN2OEmissions_Title()</f>
        <v>Nitrous oxide emissions from the application of all inorganic fertiliser types f to all production systems j</v>
      </c>
      <c r="M40" s="80" t="s">
        <v>277</v>
      </c>
      <c r="N40" s="80"/>
      <c r="O40" s="80"/>
      <c r="P40" s="80"/>
      <c r="Q40" s="80"/>
      <c r="R40" s="80"/>
      <c r="S40" s="80"/>
    </row>
    <row r="41" spans="1:23" ht="20.100000000000001" customHeight="1" x14ac:dyDescent="0.25">
      <c r="D41" s="27" t="str" cm="1">
        <f t="array" ref="D41">Fertiliser_Equations_InorganicN2O.VEERG_5_1_1_1__1_InorganicFertiliserApplicationN2OEmissions_Source()</f>
        <v>VEERG 2026: 5.1.1.1, Equation (1)</v>
      </c>
      <c r="M41" s="144" t="s">
        <v>278</v>
      </c>
      <c r="T41" s="148" t="s">
        <v>279</v>
      </c>
    </row>
    <row r="42" spans="1:23" ht="20.100000000000001" customHeight="1" x14ac:dyDescent="0.25">
      <c r="A42" s="108" t="s">
        <v>1</v>
      </c>
      <c r="D42" s="133" t="s">
        <v>267</v>
      </c>
      <c r="E42" s="133" t="str" cm="1">
        <f t="array" aca="1" ref="E42" ca="1">Common_InputFunctions.Utility_DisplayFunctionName($E$60)</f>
        <v>=Fertiliser_Equations_InorganicN2O.VEERG_5_1_1_1__1_InorganicFertiliserApplicationN2OEmissions</v>
      </c>
      <c r="F42" s="26"/>
      <c r="M42" s="145" t="s">
        <v>280</v>
      </c>
    </row>
    <row r="43" spans="1:23" ht="20.100000000000001" customHeight="1" x14ac:dyDescent="0.25">
      <c r="A43" s="5" t="str">
        <f>HYPERLINK("#'Constants - Ag Residue'!A1", "Constants - Ag residue")</f>
        <v>Constants - Ag residue</v>
      </c>
      <c r="F43" s="26"/>
      <c r="O43" s="149" t="s">
        <v>281</v>
      </c>
      <c r="P43" s="149" t="s">
        <v>282</v>
      </c>
      <c r="Q43" s="149" t="s">
        <v>283</v>
      </c>
      <c r="R43" s="149" t="str">
        <f>$N$10</f>
        <v>kg N2O-N/kg N applied</v>
      </c>
      <c r="S43" s="149" t="str">
        <f>$N$21</f>
        <v>kg N2O-N/kg N applied</v>
      </c>
      <c r="T43" s="149" t="s">
        <v>281</v>
      </c>
      <c r="U43" s="149" t="s">
        <v>283</v>
      </c>
      <c r="V43" s="149" t="str">
        <f>$N$33</f>
        <v>kg N2O-N/kg N applied</v>
      </c>
      <c r="W43" s="149" t="s">
        <v>284</v>
      </c>
    </row>
    <row r="44" spans="1:23" ht="20.100000000000001" customHeight="1" x14ac:dyDescent="0.25">
      <c r="A44" s="5" t="str">
        <f>HYPERLINK("#'Constants - Common Livestock'!A1", "Constants - Common Livestock")</f>
        <v>Constants - Common Livestock</v>
      </c>
      <c r="F44" s="26"/>
      <c r="M44" s="146" t="s">
        <v>285</v>
      </c>
      <c r="N44" s="92" t="s">
        <v>285</v>
      </c>
      <c r="O44" s="92" t="s">
        <v>286</v>
      </c>
      <c r="P44" s="92" t="s">
        <v>287</v>
      </c>
      <c r="Q44" s="146" t="s">
        <v>288</v>
      </c>
      <c r="R44" s="146" t="str">
        <f>N9</f>
        <v>EF_fjIrrigatedMaizeN2O</v>
      </c>
      <c r="S44" s="146" t="str">
        <f>N20</f>
        <v>EF_fjNonIrrigatedGrainsN2O</v>
      </c>
      <c r="T44" s="146" t="s">
        <v>289</v>
      </c>
      <c r="U44" s="146" t="s">
        <v>290</v>
      </c>
      <c r="V44" s="146" t="str">
        <f>N32</f>
        <v>EF_fjCottonN2O</v>
      </c>
      <c r="W44" s="146" t="s">
        <v>291</v>
      </c>
    </row>
    <row r="45" spans="1:23" ht="20.100000000000001" customHeight="1" x14ac:dyDescent="0.25">
      <c r="A45" s="5" t="str">
        <f>HYPERLINK("#'Constants - Electricity'!A1", "Constants - Electricity")</f>
        <v>Constants - Electricity</v>
      </c>
      <c r="F45" s="26"/>
      <c r="M45" s="25" t="s">
        <v>292</v>
      </c>
      <c r="N45" s="25" t="str" cm="1">
        <f t="array" ref="N45:N54">Table_Input_InorganicFertiliser_Brands[Product (select)]</f>
        <v>Urea</v>
      </c>
      <c r="O45" s="25" cm="1">
        <f t="array" ref="O45:O54">Table_Input_InorganicFertiliser_Brands[N application rate (kg/ha)]</f>
        <v>46</v>
      </c>
      <c r="P45" s="25" cm="1">
        <f t="array" ref="P45:P54">Table_Input_InorganicFertiliser_Brands[Application area (ha)]</f>
        <v>1000</v>
      </c>
      <c r="Q45" s="25">
        <f>O45*P45</f>
        <v>46000</v>
      </c>
      <c r="R45" s="25" cm="1">
        <f t="array" ref="R45">IF(O45&gt;0, Fertiliser_Equations_InorganicN2O.VEERG_5_1_1_2__1_EmissionFactorIrrigatedMaize(O45), 0)</f>
        <v>1.3320000000000001E-3</v>
      </c>
      <c r="S45" s="25" cm="1">
        <f t="array" ref="S45">IF(O45&gt;0, Fertiliser_Equations_InorganicN2O.VEERG_5_1_1_2__2_EmissionFactorNonIrrigatedGrainsHighRainfall(O45), 0)</f>
        <v>4.2309999999999995E-3</v>
      </c>
      <c r="T45" s="25">
        <f>IF(O45&gt;0, MIN(300, O45), 0)</f>
        <v>46</v>
      </c>
      <c r="U45" s="25">
        <f>P45*T45</f>
        <v>46000</v>
      </c>
      <c r="V45" s="25" cm="1">
        <f t="array" ref="V45">IF(O45&gt;0, Fertiliser_Equations_InorganicN2O.VEERG_5_1_1_2__3_EmissionFactorCotton(T45), 0)</f>
        <v>2.9068248573243379E-5</v>
      </c>
      <c r="W45" s="25">
        <f>IF(O45&gt;0,Common_InputFunctions.Utility_LookupN2OEFFromProdIrrigationRainfall($S$80,$S$83,$S$84,Table_SourceData_Common_EFN2O[Production system only],Table_SourceData_Common_EFN2O[Irrigation method],Table_SourceData_Common_EFN2O[Rainfall zone],Table_SourceData_Common_EFN2O[EFN2O]), 0)</f>
        <v>7.0000000000000001E-3</v>
      </c>
    </row>
    <row r="46" spans="1:23" ht="20.100000000000001" customHeight="1" x14ac:dyDescent="0.25">
      <c r="A46" s="5" t="str">
        <f>HYPERLINK("#'Constants - Fertiliser'!A1", "Constants - Fertiliser")</f>
        <v>Constants - Fertiliser</v>
      </c>
      <c r="D46" s="88" t="s">
        <v>268</v>
      </c>
      <c r="E46" s="1" t="str" cm="1">
        <f t="array" ref="E46">Fertiliser_Equations_InorganicN2O.VEERG_5_1_1_1__1_InorganicFertiliserApplicationN2OEmissions_Variable()</f>
        <v>E_N2O</v>
      </c>
      <c r="F46" s="26"/>
      <c r="M46" s="25" t="s">
        <v>292</v>
      </c>
      <c r="N46" s="25" t="str">
        <v>Boost-It</v>
      </c>
      <c r="O46" s="25">
        <v>24</v>
      </c>
      <c r="P46" s="25">
        <v>1000</v>
      </c>
      <c r="Q46" s="25">
        <f>O46*P46</f>
        <v>24000</v>
      </c>
      <c r="R46" s="25" cm="1">
        <f t="array" ref="R46">IF(O46&gt;0, Fertiliser_Equations_InorganicN2O.VEERG_5_1_1_2__1_EmissionFactorIrrigatedMaize(O46), 0)</f>
        <v>-1.0000000000000009E-5</v>
      </c>
      <c r="S46" s="25" cm="1">
        <f t="array" ref="S46">IF(O46&gt;0, Fertiliser_Equations_InorganicN2O.VEERG_5_1_1_2__2_EmissionFactorNonIrrigatedGrainsHighRainfall(O46), 0)</f>
        <v>2.581E-3</v>
      </c>
      <c r="T46" s="25">
        <f t="shared" ref="T46:T49" si="0">IF(O46&gt;0, MIN(300, O46), 0)</f>
        <v>24</v>
      </c>
      <c r="U46" s="25">
        <f t="shared" ref="U46:U49" si="1">P46*T46</f>
        <v>24000</v>
      </c>
      <c r="V46" s="25" cm="1">
        <f t="array" ref="V46">IF(O46&gt;0, Fertiliser_Equations_InorganicN2O.VEERG_5_1_1_2__3_EmissionFactorCotton(T46), 0)</f>
        <v>2.9041716040887541E-5</v>
      </c>
      <c r="W46" s="25">
        <f>IF(O46&gt;0,Common_InputFunctions.Utility_LookupN2OEFFromProdIrrigationRainfall($S$80,$S$83,$S$84,Table_SourceData_Common_EFN2O[Production system only],Table_SourceData_Common_EFN2O[Irrigation method],Table_SourceData_Common_EFN2O[Rainfall zone],Table_SourceData_Common_EFN2O[EFN2O]), 0)</f>
        <v>7.0000000000000001E-3</v>
      </c>
    </row>
    <row r="47" spans="1:23" ht="20.100000000000001" customHeight="1" x14ac:dyDescent="0.25">
      <c r="A47" s="5" t="str">
        <f>HYPERLINK("#'Constants - Fuel'!A1", "Constants - Fuel")</f>
        <v>Constants - Fuel</v>
      </c>
      <c r="D47" s="88" t="s">
        <v>121</v>
      </c>
      <c r="E47" s="15" t="str" cm="1">
        <f t="array" ref="E47">Fertiliser_Equations_InorganicN2O.VEERG_5_1_1_1__1_InorganicFertiliserApplicationN2OEmissions_Unit()</f>
        <v>t N2O</v>
      </c>
      <c r="F47" s="26"/>
      <c r="M47" s="25" t="s">
        <v>292</v>
      </c>
      <c r="N47" s="25" t="str">
        <v>Cal-Gran 50/50</v>
      </c>
      <c r="O47" s="25">
        <v>17.899999999999999</v>
      </c>
      <c r="P47" s="25">
        <v>1000</v>
      </c>
      <c r="Q47" s="25">
        <f t="shared" ref="Q47:Q49" si="2">O47*P47</f>
        <v>17900</v>
      </c>
      <c r="R47" s="25" cm="1">
        <f t="array" ref="R47">IF(O47&gt;0, Fertiliser_Equations_InorganicN2O.VEERG_5_1_1_2__1_EmissionFactorIrrigatedMaize(O47), 0)</f>
        <v>-3.8210000000000007E-4</v>
      </c>
      <c r="S47" s="25" cm="1">
        <f t="array" ref="S47">IF(O47&gt;0, Fertiliser_Equations_InorganicN2O.VEERG_5_1_1_2__2_EmissionFactorNonIrrigatedGrainsHighRainfall(O47), 0)</f>
        <v>2.1235E-3</v>
      </c>
      <c r="T47" s="25">
        <f t="shared" si="0"/>
        <v>17.899999999999999</v>
      </c>
      <c r="U47" s="25">
        <f t="shared" si="1"/>
        <v>17900</v>
      </c>
      <c r="V47" s="25" cm="1">
        <f t="array" ref="V47">IF(O47&gt;0, Fertiliser_Equations_InorganicN2O.VEERG_5_1_1_2__3_EmissionFactorCotton(T47), 0)</f>
        <v>2.9036730348310381E-5</v>
      </c>
      <c r="W47" s="25">
        <f>IF(O47&gt;0,Common_InputFunctions.Utility_LookupN2OEFFromProdIrrigationRainfall($S$80,$S$83,$S$84,Table_SourceData_Common_EFN2O[Production system only],Table_SourceData_Common_EFN2O[Irrigation method],Table_SourceData_Common_EFN2O[Rainfall zone],Table_SourceData_Common_EFN2O[EFN2O]), 0)</f>
        <v>7.0000000000000001E-3</v>
      </c>
    </row>
    <row r="48" spans="1:23" ht="20.100000000000001" customHeight="1" x14ac:dyDescent="0.25">
      <c r="A48" s="5" t="str">
        <f>HYPERLINK("#'Constants - Scope 3'!A1", "Constants - Scope 3")</f>
        <v>Constants - Scope 3</v>
      </c>
      <c r="F48" s="26"/>
      <c r="M48" s="25" t="s">
        <v>292</v>
      </c>
      <c r="N48" s="25">
        <v>0</v>
      </c>
      <c r="O48" s="25">
        <v>0</v>
      </c>
      <c r="P48" s="25">
        <v>1000</v>
      </c>
      <c r="Q48" s="25">
        <f t="shared" si="2"/>
        <v>0</v>
      </c>
      <c r="R48" s="25" cm="1">
        <f t="array" ref="R48">IF(O48&gt;0, Fertiliser_Equations_InorganicN2O.VEERG_5_1_1_2__1_EmissionFactorIrrigatedMaize(O48), 0)</f>
        <v>0</v>
      </c>
      <c r="S48" s="25" cm="1">
        <f t="array" ref="S48">IF(O48&gt;0, Fertiliser_Equations_InorganicN2O.VEERG_5_1_1_2__2_EmissionFactorNonIrrigatedGrainsHighRainfall(O48), 0)</f>
        <v>0</v>
      </c>
      <c r="T48" s="25">
        <f t="shared" si="0"/>
        <v>0</v>
      </c>
      <c r="U48" s="25">
        <f t="shared" si="1"/>
        <v>0</v>
      </c>
      <c r="V48" s="25" cm="1">
        <f t="array" ref="V48">IF(O48&gt;0, Fertiliser_Equations_InorganicN2O.VEERG_5_1_1_2__3_EmissionFactorCotton(T48), 0)</f>
        <v>0</v>
      </c>
      <c r="W48" s="25">
        <f>IF(O48&gt;0,Common_InputFunctions.Utility_LookupN2OEFFromProdIrrigationRainfall($S$80,$S$83,$S$84,Table_SourceData_Common_EFN2O[Production system only],Table_SourceData_Common_EFN2O[Irrigation method],Table_SourceData_Common_EFN2O[Rainfall zone],Table_SourceData_Common_EFN2O[EFN2O]), 0)</f>
        <v>0</v>
      </c>
    </row>
    <row r="49" spans="1:23" ht="20.100000000000001" customHeight="1" x14ac:dyDescent="0.25">
      <c r="A49" s="5" t="str">
        <f>HYPERLINK("#'Constants - Common'!A1", "Constants - Common")</f>
        <v>Constants - Common</v>
      </c>
      <c r="D49" s="134" t="str" cm="1">
        <f t="array" ref="D49:E55">_xlfn.CHOOSECOLS(Fertiliser_Equations_InorganicN2O.VEERG_5_1_1_1__1_InorganicFertiliserApplicationN2OEmissions_Arguments(), 1, 2)</f>
        <v>MN_jf</v>
      </c>
      <c r="E49" s="135" t="str">
        <v>mass of nitrogen in inorganic fertiliser type f applied to production system j</v>
      </c>
      <c r="F49" s="136"/>
      <c r="G49" s="134" t="str" cm="1">
        <f t="array" ref="G49:H55">_xlfn.CHOOSECOLS(Fertiliser_Equations_InorganicN2O.VEERG_5_1_1_1__1_InorganicFertiliserApplicationN2OEmissions_Arguments(), 3,4)</f>
        <v>kg N</v>
      </c>
      <c r="H49" s="138" t="str">
        <v>Calculated from 5.1.1.1 (2)</v>
      </c>
      <c r="I49" s="141" t="str" cm="1">
        <f t="array" aca="1" ref="I49" ca="1">HYPERLINK(Common_InputFunctions.Utility_SourceHyperlink(D16), D16)</f>
        <v>Table_MN_j_f</v>
      </c>
      <c r="M49" s="25" t="s">
        <v>292</v>
      </c>
      <c r="N49" s="25">
        <v>0</v>
      </c>
      <c r="O49" s="25">
        <v>0</v>
      </c>
      <c r="P49" s="25">
        <v>1000</v>
      </c>
      <c r="Q49" s="25">
        <f t="shared" si="2"/>
        <v>0</v>
      </c>
      <c r="R49" s="25" cm="1">
        <f t="array" ref="R49">IF(O49&gt;0, Fertiliser_Equations_InorganicN2O.VEERG_5_1_1_2__1_EmissionFactorIrrigatedMaize(O49), 0)</f>
        <v>0</v>
      </c>
      <c r="S49" s="25" cm="1">
        <f t="array" ref="S49">IF(O49&gt;0, Fertiliser_Equations_InorganicN2O.VEERG_5_1_1_2__2_EmissionFactorNonIrrigatedGrainsHighRainfall(O49), 0)</f>
        <v>0</v>
      </c>
      <c r="T49" s="25">
        <f t="shared" si="0"/>
        <v>0</v>
      </c>
      <c r="U49" s="25">
        <f t="shared" si="1"/>
        <v>0</v>
      </c>
      <c r="V49" s="25" cm="1">
        <f t="array" ref="V49">IF(O49&gt;0, Fertiliser_Equations_InorganicN2O.VEERG_5_1_1_2__3_EmissionFactorCotton(T49), 0)</f>
        <v>0</v>
      </c>
      <c r="W49" s="25">
        <f>IF(O49&gt;0,Common_InputFunctions.Utility_LookupN2OEFFromProdIrrigationRainfall($S$80,$S$83,$S$84,Table_SourceData_Common_EFN2O[Production system only],Table_SourceData_Common_EFN2O[Irrigation method],Table_SourceData_Common_EFN2O[Rainfall zone],Table_SourceData_Common_EFN2O[EFN2O]), 0)</f>
        <v>0</v>
      </c>
    </row>
    <row r="50" spans="1:23" ht="20.100000000000001" customHeight="1" x14ac:dyDescent="0.25">
      <c r="A50" s="5" t="str">
        <f>HYPERLINK("#'Constants - Solid Waste'!A1", "Constants - Solid Waste")</f>
        <v>Constants - Solid Waste</v>
      </c>
      <c r="D50" s="134" t="str">
        <v>EF_jN2O</v>
      </c>
      <c r="E50" s="135" t="str">
        <v>emission factor for nitrous oxide for inorganic fertilisers</v>
      </c>
      <c r="F50" s="136"/>
      <c r="G50" s="134" t="str">
        <v>kg N2O-N/kg N applied</v>
      </c>
      <c r="H50" s="138" t="str">
        <v>Constant</v>
      </c>
      <c r="I50" s="134">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25" t="s">
        <v>292</v>
      </c>
      <c r="N50" s="25">
        <v>0</v>
      </c>
      <c r="O50" s="25">
        <v>0</v>
      </c>
      <c r="P50" s="25">
        <v>1000</v>
      </c>
      <c r="Q50" s="25"/>
      <c r="R50" s="25"/>
      <c r="S50" s="25"/>
      <c r="T50" s="25"/>
      <c r="U50" s="25"/>
      <c r="V50" s="25"/>
      <c r="W50" s="25"/>
    </row>
    <row r="51" spans="1:23" ht="20.100000000000001" customHeight="1" x14ac:dyDescent="0.25">
      <c r="D51" s="134" t="str">
        <v>C_N2O</v>
      </c>
      <c r="E51" s="135" t="str">
        <v>factor to convert elemental mass of nitrous oxide to molecular mass</v>
      </c>
      <c r="F51" s="136"/>
      <c r="G51" s="134" t="str">
        <v/>
      </c>
      <c r="H51" s="138" t="str">
        <v>Constant</v>
      </c>
      <c r="I51" s="134">
        <f>Common_InputFunctions.Utility_LookupValueInTableNumber("N2O",Table_GasToMolecularConversionFactor[Gas],Table_GasToMolecularConversionFactor[Conversion factor combined])</f>
        <v>1.5714285714285714</v>
      </c>
      <c r="M51" s="25" t="s">
        <v>292</v>
      </c>
      <c r="N51" s="25">
        <v>0</v>
      </c>
      <c r="O51" s="25">
        <v>0</v>
      </c>
      <c r="P51" s="25">
        <v>1000</v>
      </c>
      <c r="Q51" s="25"/>
      <c r="R51" s="25"/>
      <c r="S51" s="25"/>
      <c r="T51" s="25"/>
      <c r="U51" s="25"/>
      <c r="V51" s="25"/>
      <c r="W51" s="25"/>
    </row>
    <row r="52" spans="1:23" ht="20.100000000000001" customHeight="1" x14ac:dyDescent="0.25">
      <c r="D52" s="134" t="str">
        <v>j</v>
      </c>
      <c r="E52" s="135" t="str">
        <v>Production system</v>
      </c>
      <c r="F52" s="136"/>
      <c r="G52" s="134" t="str">
        <v/>
      </c>
      <c r="H52" s="137" t="str">
        <v>Input</v>
      </c>
      <c r="I52" s="134" t="str">
        <f>X_Cell_Fertiliser_ProductionSystem</f>
        <v>Crop</v>
      </c>
      <c r="M52" s="25" t="s">
        <v>292</v>
      </c>
      <c r="N52" s="25">
        <v>0</v>
      </c>
      <c r="O52" s="25">
        <v>0</v>
      </c>
      <c r="P52" s="25">
        <v>1000</v>
      </c>
      <c r="Q52" s="25"/>
      <c r="R52" s="25"/>
      <c r="S52" s="25"/>
      <c r="T52" s="25"/>
      <c r="U52" s="25"/>
      <c r="V52" s="25"/>
      <c r="W52" s="25"/>
    </row>
    <row r="53" spans="1:23" ht="20.100000000000001" customHeight="1" x14ac:dyDescent="0.25">
      <c r="D53" s="134" t="str">
        <v>f</v>
      </c>
      <c r="E53" s="135" t="str">
        <v>Inorganic fertiliser type</v>
      </c>
      <c r="F53" s="136"/>
      <c r="G53" s="134" t="str">
        <v/>
      </c>
      <c r="H53" s="138" t="str">
        <v>Constant</v>
      </c>
      <c r="I53" s="134" t="str">
        <f>"See " &amp; D57</f>
        <v>See M1_Table_E_N2O</v>
      </c>
      <c r="M53" s="25" t="s">
        <v>292</v>
      </c>
      <c r="N53" s="25">
        <v>0</v>
      </c>
      <c r="O53" s="25">
        <v>0</v>
      </c>
      <c r="P53" s="25">
        <v>1000</v>
      </c>
      <c r="Q53" s="25"/>
      <c r="R53" s="25"/>
      <c r="S53" s="25"/>
      <c r="T53" s="25"/>
      <c r="U53" s="25"/>
      <c r="V53" s="25"/>
      <c r="W53" s="25"/>
    </row>
    <row r="54" spans="1:23" ht="20.100000000000001" customHeight="1" x14ac:dyDescent="0.25">
      <c r="D54" s="134" t="str">
        <v>ir</v>
      </c>
      <c r="E54" s="135" t="str">
        <v>irrigation method</v>
      </c>
      <c r="F54" s="136"/>
      <c r="G54" s="134" t="str">
        <v/>
      </c>
      <c r="H54" s="137" t="str">
        <v>Input</v>
      </c>
      <c r="I54" s="134" t="str">
        <f>X_Cell_Fertiliser_IrrigationMethod</f>
        <v>Sprinkler irrigation</v>
      </c>
      <c r="M54" s="25" t="s">
        <v>292</v>
      </c>
      <c r="N54" s="25">
        <v>0</v>
      </c>
      <c r="O54" s="25">
        <v>0</v>
      </c>
      <c r="P54" s="25">
        <v>1000</v>
      </c>
      <c r="Q54" s="25"/>
      <c r="R54" s="25"/>
      <c r="S54" s="25"/>
      <c r="T54" s="25"/>
      <c r="U54" s="25"/>
      <c r="V54" s="25"/>
      <c r="W54" s="25"/>
    </row>
    <row r="55" spans="1:23" ht="20.100000000000001" customHeight="1" x14ac:dyDescent="0.25">
      <c r="D55" s="134" t="str">
        <v>z</v>
      </c>
      <c r="E55" s="135" t="str">
        <v>rainfall zone</v>
      </c>
      <c r="F55" s="136"/>
      <c r="G55" s="134" t="str">
        <v/>
      </c>
      <c r="H55" s="137" t="str">
        <v>Input</v>
      </c>
      <c r="I55" s="134" t="str">
        <f>X_Cell_Site_RainfallZone</f>
        <v>High rainfall</v>
      </c>
      <c r="M55" s="25" t="s">
        <v>293</v>
      </c>
      <c r="N55" s="25" t="str" cm="1">
        <f t="array" ref="N55:N64">Table_Input_InorganicFertiliser_Custom[Custom blend name]</f>
        <v>My first custom blend</v>
      </c>
      <c r="O55" s="25" cm="1">
        <f t="array" ref="O55:O64">Table_Input_InorganicFertiliser_Custom[N application rate (kg/ha)]</f>
        <v>7.75</v>
      </c>
      <c r="P55" s="25" cm="1">
        <f t="array" ref="P55:P64">Table_Input_InorganicFertiliser_Custom[Application area (ha)]</f>
        <v>1000</v>
      </c>
      <c r="Q55" s="25">
        <f>O55*P55</f>
        <v>7750</v>
      </c>
      <c r="R55" s="25" cm="1">
        <f t="array" ref="R55">IF(O55&gt;0, Fertiliser_Equations_InorganicN2O.VEERG_5_1_1_2__1_EmissionFactorIrrigatedMaize(O55), 0)</f>
        <v>-1.00125E-3</v>
      </c>
      <c r="S55" s="25" cm="1">
        <f t="array" ref="S55">IF(O55&gt;0, Fertiliser_Equations_InorganicN2O.VEERG_5_1_1_2__2_EmissionFactorNonIrrigatedGrainsHighRainfall(O55), 0)</f>
        <v>1.36225E-3</v>
      </c>
      <c r="T55" s="25">
        <f>IF(O55&gt;0, MIN(300, O55), 0)</f>
        <v>7.75</v>
      </c>
      <c r="U55" s="25">
        <f>P55*T55</f>
        <v>7750</v>
      </c>
      <c r="V55" s="25" cm="1">
        <f t="array" ref="V55">IF(O55&gt;0, Fertiliser_Equations_InorganicN2O.VEERG_5_1_1_2__3_EmissionFactorCotton(T55), 0)</f>
        <v>2.9029995329592254E-5</v>
      </c>
      <c r="W55" s="25">
        <f>IF(O55&gt;0,Common_InputFunctions.Utility_LookupN2OEFFromProdIrrigationRainfall($S$80,$S$83,$S$84,Table_SourceData_Common_EFN2O[Production system only],Table_SourceData_Common_EFN2O[Irrigation method],Table_SourceData_Common_EFN2O[Rainfall zone],Table_SourceData_Common_EFN2O[EFN2O]), 0)</f>
        <v>7.0000000000000001E-3</v>
      </c>
    </row>
    <row r="56" spans="1:23" ht="20.100000000000001" customHeight="1" x14ac:dyDescent="0.25">
      <c r="F56" s="26"/>
      <c r="M56" s="25" t="s">
        <v>293</v>
      </c>
      <c r="N56" s="25" t="str">
        <v>My second custom blend</v>
      </c>
      <c r="O56" s="25">
        <v>46</v>
      </c>
      <c r="P56" s="25">
        <v>1000</v>
      </c>
      <c r="Q56" s="25">
        <f>O56*P56</f>
        <v>46000</v>
      </c>
      <c r="R56" s="25" cm="1">
        <f t="array" ref="R56">IF(O56&gt;0, Fertiliser_Equations_InorganicN2O.VEERG_5_1_1_2__1_EmissionFactorIrrigatedMaize(O56), 0)</f>
        <v>1.3320000000000001E-3</v>
      </c>
      <c r="S56" s="25" cm="1">
        <f t="array" ref="S56">IF(O56&gt;0, Fertiliser_Equations_InorganicN2O.VEERG_5_1_1_2__2_EmissionFactorNonIrrigatedGrainsHighRainfall(O56), 0)</f>
        <v>4.2309999999999995E-3</v>
      </c>
      <c r="T56" s="25">
        <f>IF(O56&gt;0, MIN(300, O56), 0)</f>
        <v>46</v>
      </c>
      <c r="U56" s="25">
        <f>P56*T56</f>
        <v>46000</v>
      </c>
      <c r="V56" s="25" cm="1">
        <f t="array" ref="V56">IF(O56&gt;0, Fertiliser_Equations_InorganicN2O.VEERG_5_1_1_2__3_EmissionFactorCotton(T56), 0)</f>
        <v>2.9068248573243379E-5</v>
      </c>
      <c r="W56" s="25">
        <f>IF(O56&gt;0,Common_InputFunctions.Utility_LookupN2OEFFromProdIrrigationRainfall($S$80,$S$83,$S$84,Table_SourceData_Common_EFN2O[Production system only],Table_SourceData_Common_EFN2O[Irrigation method],Table_SourceData_Common_EFN2O[Rainfall zone],Table_SourceData_Common_EFN2O[EFN2O]), 0)</f>
        <v>7.0000000000000001E-3</v>
      </c>
    </row>
    <row r="57" spans="1:23" ht="20.100000000000001" customHeight="1" x14ac:dyDescent="0.25">
      <c r="D57" s="144" t="s">
        <v>294</v>
      </c>
      <c r="F57" s="26"/>
      <c r="M57" s="25" t="s">
        <v>293</v>
      </c>
      <c r="N57" s="25" t="str">
        <v>My third custom blend</v>
      </c>
      <c r="O57" s="25">
        <v>41.174999999999997</v>
      </c>
      <c r="P57" s="25">
        <v>1000</v>
      </c>
      <c r="Q57" s="25">
        <f>O57*P57</f>
        <v>41175</v>
      </c>
      <c r="R57" s="25" cm="1">
        <f t="array" ref="R57">IF(O57&gt;0, Fertiliser_Equations_InorganicN2O.VEERG_5_1_1_2__1_EmissionFactorIrrigatedMaize(O57), 0)</f>
        <v>1.0376749999999998E-3</v>
      </c>
      <c r="S57" s="25" cm="1">
        <f t="array" ref="S57">IF(O57&gt;0, Fertiliser_Equations_InorganicN2O.VEERG_5_1_1_2__2_EmissionFactorNonIrrigatedGrainsHighRainfall(O57), 0)</f>
        <v>3.8691250000000002E-3</v>
      </c>
      <c r="T57" s="25">
        <f>IF(O57&gt;0, MIN(300, O57), 0)</f>
        <v>41.174999999999997</v>
      </c>
      <c r="U57" s="25">
        <f>P57*T57</f>
        <v>41175</v>
      </c>
      <c r="V57" s="25" cm="1">
        <f t="array" ref="V57">IF(O57&gt;0, Fertiliser_Equations_InorganicN2O.VEERG_5_1_1_2__3_EmissionFactorCotton(T57), 0)</f>
        <v>2.9061000580963132E-5</v>
      </c>
      <c r="W57" s="25">
        <f>IF(O57&gt;0,Common_InputFunctions.Utility_LookupN2OEFFromProdIrrigationRainfall($S$80,$S$83,$S$84,Table_SourceData_Common_EFN2O[Production system only],Table_SourceData_Common_EFN2O[Irrigation method],Table_SourceData_Common_EFN2O[Rainfall zone],Table_SourceData_Common_EFN2O[EFN2O]), 0)</f>
        <v>7.0000000000000001E-3</v>
      </c>
    </row>
    <row r="58" spans="1:23" ht="20.100000000000001" customHeight="1" x14ac:dyDescent="0.25">
      <c r="D58" s="145" t="s">
        <v>295</v>
      </c>
      <c r="F58" s="26"/>
      <c r="M58" s="25" t="s">
        <v>293</v>
      </c>
      <c r="N58" s="25">
        <v>0</v>
      </c>
      <c r="O58" s="25">
        <v>0</v>
      </c>
      <c r="P58" s="25">
        <v>1000</v>
      </c>
      <c r="Q58" s="25">
        <f>O58*P58</f>
        <v>0</v>
      </c>
      <c r="R58" s="25" cm="1">
        <f t="array" ref="R58">IF(O58&gt;0, Fertiliser_Equations_InorganicN2O.VEERG_5_1_1_2__1_EmissionFactorIrrigatedMaize(O58), 0)</f>
        <v>0</v>
      </c>
      <c r="S58" s="25" cm="1">
        <f t="array" ref="S58">IF(O58&gt;0, Fertiliser_Equations_InorganicN2O.VEERG_5_1_1_2__2_EmissionFactorNonIrrigatedGrainsHighRainfall(O58), 0)</f>
        <v>0</v>
      </c>
      <c r="T58" s="25">
        <f>IF(O58&gt;0, MIN(300, O58), 0)</f>
        <v>0</v>
      </c>
      <c r="U58" s="25">
        <f>P58*T58</f>
        <v>0</v>
      </c>
      <c r="V58" s="25" cm="1">
        <f t="array" ref="V58">IF(O58&gt;0, Fertiliser_Equations_InorganicN2O.VEERG_5_1_1_2__3_EmissionFactorCotton(T58), 0)</f>
        <v>0</v>
      </c>
      <c r="W58" s="25">
        <f>IF(O58&gt;0,Common_InputFunctions.Utility_LookupN2OEFFromProdIrrigationRainfall($S$80,$S$83,$S$84,Table_SourceData_Common_EFN2O[Production system only],Table_SourceData_Common_EFN2O[Irrigation method],Table_SourceData_Common_EFN2O[Rainfall zone],Table_SourceData_Common_EFN2O[EFN2O]), 0)</f>
        <v>0</v>
      </c>
    </row>
    <row r="59" spans="1:23" ht="20.100000000000001" customHeight="1" x14ac:dyDescent="0.25">
      <c r="D59" s="146" t="s">
        <v>272</v>
      </c>
      <c r="E59" s="146" t="s">
        <v>296</v>
      </c>
      <c r="M59" s="25" t="s">
        <v>293</v>
      </c>
      <c r="N59" s="25">
        <v>0</v>
      </c>
      <c r="O59" s="25">
        <v>0</v>
      </c>
      <c r="P59" s="25">
        <v>1000</v>
      </c>
      <c r="Q59" s="25">
        <f>O59*P59</f>
        <v>0</v>
      </c>
      <c r="R59" s="25" cm="1">
        <f t="array" ref="R59">IF(O59&gt;0, Fertiliser_Equations_InorganicN2O.VEERG_5_1_1_2__1_EmissionFactorIrrigatedMaize(O59), 0)</f>
        <v>0</v>
      </c>
      <c r="S59" s="25" cm="1">
        <f t="array" ref="S59">IF(O59&gt;0, Fertiliser_Equations_InorganicN2O.VEERG_5_1_1_2__2_EmissionFactorNonIrrigatedGrainsHighRainfall(O59), 0)</f>
        <v>0</v>
      </c>
      <c r="T59" s="25">
        <f>IF(O59&gt;0, MIN(300, O59), 0)</f>
        <v>0</v>
      </c>
      <c r="U59" s="25">
        <f>P59*T59</f>
        <v>0</v>
      </c>
      <c r="V59" s="25" cm="1">
        <f t="array" ref="V59">IF(O59&gt;0, Fertiliser_Equations_InorganicN2O.VEERG_5_1_1_2__3_EmissionFactorCotton(T59), 0)</f>
        <v>0</v>
      </c>
      <c r="W59" s="25">
        <f>IF(O59&gt;0,Common_InputFunctions.Utility_LookupN2OEFFromProdIrrigationRainfall($S$80,$S$83,$S$84,Table_SourceData_Common_EFN2O[Production system only],Table_SourceData_Common_EFN2O[Irrigation method],Table_SourceData_Common_EFN2O[Rainfall zone],Table_SourceData_Common_EFN2O[EFN2O]), 0)</f>
        <v>0</v>
      </c>
    </row>
    <row r="60" spans="1:23" ht="20.100000000000001" customHeight="1" x14ac:dyDescent="0.25">
      <c r="D60" s="25" t="str" cm="1">
        <f t="array" ref="D60:D78">Table_Fertiliser_ChemicalCompounds[Fertiliser type f]</f>
        <v>Monoammonium phosphate (MAP)</v>
      </c>
      <c r="E60" s="25" cm="1">
        <f t="array" ref="E60">Fertiliser_Equations_InorganicN2O.VEERG_5_1_1_1__1_InorganicFertiliserApplicationN2OEmissions(G19,$I$50,$I$51)</f>
        <v>0</v>
      </c>
      <c r="F60" s="26" t="str">
        <f>E47</f>
        <v>t N2O</v>
      </c>
      <c r="M60" s="25" t="s">
        <v>293</v>
      </c>
      <c r="N60" s="25">
        <v>0</v>
      </c>
      <c r="O60" s="25">
        <v>0</v>
      </c>
      <c r="P60" s="25">
        <v>1000</v>
      </c>
      <c r="Q60" s="25"/>
      <c r="R60" s="25"/>
      <c r="S60" s="25"/>
      <c r="T60" s="25"/>
      <c r="U60" s="25"/>
      <c r="V60" s="25"/>
      <c r="W60" s="25"/>
    </row>
    <row r="61" spans="1:23" ht="20.100000000000001" customHeight="1" x14ac:dyDescent="0.25">
      <c r="D61" s="25" t="str">
        <v>Diammonium phosphate (DAP)</v>
      </c>
      <c r="E61" s="25" cm="1">
        <f t="array" ref="E61">Fertiliser_Equations_InorganicN2O.VEERG_5_1_1_1__1_InorganicFertiliserApplicationN2OEmissions(G20,$I$50,$I$51)</f>
        <v>0</v>
      </c>
      <c r="M61" s="25" t="s">
        <v>293</v>
      </c>
      <c r="N61" s="25">
        <v>0</v>
      </c>
      <c r="O61" s="25">
        <v>0</v>
      </c>
      <c r="P61" s="25">
        <v>1000</v>
      </c>
      <c r="Q61" s="25"/>
      <c r="R61" s="25"/>
      <c r="S61" s="25"/>
      <c r="T61" s="25"/>
      <c r="U61" s="25"/>
      <c r="V61" s="25"/>
      <c r="W61" s="25"/>
    </row>
    <row r="62" spans="1:23" ht="20.100000000000001" customHeight="1" x14ac:dyDescent="0.25">
      <c r="D62" s="25" t="str">
        <v>Urea</v>
      </c>
      <c r="E62" s="25" cm="1">
        <f t="array" ref="E62">Fertiliser_Equations_InorganicN2O.VEERG_5_1_1_1__1_InorganicFertiliserApplicationN2OEmissions(G21,$I$50,$I$51)</f>
        <v>1.2759999340000001</v>
      </c>
      <c r="M62" s="25" t="s">
        <v>293</v>
      </c>
      <c r="N62" s="25">
        <v>0</v>
      </c>
      <c r="O62" s="25">
        <v>0</v>
      </c>
      <c r="P62" s="25">
        <v>1000</v>
      </c>
      <c r="Q62" s="25"/>
      <c r="R62" s="25"/>
      <c r="S62" s="25"/>
      <c r="T62" s="25"/>
      <c r="U62" s="25"/>
      <c r="V62" s="25"/>
      <c r="W62" s="25"/>
    </row>
    <row r="63" spans="1:23" ht="20.100000000000001" customHeight="1" x14ac:dyDescent="0.25">
      <c r="D63" s="25" t="str">
        <v>Sulphate of ammonia (SOA)</v>
      </c>
      <c r="E63" s="25" cm="1">
        <f t="array" ref="E63">Fertiliser_Equations_InorganicN2O.VEERG_5_1_1_1__1_InorganicFertiliserApplicationN2OEmissions(G22,$I$50,$I$51)</f>
        <v>0</v>
      </c>
      <c r="M63" s="25" t="s">
        <v>293</v>
      </c>
      <c r="N63" s="25">
        <v>0</v>
      </c>
      <c r="O63" s="25">
        <v>0</v>
      </c>
      <c r="P63" s="25">
        <v>1000</v>
      </c>
      <c r="Q63" s="25"/>
      <c r="R63" s="25"/>
      <c r="S63" s="25"/>
      <c r="T63" s="25"/>
      <c r="U63" s="25"/>
      <c r="V63" s="25"/>
      <c r="W63" s="25"/>
    </row>
    <row r="64" spans="1:23" ht="20.100000000000001" customHeight="1" x14ac:dyDescent="0.25">
      <c r="D64" s="25" t="str">
        <v>Urea-ammonium nitrate (UAN)</v>
      </c>
      <c r="E64" s="25" cm="1">
        <f t="array" ref="E64">Fertiliser_Equations_InorganicN2O.VEERG_5_1_1_1__1_InorganicFertiliserApplicationN2OEmissions(G23,$I$50,$I$51)</f>
        <v>0</v>
      </c>
      <c r="M64" s="25" t="s">
        <v>293</v>
      </c>
      <c r="N64" s="25">
        <v>0</v>
      </c>
      <c r="O64" s="25">
        <v>0</v>
      </c>
      <c r="P64" s="25">
        <v>1000</v>
      </c>
      <c r="Q64" s="25"/>
      <c r="R64" s="25"/>
      <c r="S64" s="25"/>
      <c r="T64" s="25"/>
      <c r="U64" s="25"/>
      <c r="V64" s="25"/>
      <c r="W64" s="25"/>
    </row>
    <row r="65" spans="4:24" ht="20.100000000000001" customHeight="1" x14ac:dyDescent="0.25">
      <c r="D65" s="25" t="str">
        <v>Ammonium nitrate (AN)</v>
      </c>
      <c r="E65" s="25" cm="1">
        <f t="array" ref="E65">Fertiliser_Equations_InorganicN2O.VEERG_5_1_1_1__1_InorganicFertiliserApplicationN2OEmissions(G24,$I$50,$I$51)</f>
        <v>0</v>
      </c>
    </row>
    <row r="66" spans="4:24" ht="20.100000000000001" customHeight="1" x14ac:dyDescent="0.25">
      <c r="D66" s="25" t="str">
        <v>Calcium ammonium nitrate (CAN)</v>
      </c>
      <c r="E66" s="25" cm="1">
        <f t="array" ref="E66">Fertiliser_Equations_InorganicN2O.VEERG_5_1_1_1__1_InorganicFertiliserApplicationN2OEmissions(G25,$I$50,$I$51)</f>
        <v>0</v>
      </c>
    </row>
    <row r="67" spans="4:24" ht="20.100000000000001" customHeight="1" x14ac:dyDescent="0.25">
      <c r="D67" s="25" t="str">
        <v>Nitrogen - Ammoniacal</v>
      </c>
      <c r="E67" s="25" cm="1">
        <f t="array" ref="E67">Fertiliser_Equations_InorganicN2O.VEERG_5_1_1_1__1_InorganicFertiliserApplicationN2OEmissions(G26,$I$50,$I$51)</f>
        <v>0.13640000000000002</v>
      </c>
      <c r="L67" s="147"/>
      <c r="M67" s="147"/>
      <c r="N67" s="147"/>
      <c r="O67" s="147"/>
      <c r="P67" s="147"/>
      <c r="Q67" s="147"/>
      <c r="R67" s="147"/>
      <c r="S67" s="147"/>
      <c r="T67" s="147"/>
      <c r="U67" s="147"/>
      <c r="V67" s="147"/>
      <c r="W67" s="147"/>
      <c r="X67" s="147"/>
    </row>
    <row r="68" spans="4:24" ht="20.100000000000001" customHeight="1" x14ac:dyDescent="0.25">
      <c r="D68" s="25" t="str">
        <v>Nitrogen - Nitrate</v>
      </c>
      <c r="E68" s="25" cm="1">
        <f t="array" ref="E68">Fertiliser_Equations_InorganicN2O.VEERG_5_1_1_1__1_InorganicFertiliserApplicationN2OEmissions(G27,$I$50,$I$51)</f>
        <v>6.0499999999999998E-2</v>
      </c>
      <c r="M68" s="2" t="str" cm="1">
        <f t="array" ref="M68">Fertiliser_Equations_InorganicN2O.VEERG_5_1_1_1__1_InorganicFertiliserApplicationN2OEmissions_Title()</f>
        <v>Nitrous oxide emissions from the application of all inorganic fertiliser types f to all production systems j</v>
      </c>
    </row>
    <row r="69" spans="4:24" ht="20.100000000000001" customHeight="1" x14ac:dyDescent="0.25">
      <c r="D69" s="25" t="str">
        <v>Nitrogen - Generic</v>
      </c>
      <c r="E69" s="25" cm="1">
        <f t="array" ref="E69">Fertiliser_Equations_InorganicN2O.VEERG_5_1_1_1__1_InorganicFertiliserApplicationN2OEmissions(G28,$I$50,$I$51)</f>
        <v>0</v>
      </c>
      <c r="M69" s="27" t="str" cm="1">
        <f t="array" ref="M69">Fertiliser_Equations_InorganicN2O.VEERG_5_1_1_1__1_InorganicFertiliserApplicationN2OEmissions_Source()</f>
        <v>VEERG 2026: 5.1.1.1, Equation (1)</v>
      </c>
    </row>
    <row r="70" spans="4:24" ht="20.100000000000001" customHeight="1" x14ac:dyDescent="0.25">
      <c r="D70" s="25" t="str">
        <v>Phosphorus - Generic</v>
      </c>
      <c r="E70" s="25" cm="1">
        <f t="array" ref="E70">Fertiliser_Equations_InorganicN2O.VEERG_5_1_1_1__1_InorganicFertiliserApplicationN2OEmissions(G29,$I$50,$I$51)</f>
        <v>0</v>
      </c>
      <c r="M70" s="133" t="s">
        <v>267</v>
      </c>
      <c r="N70" s="133" t="str" cm="1">
        <f t="array" aca="1" ref="N70" ca="1">Common_InputFunctions.Utility_DisplayFunctionName($E$60)</f>
        <v>=Fertiliser_Equations_InorganicN2O.VEERG_5_1_1_1__1_InorganicFertiliserApplicationN2OEmissions</v>
      </c>
    </row>
    <row r="71" spans="4:24" ht="20.100000000000001" customHeight="1" x14ac:dyDescent="0.25">
      <c r="D71" s="25" t="str">
        <v>Potassium - Generic</v>
      </c>
      <c r="E71" s="25" cm="1">
        <f t="array" ref="E71">Fertiliser_Equations_InorganicN2O.VEERG_5_1_1_1__1_InorganicFertiliserApplicationN2OEmissions(G30,$I$50,$I$51)</f>
        <v>0</v>
      </c>
    </row>
    <row r="72" spans="4:24" ht="20.100000000000001" customHeight="1" x14ac:dyDescent="0.25">
      <c r="D72" s="25" t="str">
        <v>Sulfur - Generic</v>
      </c>
      <c r="E72" s="25" cm="1">
        <f t="array" ref="E72">Fertiliser_Equations_InorganicN2O.VEERG_5_1_1_1__1_InorganicFertiliserApplicationN2OEmissions(G31,$I$50,$I$51)</f>
        <v>0</v>
      </c>
    </row>
    <row r="73" spans="4:24" ht="20.100000000000001" customHeight="1" x14ac:dyDescent="0.25">
      <c r="D73" s="25" t="str">
        <v>Zinc - Generic</v>
      </c>
      <c r="E73" s="25" cm="1">
        <f t="array" ref="E73">Fertiliser_Equations_InorganicN2O.VEERG_5_1_1_1__1_InorganicFertiliserApplicationN2OEmissions(G32,$I$50,$I$51)</f>
        <v>0</v>
      </c>
    </row>
    <row r="74" spans="4:24" ht="20.100000000000001" customHeight="1" x14ac:dyDescent="0.25">
      <c r="D74" s="25" t="str">
        <v>Muriate of potash (MOP)</v>
      </c>
      <c r="E74" s="25" cm="1">
        <f t="array" ref="E74">Fertiliser_Equations_InorganicN2O.VEERG_5_1_1_1__1_InorganicFertiliserApplicationN2OEmissions(G33,$I$50,$I$51)</f>
        <v>0</v>
      </c>
      <c r="M74" s="88" t="s">
        <v>268</v>
      </c>
      <c r="N74" s="1" t="str" cm="1">
        <f t="array" ref="N74">Fertiliser_Equations_InorganicN2O.VEERG_5_1_1_1__1_InorganicFertiliserApplicationN2OEmissions_Variable()</f>
        <v>E_N2O</v>
      </c>
    </row>
    <row r="75" spans="4:24" ht="20.100000000000001" customHeight="1" x14ac:dyDescent="0.25">
      <c r="D75" s="25" t="str">
        <v>Double superphosphate</v>
      </c>
      <c r="E75" s="25" cm="1">
        <f t="array" ref="E75">Fertiliser_Equations_InorganicN2O.VEERG_5_1_1_1__1_InorganicFertiliserApplicationN2OEmissions(G34,$I$50,$I$51)</f>
        <v>0</v>
      </c>
      <c r="M75" s="88" t="s">
        <v>121</v>
      </c>
      <c r="N75" s="15" t="str" cm="1">
        <f t="array" ref="N75">Fertiliser_Equations_InorganicN2O.VEERG_5_1_1_1__1_InorganicFertiliserApplicationN2OEmissions_Unit()</f>
        <v>t N2O</v>
      </c>
    </row>
    <row r="76" spans="4:24" ht="20.100000000000001" customHeight="1" x14ac:dyDescent="0.25">
      <c r="D76" s="25" t="str">
        <v>Single superphosphate (SSP)</v>
      </c>
      <c r="E76" s="25" cm="1">
        <f t="array" ref="E76">Fertiliser_Equations_InorganicN2O.VEERG_5_1_1_1__1_InorganicFertiliserApplicationN2OEmissions(G35,$I$50,$I$51)</f>
        <v>0</v>
      </c>
    </row>
    <row r="77" spans="4:24" ht="20.100000000000001" customHeight="1" x14ac:dyDescent="0.25">
      <c r="D77" s="25" t="str">
        <v>Ammonia</v>
      </c>
      <c r="E77" s="25" cm="1">
        <f t="array" ref="E77">Fertiliser_Equations_InorganicN2O.VEERG_5_1_1_1__1_InorganicFertiliserApplicationN2OEmissions(G36,$I$50,$I$51)</f>
        <v>0.45292500000000002</v>
      </c>
      <c r="M77" s="134" t="str" cm="1">
        <f t="array" ref="M77:N84">_xlfn.CHOOSECOLS(Fertiliser_Equations_InorganicN2O.VEERG_5_1_1_1__1_InorganicFertiliserApplicationN2OEmissions_Arguments_Method2(), 1, 2)</f>
        <v>MN_jf</v>
      </c>
      <c r="N77" s="135" t="str">
        <v>mass of nitrogen in inorganic fertiliser type f applied to production system j</v>
      </c>
      <c r="O77" s="136"/>
      <c r="P77" s="143"/>
      <c r="Q77" s="134" t="str" cm="1">
        <f t="array" ref="Q77:R84">_xlfn.CHOOSECOLS(Fertiliser_Equations_InorganicN2O.VEERG_5_1_1_1__1_InorganicFertiliserApplicationN2OEmissions_Arguments_Method2(), 3,4)</f>
        <v>kg N</v>
      </c>
      <c r="R77" s="138" t="str">
        <v>Calculated from 5.1.1.1 (2)</v>
      </c>
      <c r="S77" s="141" t="str" cm="1">
        <f t="array" aca="1" ref="S77" ca="1">HYPERLINK(Common_InputFunctions.Utility_SourceHyperlink(M41), M41)</f>
        <v>M2_Table_FertApplications</v>
      </c>
    </row>
    <row r="78" spans="4:24" ht="20.100000000000001" customHeight="1" x14ac:dyDescent="0.25">
      <c r="D78" s="25" t="str">
        <v>Calcium nitrate</v>
      </c>
      <c r="E78" s="25" cm="1">
        <f t="array" ref="E78">Fertiliser_Equations_InorganicN2O.VEERG_5_1_1_1__1_InorganicFertiliserApplicationN2OEmissions(G37,$I$50,$I$51)</f>
        <v>8.5250000000000006E-2</v>
      </c>
      <c r="M78" s="134" t="str">
        <v>EF_jN2O</v>
      </c>
      <c r="N78" s="135" t="str">
        <v>emission factor for nitrous oxide for inorganic fertilisers</v>
      </c>
      <c r="O78" s="136"/>
      <c r="P78" s="143"/>
      <c r="Q78" s="134" t="str">
        <v>kg N2O-N/kg N applied</v>
      </c>
      <c r="R78" s="138" t="str">
        <v>Calculated from 5.1.1.2 (1)(2)(3)</v>
      </c>
      <c r="S78" s="134" t="str" cm="1">
        <f t="array" ref="S78">_xlfn.IFS(
  AND(S80="crop", S81="grains", S83="not irrigated", S84="high rainfall"), $S$44,
  AND(S80="Crop", S81="maize", S83&lt;&gt;"not irrigated"), $R$44,
  AND(S80="Crop", S81="cotton"), $V$44,
  TRUE, $W$44
)</f>
        <v>EF_jN2O</v>
      </c>
    </row>
    <row r="79" spans="4:24" ht="20.100000000000001" customHeight="1" x14ac:dyDescent="0.25">
      <c r="M79" s="134" t="str">
        <v>C_N2O</v>
      </c>
      <c r="N79" s="135" t="str">
        <v>factor to convert elemental mass of nitrous oxide to molecular mass</v>
      </c>
      <c r="O79" s="136"/>
      <c r="P79" s="143"/>
      <c r="Q79" s="134" t="str">
        <v/>
      </c>
      <c r="R79" s="138" t="str">
        <v>Constant</v>
      </c>
      <c r="S79" s="134">
        <f>Common_InputFunctions.Utility_LookupValueInTableNumber("N2O",Table_GasToMolecularConversionFactor[Gas],Table_GasToMolecularConversionFactor[Conversion factor combined])</f>
        <v>1.5714285714285714</v>
      </c>
    </row>
    <row r="80" spans="4:24" ht="20.100000000000001" customHeight="1" x14ac:dyDescent="0.25">
      <c r="D80" s="150" t="s">
        <v>297</v>
      </c>
      <c r="E80" s="151">
        <f>SUM(E60:E78)</f>
        <v>2.0110749340000003</v>
      </c>
      <c r="F80" s="152" t="str">
        <f>$E$47</f>
        <v>t N2O</v>
      </c>
      <c r="M80" s="134" t="str">
        <v>j</v>
      </c>
      <c r="N80" s="135" t="str">
        <v>Production system</v>
      </c>
      <c r="O80" s="136"/>
      <c r="P80" s="143"/>
      <c r="Q80" s="134" t="str">
        <v/>
      </c>
      <c r="R80" s="137" t="str">
        <v>Input</v>
      </c>
      <c r="S80" s="134" t="str">
        <f>X_Cell_Fertiliser_ProductionSystem</f>
        <v>Crop</v>
      </c>
    </row>
    <row r="81" spans="4:19" ht="20.100000000000001" customHeight="1" x14ac:dyDescent="0.25">
      <c r="M81" s="134" t="str">
        <v>c</v>
      </c>
      <c r="N81" s="135" t="str">
        <v>Crop type</v>
      </c>
      <c r="O81" s="136"/>
      <c r="P81" s="143"/>
      <c r="Q81" s="134" t="str">
        <v/>
      </c>
      <c r="R81" s="137" t="str">
        <v>Input</v>
      </c>
      <c r="S81" s="134" t="str">
        <f>X_Cell_Fertiliser_CropType</f>
        <v>Grains</v>
      </c>
    </row>
    <row r="82" spans="4:19" ht="20.100000000000001" customHeight="1" x14ac:dyDescent="0.25">
      <c r="D82" s="134" t="str" cm="1">
        <f t="array" ref="D82:E83">Common_Equations.Common_ConvertN2OToCO2e_Arguments()</f>
        <v>EN2O</v>
      </c>
      <c r="E82" s="135" t="str">
        <v>Nitrous oxide emissions (t N2O)</v>
      </c>
      <c r="F82" s="153"/>
      <c r="G82" s="25">
        <f>VEERG_5_1_1_1__1_InorganicFertiliserApplicationN2OEmissions_Result_Method1</f>
        <v>2.0110749340000003</v>
      </c>
      <c r="M82" s="134" t="str">
        <v>f</v>
      </c>
      <c r="N82" s="135" t="str">
        <v>Inorganic fertiliser type</v>
      </c>
      <c r="O82" s="136"/>
      <c r="P82" s="143"/>
      <c r="Q82" s="134" t="str">
        <v/>
      </c>
      <c r="R82" s="138" t="str">
        <v>Constant</v>
      </c>
      <c r="S82" s="134" t="s">
        <v>298</v>
      </c>
    </row>
    <row r="83" spans="4:19" ht="20.100000000000001" customHeight="1" x14ac:dyDescent="0.25">
      <c r="D83" s="134" t="str">
        <v>GWPN2O</v>
      </c>
      <c r="E83" s="135" t="str">
        <v>Global warming potential for nitrous oxide (t CO2-e / t N2O)</v>
      </c>
      <c r="F83" s="153"/>
      <c r="G83" s="25">
        <f>Common_InputFunctions.Utility_LookupValueInTableNumber("N2O",Table_GWPData[Gas],Table_GWPData[CO2-e factor])</f>
        <v>265</v>
      </c>
      <c r="M83" s="134" t="str">
        <v>ir</v>
      </c>
      <c r="N83" s="135" t="str">
        <v>irrigation method</v>
      </c>
      <c r="O83" s="136"/>
      <c r="P83" s="143"/>
      <c r="Q83" s="134" t="str">
        <v/>
      </c>
      <c r="R83" s="137" t="str">
        <v>Input</v>
      </c>
      <c r="S83" s="134" t="str">
        <f>X_Cell_Fertiliser_IrrigationMethod</f>
        <v>Sprinkler irrigation</v>
      </c>
    </row>
    <row r="84" spans="4:19" ht="20.100000000000001" customHeight="1" x14ac:dyDescent="0.25">
      <c r="M84" s="135" t="str">
        <v>z</v>
      </c>
      <c r="N84" s="135" t="str">
        <v>rainfall zone</v>
      </c>
      <c r="O84" s="136"/>
      <c r="P84" s="136"/>
      <c r="Q84" s="134" t="str">
        <v/>
      </c>
      <c r="R84" s="137" t="str">
        <v>Input</v>
      </c>
      <c r="S84" s="134" t="str">
        <f>X_Cell_Site_RainfallZone</f>
        <v>High rainfall</v>
      </c>
    </row>
    <row r="85" spans="4:19" ht="20.100000000000001" customHeight="1" x14ac:dyDescent="0.25">
      <c r="D85" s="147" t="s">
        <v>299</v>
      </c>
      <c r="E85" s="147" cm="1">
        <f t="array" ref="E85">Common_Equations.Common_ConvertN2OToCO2e(G82,G83)</f>
        <v>532.93485751000003</v>
      </c>
      <c r="F85" s="154" t="str" cm="1">
        <f t="array" ref="F85">Common_Equations.Common_ConvertN2OToCO2e_Unit()</f>
        <v>t CO2e</v>
      </c>
    </row>
    <row r="86" spans="4:19" ht="20.100000000000001" customHeight="1" x14ac:dyDescent="0.25">
      <c r="M86" s="146" t="s">
        <v>285</v>
      </c>
      <c r="N86" s="146" t="s">
        <v>285</v>
      </c>
      <c r="O86" s="146" t="s">
        <v>300</v>
      </c>
      <c r="P86" s="146" t="s">
        <v>296</v>
      </c>
    </row>
    <row r="87" spans="4:19" ht="20.100000000000001" customHeight="1" x14ac:dyDescent="0.25">
      <c r="M87" s="25" t="s">
        <v>292</v>
      </c>
      <c r="N87" s="25" t="str" cm="1">
        <f t="array" ref="N87:N96">Table_Input_InorganicFertiliser_Brands[Product (select)]</f>
        <v>Urea</v>
      </c>
      <c r="O87" s="25" cm="1">
        <f t="array" ref="O87">_xlfn.XLOOKUP(N87,$N$45:$N$64,_xlfn.XLOOKUP($S$78,$R$44:$W$44,$R$45:$W$64), "")</f>
        <v>7.0000000000000001E-3</v>
      </c>
      <c r="P87" s="25" cm="1">
        <f t="array" ref="P87">Fertiliser_Equations_InorganicN2O.VEERG_5_1_1_1__1_InorganicFertiliserApplicationN2OEmissions(Q45,O87,$S$79)</f>
        <v>0.50600000000000001</v>
      </c>
    </row>
    <row r="88" spans="4:19" ht="20.100000000000001" customHeight="1" x14ac:dyDescent="0.25">
      <c r="M88" s="25" t="s">
        <v>292</v>
      </c>
      <c r="N88" s="25" t="str">
        <v>Boost-It</v>
      </c>
      <c r="O88" s="25" cm="1">
        <f t="array" ref="O88">_xlfn.XLOOKUP(N88,$N$45:$N$64,_xlfn.XLOOKUP($S$78,$R$44:$W$44,$R$45:$W$64), "")</f>
        <v>7.0000000000000001E-3</v>
      </c>
      <c r="P88" s="25" cm="1">
        <f t="array" ref="P88">Fertiliser_Equations_InorganicN2O.VEERG_5_1_1_1__1_InorganicFertiliserApplicationN2OEmissions(Q46,O88,$S$79)</f>
        <v>0.26400000000000001</v>
      </c>
    </row>
    <row r="89" spans="4:19" ht="20.100000000000001" customHeight="1" x14ac:dyDescent="0.25">
      <c r="M89" s="25" t="s">
        <v>292</v>
      </c>
      <c r="N89" s="25" t="str">
        <v>Cal-Gran 50/50</v>
      </c>
      <c r="O89" s="25" cm="1">
        <f t="array" ref="O89">_xlfn.XLOOKUP(N89,$N$45:$N$64,_xlfn.XLOOKUP($S$78,$R$44:$W$44,$R$45:$W$64), "")</f>
        <v>7.0000000000000001E-3</v>
      </c>
      <c r="P89" s="25" cm="1">
        <f t="array" ref="P89">Fertiliser_Equations_InorganicN2O.VEERG_5_1_1_1__1_InorganicFertiliserApplicationN2OEmissions(Q47,O89,$S$79)</f>
        <v>0.19690000000000002</v>
      </c>
    </row>
    <row r="90" spans="4:19" ht="20.100000000000001" customHeight="1" x14ac:dyDescent="0.25">
      <c r="M90" s="25" t="s">
        <v>292</v>
      </c>
      <c r="N90" s="25">
        <v>0</v>
      </c>
      <c r="O90" s="25" cm="1">
        <f t="array" ref="O90">_xlfn.XLOOKUP(N90,$N$45:$N$64,_xlfn.XLOOKUP($S$78,$R$44:$W$44,$R$45:$W$64), "")</f>
        <v>0</v>
      </c>
      <c r="P90" s="25" cm="1">
        <f t="array" ref="P90">Fertiliser_Equations_InorganicN2O.VEERG_5_1_1_1__1_InorganicFertiliserApplicationN2OEmissions(Q48,O90,$S$79)</f>
        <v>0</v>
      </c>
    </row>
    <row r="91" spans="4:19" ht="20.100000000000001" customHeight="1" x14ac:dyDescent="0.25">
      <c r="M91" s="25" t="s">
        <v>292</v>
      </c>
      <c r="N91" s="25">
        <v>0</v>
      </c>
      <c r="O91" s="25" cm="1">
        <f t="array" ref="O91">_xlfn.XLOOKUP(N91,$N$45:$N$64,_xlfn.XLOOKUP($S$78,$R$44:$W$44,$R$45:$W$64), "")</f>
        <v>0</v>
      </c>
      <c r="P91" s="25" cm="1">
        <f t="array" ref="P91">Fertiliser_Equations_InorganicN2O.VEERG_5_1_1_1__1_InorganicFertiliserApplicationN2OEmissions(Q49,O91,$S$79)</f>
        <v>0</v>
      </c>
    </row>
    <row r="92" spans="4:19" ht="20.100000000000001" customHeight="1" x14ac:dyDescent="0.25">
      <c r="M92" s="25" t="s">
        <v>292</v>
      </c>
      <c r="N92" s="25">
        <v>0</v>
      </c>
      <c r="O92" s="25" cm="1">
        <f t="array" ref="O92">_xlfn.XLOOKUP(N92,$N$45:$N$64,_xlfn.XLOOKUP($S$78,$R$44:$W$44,$R$45:$W$64), "")</f>
        <v>0</v>
      </c>
      <c r="P92" s="25" cm="1">
        <f t="array" ref="P92">Fertiliser_Equations_InorganicN2O.VEERG_5_1_1_1__1_InorganicFertiliserApplicationN2OEmissions(Q50,O92,$S$79)</f>
        <v>0</v>
      </c>
    </row>
    <row r="93" spans="4:19" ht="20.100000000000001" customHeight="1" x14ac:dyDescent="0.25">
      <c r="M93" s="25" t="s">
        <v>292</v>
      </c>
      <c r="N93" s="25">
        <v>0</v>
      </c>
      <c r="O93" s="25" cm="1">
        <f t="array" ref="O93">_xlfn.XLOOKUP(N93,$N$45:$N$64,_xlfn.XLOOKUP($S$78,$R$44:$W$44,$R$45:$W$64), "")</f>
        <v>0</v>
      </c>
      <c r="P93" s="25" cm="1">
        <f t="array" ref="P93">Fertiliser_Equations_InorganicN2O.VEERG_5_1_1_1__1_InorganicFertiliserApplicationN2OEmissions(Q51,O93,$S$79)</f>
        <v>0</v>
      </c>
    </row>
    <row r="94" spans="4:19" ht="20.100000000000001" customHeight="1" x14ac:dyDescent="0.25">
      <c r="M94" s="25" t="s">
        <v>292</v>
      </c>
      <c r="N94" s="25">
        <v>0</v>
      </c>
      <c r="O94" s="25" cm="1">
        <f t="array" ref="O94">_xlfn.XLOOKUP(N94,$N$45:$N$64,_xlfn.XLOOKUP($S$78,$R$44:$W$44,$R$45:$W$64), "")</f>
        <v>0</v>
      </c>
      <c r="P94" s="25" cm="1">
        <f t="array" ref="P94">Fertiliser_Equations_InorganicN2O.VEERG_5_1_1_1__1_InorganicFertiliserApplicationN2OEmissions(Q52,O94,$S$79)</f>
        <v>0</v>
      </c>
    </row>
    <row r="95" spans="4:19" ht="20.100000000000001" customHeight="1" x14ac:dyDescent="0.25">
      <c r="M95" s="25" t="s">
        <v>292</v>
      </c>
      <c r="N95" s="25">
        <v>0</v>
      </c>
      <c r="O95" s="25" cm="1">
        <f t="array" ref="O95">_xlfn.XLOOKUP(N95,$N$45:$N$64,_xlfn.XLOOKUP($S$78,$R$44:$W$44,$R$45:$W$64), "")</f>
        <v>0</v>
      </c>
      <c r="P95" s="25" cm="1">
        <f t="array" ref="P95">Fertiliser_Equations_InorganicN2O.VEERG_5_1_1_1__1_InorganicFertiliserApplicationN2OEmissions(Q53,O95,$S$79)</f>
        <v>0</v>
      </c>
    </row>
    <row r="96" spans="4:19" ht="20.100000000000001" customHeight="1" x14ac:dyDescent="0.25">
      <c r="M96" s="25" t="s">
        <v>292</v>
      </c>
      <c r="N96" s="25">
        <v>0</v>
      </c>
      <c r="O96" s="25" cm="1">
        <f t="array" ref="O96">_xlfn.XLOOKUP(N96,$N$45:$N$64,_xlfn.XLOOKUP($S$78,$R$44:$W$44,$R$45:$W$64), "")</f>
        <v>0</v>
      </c>
      <c r="P96" s="25" cm="1">
        <f t="array" ref="P96">Fertiliser_Equations_InorganicN2O.VEERG_5_1_1_1__1_InorganicFertiliserApplicationN2OEmissions(Q54,O96,$S$79)</f>
        <v>0</v>
      </c>
    </row>
    <row r="97" spans="13:16" ht="20.100000000000001" customHeight="1" x14ac:dyDescent="0.25">
      <c r="M97" s="25" t="s">
        <v>293</v>
      </c>
      <c r="N97" s="25" t="str" cm="1">
        <f t="array" ref="N97:N106">Table_Input_InorganicFertiliser_Custom[Custom blend name]</f>
        <v>My first custom blend</v>
      </c>
      <c r="O97" s="25" cm="1">
        <f t="array" ref="O97">_xlfn.XLOOKUP(N97,$N$45:$N$64,_xlfn.XLOOKUP($S$78,$R$44:$W$44,$R$45:$W$64), "")</f>
        <v>7.0000000000000001E-3</v>
      </c>
      <c r="P97" s="25" cm="1">
        <f t="array" ref="P97">Fertiliser_Equations_InorganicN2O.VEERG_5_1_1_1__1_InorganicFertiliserApplicationN2OEmissions(Q55,O97,$S$79)</f>
        <v>8.5250000000000006E-2</v>
      </c>
    </row>
    <row r="98" spans="13:16" ht="20.100000000000001" customHeight="1" x14ac:dyDescent="0.25">
      <c r="M98" s="25" t="s">
        <v>293</v>
      </c>
      <c r="N98" s="25" t="str">
        <v>My second custom blend</v>
      </c>
      <c r="O98" s="25" cm="1">
        <f t="array" ref="O98">_xlfn.XLOOKUP(N98,$N$45:$N$64,_xlfn.XLOOKUP($S$78,$R$44:$W$44,$R$45:$W$64), "")</f>
        <v>7.0000000000000001E-3</v>
      </c>
      <c r="P98" s="25" cm="1">
        <f t="array" ref="P98">Fertiliser_Equations_InorganicN2O.VEERG_5_1_1_1__1_InorganicFertiliserApplicationN2OEmissions(Q56,O98,$S$79)</f>
        <v>0.50600000000000001</v>
      </c>
    </row>
    <row r="99" spans="13:16" ht="20.100000000000001" customHeight="1" x14ac:dyDescent="0.25">
      <c r="M99" s="25" t="s">
        <v>293</v>
      </c>
      <c r="N99" s="25" t="str">
        <v>My third custom blend</v>
      </c>
      <c r="O99" s="25" cm="1">
        <f t="array" ref="O99">_xlfn.XLOOKUP(N99,$N$45:$N$64,_xlfn.XLOOKUP($S$78,$R$44:$W$44,$R$45:$W$64), "")</f>
        <v>7.0000000000000001E-3</v>
      </c>
      <c r="P99" s="25" cm="1">
        <f t="array" ref="P99">Fertiliser_Equations_InorganicN2O.VEERG_5_1_1_1__1_InorganicFertiliserApplicationN2OEmissions(Q57,O99,$S$79)</f>
        <v>0.45292500000000002</v>
      </c>
    </row>
    <row r="100" spans="13:16" ht="20.100000000000001" customHeight="1" x14ac:dyDescent="0.25">
      <c r="M100" s="25" t="s">
        <v>293</v>
      </c>
      <c r="N100" s="25">
        <v>0</v>
      </c>
      <c r="O100" s="25" cm="1">
        <f t="array" ref="O100">_xlfn.XLOOKUP(N100,$N$45:$N$64,_xlfn.XLOOKUP($S$78,$R$44:$W$44,$R$45:$W$64), "")</f>
        <v>0</v>
      </c>
      <c r="P100" s="25" cm="1">
        <f t="array" ref="P100">Fertiliser_Equations_InorganicN2O.VEERG_5_1_1_1__1_InorganicFertiliserApplicationN2OEmissions(Q58,O100,$S$79)</f>
        <v>0</v>
      </c>
    </row>
    <row r="101" spans="13:16" ht="20.100000000000001" customHeight="1" x14ac:dyDescent="0.25">
      <c r="M101" s="25" t="s">
        <v>293</v>
      </c>
      <c r="N101" s="25">
        <v>0</v>
      </c>
      <c r="O101" s="25" cm="1">
        <f t="array" ref="O101">_xlfn.XLOOKUP(N101,$N$45:$N$64,_xlfn.XLOOKUP($S$78,$R$44:$W$44,$R$45:$W$64), "")</f>
        <v>0</v>
      </c>
      <c r="P101" s="25" cm="1">
        <f t="array" ref="P101">Fertiliser_Equations_InorganicN2O.VEERG_5_1_1_1__1_InorganicFertiliserApplicationN2OEmissions(Q59,O101,$S$79)</f>
        <v>0</v>
      </c>
    </row>
    <row r="102" spans="13:16" ht="20.100000000000001" customHeight="1" x14ac:dyDescent="0.25">
      <c r="M102" s="25" t="s">
        <v>293</v>
      </c>
      <c r="N102" s="25">
        <v>0</v>
      </c>
      <c r="O102" s="25" cm="1">
        <f t="array" ref="O102">_xlfn.XLOOKUP(N102,$N$45:$N$64,_xlfn.XLOOKUP($S$78,$R$44:$W$44,$R$45:$W$64), "")</f>
        <v>0</v>
      </c>
      <c r="P102" s="25" cm="1">
        <f t="array" ref="P102">Fertiliser_Equations_InorganicN2O.VEERG_5_1_1_1__1_InorganicFertiliserApplicationN2OEmissions(Q60,O102,$S$79)</f>
        <v>0</v>
      </c>
    </row>
    <row r="103" spans="13:16" ht="20.100000000000001" customHeight="1" x14ac:dyDescent="0.25">
      <c r="M103" s="25" t="s">
        <v>293</v>
      </c>
      <c r="N103" s="25">
        <v>0</v>
      </c>
      <c r="O103" s="25" cm="1">
        <f t="array" ref="O103">_xlfn.XLOOKUP(N103,$N$45:$N$64,_xlfn.XLOOKUP($S$78,$R$44:$W$44,$R$45:$W$64), "")</f>
        <v>0</v>
      </c>
      <c r="P103" s="25" cm="1">
        <f t="array" ref="P103">Fertiliser_Equations_InorganicN2O.VEERG_5_1_1_1__1_InorganicFertiliserApplicationN2OEmissions(Q61,O103,$S$79)</f>
        <v>0</v>
      </c>
    </row>
    <row r="104" spans="13:16" ht="20.100000000000001" customHeight="1" x14ac:dyDescent="0.25">
      <c r="M104" s="25" t="s">
        <v>293</v>
      </c>
      <c r="N104" s="25">
        <v>0</v>
      </c>
      <c r="O104" s="25" cm="1">
        <f t="array" ref="O104">_xlfn.XLOOKUP(N104,$N$45:$N$64,_xlfn.XLOOKUP($S$78,$R$44:$W$44,$R$45:$W$64), "")</f>
        <v>0</v>
      </c>
      <c r="P104" s="25" cm="1">
        <f t="array" ref="P104">Fertiliser_Equations_InorganicN2O.VEERG_5_1_1_1__1_InorganicFertiliserApplicationN2OEmissions(Q62,O104,$S$79)</f>
        <v>0</v>
      </c>
    </row>
    <row r="105" spans="13:16" ht="20.100000000000001" customHeight="1" x14ac:dyDescent="0.25">
      <c r="M105" s="25" t="s">
        <v>293</v>
      </c>
      <c r="N105" s="25">
        <v>0</v>
      </c>
      <c r="O105" s="25" cm="1">
        <f t="array" ref="O105">_xlfn.XLOOKUP(N105,$N$45:$N$64,_xlfn.XLOOKUP($S$78,$R$44:$W$44,$R$45:$W$64), "")</f>
        <v>0</v>
      </c>
      <c r="P105" s="25" cm="1">
        <f t="array" ref="P105">Fertiliser_Equations_InorganicN2O.VEERG_5_1_1_1__1_InorganicFertiliserApplicationN2OEmissions(Q63,O105,$S$79)</f>
        <v>0</v>
      </c>
    </row>
    <row r="106" spans="13:16" ht="20.100000000000001" customHeight="1" x14ac:dyDescent="0.25">
      <c r="M106" s="25" t="s">
        <v>293</v>
      </c>
      <c r="N106" s="25">
        <v>0</v>
      </c>
      <c r="O106" s="25" cm="1">
        <f t="array" ref="O106">_xlfn.XLOOKUP(N106,$N$45:$N$64,_xlfn.XLOOKUP($S$78,$R$44:$W$44,$R$45:$W$64), "")</f>
        <v>0</v>
      </c>
      <c r="P106" s="25" cm="1">
        <f t="array" ref="P106">Fertiliser_Equations_InorganicN2O.VEERG_5_1_1_1__1_InorganicFertiliserApplicationN2OEmissions(Q64,O106,$S$79)</f>
        <v>0</v>
      </c>
    </row>
    <row r="107" spans="13:16" ht="20.100000000000001" customHeight="1" x14ac:dyDescent="0.25"/>
    <row r="108" spans="13:16" ht="20.100000000000001" customHeight="1" x14ac:dyDescent="0.25">
      <c r="M108" s="150" t="s">
        <v>297</v>
      </c>
      <c r="N108" s="151">
        <f>SUM(P87:P106)</f>
        <v>2.0110749999999999</v>
      </c>
      <c r="O108" s="152" t="str">
        <f>$E$47</f>
        <v>t N2O</v>
      </c>
    </row>
    <row r="109" spans="13:16" ht="20.100000000000001" customHeight="1" x14ac:dyDescent="0.25"/>
    <row r="110" spans="13:16" ht="20.100000000000001" customHeight="1" x14ac:dyDescent="0.25">
      <c r="M110" s="134" t="str" cm="1">
        <f t="array" ref="M110:N111">Common_Equations.Common_ConvertN2OToCO2e_Arguments()</f>
        <v>EN2O</v>
      </c>
      <c r="N110" s="135" t="str">
        <v>Nitrous oxide emissions (t N2O)</v>
      </c>
      <c r="O110" s="153"/>
      <c r="P110" s="25">
        <f>VEERG_5_1_1_1__1_InorganicFertiliserApplicationN2OEmissions_Result_Method2</f>
        <v>2.0110749999999999</v>
      </c>
    </row>
    <row r="111" spans="13:16" ht="20.100000000000001" customHeight="1" x14ac:dyDescent="0.25">
      <c r="M111" s="134" t="str">
        <v>GWPN2O</v>
      </c>
      <c r="N111" s="135" t="str">
        <v>Global warming potential for nitrous oxide (t CO2-e / t N2O)</v>
      </c>
      <c r="O111" s="153"/>
      <c r="P111" s="25">
        <f>Common_InputFunctions.Utility_LookupValueInTableNumber("N2O",Table_GWPData[Gas],Table_GWPData[CO2-e factor])</f>
        <v>265</v>
      </c>
    </row>
    <row r="112" spans="13:16" ht="20.100000000000001" customHeight="1" x14ac:dyDescent="0.25"/>
    <row r="113" spans="13:15" ht="20.100000000000001" customHeight="1" x14ac:dyDescent="0.25">
      <c r="M113" s="147" t="s">
        <v>299</v>
      </c>
      <c r="N113" s="147" cm="1">
        <f t="array" ref="N113">Common_Equations.Common_ConvertN2OToCO2e(P110,P111)</f>
        <v>532.93487500000003</v>
      </c>
      <c r="O113" s="154" t="str" cm="1">
        <f t="array" ref="O113">Common_Equations.Common_ConvertN2OToCO2e_Unit()</f>
        <v>t CO2e</v>
      </c>
    </row>
    <row r="114" spans="13:15" ht="20.100000000000001" customHeight="1" x14ac:dyDescent="0.25"/>
    <row r="115" spans="13:15" ht="20.100000000000001" customHeight="1" x14ac:dyDescent="0.25"/>
    <row r="116" spans="13:15" ht="20.100000000000001" customHeight="1" x14ac:dyDescent="0.25"/>
    <row r="117" spans="13:15" ht="20.100000000000001" customHeight="1" x14ac:dyDescent="0.25"/>
    <row r="118" spans="13:15" ht="20.100000000000001" customHeight="1" x14ac:dyDescent="0.25"/>
    <row r="119" spans="13:15" ht="20.100000000000001" customHeight="1" x14ac:dyDescent="0.25"/>
    <row r="120" spans="13:15" ht="20.100000000000001" customHeight="1" x14ac:dyDescent="0.25"/>
    <row r="121" spans="13:15" ht="20.100000000000001" customHeight="1" x14ac:dyDescent="0.25"/>
    <row r="122" spans="13:15" ht="20.100000000000001" customHeight="1" x14ac:dyDescent="0.25"/>
    <row r="123" spans="13:15" ht="20.100000000000001" customHeight="1" x14ac:dyDescent="0.25"/>
    <row r="124" spans="13:15" ht="20.100000000000001" customHeight="1" x14ac:dyDescent="0.25"/>
    <row r="125" spans="13:15" ht="20.100000000000001" customHeight="1" x14ac:dyDescent="0.25"/>
    <row r="126" spans="13:15" ht="20.100000000000001" customHeight="1" x14ac:dyDescent="0.25"/>
    <row r="127" spans="13:15" ht="20.100000000000001" customHeight="1" x14ac:dyDescent="0.25"/>
    <row r="128" spans="13:15"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W172 O150:R150 E269 N166:W166 O143:W144 E228 O167:W167 G132 I129:I133 F134:I134 F129:F132 H128:H132 G129 F148:I148 I149 F150:I150 R149:W149" xr:uid="{764A86C0-F673-4D7B-8AE9-AC9CFF23F6B4}"/>
  </dataValidations>
  <pageMargins left="0.7" right="0.7" top="0.75" bottom="0.75"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87F5DE-6C1D-45F8-91BD-D7A11CB61B7D}">
  <dimension ref="A1:U165"/>
  <sheetViews>
    <sheetView showGridLines="0" topLeftCell="A9" workbookViewId="0" zoomScale="100" zoomScaleNormal="100">
      <selection activeCell="A50" sqref="A50"/>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301</v>
      </c>
    </row>
    <row r="2" spans="1:21" s="3" customFormat="1" ht="20.100000000000001" customHeight="1" x14ac:dyDescent="0.25">
      <c r="A2"/>
    </row>
    <row r="3" spans="1:21" ht="20.100000000000001" customHeight="1" x14ac:dyDescent="0.25">
      <c r="A3" s="5" t="str">
        <f>HYPERLINK("#'Home'!A1", "Home")</f>
        <v>Home</v>
      </c>
      <c r="C3" s="33"/>
      <c r="D3" s="33" t="s">
        <v>135</v>
      </c>
      <c r="E3" s="33"/>
      <c r="F3" s="33"/>
      <c r="G3" s="33"/>
      <c r="H3" s="33"/>
      <c r="I3" s="33"/>
      <c r="J3" s="33"/>
      <c r="K3" s="33"/>
      <c r="L3" s="33"/>
      <c r="N3" s="33"/>
      <c r="O3" s="33" t="s">
        <v>136</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Fertiliser_Equations_InorganicCO2.VEERG_5_1_1_3__2_MassOfUreaInInorganicFertiliser_Title()</f>
        <v>Mass of urea applied to production system</v>
      </c>
    </row>
    <row r="6" spans="1:21" ht="20.100000000000001" customHeight="1" x14ac:dyDescent="0.25">
      <c r="D6" s="27" t="str" cm="1">
        <f t="array" ref="D6">Fertiliser_Equations_InorganicCO2.VEERG_5_1_1_3__2_MassOfUreaInInorganicFertiliser_Source()</f>
        <v>VEERG 2026: 5.1.1.3, Equation (2)</v>
      </c>
    </row>
    <row r="7" spans="1:21" ht="20.100000000000001" customHeight="1" x14ac:dyDescent="0.25">
      <c r="D7" s="133" t="s">
        <v>267</v>
      </c>
      <c r="E7" s="133" t="str" cm="1">
        <f t="array" aca="1" ref="E7" ca="1">Common_InputFunctions.Utility_DisplayFunctionName(G19)</f>
        <v>=Fertiliser_Equations_InorganicCO2.VEERG_5_1_1_3__2_MassOfUreaInInorganicFertiliser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268</v>
      </c>
      <c r="E10" s="1" t="str" cm="1">
        <f t="array" ref="E10">Fertiliser_Equations_InorganicCO2.VEERG_5_1_1_3__2_MassOfUreaInInorganicFertiliser_Variable()</f>
        <v>MU_jf</v>
      </c>
    </row>
    <row r="11" spans="1:21" ht="20.100000000000001" customHeight="1" x14ac:dyDescent="0.25">
      <c r="A11" s="5" t="str">
        <f>HYPERLINK("#'Input - Crop'!A1", "Crop")</f>
        <v>Crop</v>
      </c>
      <c r="D11" s="88" t="s">
        <v>121</v>
      </c>
      <c r="E11" s="15" t="str" cm="1">
        <f t="array" ref="E11">Fertiliser_Equations_InorganicCO2.VEERG_5_1_1_3__2_MassOfUreaInInorganicFertiliser_Unit()</f>
        <v>kg urea</v>
      </c>
    </row>
    <row r="12" spans="1:21" ht="20.100000000000001" customHeight="1" x14ac:dyDescent="0.25">
      <c r="A12" s="5" t="str">
        <f>HYPERLINK("#'Input - Fert Prod System'!A1", "Fert Prod System")</f>
        <v>Fert Prod System</v>
      </c>
    </row>
    <row r="13" spans="1:21" ht="20.100000000000001" customHeight="1" x14ac:dyDescent="0.25">
      <c r="A13" s="5" t="str">
        <f>HYPERLINK("#'Input - Fertiliser'!A1", "Fertiliser")</f>
        <v>Fertiliser</v>
      </c>
      <c r="D13" s="134" t="str" cm="1">
        <f t="array" ref="D13:E14">_xlfn.CHOOSECOLS(Fertiliser_Equations_InorganicCO2.VEERG_5_1_1_3__2_MassOfUreaInInorganicFertiliser_Arguments(), 1, 2)</f>
        <v>TM_jf</v>
      </c>
      <c r="E13" s="135" t="str">
        <v>total mass of inorganic fertiliser type f applied to production system j</v>
      </c>
      <c r="F13" s="143"/>
      <c r="G13" s="134" t="str" cm="1">
        <f t="array" ref="G13:H14">_xlfn.CHOOSECOLS(Fertiliser_Equations_InorganicCO2.VEERG_5_1_1_3__2_MassOfUreaInInorganicFertiliser_Arguments(), 3, 4)</f>
        <v>kg</v>
      </c>
      <c r="H13" s="137" t="str">
        <v>Input</v>
      </c>
      <c r="I13" s="141" t="str" cm="1">
        <f t="array" aca="1" ref="I13" ca="1">HYPERLINK(Common_InputFunctions.Utility_SourceHyperlink($D$16), $D$16)</f>
        <v>Table_MU_j_f</v>
      </c>
    </row>
    <row r="14" spans="1:21" ht="20.100000000000001" customHeight="1" x14ac:dyDescent="0.25">
      <c r="A14" s="5" t="str">
        <f>HYPERLINK("#'Input - Fuel'!A1", "Fuel")</f>
        <v>Fuel</v>
      </c>
      <c r="D14" s="134" t="str">
        <v>FU_f</v>
      </c>
      <c r="E14" s="135" t="str">
        <v>fraction of urea in fertiliser type f</v>
      </c>
      <c r="F14" s="143"/>
      <c r="G14" s="134" t="str">
        <v>kg urea/kg</v>
      </c>
      <c r="H14" s="138" t="str">
        <v>Lookup</v>
      </c>
      <c r="I14" s="141" t="str" cm="1">
        <f t="array" aca="1" ref="I14" ca="1">HYPERLINK(Common_InputFunctions.Utility_SourceHyperlink($D$16), $D$16)</f>
        <v>Table_MU_j_f</v>
      </c>
    </row>
    <row r="15" spans="1:21" ht="20.100000000000001" customHeight="1" x14ac:dyDescent="0.25">
      <c r="A15" s="5" t="str">
        <f>HYPERLINK("#'Input - Electricity'!A1", "Electricity")</f>
        <v>Electricity</v>
      </c>
    </row>
    <row r="16" spans="1:21" ht="20.100000000000001" customHeight="1" x14ac:dyDescent="0.25">
      <c r="A16" s="5" t="str">
        <f>HYPERLINK("#'Input - Common farm inputs'!A1", "Common farm inputs")</f>
        <v>Common farm inputs</v>
      </c>
      <c r="D16" s="144" t="s">
        <v>302</v>
      </c>
    </row>
    <row r="17" spans="1:7" ht="20.100000000000001" customHeight="1" x14ac:dyDescent="0.25">
      <c r="A17" s="5" t="str">
        <f>HYPERLINK("#'Input - Crop pasture farm input'!A1", "Crop pasture farm input")</f>
        <v>Crop pasture farm input</v>
      </c>
      <c r="D17" s="145" t="s">
        <v>303</v>
      </c>
    </row>
    <row r="18" spans="1:7" ht="20.100000000000001" customHeight="1" x14ac:dyDescent="0.25">
      <c r="A18" s="5" t="str">
        <f>HYPERLINK("#'Input - Freight'!A1", "Freight")</f>
        <v>Freight</v>
      </c>
      <c r="D18" s="146" t="s">
        <v>272</v>
      </c>
      <c r="E18" s="92" t="s">
        <v>273</v>
      </c>
      <c r="F18" s="146" t="s">
        <v>304</v>
      </c>
      <c r="G18" s="146" t="s">
        <v>305</v>
      </c>
    </row>
    <row r="19" spans="1:7" ht="20.100000000000001" customHeight="1" x14ac:dyDescent="0.25">
      <c r="A19" s="5" t="str">
        <f>HYPERLINK("#'Input - Manure sent off-site'!A1", "Manure sent off-site")</f>
        <v>Manure sent off-site</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f],Table_Fertiliser_ChemicalCompounds[FU f])</f>
        <v>0</v>
      </c>
      <c r="G19" s="25" cm="1">
        <f t="array" ref="G19">Fertiliser_Equations_InorganicCO2.VEERG_5_1_1_3__2_MassOfUreaInInorganicFertiliser(E19,F19)</f>
        <v>0</v>
      </c>
    </row>
    <row r="20" spans="1:7" ht="20.100000000000001" customHeight="1" x14ac:dyDescent="0.25">
      <c r="A20" s="5" t="str">
        <f>HYPERLINK("#'Input - Solid waste'!A1", "Solid waste")</f>
        <v>Solid waste</v>
      </c>
      <c r="D20" s="25" t="str">
        <v>Diammonium phosphate (DAP)</v>
      </c>
      <c r="E20" s="2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f],Table_Fertiliser_ChemicalCompounds[FU f])</f>
        <v>0</v>
      </c>
      <c r="G20" s="25" cm="1">
        <f t="array" ref="G20">Fertiliser_Equations_InorganicCO2.VEERG_5_1_1_3__2_MassOfUreaInInorganicFertiliser(E20,F20)</f>
        <v>0</v>
      </c>
    </row>
    <row r="21" spans="1:7" ht="20.100000000000001" customHeight="1" x14ac:dyDescent="0.25">
      <c r="A21" s="5" t="str">
        <f>HYPERLINK("#'Input - Data quality'!A1", "Data quality")</f>
        <v>Data quality</v>
      </c>
      <c r="D21" s="25" t="str">
        <v>Urea</v>
      </c>
      <c r="E21" s="2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25" cm="1">
        <f t="array" ref="F21">Common_InputFunctions.Utility_LookupValueInTableNumber(D21,Table_Fertiliser_ChemicalCompounds[Fertiliser type f],Table_Fertiliser_ChemicalCompounds[FU f])</f>
        <v>1</v>
      </c>
      <c r="G21" s="25" cm="1">
        <f t="array" ref="G21">Fertiliser_Equations_InorganicCO2.VEERG_5_1_1_3__2_MassOfUreaInInorganicFertiliser(E21,F21)</f>
        <v>252173.9</v>
      </c>
    </row>
    <row r="22" spans="1:7" ht="20.100000000000001" customHeight="1" x14ac:dyDescent="0.25">
      <c r="D22" s="25" t="str">
        <v>Sulphate of ammonia (SOA)</v>
      </c>
      <c r="E22" s="2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f],Table_Fertiliser_ChemicalCompounds[FU f])</f>
        <v>0</v>
      </c>
      <c r="G22" s="25" cm="1">
        <f t="array" ref="G22">Fertiliser_Equations_InorganicCO2.VEERG_5_1_1_3__2_MassOfUreaInInorganicFertiliser(E22,F22)</f>
        <v>0</v>
      </c>
    </row>
    <row r="23" spans="1:7" ht="20.100000000000001" customHeight="1" x14ac:dyDescent="0.25">
      <c r="D23" s="25" t="str">
        <v>Urea-ammonium nitrate (UAN)</v>
      </c>
      <c r="E23" s="2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f],Table_Fertiliser_ChemicalCompounds[FU f])</f>
        <v>0.35</v>
      </c>
      <c r="G23" s="25" cm="1">
        <f t="array" ref="G23">Fertiliser_Equations_InorganicCO2.VEERG_5_1_1_3__2_MassOfUreaInInorganicFertiliser(E23,F23)</f>
        <v>0</v>
      </c>
    </row>
    <row r="24" spans="1:7" ht="20.100000000000001" customHeight="1" x14ac:dyDescent="0.25">
      <c r="A24" s="6" t="s">
        <v>2</v>
      </c>
      <c r="D24" s="25" t="str">
        <v>Ammonium nitrate (AN)</v>
      </c>
      <c r="E24" s="2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f],Table_Fertiliser_ChemicalCompounds[FU f])</f>
        <v>0</v>
      </c>
      <c r="G24" s="25" cm="1">
        <f t="array" ref="G24">Fertiliser_Equations_InorganicCO2.VEERG_5_1_1_3__2_MassOfUreaInInorganicFertiliser(E24,F24)</f>
        <v>0</v>
      </c>
    </row>
    <row r="25" spans="1:7" ht="20.100000000000001" customHeight="1" x14ac:dyDescent="0.25">
      <c r="A25" s="5" t="str">
        <f>HYPERLINK("#'5.1.1.1-2 Inorganic fert N2O'!A1", "5.1.1.1-2 Inorganic fert N2O")</f>
        <v>5.1.1.1-2 Inorganic fert N2O</v>
      </c>
      <c r="D25" s="25" t="str">
        <v>Calcium ammonium nitrate (CAN)</v>
      </c>
      <c r="E25" s="2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f],Table_Fertiliser_ChemicalCompounds[FU f])</f>
        <v>0</v>
      </c>
      <c r="G25" s="25" cm="1">
        <f t="array" ref="G25">Fertiliser_Equations_InorganicCO2.VEERG_5_1_1_3__2_MassOfUreaInInorganicFertiliser(E25,F25)</f>
        <v>0</v>
      </c>
    </row>
    <row r="26" spans="1:7" ht="20.100000000000001" customHeight="1" x14ac:dyDescent="0.25">
      <c r="A26" s="142" t="str">
        <f>HYPERLINK("#'5.1.1.3-4 Inorganic fert CO2'!A1", "5.1.1.3-4 Inorganic fert CO2")</f>
        <v>5.1.1.3-4 Inorganic fert CO2</v>
      </c>
      <c r="D26" s="25" t="str">
        <v>Nitrogen - Ammoniacal</v>
      </c>
      <c r="E26" s="2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12400</v>
      </c>
      <c r="F26" s="25" cm="1">
        <f t="array" ref="F26">Common_InputFunctions.Utility_LookupValueInTableNumber(D26,Table_Fertiliser_ChemicalCompounds[Fertiliser type f],Table_Fertiliser_ChemicalCompounds[FU f])</f>
        <v>0</v>
      </c>
      <c r="G26" s="25" cm="1">
        <f t="array" ref="G26">Fertiliser_Equations_InorganicCO2.VEERG_5_1_1_3__2_MassOfUreaInInorganicFertiliser(E26,F26)</f>
        <v>0</v>
      </c>
    </row>
    <row r="27" spans="1:7" ht="20.100000000000001" customHeight="1" x14ac:dyDescent="0.25">
      <c r="A27" s="5" t="str">
        <f>HYPERLINK("#'5.2.1.1-2 Organic Fert N2O'!A1", "5.2.1.1-2 Organic fert N2O")</f>
        <v>5.2.1.1-2 Organic fert N2O</v>
      </c>
      <c r="D27" s="25" t="str">
        <v>Nitrogen - Nitrate</v>
      </c>
      <c r="E27" s="2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5500</v>
      </c>
      <c r="F27" s="25" cm="1">
        <f t="array" ref="F27">Common_InputFunctions.Utility_LookupValueInTableNumber(D27,Table_Fertiliser_ChemicalCompounds[Fertiliser type f],Table_Fertiliser_ChemicalCompounds[FU f])</f>
        <v>0</v>
      </c>
      <c r="G27" s="25" cm="1">
        <f t="array" ref="G27">Fertiliser_Equations_InorganicCO2.VEERG_5_1_1_3__2_MassOfUreaInInorganicFertiliser(E27,F27)</f>
        <v>0</v>
      </c>
    </row>
    <row r="28" spans="1:7" ht="20.100000000000001" customHeight="1" x14ac:dyDescent="0.25">
      <c r="A28" s="5" t="str">
        <f>HYPERLINK("#'5.3.1.1-2 Lime CO2'!A1", "5.3.1.1-2 Lime CO2")</f>
        <v>5.3.1.1-2 Lime CO2</v>
      </c>
      <c r="D28" s="25" t="str">
        <v>Nitrogen - Generic</v>
      </c>
      <c r="E28" s="2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25" cm="1">
        <f t="array" ref="F28">Common_InputFunctions.Utility_LookupValueInTableNumber(D28,Table_Fertiliser_ChemicalCompounds[Fertiliser type f],Table_Fertiliser_ChemicalCompounds[FU f])</f>
        <v>0</v>
      </c>
      <c r="G28" s="25" cm="1">
        <f t="array" ref="G28">Fertiliser_Equations_InorganicCO2.VEERG_5_1_1_3__2_MassOfUreaInInorganicFertiliser(E28,F28)</f>
        <v>0</v>
      </c>
    </row>
    <row r="29" spans="1:7" ht="20.100000000000001" customHeight="1" x14ac:dyDescent="0.25">
      <c r="A29" s="5" t="str">
        <f>HYPERLINK("#'5.4.1.1-4 Atmos deposition'!A1", "5.4.1.1-4 Atmos. deposition")</f>
        <v>5.4.1.1-4 Atmos. deposition</v>
      </c>
      <c r="D29" s="25" t="str">
        <v>Phosphorus - Generic</v>
      </c>
      <c r="E29" s="2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5200</v>
      </c>
      <c r="F29" s="25" cm="1">
        <f t="array" ref="F29">Common_InputFunctions.Utility_LookupValueInTableNumber(D29,Table_Fertiliser_ChemicalCompounds[Fertiliser type f],Table_Fertiliser_ChemicalCompounds[FU f])</f>
        <v>0</v>
      </c>
      <c r="G29" s="25" cm="1">
        <f t="array" ref="G29">Fertiliser_Equations_InorganicCO2.VEERG_5_1_1_3__2_MassOfUreaInInorganicFertiliser(E29,F29)</f>
        <v>0</v>
      </c>
    </row>
    <row r="30" spans="1:7" ht="20.100000000000001" customHeight="1" x14ac:dyDescent="0.25">
      <c r="A30" s="5" t="str">
        <f>HYPERLINK("#'5.5.1.1-2 Leaching and runoff'!A1", "5.5.1.1-2 Leaching &amp; runoff")</f>
        <v>5.5.1.1-2 Leaching &amp; runoff</v>
      </c>
      <c r="D30" s="25" t="str">
        <v>Potassium - Generic</v>
      </c>
      <c r="E30" s="2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43000</v>
      </c>
      <c r="F30" s="25" cm="1">
        <f t="array" ref="F30">Common_InputFunctions.Utility_LookupValueInTableNumber(D30,Table_Fertiliser_ChemicalCompounds[Fertiliser type f],Table_Fertiliser_ChemicalCompounds[FU f])</f>
        <v>0</v>
      </c>
      <c r="G30" s="25" cm="1">
        <f t="array" ref="G30">Fertiliser_Equations_InorganicCO2.VEERG_5_1_1_3__2_MassOfUreaInInorganicFertiliser(E30,F30)</f>
        <v>0</v>
      </c>
    </row>
    <row r="31" spans="1:7" ht="20.100000000000001" customHeight="1" x14ac:dyDescent="0.25">
      <c r="A31" s="5" t="str">
        <f>HYPERLINK("#'6.1.1.1-2 Crop residue N2O'!A1", "6.1.1.1-2 Crop residue N2O")</f>
        <v>6.1.1.1-2 Crop residue N2O</v>
      </c>
      <c r="D31" s="25" t="str">
        <v>Sulfur - Generic</v>
      </c>
      <c r="E31" s="2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18900</v>
      </c>
      <c r="F31" s="25" cm="1">
        <f t="array" ref="F31">Common_InputFunctions.Utility_LookupValueInTableNumber(D31,Table_Fertiliser_ChemicalCompounds[Fertiliser type f],Table_Fertiliser_ChemicalCompounds[FU f])</f>
        <v>0</v>
      </c>
      <c r="G31" s="25" cm="1">
        <f t="array" ref="G31">Fertiliser_Equations_InorganicCO2.VEERG_5_1_1_3__2_MassOfUreaInInorganicFertiliser(E31,F31)</f>
        <v>0</v>
      </c>
    </row>
    <row r="32" spans="1:7" ht="20.100000000000001" customHeight="1" x14ac:dyDescent="0.25">
      <c r="A32" s="5" t="str">
        <f>HYPERLINK("#'6.3.1.1-2 Leach runoff crop'!A1", "6.3.1.1-2 Leach &amp; runoff (crop)")</f>
        <v>6.3.1.1-2 Leach &amp; runoff (crop)</v>
      </c>
      <c r="D32" s="25" t="str">
        <v>Zinc - Generic</v>
      </c>
      <c r="E32" s="2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25" cm="1">
        <f t="array" ref="F32">Common_InputFunctions.Utility_LookupValueInTableNumber(D32,Table_Fertiliser_ChemicalCompounds[Fertiliser type f],Table_Fertiliser_ChemicalCompounds[FU f])</f>
        <v>0</v>
      </c>
      <c r="G32" s="25" cm="1">
        <f t="array" ref="G32">Fertiliser_Equations_InorganicCO2.VEERG_5_1_1_3__2_MassOfUreaInInorganicFertiliser(E32,F32)</f>
        <v>0</v>
      </c>
    </row>
    <row r="33" spans="1:12" ht="20.100000000000001" customHeight="1" x14ac:dyDescent="0.25">
      <c r="A33" s="5" t="str">
        <f>HYPERLINK("#'6.4.1.1-2 Residue burning'!A1", "6.4.1.1-2 Residue burning")</f>
        <v>6.4.1.1-2 Residue burning</v>
      </c>
      <c r="D33" s="25" t="str">
        <v>Muriate of potash (MOP)</v>
      </c>
      <c r="E33" s="2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f],Table_Fertiliser_ChemicalCompounds[FU f])</f>
        <v>0</v>
      </c>
      <c r="G33" s="25" cm="1">
        <f t="array" ref="G33">Fertiliser_Equations_InorganicCO2.VEERG_5_1_1_3__2_MassOfUreaInInorganicFertiliser(E33,F33)</f>
        <v>0</v>
      </c>
    </row>
    <row r="34" spans="1:12" ht="20.100000000000001" customHeight="1" x14ac:dyDescent="0.25">
      <c r="A34" s="5" t="str">
        <f>HYPERLINK("#'8.1.1.1-2 Transport fuel'!A1", "8.1.1.1-2 Transport fuel")</f>
        <v>8.1.1.1-2 Transport fuel</v>
      </c>
      <c r="D34" s="25" t="str">
        <v>Double superphosphate</v>
      </c>
      <c r="E34" s="2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f],Table_Fertiliser_ChemicalCompounds[FU f])</f>
        <v>0</v>
      </c>
      <c r="G34" s="25" cm="1">
        <f t="array" ref="G34">Fertiliser_Equations_InorganicCO2.VEERG_5_1_1_3__2_MassOfUreaInInorganicFertiliser(E34,F34)</f>
        <v>0</v>
      </c>
    </row>
    <row r="35" spans="1:12" ht="20.100000000000001" customHeight="1" x14ac:dyDescent="0.25">
      <c r="A35" s="5" t="str">
        <f>HYPERLINK("#'8.2.1.1-2 Stationary fuel'!A1", "8.2.1.1-2 Stationary fuel")</f>
        <v>8.2.1.1-2 Stationary fuel</v>
      </c>
      <c r="D35" s="25" t="str">
        <v>Single superphosphate (SSP)</v>
      </c>
      <c r="E35" s="2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f],Table_Fertiliser_ChemicalCompounds[FU f])</f>
        <v>0</v>
      </c>
      <c r="G35" s="25" cm="1">
        <f t="array" ref="G35">Fertiliser_Equations_InorganicCO2.VEERG_5_1_1_3__2_MassOfUreaInInorganicFertiliser(E35,F35)</f>
        <v>0</v>
      </c>
    </row>
    <row r="36" spans="1:12" ht="20.100000000000001" customHeight="1" x14ac:dyDescent="0.25">
      <c r="A36" s="5" t="str">
        <f>HYPERLINK("#'14.1.1-2 Purchased electricity'!A1", "14.1.1-2 Purchased electricity")</f>
        <v>14.1.1-2 Purchased electricity</v>
      </c>
      <c r="D36" s="25" t="str">
        <v>Ammonia</v>
      </c>
      <c r="E36" s="2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25" cm="1">
        <f t="array" ref="F36">Common_InputFunctions.Utility_LookupValueInTableNumber(D36,Table_Fertiliser_ChemicalCompounds[Fertiliser type f],Table_Fertiliser_ChemicalCompounds[FU f])</f>
        <v>0</v>
      </c>
      <c r="G36" s="25" cm="1">
        <f t="array" ref="G36">Fertiliser_Equations_InorganicCO2.VEERG_5_1_1_3__2_MassOfUreaInInorganicFertiliser(E36,F36)</f>
        <v>0</v>
      </c>
    </row>
    <row r="37" spans="1:12" ht="20.100000000000001" customHeight="1" x14ac:dyDescent="0.25">
      <c r="A37" s="5" t="str">
        <f>HYPERLINK("#'15 Scope 3'!A1", "15 Scope 3")</f>
        <v>15 Scope 3</v>
      </c>
      <c r="D37" s="25" t="str">
        <v>Calcium nitrate</v>
      </c>
      <c r="E37" s="2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25" cm="1">
        <f t="array" ref="F37">Common_InputFunctions.Utility_LookupValueInTableNumber(D37,Table_Fertiliser_ChemicalCompounds[Fertiliser type f],Table_Fertiliser_ChemicalCompounds[FU f])</f>
        <v>0</v>
      </c>
      <c r="G37" s="25" cm="1">
        <f t="array" ref="G37">Fertiliser_Equations_InorganicCO2.VEERG_5_1_1_3__2_MassOfUreaInInorganicFertiliser(E37,F37)</f>
        <v>0</v>
      </c>
    </row>
    <row r="38" spans="1:12" ht="20.100000000000001" customHeight="1" x14ac:dyDescent="0.25">
      <c r="A38" s="5" t="str">
        <f>HYPERLINK("#'Calcs - Manure sent off-site'!A1", "Calcs - Manure sent off-site")</f>
        <v>Calcs - Manure sent off-site</v>
      </c>
    </row>
    <row r="39" spans="1:12" ht="20.100000000000001" customHeight="1" x14ac:dyDescent="0.25">
      <c r="A39" s="5" t="str">
        <f>HYPERLINK("#'10.1.1-2 Solid waste treatment'!A1", "10.1.1-2 Solid waste treatment")</f>
        <v>10.1.1-2 Solid waste treatment</v>
      </c>
    </row>
    <row r="40" spans="1:12" ht="20.100000000000001" customHeight="1" x14ac:dyDescent="0.25">
      <c r="C40" s="147"/>
      <c r="D40" s="147"/>
      <c r="E40" s="147"/>
      <c r="F40" s="147"/>
      <c r="G40" s="147"/>
      <c r="H40" s="147"/>
      <c r="I40" s="147"/>
      <c r="J40" s="147"/>
      <c r="K40" s="147"/>
      <c r="L40" s="147"/>
    </row>
    <row r="41" spans="1:12" ht="20.100000000000001" customHeight="1" x14ac:dyDescent="0.25">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s="108" t="s">
        <v>1</v>
      </c>
      <c r="D42" s="27" t="str" cm="1">
        <f t="array" ref="D42">Fertiliser_Equations_InorganicCO2.VEERG_5_1_1_3__1_InorganicFertiliserApplicationCO2Emissions_Source()</f>
        <v>VEERG 2026: 5.1.1.3, Equation (1)</v>
      </c>
    </row>
    <row r="43" spans="1:12" ht="20.100000000000001" customHeight="1" x14ac:dyDescent="0.25">
      <c r="A43" s="5" t="str">
        <f>HYPERLINK("#'Constants - Ag Residue'!A1", "Constants - Ag residue")</f>
        <v>Constants - Ag residue</v>
      </c>
      <c r="D43" s="133" t="s">
        <v>267</v>
      </c>
      <c r="E43" s="133" t="str" cm="1">
        <f t="array" aca="1" ref="E43" ca="1">Common_InputFunctions.Utility_DisplayFunctionName(E58)</f>
        <v>=Fertiliser_Equations_InorganicCO2.VEERG_5_1_1_3__1_InorganicFertiliserApplicationCO2Emissions</v>
      </c>
    </row>
    <row r="44" spans="1:12" ht="20.100000000000001" customHeight="1" x14ac:dyDescent="0.25">
      <c r="A44" s="5" t="str">
        <f>HYPERLINK("#'Constants - Common Livestock'!A1", "Constants - Common Livestock")</f>
        <v>Constants - Common Livestock</v>
      </c>
    </row>
    <row r="45" spans="1:12" ht="20.100000000000001" customHeight="1" x14ac:dyDescent="0.25">
      <c r="A45" s="5" t="str">
        <f>HYPERLINK("#'Constants - Electricity'!A1", "Constants - Electricity")</f>
        <v>Constants - Electricity</v>
      </c>
    </row>
    <row r="46" spans="1:12" ht="20.100000000000001" customHeight="1" x14ac:dyDescent="0.25">
      <c r="A46" s="5" t="str">
        <f>HYPERLINK("#'Constants - Fertiliser'!A1", "Constants - Fertiliser")</f>
        <v>Constants - Fertiliser</v>
      </c>
      <c r="D46" s="88" t="s">
        <v>268</v>
      </c>
      <c r="E46" s="1" t="str" cm="1">
        <f t="array" ref="E46">Fertiliser_Equations_InorganicCO2.VEERG_5_1_1_3__1_InorganicFertiliserApplicationCO2Emissions_Variable()</f>
        <v>E_CO2</v>
      </c>
    </row>
    <row r="47" spans="1:12" ht="20.100000000000001" customHeight="1" x14ac:dyDescent="0.25">
      <c r="A47" s="5" t="str">
        <f>HYPERLINK("#'Constants - Fuel'!A1", "Constants - Fuel")</f>
        <v>Constants - Fuel</v>
      </c>
      <c r="D47" s="88" t="s">
        <v>121</v>
      </c>
      <c r="E47" s="15" t="str" cm="1">
        <f t="array" ref="E47">Fertiliser_Equations_InorganicCO2.VEERG_5_1_1_3__1_InorganicFertiliserApplicationCO2Emissions_Unit()</f>
        <v>t CO2</v>
      </c>
    </row>
    <row r="48" spans="1:12" ht="20.100000000000001" customHeight="1" x14ac:dyDescent="0.25">
      <c r="A48" s="5" t="str">
        <f>HYPERLINK("#'Constants - Scope 3'!A1", "Constants - Scope 3")</f>
        <v>Constants - Scope 3</v>
      </c>
    </row>
    <row r="49" spans="1:9" ht="20.100000000000001" customHeight="1" x14ac:dyDescent="0.25">
      <c r="A49" s="5" t="str">
        <f>HYPERLINK("#'Constants - Common'!A1", "Constants - Common")</f>
        <v>Constants - Common</v>
      </c>
      <c r="D49" s="134" t="str" cm="1">
        <f t="array" ref="D49:E53">_xlfn.CHOOSECOLS(Fertiliser_Equations_InorganicCO2.VEERG_5_1_1_3__1_InorganicFertiliserApplicationCO2Emissions_Arguments(), 1, 2)</f>
        <v>MU_jf</v>
      </c>
      <c r="E49" s="135" t="str">
        <v>mass of urea of inorganic fertiliser type f applied to production system j</v>
      </c>
      <c r="F49" s="143"/>
      <c r="G49" s="134" t="str" cm="1">
        <f t="array" ref="G49:H53">_xlfn.CHOOSECOLS(Fertiliser_Equations_InorganicCO2.VEERG_5_1_1_3__1_InorganicFertiliserApplicationCO2Emissions_Arguments(), 3,4)</f>
        <v>kg urea</v>
      </c>
      <c r="H49" s="138" t="str">
        <v>Calculated</v>
      </c>
      <c r="I49" s="141" t="str" cm="1">
        <f t="array" aca="1" ref="I49" ca="1">HYPERLINK(Common_InputFunctions.Utility_SourceHyperlink($D$16), $D$16)</f>
        <v>Table_MU_j_f</v>
      </c>
    </row>
    <row r="50" spans="1:9" ht="20.100000000000001" customHeight="1" x14ac:dyDescent="0.25">
      <c r="A50" s="5" t="str">
        <f>HYPERLINK("#'Constants - Solid Waste'!A1", "Constants - Solid Waste")</f>
        <v>Constants - Solid Waste</v>
      </c>
      <c r="D50" s="134" t="str">
        <v>EF_ureaCO2</v>
      </c>
      <c r="E50" s="135" t="str">
        <v>emission factor for carbon emissions from urea-based fertilisers</v>
      </c>
      <c r="F50" s="143"/>
      <c r="G50" s="134" t="str">
        <v>kg C/kg urea</v>
      </c>
      <c r="H50" s="138" t="str">
        <v>Constant</v>
      </c>
      <c r="I50" s="134">
        <f>Fertiliser_EFUreaCO2_Data</f>
        <v>0.2</v>
      </c>
    </row>
    <row r="51" spans="1:9" ht="20.100000000000001" customHeight="1" x14ac:dyDescent="0.25">
      <c r="D51" s="134" t="str">
        <v>C_CO2</v>
      </c>
      <c r="E51" s="135" t="str">
        <v>factor to convert elemental mass of carbon to molecular mass of carbon dioxide</v>
      </c>
      <c r="F51" s="143"/>
      <c r="G51" s="134" t="str">
        <v/>
      </c>
      <c r="H51" s="138" t="str">
        <v>Constant</v>
      </c>
      <c r="I51" s="134">
        <f>Common_InputFunctions.Utility_LookupValueInTableNumber("CO2",Table_GasToMolecularConversionFactor[Gas], Table_GasToMolecularConversionFactor[Conversion factor combined])</f>
        <v>3.6666666666666665</v>
      </c>
    </row>
    <row r="52" spans="1:9" ht="20.100000000000001" customHeight="1" x14ac:dyDescent="0.25">
      <c r="D52" s="134" t="str">
        <v>j</v>
      </c>
      <c r="E52" s="135" t="str">
        <v>Production system</v>
      </c>
      <c r="F52" s="143"/>
      <c r="G52" s="134" t="str">
        <v/>
      </c>
      <c r="H52" s="137" t="str">
        <v>Input</v>
      </c>
      <c r="I52" s="134" t="str">
        <f>X_Cell_Fertiliser_ProductionSystem</f>
        <v>Crop</v>
      </c>
    </row>
    <row r="53" spans="1:9" ht="20.100000000000001" customHeight="1" x14ac:dyDescent="0.25">
      <c r="D53" s="134" t="str">
        <v>f</v>
      </c>
      <c r="E53" s="135" t="str">
        <v>Inorganic fertiliser type</v>
      </c>
      <c r="F53" s="143"/>
      <c r="G53" s="134" t="str">
        <v/>
      </c>
      <c r="H53" s="138" t="str">
        <v>Lookup</v>
      </c>
      <c r="I53" s="141" t="str" cm="1">
        <f t="array" aca="1" ref="I53" ca="1">HYPERLINK(Common_InputFunctions.Utility_SourceHyperlink($D$16), $D$16)</f>
        <v>Table_MU_j_f</v>
      </c>
    </row>
    <row r="54" spans="1:9" ht="20.100000000000001" customHeight="1" x14ac:dyDescent="0.25"/>
    <row r="55" spans="1:9" ht="20.100000000000001" customHeight="1" x14ac:dyDescent="0.25">
      <c r="D55" s="144" t="s">
        <v>306</v>
      </c>
    </row>
    <row r="56" spans="1:9" ht="20.100000000000001" customHeight="1" x14ac:dyDescent="0.25">
      <c r="D56" s="145" t="s">
        <v>307</v>
      </c>
    </row>
    <row r="57" spans="1:9" ht="20.100000000000001" customHeight="1" x14ac:dyDescent="0.25">
      <c r="D57" s="146" t="s">
        <v>272</v>
      </c>
      <c r="E57" s="146" t="s">
        <v>296</v>
      </c>
    </row>
    <row r="58" spans="1:9" ht="20.100000000000001" customHeight="1" x14ac:dyDescent="0.25">
      <c r="D58" s="25" t="str" cm="1">
        <f t="array" ref="D58:D76">Table_Fertiliser_ChemicalCompounds[Fertiliser type f]</f>
        <v>Monoammonium phosphate (MAP)</v>
      </c>
      <c r="E58" s="25" cm="1">
        <f t="array" ref="E58">Fertiliser_Equations_InorganicCO2.VEERG_5_1_1_3__1_InorganicFertiliserApplicationCO2Emissions(G19,$I$50,$I$51)</f>
        <v>0</v>
      </c>
      <c r="F58" s="26" t="str">
        <f>$E$47</f>
        <v>t CO2</v>
      </c>
    </row>
    <row r="59" spans="1:9" ht="20.100000000000001" customHeight="1" x14ac:dyDescent="0.25">
      <c r="D59" s="25" t="str">
        <v>Diammonium phosphate (DAP)</v>
      </c>
      <c r="E59" s="25" cm="1">
        <f t="array" ref="E59">Fertiliser_Equations_InorganicCO2.VEERG_5_1_1_3__1_InorganicFertiliserApplicationCO2Emissions(G20,$I$50,$I$51)</f>
        <v>0</v>
      </c>
    </row>
    <row r="60" spans="1:9" ht="20.100000000000001" customHeight="1" x14ac:dyDescent="0.25">
      <c r="D60" s="25" t="str">
        <v>Urea</v>
      </c>
      <c r="E60" s="25" cm="1">
        <f t="array" ref="E60">Fertiliser_Equations_InorganicCO2.VEERG_5_1_1_3__1_InorganicFertiliserApplicationCO2Emissions(G21,$I$50,$I$51)</f>
        <v>184.92752666666664</v>
      </c>
    </row>
    <row r="61" spans="1:9" ht="20.100000000000001" customHeight="1" x14ac:dyDescent="0.25">
      <c r="D61" s="25" t="str">
        <v>Sulphate of ammonia (SOA)</v>
      </c>
      <c r="E61" s="25" cm="1">
        <f t="array" ref="E61">Fertiliser_Equations_InorganicCO2.VEERG_5_1_1_3__1_InorganicFertiliserApplicationCO2Emissions(G22,$I$50,$I$51)</f>
        <v>0</v>
      </c>
    </row>
    <row r="62" spans="1:9" ht="20.100000000000001" customHeight="1" x14ac:dyDescent="0.25">
      <c r="D62" s="25" t="str">
        <v>Urea-ammonium nitrate (UAN)</v>
      </c>
      <c r="E62" s="25" cm="1">
        <f t="array" ref="E62">Fertiliser_Equations_InorganicCO2.VEERG_5_1_1_3__1_InorganicFertiliserApplicationCO2Emissions(G23,$I$50,$I$51)</f>
        <v>0</v>
      </c>
    </row>
    <row r="63" spans="1:9" ht="20.100000000000001" customHeight="1" x14ac:dyDescent="0.25">
      <c r="D63" s="25" t="str">
        <v>Ammonium nitrate (AN)</v>
      </c>
      <c r="E63" s="25" cm="1">
        <f t="array" ref="E63">Fertiliser_Equations_InorganicCO2.VEERG_5_1_1_3__1_InorganicFertiliserApplicationCO2Emissions(G24,$I$50,$I$51)</f>
        <v>0</v>
      </c>
    </row>
    <row r="64" spans="1:9" ht="20.100000000000001" customHeight="1" x14ac:dyDescent="0.25">
      <c r="D64" s="25" t="str">
        <v>Calcium ammonium nitrate (CAN)</v>
      </c>
      <c r="E64" s="25" cm="1">
        <f t="array" ref="E64">Fertiliser_Equations_InorganicCO2.VEERG_5_1_1_3__1_InorganicFertiliserApplicationCO2Emissions(G25,$I$50,$I$51)</f>
        <v>0</v>
      </c>
    </row>
    <row r="65" spans="4:6" ht="20.100000000000001" customHeight="1" x14ac:dyDescent="0.25">
      <c r="D65" s="25" t="str">
        <v>Nitrogen - Ammoniacal</v>
      </c>
      <c r="E65" s="25" cm="1">
        <f t="array" ref="E65">Fertiliser_Equations_InorganicCO2.VEERG_5_1_1_3__1_InorganicFertiliserApplicationCO2Emissions(G26,$I$50,$I$51)</f>
        <v>0</v>
      </c>
    </row>
    <row r="66" spans="4:6" ht="20.100000000000001" customHeight="1" x14ac:dyDescent="0.25">
      <c r="D66" s="25" t="str">
        <v>Nitrogen - Nitrate</v>
      </c>
      <c r="E66" s="25" cm="1">
        <f t="array" ref="E66">Fertiliser_Equations_InorganicCO2.VEERG_5_1_1_3__1_InorganicFertiliserApplicationCO2Emissions(G27,$I$50,$I$51)</f>
        <v>0</v>
      </c>
    </row>
    <row r="67" spans="4:6" ht="20.100000000000001" customHeight="1" x14ac:dyDescent="0.25">
      <c r="D67" s="25" t="str">
        <v>Nitrogen - Generic</v>
      </c>
      <c r="E67" s="25" cm="1">
        <f t="array" ref="E67">Fertiliser_Equations_InorganicCO2.VEERG_5_1_1_3__1_InorganicFertiliserApplicationCO2Emissions(G28,$I$50,$I$51)</f>
        <v>0</v>
      </c>
    </row>
    <row r="68" spans="4:6" ht="20.100000000000001" customHeight="1" x14ac:dyDescent="0.25">
      <c r="D68" s="25" t="str">
        <v>Phosphorus - Generic</v>
      </c>
      <c r="E68" s="25" cm="1">
        <f t="array" ref="E68">Fertiliser_Equations_InorganicCO2.VEERG_5_1_1_3__1_InorganicFertiliserApplicationCO2Emissions(G29,$I$50,$I$51)</f>
        <v>0</v>
      </c>
    </row>
    <row r="69" spans="4:6" ht="20.100000000000001" customHeight="1" x14ac:dyDescent="0.25">
      <c r="D69" s="25" t="str">
        <v>Potassium - Generic</v>
      </c>
      <c r="E69" s="25" cm="1">
        <f t="array" ref="E69">Fertiliser_Equations_InorganicCO2.VEERG_5_1_1_3__1_InorganicFertiliserApplicationCO2Emissions(G30,$I$50,$I$51)</f>
        <v>0</v>
      </c>
    </row>
    <row r="70" spans="4:6" ht="20.100000000000001" customHeight="1" x14ac:dyDescent="0.25">
      <c r="D70" s="25" t="str">
        <v>Sulfur - Generic</v>
      </c>
      <c r="E70" s="25" cm="1">
        <f t="array" ref="E70">Fertiliser_Equations_InorganicCO2.VEERG_5_1_1_3__1_InorganicFertiliserApplicationCO2Emissions(G31,$I$50,$I$51)</f>
        <v>0</v>
      </c>
    </row>
    <row r="71" spans="4:6" ht="20.100000000000001" customHeight="1" x14ac:dyDescent="0.25">
      <c r="D71" s="25" t="str">
        <v>Zinc - Generic</v>
      </c>
      <c r="E71" s="25" cm="1">
        <f t="array" ref="E71">Fertiliser_Equations_InorganicCO2.VEERG_5_1_1_3__1_InorganicFertiliserApplicationCO2Emissions(G32,$I$50,$I$51)</f>
        <v>0</v>
      </c>
    </row>
    <row r="72" spans="4:6" ht="20.100000000000001" customHeight="1" x14ac:dyDescent="0.25">
      <c r="D72" s="25" t="str">
        <v>Muriate of potash (MOP)</v>
      </c>
      <c r="E72" s="25" cm="1">
        <f t="array" ref="E72">Fertiliser_Equations_InorganicCO2.VEERG_5_1_1_3__1_InorganicFertiliserApplicationCO2Emissions(G33,$I$50,$I$51)</f>
        <v>0</v>
      </c>
    </row>
    <row r="73" spans="4:6" ht="20.100000000000001" customHeight="1" x14ac:dyDescent="0.25">
      <c r="D73" s="25" t="str">
        <v>Double superphosphate</v>
      </c>
      <c r="E73" s="25" cm="1">
        <f t="array" ref="E73">Fertiliser_Equations_InorganicCO2.VEERG_5_1_1_3__1_InorganicFertiliserApplicationCO2Emissions(G34,$I$50,$I$51)</f>
        <v>0</v>
      </c>
    </row>
    <row r="74" spans="4:6" ht="20.100000000000001" customHeight="1" x14ac:dyDescent="0.25">
      <c r="D74" s="25" t="str">
        <v>Single superphosphate (SSP)</v>
      </c>
      <c r="E74" s="25" cm="1">
        <f t="array" ref="E74">Fertiliser_Equations_InorganicCO2.VEERG_5_1_1_3__1_InorganicFertiliserApplicationCO2Emissions(G35,$I$50,$I$51)</f>
        <v>0</v>
      </c>
    </row>
    <row r="75" spans="4:6" ht="20.100000000000001" customHeight="1" x14ac:dyDescent="0.25">
      <c r="D75" s="25" t="str">
        <v>Ammonia</v>
      </c>
      <c r="E75" s="25" cm="1">
        <f t="array" ref="E75">Fertiliser_Equations_InorganicCO2.VEERG_5_1_1_3__1_InorganicFertiliserApplicationCO2Emissions(G36,$I$50,$I$51)</f>
        <v>0</v>
      </c>
    </row>
    <row r="76" spans="4:6" ht="20.100000000000001" customHeight="1" x14ac:dyDescent="0.25">
      <c r="D76" s="25" t="str">
        <v>Calcium nitrate</v>
      </c>
      <c r="E76" s="25" cm="1">
        <f t="array" ref="E76">Fertiliser_Equations_InorganicCO2.VEERG_5_1_1_3__1_InorganicFertiliserApplicationCO2Emissions(G37,$I$50,$I$51)</f>
        <v>0</v>
      </c>
    </row>
    <row r="77" spans="4:6" ht="20.100000000000001" customHeight="1" x14ac:dyDescent="0.25"/>
    <row r="78" spans="4:6" ht="20.100000000000001" customHeight="1" x14ac:dyDescent="0.25">
      <c r="D78" s="150" t="s">
        <v>308</v>
      </c>
      <c r="E78" s="151">
        <f>SUM(E58:E76)</f>
        <v>184.92752666666664</v>
      </c>
      <c r="F78" s="152"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F97280-07D9-4F33-B1E2-75BCDAC7B2F3}">
  <dimension ref="A1:U165"/>
  <sheetViews>
    <sheetView showGridLines="0" topLeftCell="A5" workbookViewId="0" zoomScale="100" zoomScaleNormal="100">
      <selection activeCell="A50" sqref="A50"/>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309</v>
      </c>
    </row>
    <row r="2" spans="1:21" s="3" customFormat="1" ht="20.100000000000001" customHeight="1" x14ac:dyDescent="0.25">
      <c r="A2"/>
    </row>
    <row r="3" spans="1:21" ht="20.100000000000001" customHeight="1" x14ac:dyDescent="0.25">
      <c r="A3" s="5" t="str">
        <f>HYPERLINK("#'Home'!A1", "Home")</f>
        <v>Home</v>
      </c>
      <c r="C3" s="33"/>
      <c r="D3" s="33" t="s">
        <v>135</v>
      </c>
      <c r="E3" s="33"/>
      <c r="F3" s="33"/>
      <c r="G3" s="33"/>
      <c r="H3" s="33"/>
      <c r="I3" s="33"/>
      <c r="J3" s="33"/>
      <c r="K3" s="33"/>
      <c r="L3" s="33"/>
      <c r="N3" s="33"/>
      <c r="O3" s="33" t="s">
        <v>136</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Fertiliser_Equations_OrganicN2O.VEERG_5_2_1_1__2_MassOfNitrogenInOrganicFertiliser_Title()</f>
        <v>Mass of nitrogen in purchased organic fertilisers applied to production system</v>
      </c>
    </row>
    <row r="6" spans="1:21" ht="20.100000000000001" customHeight="1" x14ac:dyDescent="0.25">
      <c r="D6" s="27" t="str" cm="1">
        <f t="array" ref="D6">Fertiliser_Equations_OrganicN2O.VEERG_5_2_1_1__2_MassOfNitrogenInOrganicFertiliser_Source()</f>
        <v>VEERG 2026: 5.2.1.1, Equation (2)</v>
      </c>
    </row>
    <row r="7" spans="1:21" ht="20.100000000000001" customHeight="1" x14ac:dyDescent="0.25">
      <c r="D7" s="133" t="s">
        <v>267</v>
      </c>
      <c r="E7" s="133" t="str" cm="1">
        <f t="array" aca="1" ref="E7" ca="1">Common_InputFunctions.Utility_DisplayFunctionName($I$20)</f>
        <v>=Fertiliser_Equations_OrganicN2O.VEERG_5_2_1_1__2_MassOfNitrogenInOrganicFertiliser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268</v>
      </c>
      <c r="E10" s="1" t="str" cm="1">
        <f t="array" ref="E10">Fertiliser_Equations_OrganicN2O.VEERG_5_2_1_1__2_MassOfNitrogenInOrganicFertiliser_Variable()</f>
        <v>MNSoil_jf</v>
      </c>
    </row>
    <row r="11" spans="1:21" ht="20.100000000000001" customHeight="1" x14ac:dyDescent="0.25">
      <c r="A11" s="5" t="str">
        <f>HYPERLINK("#'Input - Crop'!A1", "Crop")</f>
        <v>Crop</v>
      </c>
      <c r="D11" s="88" t="s">
        <v>121</v>
      </c>
      <c r="E11" s="15" t="str" cm="1">
        <f t="array" ref="E11">Fertiliser_Equations_OrganicN2O.VEERG_5_2_1_1__2_MassOfNitrogenInOrganicFertiliser_Unit()</f>
        <v>kg N</v>
      </c>
    </row>
    <row r="12" spans="1:21" ht="20.100000000000001" customHeight="1" x14ac:dyDescent="0.25">
      <c r="A12" s="5" t="str">
        <f>HYPERLINK("#'Input - Fert Prod System'!A1", "Fert Prod System")</f>
        <v>Fert Prod System</v>
      </c>
    </row>
    <row r="13" spans="1:21" ht="20.100000000000001" customHeight="1" x14ac:dyDescent="0.25">
      <c r="A13" s="5" t="str">
        <f>HYPERLINK("#'Input - Fertiliser'!A1", "Fertiliser")</f>
        <v>Fertiliser</v>
      </c>
      <c r="D13" s="134" t="str" cm="1">
        <f t="array" ref="D13:E15">_xlfn.CHOOSECOLS(Fertiliser_Equations_OrganicN2O.VEERG_5_2_1_1__2_MassOfNitrogenInOrganicFertiliser_Arguments(), 1, 2)</f>
        <v>M_organicjf</v>
      </c>
      <c r="E13" s="135" t="str">
        <v>mass of organic fertiliser type f applied to production system j</v>
      </c>
      <c r="F13" s="143"/>
      <c r="G13" s="155" t="str" cm="1">
        <f t="array" ref="G13:H15">_xlfn.CHOOSECOLS(Fertiliser_Equations_OrganicN2O.VEERG_5_2_1_1__2_MassOfNitrogenInOrganicFertiliser_Arguments(), 3,4)</f>
        <v>kg</v>
      </c>
      <c r="H13" s="137" t="str">
        <v>Input</v>
      </c>
      <c r="I13" s="141" t="str" cm="1">
        <f t="array" aca="1" ref="I13" ca="1">HYPERLINK(Common_InputFunctions.Utility_SourceHyperlink($D$17), $D$17)</f>
        <v>Table_MNSoil_j_f</v>
      </c>
    </row>
    <row r="14" spans="1:21" ht="20.100000000000001" customHeight="1" x14ac:dyDescent="0.25">
      <c r="A14" s="5" t="str">
        <f>HYPERLINK("#'Input - Fuel'!A1", "Fuel")</f>
        <v>Fuel</v>
      </c>
      <c r="D14" s="134" t="str">
        <v>FN_organicf</v>
      </c>
      <c r="E14" s="135" t="str">
        <v>nitrogen fraction of organic fertiliser type f</v>
      </c>
      <c r="F14" s="143"/>
      <c r="G14" s="155" t="str">
        <v>kg N/kg</v>
      </c>
      <c r="H14" s="137" t="str">
        <v>Input</v>
      </c>
      <c r="I14" s="141" t="str" cm="1">
        <f t="array" aca="1" ref="I14" ca="1">HYPERLINK(Common_InputFunctions.Utility_SourceHyperlink($D$17), $D$17)</f>
        <v>Table_MNSoil_j_f</v>
      </c>
    </row>
    <row r="15" spans="1:21" ht="20.100000000000001" customHeight="1" x14ac:dyDescent="0.25">
      <c r="A15" s="5" t="str">
        <f>HYPERLINK("#'Input - Electricity'!A1", "Electricity")</f>
        <v>Electricity</v>
      </c>
      <c r="D15" s="134" t="str">
        <v>f</v>
      </c>
      <c r="E15" s="135" t="str">
        <v>Organic fertiliser type</v>
      </c>
      <c r="F15" s="143"/>
      <c r="G15" s="155" t="str">
        <v/>
      </c>
      <c r="H15" s="137" t="str">
        <v>Input</v>
      </c>
      <c r="I15" s="141" t="str" cm="1">
        <f t="array" aca="1" ref="I15" ca="1">HYPERLINK(Common_InputFunctions.Utility_SourceHyperlink($D$17), $D$17)</f>
        <v>Table_MNSoil_j_f</v>
      </c>
    </row>
    <row r="16" spans="1:21" ht="20.100000000000001" customHeight="1" x14ac:dyDescent="0.25">
      <c r="A16" s="5" t="str">
        <f>HYPERLINK("#'Input - Common farm inputs'!A1", "Common farm inputs")</f>
        <v>Common farm inputs</v>
      </c>
    </row>
    <row r="17" spans="1:10" ht="20.100000000000001" customHeight="1" x14ac:dyDescent="0.25">
      <c r="A17" s="5" t="str">
        <f>HYPERLINK("#'Input - Crop pasture farm input'!A1", "Crop pasture farm input")</f>
        <v>Crop pasture farm input</v>
      </c>
      <c r="D17" s="144" t="s">
        <v>310</v>
      </c>
    </row>
    <row r="18" spans="1:10" ht="20.100000000000001" customHeight="1" x14ac:dyDescent="0.25">
      <c r="A18" s="5" t="str">
        <f>HYPERLINK("#'Input - Freight'!A1", "Freight")</f>
        <v>Freight</v>
      </c>
      <c r="D18" s="145" t="s">
        <v>311</v>
      </c>
    </row>
    <row r="19" spans="1:10" ht="20.100000000000001" customHeight="1" x14ac:dyDescent="0.25">
      <c r="A19" s="5" t="str">
        <f>HYPERLINK("#'Input - Manure sent off-site'!A1", "Manure sent off-site")</f>
        <v>Manure sent off-site</v>
      </c>
      <c r="D19" s="92" t="s">
        <v>312</v>
      </c>
      <c r="E19" s="92" t="s">
        <v>313</v>
      </c>
      <c r="F19" s="92" t="s">
        <v>208</v>
      </c>
      <c r="G19" s="156" t="s">
        <v>314</v>
      </c>
      <c r="H19" s="92" t="s">
        <v>315</v>
      </c>
      <c r="I19" s="156" t="s">
        <v>316</v>
      </c>
    </row>
    <row r="20" spans="1:10" ht="20.100000000000001" customHeight="1" x14ac:dyDescent="0.25">
      <c r="A20" s="5" t="str">
        <f>HYPERLINK("#'Input - Solid waste'!A1", "Solid waste")</f>
        <v>Solid waste</v>
      </c>
      <c r="D20" s="25" t="str" cm="1">
        <f t="array" ref="D20:D22">Table_Input_OrganicFertiliser[Organic fertiliser type (select)]</f>
        <v>Manure - Other</v>
      </c>
      <c r="E20" s="157" cm="1">
        <f t="array" ref="E20:E22">Table_Input_OrganicFertiliser[Amount applied (kg/hectare)]</f>
        <v>10</v>
      </c>
      <c r="F20" s="157" cm="1">
        <f t="array" ref="F20:F22">Table_Input_OrganicFertiliser[Application area (ha)]</f>
        <v>1000</v>
      </c>
      <c r="G20" s="25" cm="1">
        <f t="array" ref="G20:G22">Table_Input_OrganicFertiliser[Amount applied (kg/hectare)]*Table_Input_OrganicFertiliser[Application area (ha)]</f>
        <v>10000</v>
      </c>
      <c r="H20" s="158" cm="1">
        <f t="array" ref="H20:H22">Table_Input_OrganicFertiliser[Percentage of N in fertiliser]</f>
        <v>0.3</v>
      </c>
      <c r="I20" s="25" cm="1">
        <f t="array" ref="I20">Fertiliser_Equations_OrganicN2O.VEERG_5_2_1_1__2_MassOfNitrogenInOrganicFertiliser(G20,H20)</f>
        <v>3000</v>
      </c>
    </row>
    <row r="21" spans="1:10" ht="20.100000000000001" customHeight="1" x14ac:dyDescent="0.25">
      <c r="A21" s="5" t="str">
        <f>HYPERLINK("#'Input - Data quality'!A1", "Data quality")</f>
        <v>Data quality</v>
      </c>
      <c r="D21" s="25" t="str">
        <v>Manure - Poultry</v>
      </c>
      <c r="E21" s="25">
        <v>10</v>
      </c>
      <c r="F21" s="25">
        <v>1000</v>
      </c>
      <c r="G21" s="25">
        <v>10000</v>
      </c>
      <c r="H21" s="25">
        <v>0.25</v>
      </c>
      <c r="I21" s="25" cm="1">
        <f t="array" ref="I21">Fertiliser_Equations_Organic.VEERG_5_2_1_1__2_MassOfNitrogenInOrganicFertiliser(G21,H21)</f>
        <v>2500</v>
      </c>
    </row>
    <row r="22" spans="1:10" ht="20.100000000000001" customHeight="1" x14ac:dyDescent="0.25">
      <c r="D22" s="25" t="str">
        <v>Other organic fertiliser</v>
      </c>
      <c r="E22" s="25">
        <v>10</v>
      </c>
      <c r="F22" s="25">
        <v>1000</v>
      </c>
      <c r="G22" s="25">
        <v>10000</v>
      </c>
      <c r="H22" s="25">
        <v>0.16</v>
      </c>
      <c r="I22" s="25" cm="1">
        <f t="array" ref="I22">Fertiliser_Equations_Organic.VEERG_5_2_1_1__2_MassOfNitrogenInOrganicFertiliser(G22,H22)</f>
        <v>1600</v>
      </c>
    </row>
    <row r="23" spans="1:10" ht="20.100000000000001" customHeight="1" x14ac:dyDescent="0.25">
      <c r="D23" s="25"/>
      <c r="E23" s="25"/>
      <c r="F23" s="25"/>
      <c r="G23" s="25"/>
      <c r="H23" s="25"/>
      <c r="I23" s="25" cm="1">
        <f t="array" ref="I23">Fertiliser_Equations_Organic.VEERG_5_2_1_1__2_MassOfNitrogenInOrganicFertiliser(G23,H23)</f>
        <v>0</v>
      </c>
    </row>
    <row r="24" spans="1:10" ht="20.100000000000001" customHeight="1" x14ac:dyDescent="0.25">
      <c r="A24" s="6" t="s">
        <v>2</v>
      </c>
      <c r="D24" s="25"/>
      <c r="E24" s="25"/>
      <c r="F24" s="25"/>
      <c r="G24" s="25"/>
      <c r="H24" s="25"/>
      <c r="I24" s="25" cm="1">
        <f t="array" ref="I24">Fertiliser_Equations_Organic.VEERG_5_2_1_1__2_MassOfNitrogenInOrganicFertiliser(G24,H24)</f>
        <v>0</v>
      </c>
    </row>
    <row r="25" spans="1:10" ht="20.100000000000001" customHeight="1" x14ac:dyDescent="0.25">
      <c r="A25" s="5" t="str">
        <f>HYPERLINK("#'5.1.1.1-2 Inorganic fert N2O'!A1", "5.1.1.1-2 Inorganic fert N2O")</f>
        <v>5.1.1.1-2 Inorganic fert N2O</v>
      </c>
      <c r="D25" s="25"/>
      <c r="E25" s="25"/>
      <c r="F25" s="25"/>
      <c r="G25" s="25"/>
      <c r="H25" s="25"/>
      <c r="I25" s="25" cm="1">
        <f t="array" ref="I25">Fertiliser_Equations_Organic.VEERG_5_2_1_1__2_MassOfNitrogenInOrganicFertiliser(G25,H25)</f>
        <v>0</v>
      </c>
    </row>
    <row r="26" spans="1:10" ht="20.100000000000001" customHeight="1" x14ac:dyDescent="0.25">
      <c r="A26" s="5" t="str">
        <f>HYPERLINK("#'5.1.1.3-4 Inorganic fert CO2'!A1", "5.1.1.3-4 Inorganic fert CO2")</f>
        <v>5.1.1.3-4 Inorganic fert CO2</v>
      </c>
      <c r="D26" s="25"/>
      <c r="E26" s="25"/>
      <c r="F26" s="25"/>
      <c r="G26" s="25"/>
      <c r="H26" s="25"/>
      <c r="I26" s="25" cm="1">
        <f t="array" ref="I26">Fertiliser_Equations_Organic.VEERG_5_2_1_1__2_MassOfNitrogenInOrganicFertiliser(G26,H26)</f>
        <v>0</v>
      </c>
    </row>
    <row r="27" spans="1:10" ht="20.100000000000001" customHeight="1" x14ac:dyDescent="0.25">
      <c r="A27" s="142" t="str">
        <f>HYPERLINK("#'5.2.1.1-2 Organic Fert N2O'!A1", "5.2.1.1-2 Organic fert N2O")</f>
        <v>5.2.1.1-2 Organic fert N2O</v>
      </c>
      <c r="D27" s="25"/>
      <c r="E27" s="25"/>
      <c r="F27" s="25"/>
      <c r="G27" s="25"/>
      <c r="H27" s="25"/>
      <c r="I27" s="25" cm="1">
        <f t="array" ref="I27">Fertiliser_Equations_Organic.VEERG_5_2_1_1__2_MassOfNitrogenInOrganicFertiliser(G27,H27)</f>
        <v>0</v>
      </c>
    </row>
    <row r="28" spans="1:10" ht="20.100000000000001" customHeight="1" x14ac:dyDescent="0.25">
      <c r="A28" s="5" t="str">
        <f>HYPERLINK("#'5.3.1.1-2 Lime CO2'!A1", "5.3.1.1-2 Lime CO2")</f>
        <v>5.3.1.1-2 Lime CO2</v>
      </c>
      <c r="D28" s="25"/>
      <c r="E28" s="25"/>
      <c r="F28" s="25"/>
      <c r="G28" s="25"/>
      <c r="H28" s="25"/>
      <c r="I28" s="25" cm="1">
        <f t="array" ref="I28">Fertiliser_Equations_Organic.VEERG_5_2_1_1__2_MassOfNitrogenInOrganicFertiliser(G28,H28)</f>
        <v>0</v>
      </c>
    </row>
    <row r="29" spans="1:10" ht="20.100000000000001" customHeight="1" x14ac:dyDescent="0.25">
      <c r="A29" s="5" t="str">
        <f>HYPERLINK("#'5.4.1.1-4 Atmos deposition'!A1", "5.4.1.1-4 Atmos. deposition")</f>
        <v>5.4.1.1-4 Atmos. deposition</v>
      </c>
      <c r="D29" s="25"/>
      <c r="E29" s="25"/>
      <c r="F29" s="25"/>
      <c r="G29" s="25"/>
      <c r="H29" s="25"/>
      <c r="I29" s="25" cm="1">
        <f t="array" ref="I29">Fertiliser_Equations_Organic.VEERG_5_2_1_1__2_MassOfNitrogenInOrganicFertiliser(G29,H29)</f>
        <v>0</v>
      </c>
    </row>
    <row r="30" spans="1:10" ht="20.100000000000001" customHeight="1" x14ac:dyDescent="0.25">
      <c r="A30" s="5" t="str">
        <f>HYPERLINK("#'5.5.1.1-2 Leaching and runoff'!A1", "5.5.1.1-2 Leaching &amp; runoff")</f>
        <v>5.5.1.1-2 Leaching &amp; runoff</v>
      </c>
      <c r="D30" s="25"/>
      <c r="E30" s="25"/>
      <c r="F30" s="25"/>
      <c r="G30" s="25"/>
      <c r="H30" s="25"/>
      <c r="I30" s="25" cm="1">
        <f t="array" ref="I30">Fertiliser_Equations_Organic.VEERG_5_2_1_1__2_MassOfNitrogenInOrganicFertiliser(G30,H30)</f>
        <v>0</v>
      </c>
    </row>
    <row r="31" spans="1:10" ht="20.100000000000001" customHeight="1" x14ac:dyDescent="0.25">
      <c r="A31" s="5" t="str">
        <f>HYPERLINK("#'6.1.1.1-2 Crop residue N2O'!A1", "6.1.1.1-2 Crop residue N2O")</f>
        <v>6.1.1.1-2 Crop residue N2O</v>
      </c>
      <c r="D31" s="159"/>
      <c r="E31" s="159"/>
      <c r="F31" s="159"/>
      <c r="G31" s="159"/>
      <c r="H31" s="159"/>
      <c r="I31" s="159"/>
      <c r="J31" s="159"/>
    </row>
    <row r="32" spans="1:10" ht="20.100000000000001" customHeight="1" x14ac:dyDescent="0.25">
      <c r="A32" s="5" t="str">
        <f>HYPERLINK("#'6.3.1.1-2 Leach runoff crop'!A1", "6.3.1.1-2 Leach &amp; runoff (crop)")</f>
        <v>6.3.1.1-2 Leach &amp; runoff (crop)</v>
      </c>
      <c r="D32" s="160" t="s">
        <v>317</v>
      </c>
      <c r="E32" s="160">
        <f>SUM(I20:I30)</f>
        <v>7100</v>
      </c>
      <c r="F32" s="161" t="str">
        <f>$E$11</f>
        <v>kg N</v>
      </c>
      <c r="G32" s="159"/>
      <c r="H32" s="159"/>
      <c r="I32" s="159"/>
      <c r="J32" s="159"/>
    </row>
    <row r="33" spans="1:12" ht="20.100000000000001" customHeight="1" x14ac:dyDescent="0.25">
      <c r="A33" s="5" t="str">
        <f>HYPERLINK("#'6.4.1.1-2 Residue burning'!A1", "6.4.1.1-2 Residue burning")</f>
        <v>6.4.1.1-2 Residue burning</v>
      </c>
    </row>
    <row r="34" spans="1:12" ht="20.100000000000001" customHeight="1" x14ac:dyDescent="0.25">
      <c r="A34" s="5" t="str">
        <f>HYPERLINK("#'8.1.1.1-2 Transport fuel'!A1", "8.1.1.1-2 Transport fuel")</f>
        <v>8.1.1.1-2 Transport fuel</v>
      </c>
    </row>
    <row r="35" spans="1:12" ht="20.100000000000001" customHeight="1" x14ac:dyDescent="0.25">
      <c r="A35" s="5" t="str">
        <f>HYPERLINK("#'8.2.1.1-2 Stationary fuel'!A1", "8.2.1.1-2 Stationary fuel")</f>
        <v>8.2.1.1-2 Stationary fuel</v>
      </c>
      <c r="C35" s="162"/>
      <c r="D35" s="162"/>
      <c r="E35" s="162"/>
      <c r="F35" s="162"/>
      <c r="G35" s="162"/>
      <c r="H35" s="162"/>
      <c r="I35" s="162"/>
      <c r="J35" s="162"/>
      <c r="K35" s="162"/>
      <c r="L35" s="162"/>
    </row>
    <row r="36" spans="1:12" ht="20.100000000000001" customHeight="1" x14ac:dyDescent="0.25">
      <c r="A36" s="5" t="str">
        <f>HYPERLINK("#'14.1.1-2 Purchased electricity'!A1", "14.1.1-2 Purchased electricity")</f>
        <v>14.1.1-2 Purchased electricity</v>
      </c>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s="5" t="str">
        <f>HYPERLINK("#'15 Scope 3'!A1", "15 Scope 3")</f>
        <v>15 Scope 3</v>
      </c>
      <c r="D37" s="27" t="str" cm="1">
        <f t="array" ref="D37">Fertiliser_Equations_OrganicN2O.VEERG_5_2_1_1__1_OrganicFertiliserApplicationN2OEmissions_Source()</f>
        <v>VEERG 2026: 5.2.1.1, Equation (1)</v>
      </c>
    </row>
    <row r="38" spans="1:12" ht="20.100000000000001" customHeight="1" x14ac:dyDescent="0.25">
      <c r="A38" s="5" t="str">
        <f>HYPERLINK("#'Calcs - Manure sent off-site'!A1", "Calcs - Manure sent off-site")</f>
        <v>Calcs - Manure sent off-site</v>
      </c>
      <c r="D38" s="133" t="s">
        <v>267</v>
      </c>
      <c r="E38" s="133" t="str" cm="1">
        <f t="array" aca="1" ref="E38" ca="1">Common_InputFunctions.Utility_DisplayFunctionName($I$20)</f>
        <v>=Fertiliser_Equations_OrganicN2O.VEERG_5_2_1_1__2_MassOfNitrogenInOrganicFertiliser</v>
      </c>
    </row>
    <row r="39" spans="1:12" ht="20.100000000000001" customHeight="1" x14ac:dyDescent="0.25">
      <c r="A39" s="5" t="str">
        <f>HYPERLINK("#'10.1.1-2 Solid waste treatment'!A1", "10.1.1-2 Solid waste treatment")</f>
        <v>10.1.1-2 Solid waste treatment</v>
      </c>
    </row>
    <row r="40" spans="1:12" ht="20.100000000000001" customHeight="1" x14ac:dyDescent="0.25"/>
    <row r="41" spans="1:12" ht="20.100000000000001" customHeight="1" x14ac:dyDescent="0.25">
      <c r="D41" s="88" t="s">
        <v>268</v>
      </c>
      <c r="E41" s="1" t="str" cm="1">
        <f t="array" ref="E41">Fertiliser_Equations_OrganicN2O.VEERG_5_2_1_1__1_OrganicFertiliserApplicationN2OEmissions_Variable()</f>
        <v>E_N2O</v>
      </c>
    </row>
    <row r="42" spans="1:12" ht="20.100000000000001" customHeight="1" x14ac:dyDescent="0.25">
      <c r="A42" s="108" t="s">
        <v>1</v>
      </c>
      <c r="D42" s="88" t="s">
        <v>121</v>
      </c>
      <c r="E42" s="15" t="str" cm="1">
        <f t="array" ref="E42">Fertiliser_Equations_OrganicN2O.VEERG_5_2_1_1__1_OrganicFertiliserApplicationN2OEmissions_Unit()</f>
        <v>t N2O</v>
      </c>
    </row>
    <row r="43" spans="1:12" ht="20.100000000000001" customHeight="1" x14ac:dyDescent="0.25">
      <c r="A43" s="5" t="str">
        <f>HYPERLINK("#'Constants - Ag Residue'!A1", "Constants - Ag residue")</f>
        <v>Constants - Ag residue</v>
      </c>
    </row>
    <row r="44" spans="1:12" ht="20.100000000000001" customHeight="1" x14ac:dyDescent="0.25">
      <c r="A44" s="5" t="str">
        <f>HYPERLINK("#'Constants - Common Livestock'!A1", "Constants - Common Livestock")</f>
        <v>Constants - Common Livestock</v>
      </c>
      <c r="D44" s="155" t="str" cm="1">
        <f t="array" ref="D44:E48">_xlfn.CHOOSECOLS(Fertiliser_Equations_OrganicN2O.VEERG_5_2_1_1__1_OrganicFertiliserApplicationN2OEmissions_Arguments(), 1, 2)</f>
        <v>MNSoil_jf</v>
      </c>
      <c r="E44" s="163" t="str">
        <v>mass of nitrogen in organic fertiliser type f applied to production system j</v>
      </c>
      <c r="F44" s="164"/>
      <c r="G44" s="164"/>
      <c r="H44" s="165"/>
      <c r="I44" s="155" t="str" cm="1">
        <f t="array" ref="I44:J48">_xlfn.CHOOSECOLS(Fertiliser_Equations_OrganicN2O.VEERG_5_2_1_1__1_OrganicFertiliserApplicationN2OEmissions_Arguments(), 3,4)</f>
        <v>kg N</v>
      </c>
      <c r="J44" s="138" t="str">
        <v>Calculated from 5.2.1.1 (2)</v>
      </c>
      <c r="K44" s="155">
        <f>$E$32</f>
        <v>7100</v>
      </c>
    </row>
    <row r="45" spans="1:12" ht="20.100000000000001" customHeight="1" x14ac:dyDescent="0.25">
      <c r="A45" s="5" t="str">
        <f>HYPERLINK("#'Constants - Electricity'!A1", "Constants - Electricity")</f>
        <v>Constants - Electricity</v>
      </c>
      <c r="D45" s="155" t="str">
        <v>EF_N2Oi</v>
      </c>
      <c r="E45" s="163" t="str">
        <v>emission factor for direct nitrous oxide emissions from organic fertiliser applied to soils and aquatic systems in climate zone i</v>
      </c>
      <c r="F45" s="164"/>
      <c r="G45" s="164"/>
      <c r="H45" s="165"/>
      <c r="I45" s="155" t="str">
        <v>kg N2O-N/kg N</v>
      </c>
      <c r="J45" s="138" t="str">
        <v>Lookup</v>
      </c>
      <c r="K45" s="155">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A46" s="5" t="str">
        <f>HYPERLINK("#'Constants - Fertiliser'!A1", "Constants - Fertiliser")</f>
        <v>Constants - Fertiliser</v>
      </c>
      <c r="D46" s="155" t="str">
        <v>C_N2O</v>
      </c>
      <c r="E46" s="163" t="str">
        <v>factor to convert elemental mass of nitrous oxide to molecular mass</v>
      </c>
      <c r="F46" s="164"/>
      <c r="G46" s="164"/>
      <c r="H46" s="165"/>
      <c r="I46" s="155" t="str">
        <v/>
      </c>
      <c r="J46" s="138" t="str">
        <v>Constant</v>
      </c>
      <c r="K46" s="134">
        <f>Common_InputFunctions.Utility_LookupValueInTableNumber("N2O",Table_GasToMolecularConversionFactor[Gas],Table_GasToMolecularConversionFactor[Conversion factor combined])</f>
        <v>1.5714285714285714</v>
      </c>
    </row>
    <row r="47" spans="1:12" ht="20.100000000000001" customHeight="1" x14ac:dyDescent="0.25">
      <c r="A47" s="5" t="str">
        <f>HYPERLINK("#'Constants - Fuel'!A1", "Constants - Fuel")</f>
        <v>Constants - Fuel</v>
      </c>
      <c r="D47" s="155" t="str">
        <v>j</v>
      </c>
      <c r="E47" s="163" t="str">
        <v>Production system</v>
      </c>
      <c r="F47" s="164"/>
      <c r="G47" s="164"/>
      <c r="H47" s="165"/>
      <c r="I47" s="155" t="str">
        <v/>
      </c>
      <c r="J47" s="137" t="str">
        <v>Input</v>
      </c>
      <c r="K47" s="155" t="str">
        <f>X_Cell_Fertiliser_ProductionSystem</f>
        <v>Crop</v>
      </c>
    </row>
    <row r="48" spans="1:12" ht="20.100000000000001" customHeight="1" x14ac:dyDescent="0.25">
      <c r="A48" s="5" t="str">
        <f>HYPERLINK("#'Constants - Scope 3'!A1", "Constants - Scope 3")</f>
        <v>Constants - Scope 3</v>
      </c>
      <c r="D48" s="155" t="str">
        <v>i</v>
      </c>
      <c r="E48" s="163" t="str">
        <v>Wet or dry climate zone</v>
      </c>
      <c r="F48" s="164"/>
      <c r="G48" s="164"/>
      <c r="H48" s="165"/>
      <c r="I48" s="155" t="str">
        <v/>
      </c>
      <c r="J48" s="137" t="str">
        <v>Input</v>
      </c>
      <c r="K48" s="155" t="str">
        <f>X_Cell_Site_WetOrDryClimateZone</f>
        <v>Dry climate zone</v>
      </c>
    </row>
    <row r="49" spans="1:7" ht="20.100000000000001" customHeight="1" x14ac:dyDescent="0.25">
      <c r="A49" s="5" t="str">
        <f>HYPERLINK("#'Constants - Common'!A1", "Constants - Common")</f>
        <v>Constants - Common</v>
      </c>
    </row>
    <row r="50" spans="1:7" ht="20.100000000000001" customHeight="1" x14ac:dyDescent="0.25">
      <c r="A50" s="5" t="str">
        <f>HYPERLINK("#'Constants - Solid Waste'!A1", "Constants - Solid Waste")</f>
        <v>Constants - Solid Waste</v>
      </c>
      <c r="D50" s="150" t="s">
        <v>297</v>
      </c>
      <c r="E50" s="151" cm="1">
        <f t="array" ref="E50">Fertiliser_Equations_OrganicN2O.VEERG_5_2_1_1__1_OrganicFertiliserApplicationN2OEmissions(K44,K45,K46)</f>
        <v>5.5785714285714286E-2</v>
      </c>
      <c r="F50" s="152" t="str">
        <f>$E$42</f>
        <v>t N2O</v>
      </c>
    </row>
    <row r="51" spans="1:7" ht="20.100000000000001" customHeight="1" x14ac:dyDescent="0.25"/>
    <row r="52" spans="1:7" ht="20.100000000000001" customHeight="1" x14ac:dyDescent="0.25">
      <c r="D52" s="134" t="str" cm="1">
        <f t="array" ref="D52:E53">Common_Equations.Common_ConvertN2OToCO2e_Arguments()</f>
        <v>EN2O</v>
      </c>
      <c r="E52" s="135" t="str">
        <v>Nitrous oxide emissions (t N2O)</v>
      </c>
      <c r="F52" s="153"/>
      <c r="G52" s="25">
        <f>VEERG_5_2_1_1__2_MassOfNitrogenInOrganicFertiliser_Result_Method1</f>
        <v>5.5785714285714286E-2</v>
      </c>
    </row>
    <row r="53" spans="1:7" ht="20.100000000000001" customHeight="1" x14ac:dyDescent="0.25">
      <c r="D53" s="134" t="str">
        <v>GWPN2O</v>
      </c>
      <c r="E53" s="135" t="str">
        <v>Global warming potential for nitrous oxide (t CO2-e / t N2O)</v>
      </c>
      <c r="F53" s="153"/>
      <c r="G53" s="25">
        <f>Common_InputFunctions.Utility_LookupValueInTableNumber("N2O",Table_GWPData[Gas],Table_GWPData[CO2-e factor])</f>
        <v>265</v>
      </c>
    </row>
    <row r="54" spans="1:7" ht="20.100000000000001" customHeight="1" x14ac:dyDescent="0.25"/>
    <row r="55" spans="1:7" ht="20.100000000000001" customHeight="1" x14ac:dyDescent="0.25">
      <c r="D55" s="147" t="s">
        <v>299</v>
      </c>
      <c r="E55" s="147" cm="1">
        <f t="array" ref="E55">Common_Equations.Common_ConvertN2OToCO2e(G52,G53)</f>
        <v>14.783214285714285</v>
      </c>
      <c r="F55" s="154" t="str" cm="1">
        <f t="array" ref="F55">Common_Equations.Common_ConvertN2OToCO2e_Unit()</f>
        <v>t CO2e</v>
      </c>
    </row>
    <row r="56" spans="1:7" ht="20.100000000000001" customHeight="1" x14ac:dyDescent="0.25"/>
    <row r="57" spans="1:7" ht="20.100000000000001" customHeight="1" x14ac:dyDescent="0.25"/>
    <row r="58" spans="1:7" ht="20.100000000000001" customHeight="1" x14ac:dyDescent="0.25"/>
    <row r="59" spans="1:7" ht="20.100000000000001" customHeight="1" x14ac:dyDescent="0.25"/>
    <row r="60" spans="1:7" ht="20.100000000000001" customHeight="1" x14ac:dyDescent="0.25"/>
    <row r="61" spans="1:7" ht="20.100000000000001" customHeight="1" x14ac:dyDescent="0.25"/>
    <row r="62" spans="1:7" ht="20.100000000000001" customHeight="1" x14ac:dyDescent="0.25"/>
    <row r="63" spans="1:7" ht="20.100000000000001" customHeight="1" x14ac:dyDescent="0.25"/>
    <row r="64" spans="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774901-BF2A-4877-B399-F1BABB14D375}">
  <dimension ref="A1:U165"/>
  <sheetViews>
    <sheetView showGridLines="0" topLeftCell="A9" workbookViewId="0" zoomScale="100" zoomScaleNormal="100">
      <selection activeCell="A50" sqref="A50"/>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318</v>
      </c>
    </row>
    <row r="2" spans="1:21" s="3" customFormat="1" ht="20.100000000000001" customHeight="1" x14ac:dyDescent="0.25">
      <c r="A2"/>
    </row>
    <row r="3" spans="1:21" ht="20.100000000000001" customHeight="1" x14ac:dyDescent="0.25">
      <c r="A3" s="5" t="str">
        <f>HYPERLINK("#'Home'!A1", "Home")</f>
        <v>Home</v>
      </c>
      <c r="C3" s="33"/>
      <c r="D3" s="33" t="s">
        <v>135</v>
      </c>
      <c r="E3" s="33"/>
      <c r="F3" s="33"/>
      <c r="G3" s="33"/>
      <c r="H3" s="33"/>
      <c r="I3" s="33"/>
      <c r="J3" s="33"/>
      <c r="K3" s="33"/>
      <c r="L3" s="33"/>
      <c r="N3" s="33"/>
      <c r="O3" s="33" t="s">
        <v>136</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Fertiliser_Equations_Lime.VEERG_5_3_1_1__1_LimeApplicationCO2Emissions_Title()</f>
        <v>Emissions from the application of lime and dolomite to production systems</v>
      </c>
    </row>
    <row r="6" spans="1:21" ht="20.100000000000001" customHeight="1" x14ac:dyDescent="0.25">
      <c r="D6" s="27" t="str" cm="1">
        <f t="array" ref="D6">Fertiliser_Equations_Lime.VEERG_5_3_1_1__1_LimeApplicationCO2Emissions_Source()</f>
        <v>VEERG 2026: 5.3.1.1, Equation (1)</v>
      </c>
    </row>
    <row r="7" spans="1:21" ht="20.100000000000001" customHeight="1" x14ac:dyDescent="0.25">
      <c r="D7" s="133" t="s">
        <v>267</v>
      </c>
      <c r="E7" s="133" t="str" cm="1">
        <f t="array" aca="1" ref="E7" ca="1">Common_InputFunctions.Utility_DisplayFunctionName(H25)</f>
        <v>=Fertiliser_Equations_Lime.VEERG_5_3_1_1__1_LimeApplicationCO2Emissions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268</v>
      </c>
      <c r="E10" s="1" t="str" cm="1">
        <f t="array" ref="E10">Fertiliser_Equations_Lime.VEERG_5_3_1_1__1_LimeApplicationCO2Emissions_Variable()</f>
        <v>E_lime</v>
      </c>
    </row>
    <row r="11" spans="1:21" ht="20.100000000000001" customHeight="1" x14ac:dyDescent="0.25">
      <c r="A11" s="5" t="str">
        <f>HYPERLINK("#'Input - Crop'!A1", "Crop")</f>
        <v>Crop</v>
      </c>
      <c r="D11" s="88" t="s">
        <v>121</v>
      </c>
      <c r="E11" s="15" t="str" cm="1">
        <f t="array" ref="E11">Fertiliser_Equations_Lime.VEERG_5_3_1_1__1_LimeApplicationCO2Emissions_Unit()</f>
        <v>t CO2</v>
      </c>
    </row>
    <row r="12" spans="1:21" ht="20.100000000000001" customHeight="1" x14ac:dyDescent="0.25">
      <c r="A12" s="5" t="str">
        <f>HYPERLINK("#'Input - Fert Prod System'!A1", "Fert Prod System")</f>
        <v>Fert Prod System</v>
      </c>
    </row>
    <row r="13" spans="1:21" ht="20.100000000000001" customHeight="1" x14ac:dyDescent="0.25">
      <c r="A13" s="5" t="str">
        <f>HYPERLINK("#'Input - Fertiliser'!A1", "Fertiliser")</f>
        <v>Fertiliser</v>
      </c>
      <c r="D13" s="155" t="str" cm="1">
        <f t="array" ref="D13:E20">_xlfn.CHOOSECOLS(Fertiliser_Equations_Lime.VEERG_5_3_1_1__1_LimeApplicationCO2Emissions_Arguments(), 1, 2)</f>
        <v>M_lime</v>
      </c>
      <c r="E13" s="163" t="str">
        <v>total mass of lime applied to production system</v>
      </c>
      <c r="F13" s="165"/>
      <c r="G13" s="155" t="str" cm="1">
        <f t="array" ref="G13:H20">_xlfn.CHOOSECOLS(Fertiliser_Equations_Lime.VEERG_5_3_1_1__1_LimeApplicationCO2Emissions_Arguments(), 3,4)</f>
        <v>kg</v>
      </c>
      <c r="H13" s="137" t="str">
        <v>Input</v>
      </c>
      <c r="I13" s="141" t="str" cm="1">
        <f t="array" aca="1" ref="I13" ca="1">HYPERLINK(Common_InputFunctions.Utility_SourceHyperlink($D$22), $D$22)</f>
        <v>Table_E_lime</v>
      </c>
    </row>
    <row r="14" spans="1:21" ht="20.100000000000001" customHeight="1" x14ac:dyDescent="0.25">
      <c r="A14" s="5" t="str">
        <f>HYPERLINK("#'Input - Fuel'!A1", "Fuel")</f>
        <v>Fuel</v>
      </c>
      <c r="D14" s="155" t="str">
        <v>FracLime</v>
      </c>
      <c r="E14" s="163" t="str">
        <v>fraction of lime as limestone (CaCO3)</v>
      </c>
      <c r="F14" s="165"/>
      <c r="G14" s="155" t="str">
        <v>fraction</v>
      </c>
      <c r="H14" s="137" t="str">
        <v>Input</v>
      </c>
      <c r="I14" s="141" t="str" cm="1">
        <f t="array" aca="1" ref="I14" ca="1">HYPERLINK(Common_InputFunctions.Utility_SourceHyperlink($D$22), $D$22)</f>
        <v>Table_E_lime</v>
      </c>
    </row>
    <row r="15" spans="1:21" ht="20.100000000000001" customHeight="1" x14ac:dyDescent="0.25">
      <c r="A15" s="5" t="str">
        <f>HYPERLINK("#'Input - Electricity'!A1", "Electricity")</f>
        <v>Electricity</v>
      </c>
      <c r="D15" s="155" t="str">
        <v>P_lime</v>
      </c>
      <c r="E15" s="163" t="str">
        <v>fractional purity of limestone</v>
      </c>
      <c r="F15" s="165"/>
      <c r="G15" s="155" t="str">
        <v>fraction</v>
      </c>
      <c r="H15" s="138" t="str">
        <v>Constant</v>
      </c>
      <c r="I15" s="155">
        <f>'Constants - Fertiliser'!$E$66</f>
        <v>0.9</v>
      </c>
    </row>
    <row r="16" spans="1:21" ht="20.100000000000001" customHeight="1" x14ac:dyDescent="0.25">
      <c r="A16" s="5" t="str">
        <f>HYPERLINK("#'Input - Common farm inputs'!A1", "Common farm inputs")</f>
        <v>Common farm inputs</v>
      </c>
      <c r="D16" s="155" t="str">
        <v>EF_lime</v>
      </c>
      <c r="E16" s="163" t="str">
        <v>emission factor for limestone fraction of lime</v>
      </c>
      <c r="F16" s="165"/>
      <c r="G16" s="155" t="str">
        <v>kg C/kg</v>
      </c>
      <c r="H16" s="138" t="str">
        <v>Constant</v>
      </c>
      <c r="I16" s="155">
        <f>'Constants - Fertiliser'!$F$66</f>
        <v>0.12</v>
      </c>
    </row>
    <row r="17" spans="1:9" ht="20.100000000000001" customHeight="1" x14ac:dyDescent="0.25">
      <c r="A17" s="5" t="str">
        <f>HYPERLINK("#'Input - Crop pasture farm input'!A1", "Crop pasture farm input")</f>
        <v>Crop pasture farm input</v>
      </c>
      <c r="D17" s="155" t="str">
        <v>FracDol</v>
      </c>
      <c r="E17" s="163" t="str">
        <v>fraction of lime as dolomite</v>
      </c>
      <c r="F17" s="165"/>
      <c r="G17" s="155" t="str">
        <v>fraction</v>
      </c>
      <c r="H17" s="137" t="str">
        <v>Input</v>
      </c>
      <c r="I17" s="141" t="str" cm="1">
        <f t="array" aca="1" ref="I17" ca="1">HYPERLINK(Common_InputFunctions.Utility_SourceHyperlink($D$22), $D$22)</f>
        <v>Table_E_lime</v>
      </c>
    </row>
    <row r="18" spans="1:9" ht="20.100000000000001" customHeight="1" x14ac:dyDescent="0.25">
      <c r="A18" s="5" t="str">
        <f>HYPERLINK("#'Input - Freight'!A1", "Freight")</f>
        <v>Freight</v>
      </c>
      <c r="D18" s="155" t="str">
        <v>P_dol</v>
      </c>
      <c r="E18" s="163" t="str">
        <v>fractional purity of dolomite</v>
      </c>
      <c r="F18" s="165"/>
      <c r="G18" s="155" t="str">
        <v>fraction</v>
      </c>
      <c r="H18" s="138" t="str">
        <v>Constant</v>
      </c>
      <c r="I18" s="155">
        <f>'Constants - Fertiliser'!$E$67</f>
        <v>0.95</v>
      </c>
    </row>
    <row r="19" spans="1:9" ht="20.100000000000001" customHeight="1" x14ac:dyDescent="0.25">
      <c r="A19" s="5" t="str">
        <f>HYPERLINK("#'Input - Manure sent off-site'!A1", "Manure sent off-site")</f>
        <v>Manure sent off-site</v>
      </c>
      <c r="D19" s="155" t="str">
        <v>EF_dol</v>
      </c>
      <c r="E19" s="163" t="str">
        <v>emission factor for dolomite fraction of lime</v>
      </c>
      <c r="F19" s="165"/>
      <c r="G19" s="155" t="str">
        <v>kg C/kg</v>
      </c>
      <c r="H19" s="138" t="str">
        <v>Constant</v>
      </c>
      <c r="I19" s="155">
        <f>'Constants - Fertiliser'!$F$67</f>
        <v>0.13</v>
      </c>
    </row>
    <row r="20" spans="1:9" ht="20.100000000000001" customHeight="1" x14ac:dyDescent="0.25">
      <c r="A20" s="5" t="str">
        <f>HYPERLINK("#'Input - Solid waste'!A1", "Solid waste")</f>
        <v>Solid waste</v>
      </c>
      <c r="D20" s="155" t="str">
        <v>C_CO2</v>
      </c>
      <c r="E20" s="163" t="str">
        <v>factor to convert elemental mass of carbon dioxide to molecular mass</v>
      </c>
      <c r="F20" s="165"/>
      <c r="G20" s="155" t="str">
        <v/>
      </c>
      <c r="H20" s="138" t="str">
        <v>Constant</v>
      </c>
      <c r="I20" s="134">
        <f>Common_InputFunctions.Utility_LookupValueInTableNumber("CO2",Table_GasToMolecularConversionFactor[Gas], Table_GasToMolecularConversionFactor[Conversion factor combined])</f>
        <v>3.6666666666666665</v>
      </c>
    </row>
    <row r="21" spans="1:9" ht="20.100000000000001" customHeight="1" x14ac:dyDescent="0.25">
      <c r="A21" s="5" t="str">
        <f>HYPERLINK("#'Input - Data quality'!A1", "Data quality")</f>
        <v>Data quality</v>
      </c>
    </row>
    <row r="22" spans="1:9" ht="20.100000000000001" customHeight="1" x14ac:dyDescent="0.25">
      <c r="D22" s="144" t="s">
        <v>319</v>
      </c>
    </row>
    <row r="23" spans="1:9" ht="20.100000000000001" customHeight="1" x14ac:dyDescent="0.25">
      <c r="D23" s="145" t="s">
        <v>245</v>
      </c>
    </row>
    <row r="24" spans="1:9" ht="20.100000000000001" customHeight="1" x14ac:dyDescent="0.25">
      <c r="A24" s="6" t="s">
        <v>2</v>
      </c>
      <c r="D24" s="92" t="s">
        <v>320</v>
      </c>
      <c r="E24" s="92" t="s">
        <v>321</v>
      </c>
      <c r="F24" s="92" t="s">
        <v>322</v>
      </c>
      <c r="G24" s="92" t="s">
        <v>323</v>
      </c>
      <c r="H24" s="146" t="s">
        <v>324</v>
      </c>
    </row>
    <row r="25" spans="1:9" ht="20.100000000000001" customHeight="1" x14ac:dyDescent="0.25">
      <c r="A25" s="5" t="str">
        <f>HYPERLINK("#'5.1.1.1-2 Inorganic fert N2O'!A1", "5.1.1.1-2 Inorganic fert N2O")</f>
        <v>5.1.1.1-2 Inorganic fert N2O</v>
      </c>
      <c r="D25" s="25" t="str" cm="1">
        <f t="array" ref="D25:D27">Table_Input_Lime[Product]</f>
        <v>Lime product 1</v>
      </c>
      <c r="E25" s="166" cm="1">
        <f t="array" ref="E25:E27">Table_Input_Lime[Total amount applied (t)]*10^3</f>
        <v>1000000</v>
      </c>
      <c r="F25" s="167" cm="1">
        <f t="array" ref="F25:F27">Table_Input_Lime[Percent Lime CaCO3]</f>
        <v>0.8</v>
      </c>
      <c r="G25" s="167" cm="1">
        <f t="array" ref="G25:G27">Table_Input_Lime[Percent Dolomite CaMg(CO3)2]</f>
        <v>0.1</v>
      </c>
      <c r="H25" s="25" cm="1">
        <f t="array" ref="H25">Fertiliser_Equations_Lime.VEERG_5_3_1_1__1_LimeApplicationCO2Emissions(E25,F25,$I$15,$I$16,G25,$I$18,$I$19,$I$20)</f>
        <v>362.08333333333331</v>
      </c>
    </row>
    <row r="26" spans="1:9" ht="20.100000000000001" customHeight="1" x14ac:dyDescent="0.25">
      <c r="A26" s="5" t="str">
        <f>HYPERLINK("#'5.1.1.3-4 Inorganic fert CO2'!A1", "5.1.1.3-4 Inorganic fert CO2")</f>
        <v>5.1.1.3-4 Inorganic fert CO2</v>
      </c>
      <c r="D26" s="25" t="str">
        <v>Lime product 2</v>
      </c>
      <c r="E26" s="25">
        <v>1000000</v>
      </c>
      <c r="F26" s="25">
        <v>1</v>
      </c>
      <c r="G26" s="25">
        <v>0</v>
      </c>
      <c r="H26" s="25" cm="1">
        <f t="array" ref="H26">Fertiliser_Equations_Lime.VEERG_5_3_1_1__1_LimeApplicationCO2Emissions(E26,F26,$I$15,$I$16,G26,$I$18,$I$19,$I$20)</f>
        <v>396</v>
      </c>
    </row>
    <row r="27" spans="1:9" ht="20.100000000000001" customHeight="1" x14ac:dyDescent="0.25">
      <c r="A27" s="5" t="str">
        <f>HYPERLINK("#'5.2.1.1-2 Organic Fert N2O'!A1", "5.2.1.1-2 Organic fert N2O")</f>
        <v>5.2.1.1-2 Organic fert N2O</v>
      </c>
      <c r="D27" s="25" t="str">
        <v>Lime product 3</v>
      </c>
      <c r="E27" s="25">
        <v>1000000</v>
      </c>
      <c r="F27" s="25">
        <v>0</v>
      </c>
      <c r="G27" s="25">
        <v>0</v>
      </c>
      <c r="H27" s="25" cm="1">
        <f t="array" ref="H27">Fertiliser_Equations_Lime.VEERG_5_3_1_1__1_LimeApplicationCO2Emissions(E27,F27,$I$15,$I$16,G27,$I$18,$I$19,$I$20)</f>
        <v>0</v>
      </c>
    </row>
    <row r="28" spans="1:9" ht="20.100000000000001" customHeight="1" x14ac:dyDescent="0.25">
      <c r="A28" s="142" t="str">
        <f>HYPERLINK("#'5.3.1.1-2 Lime CO2'!A1", "5.3.1.1-2 Lime CO2")</f>
        <v>5.3.1.1-2 Lime CO2</v>
      </c>
      <c r="D28" s="25"/>
      <c r="E28" s="25"/>
      <c r="F28" s="25"/>
      <c r="G28" s="25"/>
      <c r="H28" s="25" cm="1">
        <f t="array" ref="H28">Fertiliser_Equations_Lime.VEERG_5_3_1_1__1_LimeApplicationCO2Emissions(E28,F28,$I$15,$I$16,G28,$I$18,$I$19,$I$20)</f>
        <v>0</v>
      </c>
    </row>
    <row r="29" spans="1:9" ht="20.100000000000001" customHeight="1" x14ac:dyDescent="0.25">
      <c r="A29" s="5" t="str">
        <f>HYPERLINK("#'5.4.1.1-4 Atmos deposition'!A1", "5.4.1.1-4 Atmos. deposition")</f>
        <v>5.4.1.1-4 Atmos. deposition</v>
      </c>
      <c r="D29" s="25"/>
      <c r="E29" s="25"/>
      <c r="F29" s="25"/>
      <c r="G29" s="25"/>
      <c r="H29" s="25" cm="1">
        <f t="array" ref="H29">Fertiliser_Equations_Lime.VEERG_5_3_1_1__1_LimeApplicationCO2Emissions(E29,F29,$I$15,$I$16,G29,$I$18,$I$19,$I$20)</f>
        <v>0</v>
      </c>
    </row>
    <row r="30" spans="1:9" ht="20.100000000000001" customHeight="1" x14ac:dyDescent="0.25">
      <c r="A30" s="5" t="str">
        <f>HYPERLINK("#'5.5.1.1-2 Leaching and runoff'!A1", "5.5.1.1-2 Leaching &amp; runoff")</f>
        <v>5.5.1.1-2 Leaching &amp; runoff</v>
      </c>
    </row>
    <row r="31" spans="1:9" ht="20.100000000000001" customHeight="1" x14ac:dyDescent="0.25">
      <c r="A31" s="5" t="str">
        <f>HYPERLINK("#'6.1.1.1-2 Crop residue N2O'!A1", "6.1.1.1-2 Crop residue N2O")</f>
        <v>6.1.1.1-2 Crop residue N2O</v>
      </c>
      <c r="D31" s="150" t="s">
        <v>325</v>
      </c>
      <c r="E31" s="151">
        <f>SUM(H25:H29)</f>
        <v>758.08333333333326</v>
      </c>
      <c r="F31" s="168" t="s">
        <v>131</v>
      </c>
    </row>
    <row r="32" spans="1:9" ht="20.100000000000001" customHeight="1" x14ac:dyDescent="0.25">
      <c r="A32" s="5" t="str">
        <f>HYPERLINK("#'6.3.1.1-2 Leach runoff crop'!A1", "6.3.1.1-2 Leach &amp; runoff (crop)")</f>
        <v>6.3.1.1-2 Leach &amp; runoff (crop)</v>
      </c>
    </row>
    <row r="33" spans="1:1" ht="20.100000000000001" customHeight="1" x14ac:dyDescent="0.25">
      <c r="A33" s="5" t="str">
        <f>HYPERLINK("#'6.4.1.1-2 Residue burning'!A1", "6.4.1.1-2 Residue burning")</f>
        <v>6.4.1.1-2 Residue burning</v>
      </c>
    </row>
    <row r="34" spans="1:1" ht="20.100000000000001" customHeight="1" x14ac:dyDescent="0.25">
      <c r="A34" s="5" t="str">
        <f>HYPERLINK("#'8.1.1.1-2 Transport fuel'!A1", "8.1.1.1-2 Transport fuel")</f>
        <v>8.1.1.1-2 Transport fuel</v>
      </c>
    </row>
    <row r="35" spans="1:1" ht="20.100000000000001" customHeight="1" x14ac:dyDescent="0.25">
      <c r="A35" s="5" t="str">
        <f>HYPERLINK("#'8.2.1.1-2 Stationary fuel'!A1", "8.2.1.1-2 Stationary fuel")</f>
        <v>8.2.1.1-2 Stationary fuel</v>
      </c>
    </row>
    <row r="36" spans="1:1" ht="20.100000000000001" customHeight="1" x14ac:dyDescent="0.25">
      <c r="A36" s="5" t="str">
        <f>HYPERLINK("#'14.1.1-2 Purchased electricity'!A1", "14.1.1-2 Purchased electricity")</f>
        <v>14.1.1-2 Purchased electricity</v>
      </c>
    </row>
    <row r="37" spans="1:1" ht="20.100000000000001" customHeight="1" x14ac:dyDescent="0.25">
      <c r="A37" s="5" t="str">
        <f>HYPERLINK("#'15 Scope 3'!A1", "15 Scope 3")</f>
        <v>15 Scope 3</v>
      </c>
    </row>
    <row r="38" spans="1:1" ht="20.100000000000001" customHeight="1" x14ac:dyDescent="0.25">
      <c r="A38" s="5" t="str">
        <f>HYPERLINK("#'Calcs - Manure sent off-site'!A1", "Calcs - Manure sent off-site")</f>
        <v>Calcs - Manure sent off-site</v>
      </c>
    </row>
    <row r="39" spans="1:1" ht="20.100000000000001" customHeight="1" x14ac:dyDescent="0.25">
      <c r="A39" s="5" t="str">
        <f>HYPERLINK("#'10.1.1-2 Solid waste treatment'!A1", "10.1.1-2 Solid waste treatment")</f>
        <v>10.1.1-2 Solid waste treatment</v>
      </c>
    </row>
    <row r="40" spans="1:1" ht="20.100000000000001" customHeight="1" x14ac:dyDescent="0.25"/>
    <row r="41" spans="1:1" ht="20.100000000000001" customHeight="1" x14ac:dyDescent="0.25"/>
    <row r="42" spans="1:1" ht="20.100000000000001" customHeight="1" x14ac:dyDescent="0.25">
      <c r="A42" s="108" t="s">
        <v>1</v>
      </c>
    </row>
    <row r="43" spans="1:1" ht="20.100000000000001" customHeight="1" x14ac:dyDescent="0.25">
      <c r="A43" s="5" t="str">
        <f>HYPERLINK("#'Constants - Ag Residue'!A1", "Constants - Ag residue")</f>
        <v>Constants - Ag residue</v>
      </c>
    </row>
    <row r="44" spans="1:1" ht="20.100000000000001" customHeight="1" x14ac:dyDescent="0.25">
      <c r="A44" s="5" t="str">
        <f>HYPERLINK("#'Constants - Common Livestock'!A1", "Constants - Common Livestock")</f>
        <v>Constants - Common Livestock</v>
      </c>
    </row>
    <row r="45" spans="1:1" ht="20.100000000000001" customHeight="1" x14ac:dyDescent="0.25">
      <c r="A45" s="5" t="str">
        <f>HYPERLINK("#'Constants - Electricity'!A1", "Constants - Electricity")</f>
        <v>Constants - Electricity</v>
      </c>
    </row>
    <row r="46" spans="1:1" ht="20.100000000000001" customHeight="1" x14ac:dyDescent="0.25">
      <c r="A46" s="5" t="str">
        <f>HYPERLINK("#'Constants - Fertiliser'!A1", "Constants - Fertiliser")</f>
        <v>Constants - Fertiliser</v>
      </c>
    </row>
    <row r="47" spans="1:1" ht="20.100000000000001" customHeight="1" x14ac:dyDescent="0.25">
      <c r="A47" s="5" t="str">
        <f>HYPERLINK("#'Constants - Fuel'!A1", "Constants - Fuel")</f>
        <v>Constants - Fuel</v>
      </c>
    </row>
    <row r="48" spans="1:1" ht="20.100000000000001" customHeight="1" x14ac:dyDescent="0.25">
      <c r="A48" s="5" t="str">
        <f>HYPERLINK("#'Constants - Scope 3'!A1", "Constants - Scope 3")</f>
        <v>Constants - Scope 3</v>
      </c>
    </row>
    <row r="49" spans="1:1" ht="20.100000000000001" customHeight="1" x14ac:dyDescent="0.25">
      <c r="A49" s="5" t="str">
        <f>HYPERLINK("#'Constants - Common'!A1", "Constants - Common")</f>
        <v>Constants - Common</v>
      </c>
    </row>
    <row r="50" spans="1:1" ht="20.100000000000001" customHeight="1" x14ac:dyDescent="0.25">
      <c r="A50" s="5" t="str">
        <f>HYPERLINK("#'Constants - Solid Waste'!A1", "Constants - Solid Waste")</f>
        <v>Constants - Solid Waste</v>
      </c>
    </row>
    <row r="51" spans="1:1" ht="20.100000000000001" customHeight="1" x14ac:dyDescent="0.25"/>
    <row r="52" spans="1:1" ht="20.100000000000001" customHeight="1" x14ac:dyDescent="0.25"/>
    <row r="53" spans="1:1" ht="20.100000000000001" customHeight="1" x14ac:dyDescent="0.25"/>
    <row r="54" spans="1:1" ht="20.100000000000001" customHeight="1" x14ac:dyDescent="0.25"/>
    <row r="55" spans="1:1" ht="20.100000000000001" customHeight="1" x14ac:dyDescent="0.25"/>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0986-5FB8-4E24-A55E-4B168AECF19D}">
  <dimension ref="A1:U165"/>
  <sheetViews>
    <sheetView showGridLines="0" topLeftCell="A107" workbookViewId="0" zoomScale="100" zoomScaleNormal="100">
      <selection activeCell="A50" sqref="A50"/>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326</v>
      </c>
    </row>
    <row r="2" spans="1:21" s="3" customFormat="1" ht="20.100000000000001" customHeight="1" x14ac:dyDescent="0.25">
      <c r="A2"/>
    </row>
    <row r="3" spans="1:21" ht="20.100000000000001" customHeight="1" x14ac:dyDescent="0.25">
      <c r="A3" s="5" t="str">
        <f>HYPERLINK("#'Home'!A1", "Home")</f>
        <v>Home</v>
      </c>
      <c r="C3" s="33"/>
      <c r="D3" s="33" t="s">
        <v>135</v>
      </c>
      <c r="E3" s="33"/>
      <c r="F3" s="33"/>
      <c r="G3" s="33"/>
      <c r="H3" s="33"/>
      <c r="I3" s="33"/>
      <c r="J3" s="33"/>
      <c r="K3" s="33"/>
      <c r="L3" s="33"/>
      <c r="N3" s="33"/>
      <c r="O3" s="33" t="s">
        <v>136</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27" t="str" cm="1">
        <f t="array" ref="D6">Fertiliser_Equations_AtmosphericDeposition.VEERG_5_4_1_1__2_MassOfNitrogenVolatilisedFromInorganicFertiliser_Source()</f>
        <v>VEERG 2026: 5.4.1.1, Equation (2)</v>
      </c>
    </row>
    <row r="7" spans="1:21" ht="20.100000000000001" customHeight="1" x14ac:dyDescent="0.25">
      <c r="D7" s="133" t="s">
        <v>267</v>
      </c>
      <c r="E7" s="133" t="str" cm="1">
        <f t="array" aca="1" ref="E7" ca="1">Common_InputFunctions.Utility_DisplayFunctionName(H19)</f>
        <v>=Fertiliser_Equations_AtmosphericDeposition.VEERG_5_4_1_1__2_MassOfNitrogenVolatilisedFromInorganicFertiliser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268</v>
      </c>
      <c r="E10" s="1" t="str" cm="1">
        <f t="array" ref="E10">Fertiliser_Equations_AtmosphericDeposition.VEERG_5_4_1_1__2_MassOfNitrogenVolatilisedFromInorganicFertiliser_Variable()</f>
        <v>M_volinorganicjf</v>
      </c>
    </row>
    <row r="11" spans="1:21" ht="20.100000000000001" customHeight="1" x14ac:dyDescent="0.25">
      <c r="A11" s="5" t="str">
        <f>HYPERLINK("#'Input - Crop'!A1", "Crop")</f>
        <v>Crop</v>
      </c>
      <c r="D11" s="88" t="s">
        <v>121</v>
      </c>
      <c r="E11" s="15" t="str" cm="1">
        <f t="array" ref="E11">Fertiliser_Equations_AtmosphericDeposition.VEERG_5_4_1_1__2_MassOfNitrogenVolatilisedFromInorganicFertiliser_Unit()</f>
        <v>kg N</v>
      </c>
    </row>
    <row r="12" spans="1:21" ht="20.100000000000001" customHeight="1" x14ac:dyDescent="0.25">
      <c r="A12" s="5" t="str">
        <f>HYPERLINK("#'Input - Fert Prod System'!A1", "Fert Prod System")</f>
        <v>Fert Prod System</v>
      </c>
    </row>
    <row r="13" spans="1:21" ht="20.100000000000001" customHeight="1" x14ac:dyDescent="0.25">
      <c r="A13" s="5" t="str">
        <f>HYPERLINK("#'Input - Fertiliser'!A1", "Fertiliser")</f>
        <v>Fertiliser</v>
      </c>
      <c r="D13" s="155" t="str" cm="1">
        <f t="array" ref="D13:E14">_xlfn.CHOOSECOLS(Fertiliser_Equations_AtmosphericDeposition.VEERG_5_4_1_1__2_MassOfNitrogenVolatilisedFromInorganicFertiliser_Arguments(), 1, 2)</f>
        <v>MN_jf</v>
      </c>
      <c r="E13" s="163" t="str">
        <v>mass of nitrogen in inorganic fertiliser applied</v>
      </c>
      <c r="F13" s="165"/>
      <c r="G13" s="155" t="str" cm="1">
        <f t="array" ref="G13:H14">_xlfn.CHOOSECOLS(Fertiliser_Equations_AtmosphericDeposition.VEERG_5_4_1_1__2_MassOfNitrogenVolatilisedFromInorganicFertiliser_Arguments(), 3,4)</f>
        <v>kg N</v>
      </c>
      <c r="H13" s="138" t="str">
        <v>Calculated from 5.1.1.1 (2)</v>
      </c>
      <c r="I13" s="141" t="str" cm="1">
        <f t="array" aca="1" ref="I13" ca="1">HYPERLINK(Common_InputFunctions.Utility_SourceHyperlink($D$16),$D$16)</f>
        <v>Table_M_vol_inorganic_j_f</v>
      </c>
    </row>
    <row r="14" spans="1:21" ht="20.100000000000001" customHeight="1" x14ac:dyDescent="0.25">
      <c r="A14" s="5" t="str">
        <f>HYPERLINK("#'Input - Fuel'!A1", "Fuel")</f>
        <v>Fuel</v>
      </c>
      <c r="D14" s="155" t="str">
        <v>FracGASF_f</v>
      </c>
      <c r="E14" s="163" t="str">
        <v>fraction of inorganic fertiliser that volatilises</v>
      </c>
      <c r="F14" s="165"/>
      <c r="G14" s="155" t="str">
        <v>(kg NH3-N + NOx-N)/kg N</v>
      </c>
      <c r="H14" s="138" t="str">
        <v>Constant</v>
      </c>
      <c r="I14" s="141" t="str" cm="1">
        <f t="array" aca="1" ref="I14" ca="1">HYPERLINK(Common_InputFunctions.Utility_SourceHyperlink($D$16),$D$16)</f>
        <v>Table_M_vol_inorganic_j_f</v>
      </c>
    </row>
    <row r="15" spans="1:21" ht="20.100000000000001" customHeight="1" x14ac:dyDescent="0.25">
      <c r="A15" s="5" t="str">
        <f>HYPERLINK("#'Input - Electricity'!A1", "Electricity")</f>
        <v>Electricity</v>
      </c>
    </row>
    <row r="16" spans="1:21" ht="20.100000000000001" customHeight="1" x14ac:dyDescent="0.25">
      <c r="A16" s="5" t="str">
        <f>HYPERLINK("#'Input - Common farm inputs'!A1", "Common farm inputs")</f>
        <v>Common farm inputs</v>
      </c>
      <c r="D16" s="144" t="s">
        <v>327</v>
      </c>
    </row>
    <row r="17" spans="1:8" ht="20.100000000000001" customHeight="1" x14ac:dyDescent="0.25">
      <c r="A17" s="5" t="str">
        <f>HYPERLINK("#'Input - Crop pasture farm input'!A1", "Crop pasture farm input")</f>
        <v>Crop pasture farm input</v>
      </c>
      <c r="D17" s="145" t="s">
        <v>328</v>
      </c>
    </row>
    <row r="18" spans="1:8" ht="20.100000000000001" customHeight="1" x14ac:dyDescent="0.25">
      <c r="A18" s="5" t="str">
        <f>HYPERLINK("#'Input - Freight'!A1", "Freight")</f>
        <v>Freight</v>
      </c>
      <c r="D18" s="146" t="s">
        <v>329</v>
      </c>
      <c r="E18" s="146" t="s">
        <v>330</v>
      </c>
      <c r="F18" s="146" t="s">
        <v>331</v>
      </c>
      <c r="G18" s="169" t="s">
        <v>332</v>
      </c>
      <c r="H18" s="169" t="s">
        <v>333</v>
      </c>
    </row>
    <row r="19" spans="1:8" ht="20.100000000000001" customHeight="1" x14ac:dyDescent="0.25">
      <c r="A19" s="5" t="str">
        <f>HYPERLINK("#'Input - Manure sent off-site'!A1", "Manure sent off-site")</f>
        <v>Manure sent off-site</v>
      </c>
      <c r="D19" s="25" t="str" cm="1">
        <f t="array" ref="D19:D37">Table_Fertiliser_ChemicalCompounds[Fertiliser type f]</f>
        <v>Monoammonium phosphate (MAP)</v>
      </c>
      <c r="E19" s="25">
        <f>INDEX(Table_MN_j_f,2,4)</f>
        <v>0</v>
      </c>
      <c r="F19" s="25" t="str" cm="1">
        <f t="array" ref="F19">Common_InputFunctions.Utility_LookupValueInTable(D19, Table_Fertiliser_ChemicalCompounds[Fertiliser type f],Table_Fertiliser_ChemicalCompounds[Basis])</f>
        <v>Ammonium-based fertilisers</v>
      </c>
      <c r="G19" s="25" cm="1">
        <f t="array" ref="G19">Common_InputFunctions.Utility_LookupValueInTableNumber(F19, Table_SourceData_Fertiliser_FracGASF[Fertiliser type f],Table_SourceData_Fertiliser_FracGASF[FracGASF f])</f>
        <v>0.08</v>
      </c>
      <c r="H19" s="25" cm="1">
        <f t="array" ref="H19">Fertiliser_Equations_AtmosphericDeposition.VEERG_5_4_1_1__2_MassOfNitrogenVolatilisedFromInorganicFertiliser(E19,G19)</f>
        <v>0</v>
      </c>
    </row>
    <row r="20" spans="1:8" ht="20.100000000000001" customHeight="1" x14ac:dyDescent="0.25">
      <c r="A20" s="5" t="str">
        <f>HYPERLINK("#'Input - Solid waste'!A1", "Solid waste")</f>
        <v>Solid waste</v>
      </c>
      <c r="D20" s="25" t="str">
        <v>Diammonium phosphate (DAP)</v>
      </c>
      <c r="E20" s="25">
        <f>INDEX(Table_MN_j_f,3,4)</f>
        <v>0</v>
      </c>
      <c r="F20" s="25" t="str" cm="1">
        <f t="array" ref="F20">Common_InputFunctions.Utility_LookupValueInTable(D20, Table_Fertiliser_ChemicalCompounds[Fertiliser type f],Table_Fertiliser_ChemicalCompounds[Basis])</f>
        <v>Ammonium-based fertilisers</v>
      </c>
      <c r="G20" s="25" cm="1">
        <f t="array" ref="G20">Common_InputFunctions.Utility_LookupValueInTableNumber(F20, Table_SourceData_Fertiliser_FracGASF[Fertiliser type f],Table_SourceData_Fertiliser_FracGASF[FracGASF f])</f>
        <v>0.08</v>
      </c>
      <c r="H20" s="25" cm="1">
        <f t="array" ref="H20">Fertiliser_Equations_AtmosphericDeposition.VEERG_5_4_1_1__2_MassOfNitrogenVolatilisedFromInorganicFertiliser(E20,G20)</f>
        <v>0</v>
      </c>
    </row>
    <row r="21" spans="1:8" ht="20.100000000000001" customHeight="1" x14ac:dyDescent="0.25">
      <c r="A21" s="5" t="str">
        <f>HYPERLINK("#'Input - Data quality'!A1", "Data quality")</f>
        <v>Data quality</v>
      </c>
      <c r="D21" s="25" t="str">
        <v>Urea</v>
      </c>
      <c r="E21" s="25">
        <f>INDEX(Table_MN_j_f,4,4)</f>
        <v>115999.99400000001</v>
      </c>
      <c r="F21" s="25" t="str" cm="1">
        <f t="array" ref="F21">Common_InputFunctions.Utility_LookupValueInTable(D21, Table_Fertiliser_ChemicalCompounds[Fertiliser type f],Table_Fertiliser_ChemicalCompounds[Basis])</f>
        <v>Urea-based fertilisers</v>
      </c>
      <c r="G21" s="25" cm="1">
        <f t="array" ref="G21">Common_InputFunctions.Utility_LookupValueInTableNumber(F21, Table_SourceData_Fertiliser_FracGASF[Fertiliser type f],Table_SourceData_Fertiliser_FracGASF[FracGASF f])</f>
        <v>0.15</v>
      </c>
      <c r="H21" s="25" cm="1">
        <f t="array" ref="H21">Fertiliser_Equations_AtmosphericDeposition.VEERG_5_4_1_1__2_MassOfNitrogenVolatilisedFromInorganicFertiliser(E21,G21)</f>
        <v>17399.999100000001</v>
      </c>
    </row>
    <row r="22" spans="1:8" ht="20.100000000000001" customHeight="1" x14ac:dyDescent="0.25">
      <c r="D22" s="25" t="str">
        <v>Sulphate of ammonia (SOA)</v>
      </c>
      <c r="E22" s="25">
        <f>INDEX(Table_MN_j_f,5,4)</f>
        <v>0</v>
      </c>
      <c r="F22" s="25" t="str" cm="1">
        <f t="array" ref="F22">Common_InputFunctions.Utility_LookupValueInTable(D22, Table_Fertiliser_ChemicalCompounds[Fertiliser type f],Table_Fertiliser_ChemicalCompounds[Basis])</f>
        <v>Ammonium-based fertilisers</v>
      </c>
      <c r="G22" s="25" cm="1">
        <f t="array" ref="G22">Common_InputFunctions.Utility_LookupValueInTableNumber(F22, Table_SourceData_Fertiliser_FracGASF[Fertiliser type f],Table_SourceData_Fertiliser_FracGASF[FracGASF f])</f>
        <v>0.08</v>
      </c>
      <c r="H22" s="25" cm="1">
        <f t="array" ref="H22">Fertiliser_Equations_AtmosphericDeposition.VEERG_5_4_1_1__2_MassOfNitrogenVolatilisedFromInorganicFertiliser(E22,G22)</f>
        <v>0</v>
      </c>
    </row>
    <row r="23" spans="1:8" ht="20.100000000000001" customHeight="1" x14ac:dyDescent="0.25">
      <c r="D23" s="25" t="str">
        <v>Urea-ammonium nitrate (UAN)</v>
      </c>
      <c r="E23" s="25">
        <f>INDEX(Table_MN_j_f,6,4)</f>
        <v>0</v>
      </c>
      <c r="F23" s="25" t="str" cm="1">
        <f t="array" ref="F23">Common_InputFunctions.Utility_LookupValueInTable(D23, Table_Fertiliser_ChemicalCompounds[Fertiliser type f],Table_Fertiliser_ChemicalCompounds[Basis])</f>
        <v>Urea-based fertilisers</v>
      </c>
      <c r="G23" s="25" cm="1">
        <f t="array" ref="G23">Common_InputFunctions.Utility_LookupValueInTableNumber(F23, Table_SourceData_Fertiliser_FracGASF[Fertiliser type f],Table_SourceData_Fertiliser_FracGASF[FracGASF f])</f>
        <v>0.15</v>
      </c>
      <c r="H23" s="25" cm="1">
        <f t="array" ref="H23">Fertiliser_Equations_AtmosphericDeposition.VEERG_5_4_1_1__2_MassOfNitrogenVolatilisedFromInorganicFertiliser(E23,G23)</f>
        <v>0</v>
      </c>
    </row>
    <row r="24" spans="1:8" ht="20.100000000000001" customHeight="1" x14ac:dyDescent="0.25">
      <c r="A24" s="6" t="s">
        <v>2</v>
      </c>
      <c r="D24" s="25" t="str">
        <v>Ammonium nitrate (AN)</v>
      </c>
      <c r="E24" s="25">
        <f>INDEX(Table_MN_j_f,7,4)</f>
        <v>0</v>
      </c>
      <c r="F24" s="25" t="str" cm="1">
        <f t="array" ref="F24">Common_InputFunctions.Utility_LookupValueInTable(D24, Table_Fertiliser_ChemicalCompounds[Fertiliser type f],Table_Fertiliser_ChemicalCompounds[Basis])</f>
        <v>Ammonium-nitrate based fertilisers</v>
      </c>
      <c r="G24" s="25" cm="1">
        <f t="array" ref="G24">Common_InputFunctions.Utility_LookupValueInTableNumber(F24, Table_SourceData_Fertiliser_FracGASF[Fertiliser type f],Table_SourceData_Fertiliser_FracGASF[FracGASF f])</f>
        <v>0.05</v>
      </c>
      <c r="H24" s="25" cm="1">
        <f t="array" ref="H24">Fertiliser_Equations_AtmosphericDeposition.VEERG_5_4_1_1__2_MassOfNitrogenVolatilisedFromInorganicFertiliser(E24,G24)</f>
        <v>0</v>
      </c>
    </row>
    <row r="25" spans="1:8" ht="20.100000000000001" customHeight="1" x14ac:dyDescent="0.25">
      <c r="A25" s="5" t="str">
        <f>HYPERLINK("#'5.1.1.1-2 Inorganic fert N2O'!A1", "5.1.1.1-2 Inorganic fert N2O")</f>
        <v>5.1.1.1-2 Inorganic fert N2O</v>
      </c>
      <c r="D25" s="25" t="str">
        <v>Calcium ammonium nitrate (CAN)</v>
      </c>
      <c r="E25" s="25">
        <f>INDEX(Table_MN_j_f,8,4)</f>
        <v>0</v>
      </c>
      <c r="F25" s="25" t="str" cm="1">
        <f t="array" ref="F25">Common_InputFunctions.Utility_LookupValueInTable(D25, Table_Fertiliser_ChemicalCompounds[Fertiliser type f],Table_Fertiliser_ChemicalCompounds[Basis])</f>
        <v>Ammonium-nitrate based fertilisers</v>
      </c>
      <c r="G25" s="25" cm="1">
        <f t="array" ref="G25">Common_InputFunctions.Utility_LookupValueInTableNumber(F25, Table_SourceData_Fertiliser_FracGASF[Fertiliser type f],Table_SourceData_Fertiliser_FracGASF[FracGASF f])</f>
        <v>0.05</v>
      </c>
      <c r="H25" s="25" cm="1">
        <f t="array" ref="H25">Fertiliser_Equations_AtmosphericDeposition.VEERG_5_4_1_1__2_MassOfNitrogenVolatilisedFromInorganicFertiliser(E25,G25)</f>
        <v>0</v>
      </c>
    </row>
    <row r="26" spans="1:8" ht="20.100000000000001" customHeight="1" x14ac:dyDescent="0.25">
      <c r="A26" s="5" t="str">
        <f>HYPERLINK("#'5.1.1.3-4 Inorganic fert CO2'!A1", "5.1.1.3-4 Inorganic fert CO2")</f>
        <v>5.1.1.3-4 Inorganic fert CO2</v>
      </c>
      <c r="D26" s="25" t="str">
        <v>Nitrogen - Ammoniacal</v>
      </c>
      <c r="E26" s="25">
        <f>INDEX(Table_MN_j_f,9,4)</f>
        <v>12400</v>
      </c>
      <c r="F26" s="25" t="str" cm="1">
        <f t="array" ref="F26">Common_InputFunctions.Utility_LookupValueInTable(D26, Table_Fertiliser_ChemicalCompounds[Fertiliser type f],Table_Fertiliser_ChemicalCompounds[Basis])</f>
        <v>Ammonium-based fertilisers</v>
      </c>
      <c r="G26" s="25" cm="1">
        <f t="array" ref="G26">Common_InputFunctions.Utility_LookupValueInTableNumber(F26, Table_SourceData_Fertiliser_FracGASF[Fertiliser type f],Table_SourceData_Fertiliser_FracGASF[FracGASF f])</f>
        <v>0.08</v>
      </c>
      <c r="H26" s="25" cm="1">
        <f t="array" ref="H26">Fertiliser_Equations_AtmosphericDeposition.VEERG_5_4_1_1__2_MassOfNitrogenVolatilisedFromInorganicFertiliser(E26,G26)</f>
        <v>992</v>
      </c>
    </row>
    <row r="27" spans="1:8" ht="20.100000000000001" customHeight="1" x14ac:dyDescent="0.25">
      <c r="A27" s="5" t="str">
        <f>HYPERLINK("#'5.2.1.1-2 Organic Fert N2O'!A1", "5.2.1.1-2 Organic fert N2O")</f>
        <v>5.2.1.1-2 Organic fert N2O</v>
      </c>
      <c r="D27" s="25" t="str">
        <v>Nitrogen - Nitrate</v>
      </c>
      <c r="E27" s="25">
        <f>INDEX(Table_MN_j_f,10,4)</f>
        <v>5500</v>
      </c>
      <c r="F27" s="25" t="str" cm="1">
        <f t="array" ref="F27">Common_InputFunctions.Utility_LookupValueInTable(D27, Table_Fertiliser_ChemicalCompounds[Fertiliser type f],Table_Fertiliser_ChemicalCompounds[Basis])</f>
        <v>Nitrate-based fertilisers</v>
      </c>
      <c r="G27" s="25" cm="1">
        <f t="array" ref="G27">Common_InputFunctions.Utility_LookupValueInTableNumber(F27, Table_SourceData_Fertiliser_FracGASF[Fertiliser type f],Table_SourceData_Fertiliser_FracGASF[FracGASF f])</f>
        <v>0.01</v>
      </c>
      <c r="H27" s="25" cm="1">
        <f t="array" ref="H27">Fertiliser_Equations_AtmosphericDeposition.VEERG_5_4_1_1__2_MassOfNitrogenVolatilisedFromInorganicFertiliser(E27,G27)</f>
        <v>55</v>
      </c>
    </row>
    <row r="28" spans="1:8" ht="20.100000000000001" customHeight="1" x14ac:dyDescent="0.25">
      <c r="A28" s="5" t="str">
        <f>HYPERLINK("#'5.3.1.1-2 Lime CO2'!A1", "5.3.1.1-2 Lime CO2")</f>
        <v>5.3.1.1-2 Lime CO2</v>
      </c>
      <c r="D28" s="25" t="str">
        <v>Nitrogen - Generic</v>
      </c>
      <c r="E28" s="25">
        <f>INDEX(Table_MN_j_f,11,4)</f>
        <v>0</v>
      </c>
      <c r="F28" s="25" t="str" cm="1">
        <f t="array" ref="F28">Common_InputFunctions.Utility_LookupValueInTable(D28, Table_Fertiliser_ChemicalCompounds[Fertiliser type f],Table_Fertiliser_ChemicalCompounds[Basis])</f>
        <v>Urea-based fertilisers</v>
      </c>
      <c r="G28" s="25" cm="1">
        <f t="array" ref="G28">Common_InputFunctions.Utility_LookupValueInTableNumber(F28, Table_SourceData_Fertiliser_FracGASF[Fertiliser type f],Table_SourceData_Fertiliser_FracGASF[FracGASF f])</f>
        <v>0.15</v>
      </c>
      <c r="H28" s="25" cm="1">
        <f t="array" ref="H28">Fertiliser_Equations_AtmosphericDeposition.VEERG_5_4_1_1__2_MassOfNitrogenVolatilisedFromInorganicFertiliser(E28,G28)</f>
        <v>0</v>
      </c>
    </row>
    <row r="29" spans="1:8" ht="20.100000000000001" customHeight="1" x14ac:dyDescent="0.25">
      <c r="A29" s="142" t="str">
        <f>HYPERLINK("#'5.4.1.1-4 Atmos deposition'!A1", "5.4.1.1-4 Atmos. deposition")</f>
        <v>5.4.1.1-4 Atmos. deposition</v>
      </c>
      <c r="D29" s="25" t="str">
        <v>Phosphorus - Generic</v>
      </c>
      <c r="E29" s="25">
        <f>INDEX(Table_MN_j_f,12,4)</f>
        <v>0</v>
      </c>
      <c r="F29" s="25" t="str" cm="1">
        <f t="array" ref="F29">Common_InputFunctions.Utility_LookupValueInTable(D29, Table_Fertiliser_ChemicalCompounds[Fertiliser type f],Table_Fertiliser_ChemicalCompounds[Basis])</f>
        <v>Other fertilisers</v>
      </c>
      <c r="G29" s="25" cm="1">
        <f t="array" ref="G29">Common_InputFunctions.Utility_LookupValueInTableNumber(F29, Table_SourceData_Fertiliser_FracGASF[Fertiliser type f],Table_SourceData_Fertiliser_FracGASF[FracGASF f])</f>
        <v>0.11</v>
      </c>
      <c r="H29" s="25" cm="1">
        <f t="array" ref="H29">Fertiliser_Equations_AtmosphericDeposition.VEERG_5_4_1_1__2_MassOfNitrogenVolatilisedFromInorganicFertiliser(E29,G29)</f>
        <v>0</v>
      </c>
    </row>
    <row r="30" spans="1:8" ht="20.100000000000001" customHeight="1" x14ac:dyDescent="0.25">
      <c r="A30" s="5" t="str">
        <f>HYPERLINK("#'5.5.1.1-2 Leaching and runoff'!A1", "5.5.1.1-2 Leaching &amp; runoff")</f>
        <v>5.5.1.1-2 Leaching &amp; runoff</v>
      </c>
      <c r="D30" s="25" t="str">
        <v>Potassium - Generic</v>
      </c>
      <c r="E30" s="25">
        <f>INDEX(Table_MN_j_f,13,4)</f>
        <v>0</v>
      </c>
      <c r="F30" s="25" t="str" cm="1">
        <f t="array" ref="F30">Common_InputFunctions.Utility_LookupValueInTable(D30, Table_Fertiliser_ChemicalCompounds[Fertiliser type f],Table_Fertiliser_ChemicalCompounds[Basis])</f>
        <v>Other fertilisers</v>
      </c>
      <c r="G30" s="25" cm="1">
        <f t="array" ref="G30">Common_InputFunctions.Utility_LookupValueInTableNumber(F30, Table_SourceData_Fertiliser_FracGASF[Fertiliser type f],Table_SourceData_Fertiliser_FracGASF[FracGASF f])</f>
        <v>0.11</v>
      </c>
      <c r="H30" s="25" cm="1">
        <f t="array" ref="H30">Fertiliser_Equations_AtmosphericDeposition.VEERG_5_4_1_1__2_MassOfNitrogenVolatilisedFromInorganicFertiliser(E30,G30)</f>
        <v>0</v>
      </c>
    </row>
    <row r="31" spans="1:8" ht="20.100000000000001" customHeight="1" x14ac:dyDescent="0.25">
      <c r="A31" s="5" t="str">
        <f>HYPERLINK("#'6.1.1.1-2 Crop residue N2O'!A1", "6.1.1.1-2 Crop residue N2O")</f>
        <v>6.1.1.1-2 Crop residue N2O</v>
      </c>
      <c r="D31" s="25" t="str">
        <v>Sulfur - Generic</v>
      </c>
      <c r="E31" s="25">
        <f>INDEX(Table_MN_j_f,14,4)</f>
        <v>0</v>
      </c>
      <c r="F31" s="25" t="str" cm="1">
        <f t="array" ref="F31">Common_InputFunctions.Utility_LookupValueInTable(D31, Table_Fertiliser_ChemicalCompounds[Fertiliser type f],Table_Fertiliser_ChemicalCompounds[Basis])</f>
        <v>Other fertilisers</v>
      </c>
      <c r="G31" s="25" cm="1">
        <f t="array" ref="G31">Common_InputFunctions.Utility_LookupValueInTableNumber(F31, Table_SourceData_Fertiliser_FracGASF[Fertiliser type f],Table_SourceData_Fertiliser_FracGASF[FracGASF f])</f>
        <v>0.11</v>
      </c>
      <c r="H31" s="25" cm="1">
        <f t="array" ref="H31">Fertiliser_Equations_AtmosphericDeposition.VEERG_5_4_1_1__2_MassOfNitrogenVolatilisedFromInorganicFertiliser(E31,G31)</f>
        <v>0</v>
      </c>
    </row>
    <row r="32" spans="1:8" ht="20.100000000000001" customHeight="1" x14ac:dyDescent="0.25">
      <c r="A32" s="5" t="str">
        <f>HYPERLINK("#'6.3.1.1-2 Leach runoff crop'!A1", "6.3.1.1-2 Leach &amp; runoff (crop)")</f>
        <v>6.3.1.1-2 Leach &amp; runoff (crop)</v>
      </c>
      <c r="D32" s="25" t="str">
        <v>Zinc - Generic</v>
      </c>
      <c r="E32" s="25">
        <f>INDEX(Table_MN_j_f,15,4)</f>
        <v>0</v>
      </c>
      <c r="F32" s="25" t="str" cm="1">
        <f t="array" ref="F32">Common_InputFunctions.Utility_LookupValueInTable(D32, Table_Fertiliser_ChemicalCompounds[Fertiliser type f],Table_Fertiliser_ChemicalCompounds[Basis])</f>
        <v>Other fertilisers</v>
      </c>
      <c r="G32" s="25" cm="1">
        <f t="array" ref="G32">Common_InputFunctions.Utility_LookupValueInTableNumber(F32, Table_SourceData_Fertiliser_FracGASF[Fertiliser type f],Table_SourceData_Fertiliser_FracGASF[FracGASF f])</f>
        <v>0.11</v>
      </c>
      <c r="H32" s="25" cm="1">
        <f t="array" ref="H32">Fertiliser_Equations_AtmosphericDeposition.VEERG_5_4_1_1__2_MassOfNitrogenVolatilisedFromInorganicFertiliser(E32,G32)</f>
        <v>0</v>
      </c>
    </row>
    <row r="33" spans="1:12" ht="20.100000000000001" customHeight="1" x14ac:dyDescent="0.25">
      <c r="A33" s="5" t="str">
        <f>HYPERLINK("#'6.4.1.1-2 Residue burning'!A1", "6.4.1.1-2 Residue burning")</f>
        <v>6.4.1.1-2 Residue burning</v>
      </c>
      <c r="D33" s="25" t="str">
        <v>Muriate of potash (MOP)</v>
      </c>
      <c r="E33" s="25">
        <f>INDEX(Table_MN_j_f,16,4)</f>
        <v>0</v>
      </c>
      <c r="F33" s="25" t="str" cm="1">
        <f t="array" ref="F33">Common_InputFunctions.Utility_LookupValueInTable(D33, Table_Fertiliser_ChemicalCompounds[Fertiliser type f],Table_Fertiliser_ChemicalCompounds[Basis])</f>
        <v>Other fertilisers</v>
      </c>
      <c r="G33" s="25" cm="1">
        <f t="array" ref="G33">Common_InputFunctions.Utility_LookupValueInTableNumber(F33, Table_SourceData_Fertiliser_FracGASF[Fertiliser type f],Table_SourceData_Fertiliser_FracGASF[FracGASF f])</f>
        <v>0.11</v>
      </c>
      <c r="H33" s="25" cm="1">
        <f t="array" ref="H33">Fertiliser_Equations_AtmosphericDeposition.VEERG_5_4_1_1__2_MassOfNitrogenVolatilisedFromInorganicFertiliser(E33,G33)</f>
        <v>0</v>
      </c>
    </row>
    <row r="34" spans="1:12" ht="20.100000000000001" customHeight="1" x14ac:dyDescent="0.25">
      <c r="A34" s="5" t="str">
        <f>HYPERLINK("#'8.1.1.1-2 Transport fuel'!A1", "8.1.1.1-2 Transport fuel")</f>
        <v>8.1.1.1-2 Transport fuel</v>
      </c>
      <c r="D34" s="25" t="str">
        <v>Double superphosphate</v>
      </c>
      <c r="E34" s="25">
        <f>INDEX(Table_MN_j_f,17,4)</f>
        <v>0</v>
      </c>
      <c r="F34" s="25" t="str" cm="1">
        <f t="array" ref="F34">Common_InputFunctions.Utility_LookupValueInTable(D34, Table_Fertiliser_ChemicalCompounds[Fertiliser type f],Table_Fertiliser_ChemicalCompounds[Basis])</f>
        <v>Other fertilisers</v>
      </c>
      <c r="G34" s="25" cm="1">
        <f t="array" ref="G34">Common_InputFunctions.Utility_LookupValueInTableNumber(F34, Table_SourceData_Fertiliser_FracGASF[Fertiliser type f],Table_SourceData_Fertiliser_FracGASF[FracGASF f])</f>
        <v>0.11</v>
      </c>
      <c r="H34" s="25" cm="1">
        <f t="array" ref="H34">Fertiliser_Equations_AtmosphericDeposition.VEERG_5_4_1_1__2_MassOfNitrogenVolatilisedFromInorganicFertiliser(E34,G34)</f>
        <v>0</v>
      </c>
    </row>
    <row r="35" spans="1:12" ht="20.100000000000001" customHeight="1" x14ac:dyDescent="0.25">
      <c r="A35" s="5" t="str">
        <f>HYPERLINK("#'8.2.1.1-2 Stationary fuel'!A1", "8.2.1.1-2 Stationary fuel")</f>
        <v>8.2.1.1-2 Stationary fuel</v>
      </c>
      <c r="D35" s="25" t="str">
        <v>Single superphosphate (SSP)</v>
      </c>
      <c r="E35" s="25">
        <f>INDEX(Table_MN_j_f,18,4)</f>
        <v>0</v>
      </c>
      <c r="F35" s="25" t="str" cm="1">
        <f t="array" ref="F35">Common_InputFunctions.Utility_LookupValueInTable(D35, Table_Fertiliser_ChemicalCompounds[Fertiliser type f],Table_Fertiliser_ChemicalCompounds[Basis])</f>
        <v>Other fertilisers</v>
      </c>
      <c r="G35" s="25" cm="1">
        <f t="array" ref="G35">Common_InputFunctions.Utility_LookupValueInTableNumber(F35, Table_SourceData_Fertiliser_FracGASF[Fertiliser type f],Table_SourceData_Fertiliser_FracGASF[FracGASF f])</f>
        <v>0.11</v>
      </c>
      <c r="H35" s="25" cm="1">
        <f t="array" ref="H35">Fertiliser_Equations_AtmosphericDeposition.VEERG_5_4_1_1__2_MassOfNitrogenVolatilisedFromInorganicFertiliser(E35,G35)</f>
        <v>0</v>
      </c>
    </row>
    <row r="36" spans="1:12" ht="20.100000000000001" customHeight="1" x14ac:dyDescent="0.25">
      <c r="A36" s="5" t="str">
        <f>HYPERLINK("#'14.1.1-2 Purchased electricity'!A1", "14.1.1-2 Purchased electricity")</f>
        <v>14.1.1-2 Purchased electricity</v>
      </c>
      <c r="D36" s="25" t="str">
        <v>Ammonia</v>
      </c>
      <c r="E36" s="25">
        <f>INDEX(Table_MN_j_f,19,4)</f>
        <v>41175</v>
      </c>
      <c r="F36" s="25" t="str" cm="1">
        <f t="array" ref="F36">Common_InputFunctions.Utility_LookupValueInTable(D36, Table_Fertiliser_ChemicalCompounds[Fertiliser type f],Table_Fertiliser_ChemicalCompounds[Basis])</f>
        <v>Ammonium-based fertilisers</v>
      </c>
      <c r="G36" s="25" cm="1">
        <f t="array" ref="G36">Common_InputFunctions.Utility_LookupValueInTableNumber(F36, Table_SourceData_Fertiliser_FracGASF[Fertiliser type f],Table_SourceData_Fertiliser_FracGASF[FracGASF f])</f>
        <v>0.08</v>
      </c>
      <c r="H36" s="25" cm="1">
        <f t="array" ref="H36">Fertiliser_Equations_AtmosphericDeposition.VEERG_5_4_1_1__2_MassOfNitrogenVolatilisedFromInorganicFertiliser(E36,G36)</f>
        <v>3294</v>
      </c>
    </row>
    <row r="37" spans="1:12" ht="20.100000000000001" customHeight="1" x14ac:dyDescent="0.25">
      <c r="A37" s="5" t="str">
        <f>HYPERLINK("#'15 Scope 3'!A1", "15 Scope 3")</f>
        <v>15 Scope 3</v>
      </c>
      <c r="D37" s="25" t="str">
        <v>Calcium nitrate</v>
      </c>
      <c r="E37" s="25">
        <f>INDEX(Table_MN_j_f,20,4)</f>
        <v>7750</v>
      </c>
      <c r="F37" s="25" t="str" cm="1">
        <f t="array" ref="F37">Common_InputFunctions.Utility_LookupValueInTable(D37, Table_Fertiliser_ChemicalCompounds[Fertiliser type f],Table_Fertiliser_ChemicalCompounds[Basis])</f>
        <v>Nitrate-based fertilisers</v>
      </c>
      <c r="G37" s="25" cm="1">
        <f t="array" ref="G37">Common_InputFunctions.Utility_LookupValueInTableNumber(F37, Table_SourceData_Fertiliser_FracGASF[Fertiliser type f],Table_SourceData_Fertiliser_FracGASF[FracGASF f])</f>
        <v>0.01</v>
      </c>
      <c r="H37" s="25" cm="1">
        <f t="array" ref="H37">Fertiliser_Equations_AtmosphericDeposition.VEERG_5_4_1_1__2_MassOfNitrogenVolatilisedFromInorganicFertiliser(E37,G37)</f>
        <v>77.5</v>
      </c>
    </row>
    <row r="38" spans="1:12" ht="20.100000000000001" customHeight="1" x14ac:dyDescent="0.25">
      <c r="A38" s="5" t="str">
        <f>HYPERLINK("#'Calcs - Manure sent off-site'!A1", "Calcs - Manure sent off-site")</f>
        <v>Calcs - Manure sent off-site</v>
      </c>
    </row>
    <row r="39" spans="1:12" ht="20.100000000000001" customHeight="1" x14ac:dyDescent="0.25">
      <c r="A39" s="5" t="str">
        <f>HYPERLINK("#'10.1.1-2 Solid waste treatment'!A1", "10.1.1-2 Solid waste treatment")</f>
        <v>10.1.1-2 Solid waste treatment</v>
      </c>
    </row>
    <row r="40" spans="1:12" ht="20.100000000000001" customHeight="1" x14ac:dyDescent="0.25">
      <c r="C40" s="162"/>
      <c r="D40" s="162"/>
      <c r="E40" s="162"/>
      <c r="F40" s="162"/>
      <c r="G40" s="162"/>
      <c r="H40" s="162"/>
      <c r="I40" s="162"/>
      <c r="J40" s="162"/>
      <c r="K40" s="162"/>
      <c r="L40" s="162"/>
    </row>
    <row r="41" spans="1:12" ht="20.100000000000001" customHeight="1" x14ac:dyDescent="0.25">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s="108" t="s">
        <v>1</v>
      </c>
      <c r="D42" s="27" t="str" cm="1">
        <f t="array" ref="D42">Fertiliser_Equations_AtmosphericDeposition.VEERG_5_4_1_1__1_InorganicFertiliserAtmosphericDepositionN2OEmissions_Source()</f>
        <v>VEERG 2026: 5.4.1.1, Equation (1)</v>
      </c>
    </row>
    <row r="43" spans="1:12" ht="20.100000000000001" customHeight="1" x14ac:dyDescent="0.25">
      <c r="A43" s="5" t="str">
        <f>HYPERLINK("#'Constants - Ag Residue'!A1", "Constants - Ag residue")</f>
        <v>Constants - Ag residue</v>
      </c>
      <c r="D43" s="133" t="s">
        <v>267</v>
      </c>
      <c r="E43" s="133"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s="5" t="str">
        <f>HYPERLINK("#'Constants - Common Livestock'!A1", "Constants - Common Livestock")</f>
        <v>Constants - Common Livestock</v>
      </c>
    </row>
    <row r="45" spans="1:12" ht="20.100000000000001" customHeight="1" x14ac:dyDescent="0.25">
      <c r="A45" s="5" t="str">
        <f>HYPERLINK("#'Constants - Electricity'!A1", "Constants - Electricity")</f>
        <v>Constants - Electricity</v>
      </c>
    </row>
    <row r="46" spans="1:12" ht="20.100000000000001" customHeight="1" x14ac:dyDescent="0.25">
      <c r="A46" s="5" t="str">
        <f>HYPERLINK("#'Constants - Fertiliser'!A1", "Constants - Fertiliser")</f>
        <v>Constants - Fertiliser</v>
      </c>
      <c r="D46" s="88" t="s">
        <v>268</v>
      </c>
      <c r="E46" s="1" t="str" cm="1">
        <f t="array" ref="E46">Fertiliser_Equations_AtmosphericDeposition.VEERG_5_4_1_1__1_InorganicFertiliserAtmosphericDepositionN2OEmissions_Variable()</f>
        <v>E_adinorganic</v>
      </c>
    </row>
    <row r="47" spans="1:12" ht="20.100000000000001" customHeight="1" x14ac:dyDescent="0.25">
      <c r="A47" s="5" t="str">
        <f>HYPERLINK("#'Constants - Fuel'!A1", "Constants - Fuel")</f>
        <v>Constants - Fuel</v>
      </c>
      <c r="D47" s="88" t="s">
        <v>121</v>
      </c>
      <c r="E47" s="15" t="str" cm="1">
        <f t="array" ref="E47">Fertiliser_Equations_AtmosphericDeposition.VEERG_5_4_1_1__1_InorganicFertiliserAtmosphericDepositionN2OEmissions_Unit()</f>
        <v>t N2O</v>
      </c>
    </row>
    <row r="48" spans="1:12" ht="20.100000000000001" customHeight="1" x14ac:dyDescent="0.25">
      <c r="A48" s="5" t="str">
        <f>HYPERLINK("#'Constants - Scope 3'!A1", "Constants - Scope 3")</f>
        <v>Constants - Scope 3</v>
      </c>
    </row>
    <row r="49" spans="1:10" ht="20.100000000000001" customHeight="1" x14ac:dyDescent="0.25">
      <c r="A49" s="5" t="str">
        <f>HYPERLINK("#'Constants - Common'!A1", "Constants - Common")</f>
        <v>Constants - Common</v>
      </c>
      <c r="D49" s="155" t="str" cm="1">
        <f t="array" ref="D49:E54">_xlfn.CHOOSECOLS(Fertiliser_Equations_AtmosphericDeposition.VEERG_5_4_1_1__1_InorganicFertiliserAtmosphericDepositionN2OEmissions_Arguments(), 1, 2)</f>
        <v>M_volinorganicjf</v>
      </c>
      <c r="E49" s="163" t="str">
        <v>mass of nitrogen volatilised from inorganic fertiliser applied to production system</v>
      </c>
      <c r="F49" s="164"/>
      <c r="G49" s="165"/>
      <c r="H49" s="155" t="str" cm="1">
        <f t="array" ref="H49:I54">_xlfn.CHOOSECOLS(Fertiliser_Equations_AtmosphericDeposition.VEERG_5_4_1_1__1_InorganicFertiliserAtmosphericDepositionN2OEmissions_Arguments(), 3,4)</f>
        <v>kg N</v>
      </c>
      <c r="I49" s="138" t="str">
        <v>Calculated from 5.4.1.1 (2)</v>
      </c>
      <c r="J49" s="141" t="str" cm="1">
        <f t="array" aca="1" ref="J49" ca="1">HYPERLINK(Common_InputFunctions.Utility_SourceHyperlink($D$16),$D$16)</f>
        <v>Table_M_vol_inorganic_j_f</v>
      </c>
    </row>
    <row r="50" spans="1:10" ht="20.100000000000001" customHeight="1" x14ac:dyDescent="0.25">
      <c r="A50" s="5" t="str">
        <f>HYPERLINK("#'Constants - Solid Waste'!A1", "Constants - Solid Waste")</f>
        <v>Constants - Solid Waste</v>
      </c>
      <c r="D50" s="155" t="str">
        <v>EF_N2Oj</v>
      </c>
      <c r="E50" s="163" t="str">
        <v>emission factor for atmospheric deposition</v>
      </c>
      <c r="F50" s="164"/>
      <c r="G50" s="165"/>
      <c r="H50" s="155" t="str">
        <v>kg N2O-N/kg N</v>
      </c>
      <c r="I50" s="138" t="str">
        <v>Constant</v>
      </c>
      <c r="J50" s="155">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1:10" ht="20.100000000000001" customHeight="1" x14ac:dyDescent="0.25">
      <c r="D51" s="155" t="str">
        <v>C_N2O</v>
      </c>
      <c r="E51" s="163" t="str">
        <v>factor to convert elemental mass of nitrous oxide to molecular mass</v>
      </c>
      <c r="F51" s="164"/>
      <c r="G51" s="165"/>
      <c r="H51" s="155" t="str">
        <v/>
      </c>
      <c r="I51" s="138" t="str">
        <v>Constant</v>
      </c>
      <c r="J51" s="134">
        <f>Common_InputFunctions.Utility_LookupValueInTableNumber("N2O",Table_GasToMolecularConversionFactor[Gas],Table_GasToMolecularConversionFactor[Conversion factor combined])</f>
        <v>1.5714285714285714</v>
      </c>
    </row>
    <row r="52" spans="1:10" ht="20.100000000000001" customHeight="1" x14ac:dyDescent="0.25">
      <c r="D52" s="155" t="str">
        <v>j</v>
      </c>
      <c r="E52" s="163" t="str">
        <v>Production system</v>
      </c>
      <c r="F52" s="164"/>
      <c r="G52" s="165"/>
      <c r="H52" s="155" t="str">
        <v/>
      </c>
      <c r="I52" s="137" t="str">
        <v>Input</v>
      </c>
      <c r="J52" s="155" t="str">
        <f>X_Cell_Fertiliser_ProductionSystem</f>
        <v>Crop</v>
      </c>
    </row>
    <row r="53" spans="1:10" ht="20.100000000000001" customHeight="1" x14ac:dyDescent="0.25">
      <c r="D53" s="155" t="str">
        <v>ir</v>
      </c>
      <c r="E53" s="163" t="str">
        <v>irrigation method</v>
      </c>
      <c r="F53" s="164"/>
      <c r="G53" s="165"/>
      <c r="H53" s="155" t="str">
        <v/>
      </c>
      <c r="I53" s="137" t="str">
        <v>Input</v>
      </c>
      <c r="J53" s="155" t="str">
        <f>X_Cell_Fertiliser_IrrigationMethod</f>
        <v>Sprinkler irrigation</v>
      </c>
    </row>
    <row r="54" spans="1:10" ht="20.100000000000001" customHeight="1" x14ac:dyDescent="0.25">
      <c r="D54" s="155" t="str">
        <v>r</v>
      </c>
      <c r="E54" s="163" t="str">
        <v>rainfall region</v>
      </c>
      <c r="F54" s="164"/>
      <c r="G54" s="165"/>
      <c r="H54" s="155" t="str">
        <v/>
      </c>
      <c r="I54" s="137" t="str">
        <v>Input</v>
      </c>
      <c r="J54" s="155" t="str">
        <f>X_Cell_Site_RainfallZone</f>
        <v>High rainfall</v>
      </c>
    </row>
    <row r="55" spans="1:10" ht="20.100000000000001" customHeight="1" x14ac:dyDescent="0.25"/>
    <row r="56" spans="1:10" ht="20.100000000000001" customHeight="1" x14ac:dyDescent="0.25">
      <c r="D56" s="144" t="s">
        <v>334</v>
      </c>
    </row>
    <row r="57" spans="1:10" ht="20.100000000000001" customHeight="1" x14ac:dyDescent="0.25">
      <c r="D57" s="145" t="s">
        <v>335</v>
      </c>
    </row>
    <row r="58" spans="1:10" ht="20.100000000000001" customHeight="1" x14ac:dyDescent="0.25">
      <c r="D58" s="146" t="s">
        <v>329</v>
      </c>
      <c r="E58" s="169" t="s">
        <v>333</v>
      </c>
      <c r="F58" s="169" t="s">
        <v>336</v>
      </c>
    </row>
    <row r="59" spans="1:10" ht="20.100000000000001" customHeight="1" x14ac:dyDescent="0.25">
      <c r="D59" s="25" t="str" cm="1">
        <f t="array" ref="D59:D77">Table_Fertiliser_ChemicalCompounds[Fertiliser type f]</f>
        <v>Monoammonium phosphate (MAP)</v>
      </c>
      <c r="E59" s="25">
        <f t="shared" ref="E59:E77" si="0">H19</f>
        <v>0</v>
      </c>
      <c r="F59" s="25" cm="1">
        <f t="array" ref="F59">Fertiliser_Equations_AtmosphericDeposition.VEERG_5_4_1_1__1_InorganicFertiliserAtmosphericDepositionN2OEmissions(E59,$J$50,$J$51)</f>
        <v>0</v>
      </c>
      <c r="G59" s="26" t="str">
        <f>E47</f>
        <v>t N2O</v>
      </c>
    </row>
    <row r="60" spans="1:10" ht="20.100000000000001" customHeight="1" x14ac:dyDescent="0.25">
      <c r="D60" s="25" t="str">
        <v>Diammonium phosphate (DAP)</v>
      </c>
      <c r="E60" s="25">
        <f t="shared" si="0"/>
        <v>0</v>
      </c>
      <c r="F60" s="25" cm="1">
        <f t="array" ref="F60">Fertiliser_Equations_AtmosphericDeposition.VEERG_5_4_1_1__1_InorganicFertiliserAtmosphericDepositionN2OEmissions(E60,$J$50,$J$51)</f>
        <v>0</v>
      </c>
    </row>
    <row r="61" spans="1:10" ht="20.100000000000001" customHeight="1" x14ac:dyDescent="0.25">
      <c r="D61" s="25" t="str">
        <v>Urea</v>
      </c>
      <c r="E61" s="25">
        <f t="shared" si="0"/>
        <v>17399.999100000001</v>
      </c>
      <c r="F61" s="25" cm="1">
        <f t="array" ref="F61">Fertiliser_Equations_AtmosphericDeposition.VEERG_5_4_1_1__1_InorganicFertiliserAtmosphericDepositionN2OEmissions(E61,$J$50,$J$51)</f>
        <v>0.19139999010000003</v>
      </c>
    </row>
    <row r="62" spans="1:10" ht="20.100000000000001" customHeight="1" x14ac:dyDescent="0.25">
      <c r="D62" s="25" t="str">
        <v>Sulphate of ammonia (SOA)</v>
      </c>
      <c r="E62" s="25">
        <f t="shared" si="0"/>
        <v>0</v>
      </c>
      <c r="F62" s="25" cm="1">
        <f t="array" ref="F62">Fertiliser_Equations_AtmosphericDeposition.VEERG_5_4_1_1__1_InorganicFertiliserAtmosphericDepositionN2OEmissions(E62,$J$50,$J$51)</f>
        <v>0</v>
      </c>
    </row>
    <row r="63" spans="1:10" ht="20.100000000000001" customHeight="1" x14ac:dyDescent="0.25">
      <c r="D63" s="25" t="str">
        <v>Urea-ammonium nitrate (UAN)</v>
      </c>
      <c r="E63" s="25">
        <f t="shared" si="0"/>
        <v>0</v>
      </c>
      <c r="F63" s="25" cm="1">
        <f t="array" ref="F63">Fertiliser_Equations_AtmosphericDeposition.VEERG_5_4_1_1__1_InorganicFertiliserAtmosphericDepositionN2OEmissions(E63,$J$50,$J$51)</f>
        <v>0</v>
      </c>
    </row>
    <row r="64" spans="1:10" ht="20.100000000000001" customHeight="1" x14ac:dyDescent="0.25">
      <c r="D64" s="25" t="str">
        <v>Ammonium nitrate (AN)</v>
      </c>
      <c r="E64" s="25">
        <f t="shared" si="0"/>
        <v>0</v>
      </c>
      <c r="F64" s="25" cm="1">
        <f t="array" ref="F64">Fertiliser_Equations_AtmosphericDeposition.VEERG_5_4_1_1__1_InorganicFertiliserAtmosphericDepositionN2OEmissions(E64,$J$50,$J$51)</f>
        <v>0</v>
      </c>
    </row>
    <row r="65" spans="4:6" ht="20.100000000000001" customHeight="1" x14ac:dyDescent="0.25">
      <c r="D65" s="25" t="str">
        <v>Calcium ammonium nitrate (CAN)</v>
      </c>
      <c r="E65" s="25">
        <f t="shared" si="0"/>
        <v>0</v>
      </c>
      <c r="F65" s="25" cm="1">
        <f t="array" ref="F65">Fertiliser_Equations_AtmosphericDeposition.VEERG_5_4_1_1__1_InorganicFertiliserAtmosphericDepositionN2OEmissions(E65,$J$50,$J$51)</f>
        <v>0</v>
      </c>
    </row>
    <row r="66" spans="4:6" ht="20.100000000000001" customHeight="1" x14ac:dyDescent="0.25">
      <c r="D66" s="25" t="str">
        <v>Nitrogen - Ammoniacal</v>
      </c>
      <c r="E66" s="25">
        <f t="shared" si="0"/>
        <v>992</v>
      </c>
      <c r="F66" s="25" cm="1">
        <f t="array" ref="F66">Fertiliser_Equations_AtmosphericDeposition.VEERG_5_4_1_1__1_InorganicFertiliserAtmosphericDepositionN2OEmissions(E66,$J$50,$J$51)</f>
        <v>1.0912E-2</v>
      </c>
    </row>
    <row r="67" spans="4:6" ht="20.100000000000001" customHeight="1" x14ac:dyDescent="0.25">
      <c r="D67" s="25" t="str">
        <v>Nitrogen - Nitrate</v>
      </c>
      <c r="E67" s="25">
        <f t="shared" si="0"/>
        <v>55</v>
      </c>
      <c r="F67" s="25" cm="1">
        <f t="array" ref="F67">Fertiliser_Equations_AtmosphericDeposition.VEERG_5_4_1_1__1_InorganicFertiliserAtmosphericDepositionN2OEmissions(E67,$J$50,$J$51)</f>
        <v>6.0499999999999996E-4</v>
      </c>
    </row>
    <row r="68" spans="4:6" ht="20.100000000000001" customHeight="1" x14ac:dyDescent="0.25">
      <c r="D68" s="25" t="str">
        <v>Nitrogen - Generic</v>
      </c>
      <c r="E68" s="25">
        <f t="shared" si="0"/>
        <v>0</v>
      </c>
      <c r="F68" s="25" cm="1">
        <f t="array" ref="F68">Fertiliser_Equations_AtmosphericDeposition.VEERG_5_4_1_1__1_InorganicFertiliserAtmosphericDepositionN2OEmissions(E68,$J$50,$J$51)</f>
        <v>0</v>
      </c>
    </row>
    <row r="69" spans="4:6" ht="20.100000000000001" customHeight="1" x14ac:dyDescent="0.25">
      <c r="D69" s="25" t="str">
        <v>Phosphorus - Generic</v>
      </c>
      <c r="E69" s="25">
        <f t="shared" si="0"/>
        <v>0</v>
      </c>
      <c r="F69" s="25" cm="1">
        <f t="array" ref="F69">Fertiliser_Equations_AtmosphericDeposition.VEERG_5_4_1_1__1_InorganicFertiliserAtmosphericDepositionN2OEmissions(E69,$J$50,$J$51)</f>
        <v>0</v>
      </c>
    </row>
    <row r="70" spans="4:6" ht="20.100000000000001" customHeight="1" x14ac:dyDescent="0.25">
      <c r="D70" s="25" t="str">
        <v>Potassium - Generic</v>
      </c>
      <c r="E70" s="25">
        <f t="shared" si="0"/>
        <v>0</v>
      </c>
      <c r="F70" s="25" cm="1">
        <f t="array" ref="F70">Fertiliser_Equations_AtmosphericDeposition.VEERG_5_4_1_1__1_InorganicFertiliserAtmosphericDepositionN2OEmissions(E70,$J$50,$J$51)</f>
        <v>0</v>
      </c>
    </row>
    <row r="71" spans="4:6" ht="20.100000000000001" customHeight="1" x14ac:dyDescent="0.25">
      <c r="D71" s="25" t="str">
        <v>Sulfur - Generic</v>
      </c>
      <c r="E71" s="25">
        <f t="shared" si="0"/>
        <v>0</v>
      </c>
      <c r="F71" s="25" cm="1">
        <f t="array" ref="F71">Fertiliser_Equations_AtmosphericDeposition.VEERG_5_4_1_1__1_InorganicFertiliserAtmosphericDepositionN2OEmissions(E71,$J$50,$J$51)</f>
        <v>0</v>
      </c>
    </row>
    <row r="72" spans="4:6" ht="20.100000000000001" customHeight="1" x14ac:dyDescent="0.25">
      <c r="D72" s="25" t="str">
        <v>Zinc - Generic</v>
      </c>
      <c r="E72" s="25">
        <f t="shared" si="0"/>
        <v>0</v>
      </c>
      <c r="F72" s="25" cm="1">
        <f t="array" ref="F72">Fertiliser_Equations_AtmosphericDeposition.VEERG_5_4_1_1__1_InorganicFertiliserAtmosphericDepositionN2OEmissions(E72,$J$50,$J$51)</f>
        <v>0</v>
      </c>
    </row>
    <row r="73" spans="4:6" ht="20.100000000000001" customHeight="1" x14ac:dyDescent="0.25">
      <c r="D73" s="25" t="str">
        <v>Muriate of potash (MOP)</v>
      </c>
      <c r="E73" s="25">
        <f t="shared" si="0"/>
        <v>0</v>
      </c>
      <c r="F73" s="25" cm="1">
        <f t="array" ref="F73">Fertiliser_Equations_AtmosphericDeposition.VEERG_5_4_1_1__1_InorganicFertiliserAtmosphericDepositionN2OEmissions(E73,$J$50,$J$51)</f>
        <v>0</v>
      </c>
    </row>
    <row r="74" spans="4:6" ht="20.100000000000001" customHeight="1" x14ac:dyDescent="0.25">
      <c r="D74" s="25" t="str">
        <v>Double superphosphate</v>
      </c>
      <c r="E74" s="25">
        <f t="shared" si="0"/>
        <v>0</v>
      </c>
      <c r="F74" s="25" cm="1">
        <f t="array" ref="F74">Fertiliser_Equations_AtmosphericDeposition.VEERG_5_4_1_1__1_InorganicFertiliserAtmosphericDepositionN2OEmissions(E74,$J$50,$J$51)</f>
        <v>0</v>
      </c>
    </row>
    <row r="75" spans="4:6" ht="20.100000000000001" customHeight="1" x14ac:dyDescent="0.25">
      <c r="D75" s="25" t="str">
        <v>Single superphosphate (SSP)</v>
      </c>
      <c r="E75" s="25">
        <f t="shared" si="0"/>
        <v>0</v>
      </c>
      <c r="F75" s="25" cm="1">
        <f t="array" ref="F75">Fertiliser_Equations_AtmosphericDeposition.VEERG_5_4_1_1__1_InorganicFertiliserAtmosphericDepositionN2OEmissions(E75,$J$50,$J$51)</f>
        <v>0</v>
      </c>
    </row>
    <row r="76" spans="4:6" ht="20.100000000000001" customHeight="1" x14ac:dyDescent="0.25">
      <c r="D76" s="25" t="str">
        <v>Ammonia</v>
      </c>
      <c r="E76" s="25">
        <f t="shared" si="0"/>
        <v>3294</v>
      </c>
      <c r="F76" s="25" cm="1">
        <f t="array" ref="F76">Fertiliser_Equations_AtmosphericDeposition.VEERG_5_4_1_1__1_InorganicFertiliserAtmosphericDepositionN2OEmissions(E76,$J$50,$J$51)</f>
        <v>3.6234000000000002E-2</v>
      </c>
    </row>
    <row r="77" spans="4:6" ht="20.100000000000001" customHeight="1" x14ac:dyDescent="0.25">
      <c r="D77" s="25" t="str">
        <v>Calcium nitrate</v>
      </c>
      <c r="E77" s="25">
        <f t="shared" si="0"/>
        <v>77.5</v>
      </c>
      <c r="F77" s="25" cm="1">
        <f t="array" ref="F77">Fertiliser_Equations_AtmosphericDeposition.VEERG_5_4_1_1__1_InorganicFertiliserAtmosphericDepositionN2OEmissions(E77,$J$50,$J$51)</f>
        <v>8.5249999999999996E-4</v>
      </c>
    </row>
    <row r="78" spans="4:6" ht="20.100000000000001" customHeight="1" x14ac:dyDescent="0.25"/>
    <row r="79" spans="4:6" ht="20.100000000000001" customHeight="1" x14ac:dyDescent="0.25">
      <c r="D79" s="150" t="s">
        <v>337</v>
      </c>
      <c r="E79" s="151">
        <f>SUM(F59:F77)</f>
        <v>0.24000349010000002</v>
      </c>
      <c r="F79" s="152" t="str">
        <f>$E$47</f>
        <v>t N2O</v>
      </c>
    </row>
    <row r="80" spans="4:6" ht="20.100000000000001" customHeight="1" x14ac:dyDescent="0.25"/>
    <row r="81" spans="3:12" ht="20.100000000000001" customHeight="1" x14ac:dyDescent="0.25">
      <c r="D81" s="134" t="str" cm="1">
        <f t="array" ref="D81:E82">Common_Equations.Common_ConvertN2OToCO2e_Arguments()</f>
        <v>EN2O</v>
      </c>
      <c r="E81" s="135" t="str">
        <v>Nitrous oxide emissions (t N2O)</v>
      </c>
      <c r="F81" s="153"/>
      <c r="G81" s="25">
        <f>VEERG_5_4_1_1__1_InorganicFertiliserAtmosphericDepositionN2OEmissions_Result_Method1</f>
        <v>0.24000349010000002</v>
      </c>
    </row>
    <row r="82" spans="3:12" ht="20.100000000000001" customHeight="1" x14ac:dyDescent="0.25">
      <c r="D82" s="134" t="str">
        <v>GWPN2O</v>
      </c>
      <c r="E82" s="135" t="str">
        <v>Global warming potential for nitrous oxide (t CO2-e / t N2O)</v>
      </c>
      <c r="F82" s="153"/>
      <c r="G82" s="25">
        <f>Common_InputFunctions.Utility_LookupValueInTableNumber("N2O",Table_GWPData[Gas],Table_GWPData[CO2-e factor])</f>
        <v>265</v>
      </c>
    </row>
    <row r="83" spans="3:12" ht="20.100000000000001" customHeight="1" x14ac:dyDescent="0.25"/>
    <row r="84" spans="3:12" ht="20.100000000000001" customHeight="1" x14ac:dyDescent="0.25">
      <c r="D84" s="147" t="s">
        <v>299</v>
      </c>
      <c r="E84" s="147" cm="1">
        <f t="array" ref="E84">Common_Equations.Common_ConvertN2OToCO2e(G81,G82)</f>
        <v>63.600924876500002</v>
      </c>
      <c r="F84" s="154"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62"/>
      <c r="D87" s="162"/>
      <c r="E87" s="162"/>
      <c r="F87" s="162"/>
      <c r="G87" s="162"/>
      <c r="H87" s="162"/>
      <c r="I87" s="162"/>
      <c r="J87" s="162"/>
      <c r="K87" s="162"/>
      <c r="L87" s="162"/>
    </row>
    <row r="88" spans="3:12" ht="20.100000000000001"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27" t="str" cm="1">
        <f t="array" ref="D89">Fertiliser_Equations_AtmosphericDeposition.VEERG_5_4_1_3__2_MassOfNitrogenVolatilisedFromOrganicFertiliser_Source()</f>
        <v>VEERG 2026: 5.4.1.3, Equation (2)</v>
      </c>
    </row>
    <row r="90" spans="3:12" ht="20.100000000000001" customHeight="1" x14ac:dyDescent="0.25">
      <c r="D90" s="133" t="s">
        <v>267</v>
      </c>
      <c r="E90" s="133"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88" t="s">
        <v>268</v>
      </c>
      <c r="E93" s="1" t="str" cm="1">
        <f t="array" ref="E93">Fertiliser_Equations_AtmosphericDeposition.VEERG_5_4_1_3__2_MassOfNitrogenVolatilisedFromOrganicFertiliser_Variable()</f>
        <v>M_volorganicjf</v>
      </c>
    </row>
    <row r="94" spans="3:12" ht="20.100000000000001" customHeight="1" x14ac:dyDescent="0.25">
      <c r="D94" s="88" t="s">
        <v>121</v>
      </c>
      <c r="E94" s="15"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55" t="str" cm="1">
        <f t="array" ref="D96:E97">_xlfn.CHOOSECOLS(Fertiliser_Equations_AtmosphericDeposition.VEERG_5_4_1_3__2_MassOfNitrogenVolatilisedFromOrganicFertiliser_Arguments(), 1, 2)</f>
        <v>MNSoil_jf</v>
      </c>
      <c r="E96" s="155" t="str">
        <v>mass of nitrogen in organic fertiliser type f applied to production system j</v>
      </c>
      <c r="F96" s="155"/>
      <c r="G96" s="155" t="str" cm="1">
        <f t="array" ref="G96:H97">_xlfn.CHOOSECOLS(Fertiliser_Equations_AtmosphericDeposition.VEERG_5_4_1_3__2_MassOfNitrogenVolatilisedFromOrganicFertiliser_Arguments(), 3,4)</f>
        <v>kg N</v>
      </c>
      <c r="H96" s="138" t="str">
        <v>Calculated from 5.2.1.1 (2)</v>
      </c>
      <c r="I96" s="141" t="str" cm="1">
        <f t="array" aca="1" ref="I96" ca="1">HYPERLINK(Common_InputFunctions.Utility_SourceHyperlink($D$99), $D$99)</f>
        <v>Table_M_vol_organic_j_f</v>
      </c>
    </row>
    <row r="97" spans="4:9" ht="20.100000000000001" customHeight="1" x14ac:dyDescent="0.25">
      <c r="D97" s="155" t="str">
        <v>FracGASM_soil</v>
      </c>
      <c r="E97" s="155" t="str">
        <v>fraction of organic fertiliser N that volatilises</v>
      </c>
      <c r="F97" s="155"/>
      <c r="G97" s="155" t="str">
        <v>(kg NH3-N + NOx-N)/kg N</v>
      </c>
      <c r="H97" s="138" t="str">
        <v>Constant</v>
      </c>
      <c r="I97" s="155">
        <f>Fertiliser_FracGASMSoil_Data</f>
        <v>0.21</v>
      </c>
    </row>
    <row r="98" spans="4:9" ht="20.100000000000001" customHeight="1" x14ac:dyDescent="0.25"/>
    <row r="99" spans="4:9" ht="20.100000000000001" customHeight="1" x14ac:dyDescent="0.25">
      <c r="D99" s="144" t="s">
        <v>338</v>
      </c>
    </row>
    <row r="100" spans="4:9" ht="20.100000000000001" customHeight="1" x14ac:dyDescent="0.25">
      <c r="D100" s="145" t="s">
        <v>339</v>
      </c>
    </row>
    <row r="101" spans="4:9" ht="20.100000000000001" customHeight="1" x14ac:dyDescent="0.25">
      <c r="D101" s="92" t="s">
        <v>312</v>
      </c>
      <c r="E101" s="156" t="s">
        <v>316</v>
      </c>
      <c r="F101" s="156" t="s">
        <v>340</v>
      </c>
    </row>
    <row r="102" spans="4:9" ht="20.100000000000001" customHeight="1" x14ac:dyDescent="0.25">
      <c r="D102" s="25" t="str" cm="1">
        <f t="array" ref="D102:D104">Table_Input_OrganicFertiliser[Organic fertiliser type (select)]</f>
        <v>Manure - Other</v>
      </c>
      <c r="E102" s="25">
        <f>INDEX(Table_MNSoil_j_f,2,6)</f>
        <v>3000</v>
      </c>
      <c r="F102" s="25" cm="1">
        <f t="array" ref="F102">Fertiliser_Equations_AtmosphericDeposition.VEERG_5_4_1_3__2_MassOfNitrogenVolatilisedFromOrganicFertiliser(E102,$I$97)</f>
        <v>630</v>
      </c>
      <c r="G102" s="26" t="str">
        <f>$E$94</f>
        <v>kg N</v>
      </c>
    </row>
    <row r="103" spans="4:9" ht="20.100000000000001" customHeight="1" x14ac:dyDescent="0.25">
      <c r="D103" s="25" t="str">
        <v>Manure - Poultry</v>
      </c>
      <c r="E103" s="25">
        <f>INDEX(Table_MNSoil_j_f,3,6)</f>
        <v>2500</v>
      </c>
      <c r="F103" s="25" cm="1">
        <f t="array" ref="F103">Fertiliser_Equations_AtmosphericDeposition.VEERG_5_4_1_3__2_MassOfNitrogenVolatilisedFromOrganicFertiliser(E103,$I$97)</f>
        <v>525</v>
      </c>
    </row>
    <row r="104" spans="4:9" ht="20.100000000000001" customHeight="1" x14ac:dyDescent="0.25">
      <c r="D104" s="25" t="str">
        <v>Other organic fertiliser</v>
      </c>
      <c r="E104" s="25">
        <f>INDEX(Table_MNSoil_j_f,4,6)</f>
        <v>1600</v>
      </c>
      <c r="F104" s="25" cm="1">
        <f t="array" ref="F104">Fertiliser_Equations_AtmosphericDeposition.VEERG_5_4_1_3__2_MassOfNitrogenVolatilisedFromOrganicFertiliser(E104,$I$97)</f>
        <v>336</v>
      </c>
    </row>
    <row r="105" spans="4:9" ht="20.100000000000001" customHeight="1" x14ac:dyDescent="0.25">
      <c r="D105" s="25"/>
      <c r="E105" s="25">
        <f>'5.2.1.1-2 Organic Fert N2O'!I23</f>
        <v>0</v>
      </c>
      <c r="F105" s="25" cm="1">
        <f t="array" ref="F105">Fertiliser_Equations_AtmosphericDeposition.VEERG_5_4_1_3__2_MassOfNitrogenVolatilisedFromOrganicFertiliser(E105,$I$97)</f>
        <v>0</v>
      </c>
    </row>
    <row r="106" spans="4:9" ht="20.100000000000001" customHeight="1" x14ac:dyDescent="0.25">
      <c r="D106" s="25"/>
      <c r="E106" s="25">
        <f>'5.2.1.1-2 Organic Fert N2O'!I24</f>
        <v>0</v>
      </c>
      <c r="F106" s="25" cm="1">
        <f t="array" ref="F106">Fertiliser_Equations_AtmosphericDeposition.VEERG_5_4_1_3__2_MassOfNitrogenVolatilisedFromOrganicFertiliser(E106,$I$97)</f>
        <v>0</v>
      </c>
    </row>
    <row r="107" spans="4:9" ht="20.100000000000001" customHeight="1" x14ac:dyDescent="0.25">
      <c r="D107" s="25"/>
      <c r="E107" s="25">
        <f>'5.2.1.1-2 Organic Fert N2O'!I25</f>
        <v>0</v>
      </c>
      <c r="F107" s="25" cm="1">
        <f t="array" ref="F107">Fertiliser_Equations_AtmosphericDeposition.VEERG_5_4_1_3__2_MassOfNitrogenVolatilisedFromOrganicFertiliser(E107,$I$97)</f>
        <v>0</v>
      </c>
    </row>
    <row r="108" spans="4:9" ht="20.100000000000001" customHeight="1" x14ac:dyDescent="0.25">
      <c r="D108" s="25"/>
      <c r="E108" s="25">
        <f>'5.2.1.1-2 Organic Fert N2O'!I26</f>
        <v>0</v>
      </c>
      <c r="F108" s="25" cm="1">
        <f t="array" ref="F108">Fertiliser_Equations_AtmosphericDeposition.VEERG_5_4_1_3__2_MassOfNitrogenVolatilisedFromOrganicFertiliser(E108,$I$97)</f>
        <v>0</v>
      </c>
    </row>
    <row r="109" spans="4:9" ht="20.100000000000001" customHeight="1" x14ac:dyDescent="0.25">
      <c r="D109" s="25"/>
      <c r="E109" s="25">
        <f>'5.2.1.1-2 Organic Fert N2O'!I27</f>
        <v>0</v>
      </c>
      <c r="F109" s="25" cm="1">
        <f t="array" ref="F109">Fertiliser_Equations_AtmosphericDeposition.VEERG_5_4_1_3__2_MassOfNitrogenVolatilisedFromOrganicFertiliser(E109,$I$97)</f>
        <v>0</v>
      </c>
    </row>
    <row r="110" spans="4:9" ht="20.100000000000001" customHeight="1" x14ac:dyDescent="0.25">
      <c r="D110" s="25"/>
      <c r="E110" s="25">
        <f>'5.2.1.1-2 Organic Fert N2O'!I28</f>
        <v>0</v>
      </c>
      <c r="F110" s="25" cm="1">
        <f t="array" ref="F110">Fertiliser_Equations_AtmosphericDeposition.VEERG_5_4_1_3__2_MassOfNitrogenVolatilisedFromOrganicFertiliser(E110,$I$97)</f>
        <v>0</v>
      </c>
    </row>
    <row r="111" spans="4:9" ht="20.100000000000001" customHeight="1" x14ac:dyDescent="0.25">
      <c r="D111" s="25"/>
      <c r="E111" s="25">
        <f>'5.2.1.1-2 Organic Fert N2O'!I29</f>
        <v>0</v>
      </c>
      <c r="F111" s="25" cm="1">
        <f t="array" ref="F111">Fertiliser_Equations_AtmosphericDeposition.VEERG_5_4_1_3__2_MassOfNitrogenVolatilisedFromOrganicFertiliser(E111,$I$97)</f>
        <v>0</v>
      </c>
    </row>
    <row r="112" spans="4:9" ht="20.100000000000001" customHeight="1" x14ac:dyDescent="0.25">
      <c r="D112" s="25"/>
      <c r="E112" s="25">
        <f>'5.2.1.1-2 Organic Fert N2O'!I30</f>
        <v>0</v>
      </c>
      <c r="F112" s="25"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62"/>
      <c r="D115" s="162"/>
      <c r="E115" s="162"/>
      <c r="F115" s="162"/>
      <c r="G115" s="162"/>
      <c r="H115" s="162"/>
      <c r="I115" s="162"/>
      <c r="J115" s="162"/>
      <c r="K115" s="162"/>
      <c r="L115" s="162"/>
    </row>
    <row r="116" spans="3:12" ht="20.100000000000001"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27" t="str" cm="1">
        <f t="array" ref="D117">Fertiliser_Equations_AtmosphericDeposition.VEERG_5_4_1_3__1_OrganicFertiliserAtmosphericDepositionN2OEmissions_Source()</f>
        <v>VEERG 2026: 5.4.1.3, Equation (1)</v>
      </c>
    </row>
    <row r="118" spans="3:12" ht="20.100000000000001" customHeight="1" x14ac:dyDescent="0.25">
      <c r="D118" s="133" t="s">
        <v>267</v>
      </c>
      <c r="E118" s="133"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88" t="s">
        <v>268</v>
      </c>
      <c r="E121" s="1" t="str" cm="1">
        <f t="array" ref="E121">Fertiliser_Equations_AtmosphericDeposition.VEERG_5_4_1_3__1_OrganicFertiliserAtmosphericDepositionN2OEmissions_Variable()</f>
        <v>E_adorganic</v>
      </c>
    </row>
    <row r="122" spans="3:12" ht="20.100000000000001" customHeight="1" x14ac:dyDescent="0.25">
      <c r="D122" s="88" t="s">
        <v>121</v>
      </c>
      <c r="E122" s="15"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55" t="str" cm="1">
        <f t="array" ref="D124:E129">_xlfn.CHOOSECOLS(Fertiliser_Equations_AtmosphericDeposition.VEERG_5_4_1_3__1_OrganicFertiliserAtmosphericDepositionN2OEmissions_Arguments(), 1, 2)</f>
        <v>M_volorganicjf</v>
      </c>
      <c r="E124" s="163" t="str">
        <v>mass of nitrogen volatilised from organic fertiliser applied to production system</v>
      </c>
      <c r="F124" s="165"/>
      <c r="G124" s="155" t="str" cm="1">
        <f t="array" ref="G124:H129">_xlfn.CHOOSECOLS(Fertiliser_Equations_AtmosphericDeposition.VEERG_5_4_1_3__1_OrganicFertiliserAtmosphericDepositionN2OEmissions_Arguments(), 3,4)</f>
        <v>kg N</v>
      </c>
      <c r="H124" s="138" t="str">
        <v>Calculated from 5.4.1.3 (2)</v>
      </c>
      <c r="I124" s="141" t="str" cm="1">
        <f t="array" aca="1" ref="I124" ca="1">HYPERLINK(Common_InputFunctions.Utility_SourceHyperlink($D$99), $D$99)</f>
        <v>Table_M_vol_organic_j_f</v>
      </c>
    </row>
    <row r="125" spans="3:12" ht="20.100000000000001" customHeight="1" x14ac:dyDescent="0.25">
      <c r="D125" s="155" t="str">
        <v>EF_N2Oj</v>
      </c>
      <c r="E125" s="163" t="str">
        <v>emission factor for atmospheric deposition in production system j</v>
      </c>
      <c r="F125" s="165"/>
      <c r="G125" s="155" t="str">
        <v>kg N2O-N/kg N</v>
      </c>
      <c r="H125" s="138" t="str">
        <v>Constant</v>
      </c>
      <c r="I125" s="155">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5">
      <c r="D126" s="155" t="str">
        <v>C_N2O</v>
      </c>
      <c r="E126" s="163" t="str">
        <v>factor to convert elemental mass of nitrous oxide to molecular mass</v>
      </c>
      <c r="F126" s="165"/>
      <c r="G126" s="155" t="str">
        <v/>
      </c>
      <c r="H126" s="138" t="str">
        <v>Constant</v>
      </c>
      <c r="I126" s="134">
        <f>Common_InputFunctions.Utility_LookupValueInTableNumber("N2O",Table_GasToMolecularConversionFactor[Gas],Table_GasToMolecularConversionFactor[Conversion factor combined])</f>
        <v>1.5714285714285714</v>
      </c>
    </row>
    <row r="127" spans="3:12" ht="20.100000000000001" customHeight="1" x14ac:dyDescent="0.25">
      <c r="D127" s="155" t="str">
        <v>j</v>
      </c>
      <c r="E127" s="163" t="str">
        <v>Production system</v>
      </c>
      <c r="F127" s="165"/>
      <c r="G127" s="155" t="str">
        <v/>
      </c>
      <c r="H127" s="137" t="str">
        <v>Input</v>
      </c>
      <c r="I127" s="155" t="str">
        <f>X_Cell_Fertiliser_ProductionSystem</f>
        <v>Crop</v>
      </c>
    </row>
    <row r="128" spans="3:12" ht="20.100000000000001" customHeight="1" x14ac:dyDescent="0.25">
      <c r="D128" s="155" t="str">
        <v>ir</v>
      </c>
      <c r="E128" s="163" t="str">
        <v>irrigation method</v>
      </c>
      <c r="F128" s="165"/>
      <c r="G128" s="155" t="str">
        <v/>
      </c>
      <c r="H128" s="137" t="str">
        <v>Input</v>
      </c>
      <c r="I128" s="155" t="str">
        <f>X_Cell_Fertiliser_IrrigationMethod</f>
        <v>Sprinkler irrigation</v>
      </c>
    </row>
    <row r="129" spans="4:9" ht="20.100000000000001" customHeight="1" x14ac:dyDescent="0.25">
      <c r="D129" s="155" t="str">
        <v>r</v>
      </c>
      <c r="E129" s="163" t="str">
        <v>rainfall region</v>
      </c>
      <c r="F129" s="165"/>
      <c r="G129" s="155" t="str">
        <v/>
      </c>
      <c r="H129" s="137" t="str">
        <v>Input</v>
      </c>
      <c r="I129" s="155" t="str">
        <f>X_Cell_Site_RainfallZone</f>
        <v>High rainfall</v>
      </c>
    </row>
    <row r="130" spans="4:9" ht="20.100000000000001" customHeight="1" x14ac:dyDescent="0.25"/>
    <row r="131" spans="4:9" ht="20.100000000000001" customHeight="1" x14ac:dyDescent="0.25">
      <c r="D131" s="144" t="s">
        <v>341</v>
      </c>
    </row>
    <row r="132" spans="4:9" ht="20.100000000000001" customHeight="1" x14ac:dyDescent="0.25">
      <c r="D132" s="145" t="s">
        <v>342</v>
      </c>
    </row>
    <row r="133" spans="4:9" ht="20.100000000000001" customHeight="1" x14ac:dyDescent="0.25">
      <c r="D133" s="92" t="s">
        <v>312</v>
      </c>
      <c r="E133" s="156" t="s">
        <v>340</v>
      </c>
      <c r="F133" s="156" t="s">
        <v>343</v>
      </c>
    </row>
    <row r="134" spans="4:9" ht="20.100000000000001" customHeight="1" x14ac:dyDescent="0.25">
      <c r="D134" s="25" t="str" cm="1">
        <f t="array" ref="D134:D136">Table_Input_OrganicFertiliser[Organic fertiliser type (select)]</f>
        <v>Manure - Other</v>
      </c>
      <c r="E134" s="25">
        <f>F102</f>
        <v>630</v>
      </c>
      <c r="F134" s="25" cm="1">
        <f t="array" ref="F134">Fertiliser_Equations_AtmosphericDeposition.VEERG_5_4_1_3__1_OrganicFertiliserAtmosphericDepositionN2OEmissions(E134,$I$125,$I$126)</f>
        <v>6.9299999999999995E-3</v>
      </c>
    </row>
    <row r="135" spans="4:9" ht="20.100000000000001" customHeight="1" x14ac:dyDescent="0.25">
      <c r="D135" s="25" t="str">
        <v>Manure - Poultry</v>
      </c>
      <c r="E135" s="25">
        <f t="shared" ref="E135:E144" si="1">F103</f>
        <v>525</v>
      </c>
      <c r="F135" s="25" cm="1">
        <f t="array" ref="F135">Fertiliser_Equations_AtmosphericDeposition.VEERG_5_4_1_3__1_OrganicFertiliserAtmosphericDepositionN2OEmissions(E135,$I$125,$I$126)</f>
        <v>5.7750000000000006E-3</v>
      </c>
    </row>
    <row r="136" spans="4:9" ht="20.100000000000001" customHeight="1" x14ac:dyDescent="0.25">
      <c r="D136" s="25" t="str">
        <v>Other organic fertiliser</v>
      </c>
      <c r="E136" s="25">
        <f t="shared" si="1"/>
        <v>336</v>
      </c>
      <c r="F136" s="25" cm="1">
        <f t="array" ref="F136">Fertiliser_Equations_AtmosphericDeposition.VEERG_5_4_1_3__1_OrganicFertiliserAtmosphericDepositionN2OEmissions(E136,$I$125,$I$126)</f>
        <v>3.6959999999999996E-3</v>
      </c>
    </row>
    <row r="137" spans="4:9" ht="20.100000000000001" customHeight="1" x14ac:dyDescent="0.25">
      <c r="D137" s="25"/>
      <c r="E137" s="25">
        <f t="shared" si="1"/>
        <v>0</v>
      </c>
      <c r="F137" s="25" cm="1">
        <f t="array" ref="F137">Fertiliser_Equations_AtmosphericDeposition.VEERG_5_4_1_3__1_OrganicFertiliserAtmosphericDepositionN2OEmissions(E137,$I$125,$I$126)</f>
        <v>0</v>
      </c>
    </row>
    <row r="138" spans="4:9" ht="20.100000000000001" customHeight="1" x14ac:dyDescent="0.25">
      <c r="D138" s="25"/>
      <c r="E138" s="25">
        <f t="shared" si="1"/>
        <v>0</v>
      </c>
      <c r="F138" s="25" cm="1">
        <f t="array" ref="F138">Fertiliser_Equations_AtmosphericDeposition.VEERG_5_4_1_3__1_OrganicFertiliserAtmosphericDepositionN2OEmissions(E138,$I$125,$I$126)</f>
        <v>0</v>
      </c>
    </row>
    <row r="139" spans="4:9" ht="20.100000000000001" customHeight="1" x14ac:dyDescent="0.25">
      <c r="D139" s="25"/>
      <c r="E139" s="25">
        <f t="shared" si="1"/>
        <v>0</v>
      </c>
      <c r="F139" s="25" cm="1">
        <f t="array" ref="F139">Fertiliser_Equations_AtmosphericDeposition.VEERG_5_4_1_3__1_OrganicFertiliserAtmosphericDepositionN2OEmissions(E139,$I$125,$I$126)</f>
        <v>0</v>
      </c>
    </row>
    <row r="140" spans="4:9" ht="20.100000000000001" customHeight="1" x14ac:dyDescent="0.25">
      <c r="D140" s="25"/>
      <c r="E140" s="25">
        <f t="shared" si="1"/>
        <v>0</v>
      </c>
      <c r="F140" s="25" cm="1">
        <f t="array" ref="F140">Fertiliser_Equations_AtmosphericDeposition.VEERG_5_4_1_3__1_OrganicFertiliserAtmosphericDepositionN2OEmissions(E140,$I$125,$I$126)</f>
        <v>0</v>
      </c>
    </row>
    <row r="141" spans="4:9" ht="20.100000000000001" customHeight="1" x14ac:dyDescent="0.25">
      <c r="D141" s="25"/>
      <c r="E141" s="25">
        <f t="shared" si="1"/>
        <v>0</v>
      </c>
      <c r="F141" s="25" cm="1">
        <f t="array" ref="F141">Fertiliser_Equations_AtmosphericDeposition.VEERG_5_4_1_3__1_OrganicFertiliserAtmosphericDepositionN2OEmissions(E141,$I$125,$I$126)</f>
        <v>0</v>
      </c>
    </row>
    <row r="142" spans="4:9" ht="20.100000000000001" customHeight="1" x14ac:dyDescent="0.25">
      <c r="D142" s="25"/>
      <c r="E142" s="25">
        <f t="shared" si="1"/>
        <v>0</v>
      </c>
      <c r="F142" s="25" cm="1">
        <f t="array" ref="F142">Fertiliser_Equations_AtmosphericDeposition.VEERG_5_4_1_3__1_OrganicFertiliserAtmosphericDepositionN2OEmissions(E142,$I$125,$I$126)</f>
        <v>0</v>
      </c>
    </row>
    <row r="143" spans="4:9" ht="20.100000000000001" customHeight="1" x14ac:dyDescent="0.25">
      <c r="D143" s="25"/>
      <c r="E143" s="25">
        <f t="shared" si="1"/>
        <v>0</v>
      </c>
      <c r="F143" s="25" cm="1">
        <f t="array" ref="F143">Fertiliser_Equations_AtmosphericDeposition.VEERG_5_4_1_3__1_OrganicFertiliserAtmosphericDepositionN2OEmissions(E143,$I$125,$I$126)</f>
        <v>0</v>
      </c>
    </row>
    <row r="144" spans="4:9" ht="20.100000000000001" customHeight="1" x14ac:dyDescent="0.25">
      <c r="D144" s="25"/>
      <c r="E144" s="25">
        <f t="shared" si="1"/>
        <v>0</v>
      </c>
      <c r="F144" s="25"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150" t="s">
        <v>344</v>
      </c>
      <c r="E146" s="151">
        <f>SUM(F134:F144)</f>
        <v>1.6400999999999999E-2</v>
      </c>
      <c r="F146" s="152" t="str">
        <f>$E$122</f>
        <v>t N2O</v>
      </c>
    </row>
    <row r="147" spans="4:7" ht="20.100000000000001" customHeight="1" x14ac:dyDescent="0.25"/>
    <row r="148" spans="4:7" ht="20.100000000000001" customHeight="1" x14ac:dyDescent="0.25">
      <c r="D148" s="134" t="str" cm="1">
        <f t="array" ref="D148:E149">Common_Equations.Common_ConvertN2OToCO2e_Arguments()</f>
        <v>EN2O</v>
      </c>
      <c r="E148" s="135" t="str">
        <v>Nitrous oxide emissions (t N2O)</v>
      </c>
      <c r="F148" s="153"/>
      <c r="G148" s="25">
        <f>VEERG_5_4_1_3__1_OrganicFertiliserAtmosphericDepositionN2OEmissions_Result_Method1</f>
        <v>1.6400999999999999E-2</v>
      </c>
    </row>
    <row r="149" spans="4:7" ht="20.100000000000001" customHeight="1" x14ac:dyDescent="0.25">
      <c r="D149" s="134" t="str">
        <v>GWPN2O</v>
      </c>
      <c r="E149" s="135" t="str">
        <v>Global warming potential for nitrous oxide (t CO2-e / t N2O)</v>
      </c>
      <c r="F149" s="153"/>
      <c r="G149" s="25">
        <f>Common_InputFunctions.Utility_LookupValueInTableNumber("N2O",Table_GWPData[Gas],Table_GWPData[CO2-e factor])</f>
        <v>265</v>
      </c>
    </row>
    <row r="150" spans="4:7" ht="20.100000000000001" customHeight="1" x14ac:dyDescent="0.25"/>
    <row r="151" spans="4:7" ht="20.100000000000001" customHeight="1" x14ac:dyDescent="0.25">
      <c r="D151" s="147" t="s">
        <v>299</v>
      </c>
      <c r="E151" s="147" cm="1">
        <f t="array" ref="E151">Common_Equations.Common_ConvertN2OToCO2e(G148,G149)</f>
        <v>4.3462649999999998</v>
      </c>
      <c r="F151" s="154"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06F09-A2FF-4178-88B6-66A4672A4268}">
  <dimension ref="A1:T165"/>
  <sheetViews>
    <sheetView showGridLines="0" topLeftCell="A16" workbookViewId="0" zoomScale="100" zoomScaleNormal="100">
      <selection activeCell="A50" sqref="A50"/>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345</v>
      </c>
    </row>
    <row r="2" spans="1:20" s="3" customFormat="1" ht="20.100000000000001" customHeight="1" x14ac:dyDescent="0.25">
      <c r="A2"/>
    </row>
    <row r="3" spans="1:20" ht="20.100000000000001" customHeight="1" x14ac:dyDescent="0.25">
      <c r="A3" s="5" t="str">
        <f>HYPERLINK("#'Home'!A1", "Home")</f>
        <v>Home</v>
      </c>
      <c r="C3" s="33"/>
      <c r="D3" s="33" t="s">
        <v>135</v>
      </c>
      <c r="E3" s="33"/>
      <c r="F3" s="33"/>
      <c r="G3" s="33"/>
      <c r="H3" s="33"/>
      <c r="I3" s="33"/>
      <c r="J3" s="33"/>
      <c r="K3" s="33"/>
      <c r="M3" s="33"/>
      <c r="N3" s="33" t="s">
        <v>136</v>
      </c>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27" t="str" cm="1">
        <f t="array" ref="D6">Fertiliser_Equations_LeachingAndRunoff.VEERG_5_5_1_1__2_MassOfNitrogenLeachedFromInorganicFertiliser_Source()</f>
        <v>VEERG 2026: 5.5, Equation (2)</v>
      </c>
    </row>
    <row r="7" spans="1:20" ht="20.100000000000001" customHeight="1" x14ac:dyDescent="0.25">
      <c r="D7" s="133" t="s">
        <v>267</v>
      </c>
      <c r="E7" s="133" t="str" cm="1">
        <f t="array" aca="1" ref="E7" ca="1">Common_InputFunctions.Utility_DisplayFunctionName(F23)</f>
        <v>=Fertiliser_Equations_LeachingAndRunoff.VEERG_5_5_1_1__2_MassOfNitrogenLeachedFromInorganicFertiliser</v>
      </c>
    </row>
    <row r="8" spans="1:20" ht="20.100000000000001" customHeight="1" x14ac:dyDescent="0.25">
      <c r="A8" s="7" t="s">
        <v>0</v>
      </c>
    </row>
    <row r="9" spans="1:20" ht="20.100000000000001" customHeight="1" x14ac:dyDescent="0.25">
      <c r="A9" s="5" t="str">
        <f>HYPERLINK("#'Input - Enterprise'!A1", "Enterprise")</f>
        <v>Enterprise</v>
      </c>
    </row>
    <row r="10" spans="1:20" ht="20.100000000000001" customHeight="1" x14ac:dyDescent="0.25">
      <c r="A10" s="5" t="str">
        <f>HYPERLINK("#'Input - Site'!A1", "Site")</f>
        <v>Site</v>
      </c>
      <c r="D10" s="88" t="s">
        <v>268</v>
      </c>
      <c r="E10" s="1" t="str" cm="1">
        <f t="array" ref="E10">Fertiliser_Equations_LeachingAndRunoff.VEERG_5_5_1_1__2_MassOfNitrogenLeachedFromInorganicFertiliser_Variable()</f>
        <v>M_leachinorganicj</v>
      </c>
    </row>
    <row r="11" spans="1:20" ht="20.100000000000001" customHeight="1" x14ac:dyDescent="0.25">
      <c r="A11" s="5" t="str">
        <f>HYPERLINK("#'Input - Crop'!A1", "Crop")</f>
        <v>Crop</v>
      </c>
      <c r="D11" s="88" t="s">
        <v>121</v>
      </c>
      <c r="E11" s="15" t="str" cm="1">
        <f t="array" ref="E11">Fertiliser_Equations_LeachingAndRunoff.VEERG_5_5_1_1__2_MassOfNitrogenLeachedFromInorganicFertiliser_Unit()</f>
        <v>kg N</v>
      </c>
    </row>
    <row r="12" spans="1:20" ht="20.100000000000001" customHeight="1" x14ac:dyDescent="0.25">
      <c r="A12" s="5" t="str">
        <f>HYPERLINK("#'Input - Fert Prod System'!A1", "Fert Prod System")</f>
        <v>Fert Prod System</v>
      </c>
    </row>
    <row r="13" spans="1:20" ht="20.100000000000001" customHeight="1" x14ac:dyDescent="0.25">
      <c r="A13" s="5" t="str">
        <f>HYPERLINK("#'Input - Fertiliser'!A1", "Fertiliser")</f>
        <v>Fertiliser</v>
      </c>
      <c r="D13" s="155" t="str" cm="1">
        <f t="array" ref="D13:E18">_xlfn.CHOOSECOLS(Fertiliser_Equations_LeachingAndRunoff.VEERG_5_5_1_1__2_MassOfNitrogenLeachedFromInorganicFertiliser_Arguments(), 1, 2)</f>
        <v>MN_jf</v>
      </c>
      <c r="E13" s="163" t="str">
        <v>mass of nitrogen in inorganic fertiliser</v>
      </c>
      <c r="F13" s="165"/>
      <c r="G13" s="155" t="str" cm="1">
        <f t="array" ref="G13:H18">_xlfn.CHOOSECOLS(Fertiliser_Equations_LeachingAndRunoff.VEERG_5_5_1_1__2_MassOfNitrogenLeachedFromInorganicFertiliser_Arguments(), 3,4)</f>
        <v>kg N</v>
      </c>
      <c r="H13" s="138" t="str">
        <v>Calculated from 5.1.1.1 (2)</v>
      </c>
      <c r="I13" s="141" t="str" cm="1">
        <f t="array" aca="1" ref="I13" ca="1">HYPERLINK(Common_InputFunctions.Utility_SourceHyperlink(D20), D20)</f>
        <v>Table_M_leach_inorganic_j</v>
      </c>
    </row>
    <row r="14" spans="1:20" ht="20.100000000000001" customHeight="1" x14ac:dyDescent="0.25">
      <c r="A14" s="5" t="str">
        <f>HYPERLINK("#'Input - Fuel'!A1", "Fuel")</f>
        <v>Fuel</v>
      </c>
      <c r="D14" s="155" t="str">
        <v>FracWETj</v>
      </c>
      <c r="E14" s="163" t="str">
        <v>fraction of N available for leaching and runoff</v>
      </c>
      <c r="F14" s="165"/>
      <c r="G14" s="155" t="str">
        <v>fraction</v>
      </c>
      <c r="H14" s="138" t="str">
        <v>Constant</v>
      </c>
      <c r="I14" s="155">
        <f>Common_InputFunctions.CommonCropping_GetFracWET(I16,I18,Table_SourceData_FracWET[Is in leaching zone],Table_SourceData_FracWET[FracWET],Table_SourceData_FracWETIrrigation[Irrigation type i],Table_SourceData_FracWETIrrigation[FracWET])</f>
        <v>1</v>
      </c>
    </row>
    <row r="15" spans="1:20" ht="20.100000000000001" customHeight="1" x14ac:dyDescent="0.25">
      <c r="A15" s="5" t="str">
        <f>HYPERLINK("#'Input - Electricity'!A1", "Electricity")</f>
        <v>Electricity</v>
      </c>
      <c r="D15" s="155" t="str">
        <v>FracLEACH</v>
      </c>
      <c r="E15" s="163" t="str">
        <v>fraction of N that is lost through leaching and runoff</v>
      </c>
      <c r="F15" s="165"/>
      <c r="G15" s="155" t="str">
        <v>fraction</v>
      </c>
      <c r="H15" s="138" t="str">
        <v>Constant</v>
      </c>
      <c r="I15" s="155">
        <f>Fertiliser_FracLEACH_Data</f>
        <v>0.24</v>
      </c>
    </row>
    <row r="16" spans="1:20" ht="20.100000000000001" customHeight="1" x14ac:dyDescent="0.25">
      <c r="A16" s="5" t="str">
        <f>HYPERLINK("#'Input - Common farm inputs'!A1", "Common farm inputs")</f>
        <v>Common farm inputs</v>
      </c>
      <c r="D16" s="155" t="str">
        <v>z</v>
      </c>
      <c r="E16" s="163" t="str">
        <v>location in leaching zone</v>
      </c>
      <c r="F16" s="165"/>
      <c r="G16" s="155" t="str">
        <v/>
      </c>
      <c r="H16" s="137" t="str">
        <v>Input</v>
      </c>
      <c r="I16" s="155" t="str">
        <f>X_Cell_Site_LeachingZone</f>
        <v>NO - Not in leaching zone</v>
      </c>
    </row>
    <row r="17" spans="1:9" ht="20.100000000000001" customHeight="1" x14ac:dyDescent="0.25">
      <c r="A17" s="5" t="str">
        <f>HYPERLINK("#'Input - Crop pasture farm input'!A1", "Crop pasture farm input")</f>
        <v>Crop pasture farm input</v>
      </c>
      <c r="D17" s="155" t="str">
        <v>j</v>
      </c>
      <c r="E17" s="163" t="str">
        <v>production system</v>
      </c>
      <c r="F17" s="165"/>
      <c r="G17" s="155" t="str">
        <v/>
      </c>
      <c r="H17" s="137" t="str">
        <v>Input</v>
      </c>
      <c r="I17" s="155" t="str">
        <f>X_Cell_Fertiliser_ProductionSystem</f>
        <v>Crop</v>
      </c>
    </row>
    <row r="18" spans="1:9" ht="20.100000000000001" customHeight="1" x14ac:dyDescent="0.25">
      <c r="A18" s="5" t="str">
        <f>HYPERLINK("#'Input - Freight'!A1", "Freight")</f>
        <v>Freight</v>
      </c>
      <c r="D18" s="155" t="str">
        <v>ir</v>
      </c>
      <c r="E18" s="163" t="str">
        <v>irrigation method</v>
      </c>
      <c r="F18" s="165"/>
      <c r="G18" s="155" t="str">
        <v/>
      </c>
      <c r="H18" s="137" t="str">
        <v>Input</v>
      </c>
      <c r="I18" s="155" t="str">
        <f>X_Cell_Fertiliser_IrrigationMethod</f>
        <v>Sprinkler irrigation</v>
      </c>
    </row>
    <row r="19" spans="1:9" ht="20.100000000000001" customHeight="1" x14ac:dyDescent="0.25">
      <c r="A19" s="5" t="str">
        <f>HYPERLINK("#'Input - Manure sent off-site'!A1", "Manure sent off-site")</f>
        <v>Manure sent off-site</v>
      </c>
    </row>
    <row r="20" spans="1:9" ht="20.100000000000001" customHeight="1" x14ac:dyDescent="0.25">
      <c r="A20" s="5" t="str">
        <f>HYPERLINK("#'Input - Solid waste'!A1", "Solid waste")</f>
        <v>Solid waste</v>
      </c>
      <c r="D20" s="144" t="s">
        <v>346</v>
      </c>
    </row>
    <row r="21" spans="1:9" ht="20.100000000000001" customHeight="1" x14ac:dyDescent="0.25">
      <c r="A21" s="5" t="str">
        <f>HYPERLINK("#'Input - Data quality'!A1", "Data quality")</f>
        <v>Data quality</v>
      </c>
      <c r="D21" s="145" t="s">
        <v>347</v>
      </c>
    </row>
    <row r="22" spans="1:9" ht="20.100000000000001" customHeight="1" x14ac:dyDescent="0.25">
      <c r="D22" s="146" t="s">
        <v>272</v>
      </c>
      <c r="E22" s="146" t="s">
        <v>330</v>
      </c>
      <c r="F22" s="146" t="s">
        <v>348</v>
      </c>
    </row>
    <row r="23" spans="1:9" ht="20.100000000000001" customHeight="1" x14ac:dyDescent="0.25">
      <c r="D23" s="25" t="str" cm="1">
        <f t="array" ref="D23:D41">Table_Fertiliser_ChemicalCompounds[Fertiliser type f]</f>
        <v>Monoammonium phosphate (MAP)</v>
      </c>
      <c r="E23" s="25">
        <f>INDEX(Table_MN_j_f,2,4)</f>
        <v>0</v>
      </c>
      <c r="F23" s="25" cm="1">
        <f t="array" ref="F23">Fertiliser_Equations_LeachingAndRunoff.VEERG_5_5_1_1__2_MassOfNitrogenLeachedFromInorganicFertiliser(E23, $I$14, $I$15)</f>
        <v>0</v>
      </c>
    </row>
    <row r="24" spans="1:9" ht="20.100000000000001" customHeight="1" x14ac:dyDescent="0.25">
      <c r="A24" s="6" t="s">
        <v>2</v>
      </c>
      <c r="D24" s="25" t="str">
        <v>Diammonium phosphate (DAP)</v>
      </c>
      <c r="E24" s="25">
        <f>INDEX(Table_MN_j_f,3,4)</f>
        <v>0</v>
      </c>
      <c r="F24" s="25" cm="1">
        <f t="array" ref="F24">Fertiliser_Equations_LeachingAndRunoff.VEERG_5_5_1_1__2_MassOfNitrogenLeachedFromInorganicFertiliser(E24, $I$14, $I$15)</f>
        <v>0</v>
      </c>
    </row>
    <row r="25" spans="1:9" ht="20.100000000000001" customHeight="1" x14ac:dyDescent="0.25">
      <c r="A25" s="5" t="str">
        <f>HYPERLINK("#'5.1.1.1-2 Inorganic fert N2O'!A1", "5.1.1.1-2 Inorganic fert N2O")</f>
        <v>5.1.1.1-2 Inorganic fert N2O</v>
      </c>
      <c r="D25" s="25" t="str">
        <v>Urea</v>
      </c>
      <c r="E25" s="25">
        <f>INDEX(Table_MN_j_f,4,4)</f>
        <v>115999.99400000001</v>
      </c>
      <c r="F25" s="25" cm="1">
        <f t="array" ref="F25">Fertiliser_Equations_LeachingAndRunoff.VEERG_5_5_1_1__2_MassOfNitrogenLeachedFromInorganicFertiliser(E25, $I$14, $I$15)</f>
        <v>27839.99856</v>
      </c>
    </row>
    <row r="26" spans="1:9" ht="20.100000000000001" customHeight="1" x14ac:dyDescent="0.25">
      <c r="A26" s="5" t="str">
        <f>HYPERLINK("#'5.1.1.3-4 Inorganic fert CO2'!A1", "5.1.1.3-4 Inorganic fert CO2")</f>
        <v>5.1.1.3-4 Inorganic fert CO2</v>
      </c>
      <c r="D26" s="25" t="str">
        <v>Sulphate of ammonia (SOA)</v>
      </c>
      <c r="E26" s="25">
        <f>INDEX(Table_MN_j_f,5,4)</f>
        <v>0</v>
      </c>
      <c r="F26" s="25" cm="1">
        <f t="array" ref="F26">Fertiliser_Equations_LeachingAndRunoff.VEERG_5_5_1_1__2_MassOfNitrogenLeachedFromInorganicFertiliser(E26, $I$14, $I$15)</f>
        <v>0</v>
      </c>
    </row>
    <row r="27" spans="1:9" ht="20.100000000000001" customHeight="1" x14ac:dyDescent="0.25">
      <c r="A27" s="5" t="str">
        <f>HYPERLINK("#'5.2.1.1-2 Organic Fert N2O'!A1", "5.2.1.1-2 Organic fert N2O")</f>
        <v>5.2.1.1-2 Organic fert N2O</v>
      </c>
      <c r="D27" s="25" t="str">
        <v>Urea-ammonium nitrate (UAN)</v>
      </c>
      <c r="E27" s="25">
        <f>INDEX(Table_MN_j_f,6,4)</f>
        <v>0</v>
      </c>
      <c r="F27" s="25" cm="1">
        <f t="array" ref="F27">Fertiliser_Equations_LeachingAndRunoff.VEERG_5_5_1_1__2_MassOfNitrogenLeachedFromInorganicFertiliser(E27, $I$14, $I$15)</f>
        <v>0</v>
      </c>
    </row>
    <row r="28" spans="1:9" ht="20.100000000000001" customHeight="1" x14ac:dyDescent="0.25">
      <c r="A28" s="5" t="str">
        <f>HYPERLINK("#'5.3.1.1-2 Lime CO2'!A1", "5.3.1.1-2 Lime CO2")</f>
        <v>5.3.1.1-2 Lime CO2</v>
      </c>
      <c r="D28" s="25" t="str">
        <v>Ammonium nitrate (AN)</v>
      </c>
      <c r="E28" s="25">
        <f>INDEX(Table_MN_j_f,7,4)</f>
        <v>0</v>
      </c>
      <c r="F28" s="25" cm="1">
        <f t="array" ref="F28">Fertiliser_Equations_LeachingAndRunoff.VEERG_5_5_1_1__2_MassOfNitrogenLeachedFromInorganicFertiliser(E28, $I$14, $I$15)</f>
        <v>0</v>
      </c>
    </row>
    <row r="29" spans="1:9" ht="20.100000000000001" customHeight="1" x14ac:dyDescent="0.25">
      <c r="A29" s="5" t="str">
        <f>HYPERLINK("#'5.4.1.1-4 Atmos deposition'!A1", "5.4.1.1-4 Atmos. deposition")</f>
        <v>5.4.1.1-4 Atmos. deposition</v>
      </c>
      <c r="D29" s="25" t="str">
        <v>Calcium ammonium nitrate (CAN)</v>
      </c>
      <c r="E29" s="25">
        <f>INDEX(Table_MN_j_f,8,4)</f>
        <v>0</v>
      </c>
      <c r="F29" s="25" cm="1">
        <f t="array" ref="F29">Fertiliser_Equations_LeachingAndRunoff.VEERG_5_5_1_1__2_MassOfNitrogenLeachedFromInorganicFertiliser(E29, $I$14, $I$15)</f>
        <v>0</v>
      </c>
    </row>
    <row r="30" spans="1:9" ht="20.100000000000001" customHeight="1" x14ac:dyDescent="0.25">
      <c r="A30" s="142" t="str">
        <f>HYPERLINK("#'5.5.1.1-2 Leaching and runoff'!A1", "5.5.1.1-2 Leaching &amp; runoff")</f>
        <v>5.5.1.1-2 Leaching &amp; runoff</v>
      </c>
      <c r="D30" s="25" t="str">
        <v>Nitrogen - Ammoniacal</v>
      </c>
      <c r="E30" s="25">
        <f>INDEX(Table_MN_j_f,9,4)</f>
        <v>12400</v>
      </c>
      <c r="F30" s="25" cm="1">
        <f t="array" ref="F30">Fertiliser_Equations_LeachingAndRunoff.VEERG_5_5_1_1__2_MassOfNitrogenLeachedFromInorganicFertiliser(E30, $I$14, $I$15)</f>
        <v>2976</v>
      </c>
    </row>
    <row r="31" spans="1:9" ht="20.100000000000001" customHeight="1" x14ac:dyDescent="0.25">
      <c r="A31" s="5" t="str">
        <f>HYPERLINK("#'6.1.1.1-2 Crop residue N2O'!A1", "6.1.1.1-2 Crop residue N2O")</f>
        <v>6.1.1.1-2 Crop residue N2O</v>
      </c>
      <c r="D31" s="25" t="str">
        <v>Nitrogen - Nitrate</v>
      </c>
      <c r="E31" s="25">
        <f>INDEX(Table_MN_j_f,10,4)</f>
        <v>5500</v>
      </c>
      <c r="F31" s="25" cm="1">
        <f t="array" ref="F31">Fertiliser_Equations_LeachingAndRunoff.VEERG_5_5_1_1__2_MassOfNitrogenLeachedFromInorganicFertiliser(E31, $I$14, $I$15)</f>
        <v>1320</v>
      </c>
    </row>
    <row r="32" spans="1:9" ht="20.100000000000001" customHeight="1" x14ac:dyDescent="0.25">
      <c r="A32" s="5" t="str">
        <f>HYPERLINK("#'6.3.1.1-2 Leach runoff crop'!A1", "6.3.1.1-2 Leach &amp; runoff (crop)")</f>
        <v>6.3.1.1-2 Leach &amp; runoff (crop)</v>
      </c>
      <c r="D32" s="25" t="str">
        <v>Nitrogen - Generic</v>
      </c>
      <c r="E32" s="25">
        <f>INDEX(Table_MN_j_f,11,4)</f>
        <v>0</v>
      </c>
      <c r="F32" s="25" cm="1">
        <f t="array" ref="F32">Fertiliser_Equations_LeachingAndRunoff.VEERG_5_5_1_1__2_MassOfNitrogenLeachedFromInorganicFertiliser(E32, $I$14, $I$15)</f>
        <v>0</v>
      </c>
    </row>
    <row r="33" spans="1:11" ht="20.100000000000001" customHeight="1" x14ac:dyDescent="0.25">
      <c r="A33" s="5" t="str">
        <f>HYPERLINK("#'6.4.1.1-2 Residue burning'!A1", "6.4.1.1-2 Residue burning")</f>
        <v>6.4.1.1-2 Residue burning</v>
      </c>
      <c r="D33" s="25" t="str">
        <v>Phosphorus - Generic</v>
      </c>
      <c r="E33" s="25">
        <f>INDEX(Table_MN_j_f,12,4)</f>
        <v>0</v>
      </c>
      <c r="F33" s="25" cm="1">
        <f t="array" ref="F33">Fertiliser_Equations_LeachingAndRunoff.VEERG_5_5_1_1__2_MassOfNitrogenLeachedFromInorganicFertiliser(E33, $I$14, $I$15)</f>
        <v>0</v>
      </c>
    </row>
    <row r="34" spans="1:11" ht="20.100000000000001" customHeight="1" x14ac:dyDescent="0.25">
      <c r="A34" s="5" t="str">
        <f>HYPERLINK("#'8.1.1.1-2 Transport fuel'!A1", "8.1.1.1-2 Transport fuel")</f>
        <v>8.1.1.1-2 Transport fuel</v>
      </c>
      <c r="D34" s="25" t="str">
        <v>Potassium - Generic</v>
      </c>
      <c r="E34" s="25">
        <f>INDEX(Table_MN_j_f,13,4)</f>
        <v>0</v>
      </c>
      <c r="F34" s="25" cm="1">
        <f t="array" ref="F34">Fertiliser_Equations_LeachingAndRunoff.VEERG_5_5_1_1__2_MassOfNitrogenLeachedFromInorganicFertiliser(E34, $I$14, $I$15)</f>
        <v>0</v>
      </c>
    </row>
    <row r="35" spans="1:11" ht="20.100000000000001" customHeight="1" x14ac:dyDescent="0.25">
      <c r="A35" s="5" t="str">
        <f>HYPERLINK("#'8.2.1.1-2 Stationary fuel'!A1", "8.2.1.1-2 Stationary fuel")</f>
        <v>8.2.1.1-2 Stationary fuel</v>
      </c>
      <c r="D35" s="25" t="str">
        <v>Sulfur - Generic</v>
      </c>
      <c r="E35" s="25">
        <f>INDEX(Table_MN_j_f,14,4)</f>
        <v>0</v>
      </c>
      <c r="F35" s="25" cm="1">
        <f t="array" ref="F35">Fertiliser_Equations_LeachingAndRunoff.VEERG_5_5_1_1__2_MassOfNitrogenLeachedFromInorganicFertiliser(E35, $I$14, $I$15)</f>
        <v>0</v>
      </c>
    </row>
    <row r="36" spans="1:11" ht="20.100000000000001" customHeight="1" x14ac:dyDescent="0.25">
      <c r="A36" s="5" t="str">
        <f>HYPERLINK("#'14.1.1-2 Purchased electricity'!A1", "14.1.1-2 Purchased electricity")</f>
        <v>14.1.1-2 Purchased electricity</v>
      </c>
      <c r="D36" s="25" t="str">
        <v>Zinc - Generic</v>
      </c>
      <c r="E36" s="25">
        <f>INDEX(Table_MN_j_f,15,4)</f>
        <v>0</v>
      </c>
      <c r="F36" s="25" cm="1">
        <f t="array" ref="F36">Fertiliser_Equations_LeachingAndRunoff.VEERG_5_5_1_1__2_MassOfNitrogenLeachedFromInorganicFertiliser(E36, $I$14, $I$15)</f>
        <v>0</v>
      </c>
    </row>
    <row r="37" spans="1:11" ht="20.100000000000001" customHeight="1" x14ac:dyDescent="0.25">
      <c r="A37" s="5" t="str">
        <f>HYPERLINK("#'15 Scope 3'!A1", "15 Scope 3")</f>
        <v>15 Scope 3</v>
      </c>
      <c r="D37" s="25" t="str">
        <v>Muriate of potash (MOP)</v>
      </c>
      <c r="E37" s="25">
        <f>INDEX(Table_MN_j_f,16,4)</f>
        <v>0</v>
      </c>
      <c r="F37" s="25" cm="1">
        <f t="array" ref="F37">Fertiliser_Equations_LeachingAndRunoff.VEERG_5_5_1_1__2_MassOfNitrogenLeachedFromInorganicFertiliser(E37, $I$14, $I$15)</f>
        <v>0</v>
      </c>
    </row>
    <row r="38" spans="1:11" ht="20.100000000000001" customHeight="1" x14ac:dyDescent="0.25">
      <c r="A38" s="5" t="str">
        <f>HYPERLINK("#'Calcs - Manure sent off-site'!A1", "Calcs - Manure sent off-site")</f>
        <v>Calcs - Manure sent off-site</v>
      </c>
      <c r="D38" s="25" t="str">
        <v>Double superphosphate</v>
      </c>
      <c r="E38" s="25">
        <f>INDEX(Table_MN_j_f,17,4)</f>
        <v>0</v>
      </c>
      <c r="F38" s="25" cm="1">
        <f t="array" ref="F38">Fertiliser_Equations_LeachingAndRunoff.VEERG_5_5_1_1__2_MassOfNitrogenLeachedFromInorganicFertiliser(E38, $I$14, $I$15)</f>
        <v>0</v>
      </c>
    </row>
    <row r="39" spans="1:11" ht="20.100000000000001" customHeight="1" x14ac:dyDescent="0.25">
      <c r="A39" s="5" t="str">
        <f>HYPERLINK("#'10.1.1-2 Solid waste treatment'!A1", "10.1.1-2 Solid waste treatment")</f>
        <v>10.1.1-2 Solid waste treatment</v>
      </c>
      <c r="D39" s="25" t="str">
        <v>Single superphosphate (SSP)</v>
      </c>
      <c r="E39" s="25">
        <f>INDEX(Table_MN_j_f,18,4)</f>
        <v>0</v>
      </c>
      <c r="F39" s="25" cm="1">
        <f t="array" ref="F39">Fertiliser_Equations_LeachingAndRunoff.VEERG_5_5_1_1__2_MassOfNitrogenLeachedFromInorganicFertiliser(E39, $I$14, $I$15)</f>
        <v>0</v>
      </c>
    </row>
    <row r="40" spans="1:11" ht="20.100000000000001" customHeight="1" x14ac:dyDescent="0.25">
      <c r="D40" s="25" t="str">
        <v>Ammonia</v>
      </c>
      <c r="E40" s="25">
        <f>INDEX(Table_MN_j_f,19,4)</f>
        <v>41175</v>
      </c>
      <c r="F40" s="25" cm="1">
        <f t="array" ref="F40">Fertiliser_Equations_LeachingAndRunoff.VEERG_5_5_1_1__2_MassOfNitrogenLeachedFromInorganicFertiliser(E40, $I$14, $I$15)</f>
        <v>9882</v>
      </c>
    </row>
    <row r="41" spans="1:11" ht="20.100000000000001" customHeight="1" x14ac:dyDescent="0.25">
      <c r="D41" s="25" t="str">
        <v>Calcium nitrate</v>
      </c>
      <c r="E41" s="25">
        <f>INDEX(Table_MN_j_f,20,4)</f>
        <v>7750</v>
      </c>
      <c r="F41" s="25" cm="1">
        <f t="array" ref="F41">Fertiliser_Equations_LeachingAndRunoff.VEERG_5_5_1_1__2_MassOfNitrogenLeachedFromInorganicFertiliser(E41, $I$14, $I$15)</f>
        <v>1860</v>
      </c>
    </row>
    <row r="42" spans="1:11" ht="20.100000000000001" customHeight="1" x14ac:dyDescent="0.25">
      <c r="A42" s="108" t="s">
        <v>1</v>
      </c>
    </row>
    <row r="43" spans="1:11" ht="20.100000000000001" customHeight="1" x14ac:dyDescent="0.25">
      <c r="A43" s="5" t="str">
        <f>HYPERLINK("#'Constants - Ag Residue'!A1", "Constants - Ag residue")</f>
        <v>Constants - Ag residue</v>
      </c>
      <c r="D43" s="160" t="s">
        <v>349</v>
      </c>
      <c r="E43" s="147">
        <f>SUM(F23:F41)</f>
        <v>43877.99856</v>
      </c>
      <c r="F43" s="154" t="str">
        <f>$E$11</f>
        <v>kg N</v>
      </c>
    </row>
    <row r="44" spans="1:11" ht="20.100000000000001" customHeight="1" x14ac:dyDescent="0.25">
      <c r="A44" s="5" t="str">
        <f>HYPERLINK("#'Constants - Common Livestock'!A1", "Constants - Common Livestock")</f>
        <v>Constants - Common Livestock</v>
      </c>
    </row>
    <row r="45" spans="1:11" ht="20.100000000000001" customHeight="1" x14ac:dyDescent="0.25">
      <c r="A45" s="5" t="str">
        <f>HYPERLINK("#'Constants - Electricity'!A1", "Constants - Electricity")</f>
        <v>Constants - Electricity</v>
      </c>
      <c r="C45" s="170"/>
      <c r="D45" s="170"/>
      <c r="E45" s="170"/>
      <c r="F45" s="170"/>
      <c r="G45" s="170"/>
      <c r="H45" s="170"/>
      <c r="I45" s="170"/>
      <c r="J45" s="170"/>
      <c r="K45" s="170"/>
    </row>
    <row r="46" spans="1:11" ht="20.100000000000001" customHeight="1" x14ac:dyDescent="0.25">
      <c r="A46" s="5" t="str">
        <f>HYPERLINK("#'Constants - Fertiliser'!A1", "Constants - Fertiliser")</f>
        <v>Constants - Fertiliser</v>
      </c>
    </row>
    <row r="47" spans="1:11" ht="20.100000000000001" customHeight="1" x14ac:dyDescent="0.25">
      <c r="A47" s="5" t="str">
        <f>HYPERLINK("#'Constants - Fuel'!A1", "Constants - Fuel")</f>
        <v>Constants - Fuel</v>
      </c>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A48" s="5" t="str">
        <f>HYPERLINK("#'Constants - Scope 3'!A1", "Constants - Scope 3")</f>
        <v>Constants - Scope 3</v>
      </c>
      <c r="D48" s="27" t="str" cm="1">
        <f t="array" ref="D48">Fertiliser_Equations_LeachingAndRunoff.VEERG_5_5_1_1__3_MassOfNitrogenLeachedFromOrganicFertiliser_Source()</f>
        <v>VEERG 2026: 5.5, Equation (3)</v>
      </c>
    </row>
    <row r="49" spans="1:9" ht="20.100000000000001" customHeight="1" x14ac:dyDescent="0.25">
      <c r="A49" s="5" t="str">
        <f>HYPERLINK("#'Constants - Common'!A1", "Constants - Common")</f>
        <v>Constants - Common</v>
      </c>
      <c r="D49" s="133" t="s">
        <v>267</v>
      </c>
      <c r="E49" s="133" t="str" cm="1">
        <f t="array" aca="1" ref="E49" ca="1">Common_InputFunctions.Utility_DisplayFunctionName(F65)</f>
        <v>=Fertiliser_Equations_LeachingAndRunoff.VEERG_5_5_1_1__3_MassOfNitrogenLeachedFromOrganicFertiliser</v>
      </c>
    </row>
    <row r="50" spans="1:9" ht="20.100000000000001" customHeight="1" x14ac:dyDescent="0.25">
      <c r="A50" s="5" t="str">
        <f>HYPERLINK("#'Constants - Solid Waste'!A1", "Constants - Solid Waste")</f>
        <v>Constants - Solid Waste</v>
      </c>
    </row>
    <row r="51" spans="1:9" ht="20.100000000000001" customHeight="1" x14ac:dyDescent="0.25"/>
    <row r="52" spans="1:9" ht="20.100000000000001" customHeight="1" x14ac:dyDescent="0.25">
      <c r="D52" s="88" t="s">
        <v>268</v>
      </c>
      <c r="E52" s="1" t="str" cm="1">
        <f t="array" ref="E52">Fertiliser_Equations_LeachingAndRunoff.VEERG_5_5_1_1__3_MassOfNitrogenLeachedFromOrganicFertiliser_Variable()</f>
        <v>M_leachorganicj</v>
      </c>
    </row>
    <row r="53" spans="1:9" ht="20.100000000000001" customHeight="1" x14ac:dyDescent="0.25">
      <c r="D53" s="88" t="s">
        <v>121</v>
      </c>
      <c r="E53" s="15" t="str" cm="1">
        <f t="array" ref="E53">Fertiliser_Equations_LeachingAndRunoff.VEERG_5_5_1_1__3_MassOfNitrogenLeachedFromOrganicFertiliser_Unit()</f>
        <v>kg N</v>
      </c>
    </row>
    <row r="54" spans="1:9" ht="20.100000000000001" customHeight="1" x14ac:dyDescent="0.25"/>
    <row r="55" spans="1:9" ht="20.100000000000001" customHeight="1" x14ac:dyDescent="0.25">
      <c r="D55" s="155" t="str" cm="1">
        <f t="array" ref="D55:E60">_xlfn.CHOOSECOLS(Fertiliser_Equations_LeachingAndRunoff.VEERG_5_5_1_1__3_MassOfNitrogenLeachedFromOrganicFertiliser_Arguments(), 1, 2)</f>
        <v>MNSoil_jf</v>
      </c>
      <c r="E55" s="163" t="str">
        <v>mass of nitrogen in organic fertiliser</v>
      </c>
      <c r="F55" s="165"/>
      <c r="G55" s="155" t="str" cm="1">
        <f t="array" ref="G55:H60">_xlfn.CHOOSECOLS(Fertiliser_Equations_LeachingAndRunoff.VEERG_5_5_1_1__3_MassOfNitrogenLeachedFromOrganicFertiliser_Arguments(), 3,4)</f>
        <v>kg N</v>
      </c>
      <c r="H55" s="138" t="str">
        <v>Calculated from 5.2.1.1 (2)</v>
      </c>
      <c r="I55" s="141" t="str" cm="1">
        <f t="array" aca="1" ref="I55" ca="1">HYPERLINK(Common_InputFunctions.Utility_SourceHyperlink(D62), D62)</f>
        <v>Table_M_leach_organic_j</v>
      </c>
    </row>
    <row r="56" spans="1:9" ht="20.100000000000001" customHeight="1" x14ac:dyDescent="0.25">
      <c r="D56" s="155" t="str">
        <v>FracWETj</v>
      </c>
      <c r="E56" s="163" t="str">
        <v>fraction of N available for leaching and runoff</v>
      </c>
      <c r="F56" s="165"/>
      <c r="G56" s="155" t="str">
        <v>fraction</v>
      </c>
      <c r="H56" s="138" t="str">
        <v>Constant</v>
      </c>
      <c r="I56" s="155">
        <f>Common_InputFunctions.CommonCropping_GetFracWET(I58,I60,Table_SourceData_FracWET[Is in leaching zone],Table_SourceData_FracWET[FracWET],Table_SourceData_FracWETIrrigation[Irrigation type i],Table_SourceData_FracWETIrrigation[FracWET])</f>
        <v>1</v>
      </c>
    </row>
    <row r="57" spans="1:9" ht="20.100000000000001" customHeight="1" x14ac:dyDescent="0.25">
      <c r="D57" s="155" t="str">
        <v>FracLEACH</v>
      </c>
      <c r="E57" s="163" t="str">
        <v>fraction of N that is lost through leaching and runoff</v>
      </c>
      <c r="F57" s="165"/>
      <c r="G57" s="155" t="str">
        <v>fraction</v>
      </c>
      <c r="H57" s="138" t="str">
        <v>Constant</v>
      </c>
      <c r="I57" s="155">
        <f>Fertiliser_FracLEACH_Data</f>
        <v>0.24</v>
      </c>
    </row>
    <row r="58" spans="1:9" ht="20.100000000000001" customHeight="1" x14ac:dyDescent="0.25">
      <c r="D58" s="155" t="str">
        <v>z</v>
      </c>
      <c r="E58" s="163" t="str">
        <v>location in leaching zone</v>
      </c>
      <c r="F58" s="165"/>
      <c r="G58" s="155" t="str">
        <v/>
      </c>
      <c r="H58" s="137" t="str">
        <v>Input</v>
      </c>
      <c r="I58" s="155" t="str">
        <f>X_Cell_Site_LeachingZone</f>
        <v>NO - Not in leaching zone</v>
      </c>
    </row>
    <row r="59" spans="1:9" ht="20.100000000000001" customHeight="1" x14ac:dyDescent="0.25">
      <c r="D59" s="155" t="str">
        <v>j</v>
      </c>
      <c r="E59" s="163" t="str">
        <v>production system</v>
      </c>
      <c r="F59" s="165"/>
      <c r="G59" s="155" t="str">
        <v/>
      </c>
      <c r="H59" s="137" t="str">
        <v>Input</v>
      </c>
      <c r="I59" s="155" t="str">
        <f>X_Cell_Fertiliser_ProductionSystem</f>
        <v>Crop</v>
      </c>
    </row>
    <row r="60" spans="1:9" ht="20.100000000000001" customHeight="1" x14ac:dyDescent="0.25">
      <c r="D60" s="155" t="str">
        <v>ir</v>
      </c>
      <c r="E60" s="163" t="str">
        <v>irrigation method</v>
      </c>
      <c r="F60" s="165"/>
      <c r="G60" s="155" t="str">
        <v/>
      </c>
      <c r="H60" s="137" t="str">
        <v>Input</v>
      </c>
      <c r="I60" s="155" t="str">
        <f>X_Cell_Fertiliser_IrrigationMethod</f>
        <v>Sprinkler irrigation</v>
      </c>
    </row>
    <row r="61" spans="1:9" ht="20.100000000000001" customHeight="1" x14ac:dyDescent="0.25"/>
    <row r="62" spans="1:9" ht="20.100000000000001" customHeight="1" x14ac:dyDescent="0.25">
      <c r="D62" s="144" t="s">
        <v>350</v>
      </c>
    </row>
    <row r="63" spans="1:9" ht="20.100000000000001" customHeight="1" x14ac:dyDescent="0.25">
      <c r="D63" s="145" t="s">
        <v>351</v>
      </c>
    </row>
    <row r="64" spans="1:9" ht="20.100000000000001" customHeight="1" x14ac:dyDescent="0.25">
      <c r="D64" s="92" t="s">
        <v>312</v>
      </c>
      <c r="E64" s="171" t="s">
        <v>316</v>
      </c>
      <c r="F64" s="146" t="s">
        <v>352</v>
      </c>
    </row>
    <row r="65" spans="3:11" ht="20.100000000000001" customHeight="1" x14ac:dyDescent="0.25">
      <c r="D65" s="25" t="str">
        <f>INDEX(Table_MNSoil_j_f,2,1)</f>
        <v>Manure - Other</v>
      </c>
      <c r="E65" s="25">
        <f>INDEX(Table_MNSoil_j_f,2,6)</f>
        <v>3000</v>
      </c>
      <c r="F65" s="25" cm="1">
        <f t="array" ref="F65">Fertiliser_Equations_LeachingAndRunoff.VEERG_5_5_1_1__3_MassOfNitrogenLeachedFromOrganicFertiliser(E65,$I$56, $I$57)</f>
        <v>720</v>
      </c>
    </row>
    <row r="66" spans="3:11" ht="20.100000000000001" customHeight="1" x14ac:dyDescent="0.25">
      <c r="D66" s="25" t="str">
        <f>INDEX(Table_MNSoil_j_f,3,1)</f>
        <v>Manure - Poultry</v>
      </c>
      <c r="E66" s="25">
        <f>INDEX(Table_MNSoil_j_f,3,6)</f>
        <v>2500</v>
      </c>
      <c r="F66" s="25" cm="1">
        <f t="array" ref="F66">Fertiliser_Equations_LeachingAndRunoff.VEERG_5_5_1_1__3_MassOfNitrogenLeachedFromOrganicFertiliser(E66,$I$56, $I$57)</f>
        <v>600</v>
      </c>
    </row>
    <row r="67" spans="3:11" ht="20.100000000000001" customHeight="1" x14ac:dyDescent="0.25">
      <c r="D67" s="25" t="str">
        <f>INDEX(Table_MNSoil_j_f,4,1)</f>
        <v>Other organic fertiliser</v>
      </c>
      <c r="E67" s="25">
        <f>INDEX(Table_MNSoil_j_f,4,6)</f>
        <v>1600</v>
      </c>
      <c r="F67" s="25" cm="1">
        <f t="array" ref="F67">Fertiliser_Equations_LeachingAndRunoff.VEERG_5_5_1_1__3_MassOfNitrogenLeachedFromOrganicFertiliser(E67,$I$56, $I$57)</f>
        <v>384</v>
      </c>
    </row>
    <row r="68" spans="3:11" ht="20.100000000000001" customHeight="1" x14ac:dyDescent="0.25">
      <c r="D68" s="25">
        <f>'5.2.1.1-2 Organic Fert N2O'!D23</f>
        <v>0</v>
      </c>
      <c r="E68" s="25">
        <f>'5.2.1.1-2 Organic Fert N2O'!I23</f>
        <v>0</v>
      </c>
      <c r="F68" s="25" cm="1">
        <f t="array" ref="F68">Fertiliser_Equations_LeachingAndRunoff.VEERG_5_5_1_1__3_MassOfNitrogenLeachedFromOrganicFertiliser(E68,$I$56, $I$57)</f>
        <v>0</v>
      </c>
    </row>
    <row r="69" spans="3:11" ht="20.100000000000001" customHeight="1" x14ac:dyDescent="0.25">
      <c r="D69" s="25">
        <f>'5.2.1.1-2 Organic Fert N2O'!D24</f>
        <v>0</v>
      </c>
      <c r="E69" s="25">
        <f>'5.2.1.1-2 Organic Fert N2O'!I24</f>
        <v>0</v>
      </c>
      <c r="F69" s="25" cm="1">
        <f t="array" ref="F69">Fertiliser_Equations_LeachingAndRunoff.VEERG_5_5_1_1__3_MassOfNitrogenLeachedFromOrganicFertiliser(E69,$I$56, $I$57)</f>
        <v>0</v>
      </c>
    </row>
    <row r="70" spans="3:11" ht="20.100000000000001" customHeight="1" x14ac:dyDescent="0.25">
      <c r="D70" s="25">
        <f>'5.2.1.1-2 Organic Fert N2O'!D25</f>
        <v>0</v>
      </c>
      <c r="E70" s="25">
        <f>'5.2.1.1-2 Organic Fert N2O'!I25</f>
        <v>0</v>
      </c>
      <c r="F70" s="25" cm="1">
        <f t="array" ref="F70">Fertiliser_Equations_LeachingAndRunoff.VEERG_5_5_1_1__3_MassOfNitrogenLeachedFromOrganicFertiliser(E70,$I$56, $I$57)</f>
        <v>0</v>
      </c>
    </row>
    <row r="71" spans="3:11" ht="20.100000000000001" customHeight="1" x14ac:dyDescent="0.25">
      <c r="D71" s="25">
        <f>'5.2.1.1-2 Organic Fert N2O'!D26</f>
        <v>0</v>
      </c>
      <c r="E71" s="25">
        <f>'5.2.1.1-2 Organic Fert N2O'!I26</f>
        <v>0</v>
      </c>
      <c r="F71" s="25" cm="1">
        <f t="array" ref="F71">Fertiliser_Equations_LeachingAndRunoff.VEERG_5_5_1_1__3_MassOfNitrogenLeachedFromOrganicFertiliser(E71,$I$56, $I$57)</f>
        <v>0</v>
      </c>
    </row>
    <row r="72" spans="3:11" ht="20.100000000000001" customHeight="1" x14ac:dyDescent="0.25">
      <c r="D72" s="25">
        <f>'5.2.1.1-2 Organic Fert N2O'!D27</f>
        <v>0</v>
      </c>
      <c r="E72" s="25">
        <f>'5.2.1.1-2 Organic Fert N2O'!I27</f>
        <v>0</v>
      </c>
      <c r="F72" s="25" cm="1">
        <f t="array" ref="F72">Fertiliser_Equations_LeachingAndRunoff.VEERG_5_5_1_1__3_MassOfNitrogenLeachedFromOrganicFertiliser(E72,$I$56, $I$57)</f>
        <v>0</v>
      </c>
    </row>
    <row r="73" spans="3:11" ht="20.100000000000001" customHeight="1" x14ac:dyDescent="0.25">
      <c r="D73" s="25">
        <f>'5.2.1.1-2 Organic Fert N2O'!D28</f>
        <v>0</v>
      </c>
      <c r="E73" s="25">
        <f>'5.2.1.1-2 Organic Fert N2O'!I28</f>
        <v>0</v>
      </c>
      <c r="F73" s="25" cm="1">
        <f t="array" ref="F73">Fertiliser_Equations_LeachingAndRunoff.VEERG_5_5_1_1__3_MassOfNitrogenLeachedFromOrganicFertiliser(E73,$I$56, $I$57)</f>
        <v>0</v>
      </c>
    </row>
    <row r="74" spans="3:11" ht="20.100000000000001" customHeight="1" x14ac:dyDescent="0.25">
      <c r="D74" s="25">
        <f>'5.2.1.1-2 Organic Fert N2O'!D29</f>
        <v>0</v>
      </c>
      <c r="E74" s="25">
        <f>'5.2.1.1-2 Organic Fert N2O'!I29</f>
        <v>0</v>
      </c>
      <c r="F74" s="25" cm="1">
        <f t="array" ref="F74">Fertiliser_Equations_LeachingAndRunoff.VEERG_5_5_1_1__3_MassOfNitrogenLeachedFromOrganicFertiliser(E74,$I$56, $I$57)</f>
        <v>0</v>
      </c>
    </row>
    <row r="75" spans="3:11" ht="20.100000000000001" customHeight="1" x14ac:dyDescent="0.25">
      <c r="D75" s="25">
        <f>'5.2.1.1-2 Organic Fert N2O'!D30</f>
        <v>0</v>
      </c>
      <c r="E75" s="25">
        <f>'5.2.1.1-2 Organic Fert N2O'!I30</f>
        <v>0</v>
      </c>
      <c r="F75" s="25"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160" t="s">
        <v>353</v>
      </c>
      <c r="E77" s="147">
        <f>SUM(F65:F75)</f>
        <v>1704</v>
      </c>
      <c r="F77" s="154" t="str">
        <f>$E$53</f>
        <v>kg N</v>
      </c>
    </row>
    <row r="78" spans="3:11" ht="20.100000000000001" customHeight="1" x14ac:dyDescent="0.25"/>
    <row r="79" spans="3:11" ht="20.100000000000001" customHeight="1" x14ac:dyDescent="0.25">
      <c r="C79" s="170"/>
      <c r="D79" s="170"/>
      <c r="E79" s="170"/>
      <c r="F79" s="170"/>
      <c r="G79" s="170"/>
      <c r="H79" s="170"/>
      <c r="I79" s="170"/>
      <c r="J79" s="170"/>
      <c r="K79" s="170"/>
    </row>
    <row r="80" spans="3:11" ht="20.100000000000001" customHeight="1" x14ac:dyDescent="0.25"/>
    <row r="81" spans="4:10" ht="20.100000000000001"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27" t="str" cm="1">
        <f t="array" ref="D82">Fertiliser_Equations_LeachingAndRunoff.VEERG_5_5_1_1__1_FertiliserLeachingAndRunoffN2OEmissions_Source()</f>
        <v>VEERG 2026: 5.5, Equation (1)</v>
      </c>
    </row>
    <row r="83" spans="4:10" ht="20.100000000000001" customHeight="1" x14ac:dyDescent="0.25">
      <c r="D83" s="133" t="s">
        <v>267</v>
      </c>
      <c r="E83" s="133" t="str">
        <f ca="1">Common_InputFunctions.Utility_DisplayFunctionName(VEERG_5_5_1_1__1_FertiliserLeachingAndRunoffN2OEmissions_result_Method1)</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88" t="s">
        <v>268</v>
      </c>
      <c r="E86" s="1" t="str" cm="1">
        <f t="array" ref="E86">Fertiliser_Equations_LeachingAndRunoff.VEERG_5_5_1_1__1_FertiliserLeachingAndRunoffN2OEmissions_Variable()</f>
        <v>E_fertleach</v>
      </c>
    </row>
    <row r="87" spans="4:10" ht="20.100000000000001" customHeight="1" x14ac:dyDescent="0.25">
      <c r="D87" s="88" t="s">
        <v>121</v>
      </c>
      <c r="E87" s="15"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55" t="str" cm="1">
        <f t="array" ref="D89:E92">_xlfn.CHOOSECOLS(Fertiliser_Equations_LeachingAndRunoff.VEERG_5_5_1_1__1_FertiliserLeachingAndRunoffN2OEmissions_Arguments(), 1, 2)</f>
        <v>M_leachinorganicj</v>
      </c>
      <c r="E89" s="163" t="str">
        <v>mass of nitrogen lost through leaching and runoff from inorganic fertiliser application in production system j</v>
      </c>
      <c r="F89" s="164"/>
      <c r="G89" s="165"/>
      <c r="H89" s="155" t="str" cm="1">
        <f t="array" ref="H89:I92">_xlfn.CHOOSECOLS(Fertiliser_Equations_LeachingAndRunoff.VEERG_5_5_1_1__1_FertiliserLeachingAndRunoffN2OEmissions_Arguments(), 3,4)</f>
        <v>kg N</v>
      </c>
      <c r="I89" s="138" t="str">
        <v>Calculated from 5.5.1.1 (2)</v>
      </c>
      <c r="J89" s="155">
        <f>$E$43</f>
        <v>43877.99856</v>
      </c>
    </row>
    <row r="90" spans="4:10" ht="20.100000000000001" customHeight="1" x14ac:dyDescent="0.25">
      <c r="D90" s="155" t="str">
        <v>M_leachorganicj</v>
      </c>
      <c r="E90" s="163" t="str">
        <v>mass of nitrogen lost through leaching and runoff from organic fertiliser application</v>
      </c>
      <c r="F90" s="164"/>
      <c r="G90" s="165"/>
      <c r="H90" s="155" t="str">
        <v>kg N</v>
      </c>
      <c r="I90" s="138" t="str">
        <v>Calculated from 5.5.1.1 (3)</v>
      </c>
      <c r="J90" s="155">
        <f>$E$77</f>
        <v>1704</v>
      </c>
    </row>
    <row r="91" spans="4:10" ht="20.100000000000001" customHeight="1" x14ac:dyDescent="0.25">
      <c r="D91" s="155" t="str">
        <v>EF_leach</v>
      </c>
      <c r="E91" s="163" t="str">
        <v>emission factor for nitrogen leaching and runoff</v>
      </c>
      <c r="F91" s="164"/>
      <c r="G91" s="165"/>
      <c r="H91" s="155" t="str">
        <v>kg N2O-N/kg N</v>
      </c>
      <c r="I91" s="138" t="str">
        <v>Constant</v>
      </c>
      <c r="J91" s="155">
        <f>Fertiliser_EFLeach_Data</f>
        <v>1.0999999999999999E-2</v>
      </c>
    </row>
    <row r="92" spans="4:10" ht="20.100000000000001" customHeight="1" x14ac:dyDescent="0.25">
      <c r="D92" s="155" t="str">
        <v>C_N2O</v>
      </c>
      <c r="E92" s="163" t="str">
        <v>factor to convert elemental mass of nitrous oxide to molecular mass</v>
      </c>
      <c r="F92" s="164"/>
      <c r="G92" s="165"/>
      <c r="H92" s="155" t="str">
        <v/>
      </c>
      <c r="I92" s="138" t="str">
        <v>Constant</v>
      </c>
      <c r="J92" s="134">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150" t="s">
        <v>354</v>
      </c>
      <c r="E94" s="151" cm="1">
        <f t="array" ref="E94">Fertiliser_Equations_LeachingAndRunoff.VEERG_5_5_1_1__1_FertiliserLeachingAndRunoffN2OEmissions(J89,J90,J91,J92)</f>
        <v>0.78791740368000007</v>
      </c>
      <c r="F94" s="152" t="str">
        <f>$E$87</f>
        <v>t N2O</v>
      </c>
    </row>
    <row r="95" spans="4:10" ht="20.100000000000001" customHeight="1" x14ac:dyDescent="0.25"/>
    <row r="96" spans="4:10" ht="20.100000000000001" customHeight="1" x14ac:dyDescent="0.25">
      <c r="D96" s="134" t="str" cm="1">
        <f t="array" ref="D96:E97">Common_Equations.Common_ConvertN2OToCO2e_Arguments()</f>
        <v>EN2O</v>
      </c>
      <c r="E96" s="135" t="str">
        <v>Nitrous oxide emissions (t N2O)</v>
      </c>
      <c r="F96" s="153"/>
      <c r="G96" s="25">
        <f>VEERG_5_5_1_1__1_FertiliserLeachingAndRunoffN2OEmissions_result_Method1</f>
        <v>0.78791740368000007</v>
      </c>
    </row>
    <row r="97" spans="4:7" ht="20.100000000000001" customHeight="1" x14ac:dyDescent="0.25">
      <c r="D97" s="134" t="str">
        <v>GWPN2O</v>
      </c>
      <c r="E97" s="135" t="str">
        <v>Global warming potential for nitrous oxide (t CO2-e / t N2O)</v>
      </c>
      <c r="F97" s="153"/>
      <c r="G97" s="25">
        <f>Common_InputFunctions.Utility_LookupValueInTableNumber("N2O",Table_GWPData[Gas],Table_GWPData[CO2-e factor])</f>
        <v>265</v>
      </c>
    </row>
    <row r="98" spans="4:7" ht="20.100000000000001" customHeight="1" x14ac:dyDescent="0.25"/>
    <row r="99" spans="4:7" ht="20.100000000000001" customHeight="1" x14ac:dyDescent="0.25">
      <c r="D99" s="147" t="s">
        <v>299</v>
      </c>
      <c r="E99" s="147" cm="1">
        <f t="array" ref="E99">Common_Equations.Common_ConvertN2OToCO2e(G96,G97)</f>
        <v>208.79811197520002</v>
      </c>
      <c r="F99" s="154"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B1580-737F-4719-AF5C-93242973B626}">
  <dimension ref="A1:T342"/>
  <sheetViews>
    <sheetView showGridLines="0" workbookViewId="0" zoomScale="100" zoomScaleNormal="100">
      <selection activeCell="A50" sqref="A50"/>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9" width="30.7109375" style="1" customWidth="1"/>
    <col min="20" max="20" width="4.7109375" style="1" customWidth="1"/>
  </cols>
  <sheetData>
    <row r="1" spans="1:20" s="31" customFormat="1" ht="30" customHeight="1" x14ac:dyDescent="0.35">
      <c r="A1" s="16" t="e" vm="1">
        <v>#VALUE!</v>
      </c>
      <c r="C1" s="31" t="s">
        <v>636</v>
      </c>
      <c r="K1"/>
    </row>
    <row r="2" spans="1:20" s="3" customFormat="1" ht="20.100000000000001" customHeight="1" x14ac:dyDescent="0.25">
      <c r="A2"/>
      <c r="K2"/>
    </row>
    <row r="3" spans="1:20" ht="20.100000000000001" customHeight="1" x14ac:dyDescent="0.25">
      <c r="A3" s="5" t="str">
        <f>HYPERLINK("#'Home'!A1", "Home")</f>
        <v>Home</v>
      </c>
      <c r="C3" s="33"/>
      <c r="D3" s="33" t="s">
        <v>135</v>
      </c>
      <c r="E3" s="33"/>
      <c r="F3" s="33"/>
      <c r="G3" s="33"/>
      <c r="H3" s="33"/>
      <c r="I3" s="33"/>
      <c r="J3" s="33"/>
      <c r="L3" s="33"/>
      <c r="M3" s="33" t="s">
        <v>136</v>
      </c>
      <c r="N3" s="33"/>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D5" s="2" t="str" cm="1">
        <f t="array" ref="D5">AgResidue_Equations_CropResidue.VEERG_6_1_1_1__2__MassOfNitrogenInCropResidues_Title()</f>
        <v>Mass of nitrogen in crop residues returned to the soil</v>
      </c>
      <c r="E5" s="8"/>
      <c r="F5" s="8"/>
      <c r="G5" s="8"/>
      <c r="H5" s="8"/>
      <c r="L5" s="8"/>
      <c r="M5" s="2" t="str" cm="1">
        <f t="array" ref="M5">AgResidue_Equations_CropResidue.VEERG_6_1_1_2__1__FractionOfCropResidueRemovedBaled_Title()</f>
        <v>Fraction of crop residue that is removed for crop c, calculated where residues are baled</v>
      </c>
      <c r="N5" s="8"/>
      <c r="O5" s="8"/>
      <c r="P5" s="8"/>
      <c r="Q5" s="8"/>
    </row>
    <row r="6" spans="1:20" ht="20.100000000000001" customHeight="1" x14ac:dyDescent="0.25">
      <c r="D6" s="27" t="str" cm="1">
        <f t="array" ref="D6">AgResidue_Equations_CropResidue.VEERG_6_1_1_1__2__MassOfNitrogenInCropResidues_Source()</f>
        <v>VEERG 2026: 6.1.1.1, Equation (2)</v>
      </c>
      <c r="E6" s="8"/>
      <c r="F6" s="8"/>
      <c r="G6" s="8"/>
      <c r="H6" s="8"/>
      <c r="J6" s="8"/>
      <c r="L6" s="8"/>
      <c r="M6" s="27" t="str" cm="1">
        <f t="array" ref="M6">AgResidue_Equations_CropResidue.VEERG_6_1_1_2__1__FractionOfCropResidueRemovedBaled_Source()</f>
        <v>VEERG 2026: 6.1.1.2, Equation (1)</v>
      </c>
      <c r="N6" s="8"/>
      <c r="O6" s="8"/>
      <c r="P6" s="8"/>
      <c r="Q6" s="8"/>
    </row>
    <row r="7" spans="1:20" ht="20.100000000000001" customHeight="1" x14ac:dyDescent="0.25">
      <c r="D7" s="133" t="s">
        <v>267</v>
      </c>
      <c r="E7" s="133" t="str" cm="1">
        <f t="array" aca="1" ref="E7" ca="1">Common_InputFunctions.Utility_DisplayFunctionName(E24)</f>
        <v>=AgResidue_Equations_CropResidue.VEERG_6_1_1_1__2__MassOfNitrogenInCropResidues</v>
      </c>
      <c r="F7" s="8"/>
      <c r="G7" s="8"/>
      <c r="H7" s="8"/>
      <c r="J7" s="8"/>
      <c r="L7" s="8"/>
      <c r="M7" s="133" t="s">
        <v>267</v>
      </c>
      <c r="N7" s="133" t="str" cm="1">
        <f t="array" aca="1" ref="N7" ca="1">Common_InputFunctions.Utility_DisplayFunctionName(N20)</f>
        <v>=AgResidue_Equations_CropResidue.VEERG_6_1_1_2__1__FractionOfCropResidueRemovedBaled</v>
      </c>
      <c r="O7" s="8"/>
      <c r="P7" s="8"/>
      <c r="Q7" s="8"/>
    </row>
    <row r="8" spans="1:20" ht="20.100000000000001" customHeight="1" x14ac:dyDescent="0.25">
      <c r="A8" s="7" t="s">
        <v>0</v>
      </c>
      <c r="F8" s="8"/>
      <c r="G8" s="8"/>
      <c r="H8" s="8"/>
      <c r="J8" s="8"/>
      <c r="L8" s="8"/>
      <c r="M8" s="8"/>
      <c r="N8" s="8"/>
      <c r="O8" s="8"/>
      <c r="P8" s="8"/>
      <c r="Q8" s="8"/>
    </row>
    <row r="9" spans="1:20" ht="20.100000000000001" customHeight="1" x14ac:dyDescent="0.25">
      <c r="A9" s="5" t="str">
        <f>HYPERLINK("#'Input - Enterprise'!A1", "Enterprise")</f>
        <v>Enterprise</v>
      </c>
      <c r="D9" s="8"/>
      <c r="E9" s="8"/>
      <c r="F9" s="8"/>
      <c r="G9" s="8"/>
      <c r="H9" s="8"/>
      <c r="J9" s="8"/>
      <c r="L9" s="8"/>
      <c r="M9" s="8"/>
      <c r="N9" s="8"/>
      <c r="O9" s="8"/>
      <c r="P9" s="8"/>
      <c r="Q9" s="8"/>
    </row>
    <row r="10" spans="1:20" ht="20.100000000000001" customHeight="1" x14ac:dyDescent="0.25">
      <c r="A10" s="5" t="str">
        <f>HYPERLINK("#'Input - Site'!A1", "Site")</f>
        <v>Site</v>
      </c>
      <c r="D10" s="88" t="s">
        <v>268</v>
      </c>
      <c r="E10" s="1" t="str" cm="1">
        <f t="array" ref="E10">AgResidue_Equations_CropResidue.VEERG_6_1_1_1__2__MassOfNitrogenInCropResidues_Variable()</f>
        <v>M_c</v>
      </c>
      <c r="F10" s="8"/>
      <c r="G10" s="8"/>
      <c r="H10" s="8"/>
      <c r="J10" s="8"/>
      <c r="L10" s="8"/>
      <c r="M10" s="8"/>
      <c r="N10" s="8"/>
      <c r="O10" s="8"/>
      <c r="P10" s="8"/>
      <c r="Q10" s="8"/>
    </row>
    <row r="11" spans="1:20" ht="20.100000000000001" customHeight="1" x14ac:dyDescent="0.25">
      <c r="A11" s="5" t="str">
        <f>HYPERLINK("#'Input - Crop'!A1", "Crop")</f>
        <v>Crop</v>
      </c>
      <c r="D11" s="88" t="s">
        <v>121</v>
      </c>
      <c r="E11" s="15" t="str" cm="1">
        <f t="array" ref="E11">AgResidue_Equations_CropResidue.VEERG_6_1_1_1__2__MassOfNitrogenInCropResidues_Unit()</f>
        <v>kg N</v>
      </c>
      <c r="F11" s="8"/>
      <c r="G11" s="8"/>
      <c r="H11" s="8"/>
      <c r="J11" s="8"/>
      <c r="L11" s="8"/>
      <c r="M11" s="88" t="s">
        <v>268</v>
      </c>
      <c r="N11" s="1" t="str" cm="1">
        <f t="array" ref="N11">AgResidue_Equations_CropResidue.VEERG_6_1_1_2__1__FractionOfCropResidueRemovedBaled_Variable()</f>
        <v>FFOD_c</v>
      </c>
      <c r="O11" s="8"/>
      <c r="P11" s="8"/>
      <c r="Q11" s="8"/>
    </row>
    <row r="12" spans="1:20" ht="20.100000000000001" customHeight="1" x14ac:dyDescent="0.25">
      <c r="A12" s="5" t="str">
        <f>HYPERLINK("#'Input - Fert Prod System'!A1", "Fert Prod System")</f>
        <v>Fert Prod System</v>
      </c>
      <c r="D12" s="8"/>
      <c r="E12" s="8"/>
      <c r="F12" s="8"/>
      <c r="G12" s="8"/>
      <c r="J12" s="8"/>
      <c r="L12" s="8"/>
      <c r="M12" s="88" t="s">
        <v>121</v>
      </c>
      <c r="N12" s="15" t="str" cm="1">
        <f t="array" ref="N12">AgResidue_Equations_CropResidue.VEERG_6_1_1_2__1__FractionOfCropResidueRemovedBaled_Unit()</f>
        <v>fraction</v>
      </c>
      <c r="O12" s="8"/>
      <c r="P12" s="8"/>
      <c r="Q12" s="8"/>
    </row>
    <row r="13" spans="1:20" ht="20.100000000000001" customHeight="1" x14ac:dyDescent="0.25">
      <c r="A13" s="5" t="str">
        <f>HYPERLINK("#'Input - Fertiliser'!A1", "Fertiliser")</f>
        <v>Fertiliser</v>
      </c>
      <c r="D13" s="155" t="str" cm="1">
        <f t="array" ref="D13:E22">_xlfn.CHOOSECOLS(AgResidue_Equations_CropResidue.VEERG_6_1_1_1__2__MassOfNitrogenInCropResidues_Arguments(), 1, 2)</f>
        <v>P_c</v>
      </c>
      <c r="E13" s="163" t="str">
        <v>annual production of crop c</v>
      </c>
      <c r="F13" s="165"/>
      <c r="G13" s="155" t="str" cm="1">
        <f t="array" ref="G13:H22">_xlfn.CHOOSECOLS(AgResidue_Equations_CropResidue.VEERG_6_1_1_1__2__MassOfNitrogenInCropResidues_Arguments(), 3,4)</f>
        <v>kg</v>
      </c>
      <c r="H13" s="137" t="str">
        <v>Input</v>
      </c>
      <c r="I13" s="155">
        <f>X_Cell_Crop_TotalProductionOfCrop*10^3</f>
        <v>10000000</v>
      </c>
      <c r="J13" s="8"/>
      <c r="L13" s="8"/>
      <c r="M13" s="8"/>
      <c r="N13" s="8"/>
      <c r="O13" s="8"/>
      <c r="P13" s="8"/>
    </row>
    <row r="14" spans="1:20" ht="20.100000000000001" customHeight="1" x14ac:dyDescent="0.25">
      <c r="A14" s="5" t="str">
        <f>HYPERLINK("#'Input - Fuel'!A1", "Fuel")</f>
        <v>Fuel</v>
      </c>
      <c r="D14" s="155" t="str">
        <v>R_AGc</v>
      </c>
      <c r="E14" s="163" t="str">
        <v>residue to crop ratio for crop c</v>
      </c>
      <c r="F14" s="165"/>
      <c r="G14" s="155" t="str">
        <v/>
      </c>
      <c r="H14" s="138" t="str">
        <v>Constant</v>
      </c>
      <c r="I14" s="155">
        <f>'Input - Crop'!$E$18</f>
        <v>1.5</v>
      </c>
      <c r="J14" s="8"/>
      <c r="L14" s="8"/>
      <c r="M14" s="155" t="str" cm="1">
        <f t="array" ref="M14:N18">_xlfn.CHOOSECOLS(AgResidue_Equations_CropResidue.VEERG_6_1_1_2__1__FractionOfCropResidueRemovedBaled_Arguments(), 1, 2)</f>
        <v>B</v>
      </c>
      <c r="N14" s="155" t="str">
        <v>number of bales generated</v>
      </c>
      <c r="O14" s="155" t="str" cm="1">
        <f t="array" ref="O14:P18">_xlfn.CHOOSECOLS(AgResidue_Equations_CropResidue.VEERG_6_1_1_2__1__FractionOfCropResidueRemovedBaled_Arguments(), 3,4)</f>
        <v/>
      </c>
      <c r="P14" s="137" t="str">
        <v>Input</v>
      </c>
      <c r="Q14" s="230">
        <f>X_Cell_Crop_NumberOfBales</f>
        <v>27500</v>
      </c>
    </row>
    <row r="15" spans="1:20" ht="20.100000000000001" customHeight="1" x14ac:dyDescent="0.25">
      <c r="A15" s="5" t="str">
        <f>HYPERLINK("#'Input - Electricity'!A1", "Electricity")</f>
        <v>Electricity</v>
      </c>
      <c r="D15" s="155" t="str">
        <v>R_BGc</v>
      </c>
      <c r="E15" s="163" t="str">
        <v>below ground-residue to above ground residue ratio for crop c</v>
      </c>
      <c r="F15" s="165"/>
      <c r="G15" s="155" t="str">
        <v/>
      </c>
      <c r="H15" s="138" t="str">
        <v>Constant</v>
      </c>
      <c r="I15" s="155" cm="1">
        <f t="array" ref="I15">Common_InputFunctions.Utility_LookupValueInTableNumber($I$21,Table_SourceData_CropAttributes[Crop type],Table_SourceData_CropAttributes[Below-ground: above-ground residue ratio])</f>
        <v>0.28999999999999998</v>
      </c>
      <c r="L15" s="8"/>
      <c r="M15" s="155" t="str">
        <v>M_B</v>
      </c>
      <c r="N15" s="155" t="str">
        <v>mass of each bale</v>
      </c>
      <c r="O15" s="155" t="str">
        <v>kg</v>
      </c>
      <c r="P15" s="137" t="str">
        <v>Input</v>
      </c>
      <c r="Q15" s="155">
        <f>X_Cell_Crop_AverageWeightPerBale</f>
        <v>60</v>
      </c>
    </row>
    <row r="16" spans="1:20" ht="20.100000000000001" customHeight="1" x14ac:dyDescent="0.25">
      <c r="A16" s="5" t="str">
        <f>HYPERLINK("#'Input - Common farm inputs'!A1", "Common farm inputs")</f>
        <v>Common farm inputs</v>
      </c>
      <c r="D16" s="155" t="str">
        <v>F_c</v>
      </c>
      <c r="E16" s="163" t="str">
        <v>fraction of crop residue that is burnt for crop c</v>
      </c>
      <c r="F16" s="165"/>
      <c r="G16" s="155" t="str">
        <v>fraction</v>
      </c>
      <c r="H16" s="137" t="str">
        <v>Input</v>
      </c>
      <c r="I16" s="155">
        <f>X_Cell_Crop_PercentResidueBurned</f>
        <v>0.3</v>
      </c>
      <c r="L16" s="8"/>
      <c r="M16" s="155" t="str">
        <v>P_c</v>
      </c>
      <c r="N16" s="155" t="str">
        <v>annual production of crop c</v>
      </c>
      <c r="O16" s="155" t="str">
        <v>kg</v>
      </c>
      <c r="P16" s="137" t="str">
        <v>Input</v>
      </c>
      <c r="Q16" s="155">
        <f>X_Cell_Crop_TotalProductionOfCrop*10^3</f>
        <v>10000000</v>
      </c>
    </row>
    <row r="17" spans="1:20" ht="20.100000000000001" customHeight="1" x14ac:dyDescent="0.25">
      <c r="A17" s="5" t="str">
        <f>HYPERLINK("#'Input - Crop pasture farm input'!A1", "Crop pasture farm input")</f>
        <v>Crop pasture farm input</v>
      </c>
      <c r="D17" s="155" t="str">
        <v>FFOD_c</v>
      </c>
      <c r="E17" s="163" t="str">
        <v>fraction of the crop residue that is removed for crop c</v>
      </c>
      <c r="F17" s="165"/>
      <c r="G17" s="155" t="str">
        <v>fraction</v>
      </c>
      <c r="H17" s="138" t="str">
        <v>Constant</v>
      </c>
      <c r="I17" s="155" cm="1">
        <f t="array" ref="I17">IF(ISNUMBER(_xlfn.XLOOKUP(1, (Table77[Crop type c]=$I$21)*(Table77[State]=$I$22),Table77[Fraction removed])), _xlfn.XLOOKUP(1, (Table77[Crop type c]=$I$21)*(Table77[State]=$I$22),Table77[Fraction removed]), 0)</f>
        <v>0.11</v>
      </c>
      <c r="L17" s="8"/>
      <c r="M17" s="155" t="str">
        <v>R_AGc</v>
      </c>
      <c r="N17" s="155" t="str">
        <v>residue to crop ratio for crop c</v>
      </c>
      <c r="O17" s="155" t="str">
        <v/>
      </c>
      <c r="P17" s="138" t="str">
        <v>Constant</v>
      </c>
      <c r="Q17" s="155">
        <f>'Input - Crop'!$E$18</f>
        <v>1.5</v>
      </c>
    </row>
    <row r="18" spans="1:20" ht="20.100000000000001" customHeight="1" x14ac:dyDescent="0.25">
      <c r="A18" s="5" t="str">
        <f>HYPERLINK("#'Input - Freight'!A1", "Freight")</f>
        <v>Freight</v>
      </c>
      <c r="D18" s="155" t="str">
        <v>DM_c</v>
      </c>
      <c r="E18" s="163" t="str">
        <v>dry matter content of crop c</v>
      </c>
      <c r="F18" s="165"/>
      <c r="G18" s="155" t="str">
        <v>kg dry weight/kg crop residue</v>
      </c>
      <c r="H18" s="138" t="str">
        <v>Constant</v>
      </c>
      <c r="I18" s="155" cm="1">
        <f t="array" ref="I18">Common_InputFunctions.Utility_LookupValueInTableNumber($I$21,Table_SourceData_CropAttributes[Crop type],Table_SourceData_CropAttributes[Dry matter content])</f>
        <v>0.88</v>
      </c>
      <c r="L18" s="8"/>
      <c r="M18" s="155" t="str">
        <v>c</v>
      </c>
      <c r="N18" s="155" t="str">
        <v>Crop type</v>
      </c>
      <c r="O18" s="155" t="str">
        <v/>
      </c>
      <c r="P18" s="137" t="str">
        <v>Input</v>
      </c>
      <c r="Q18" s="155" t="str">
        <f>X_Cell_Crop_CropType</f>
        <v>Wheat</v>
      </c>
    </row>
    <row r="19" spans="1:20" ht="20.100000000000001" customHeight="1" x14ac:dyDescent="0.25">
      <c r="A19" s="5" t="str">
        <f>HYPERLINK("#'Input - Manure sent off-site'!A1", "Manure sent off-site")</f>
        <v>Manure sent off-site</v>
      </c>
      <c r="D19" s="155" t="str">
        <v>NC_AGc</v>
      </c>
      <c r="E19" s="163" t="str">
        <v>nitrogen content of above-ground crop residue of crop c</v>
      </c>
      <c r="F19" s="165"/>
      <c r="G19" s="155" t="str">
        <v>kg N/kg DM</v>
      </c>
      <c r="H19" s="138" t="str">
        <v>Constant</v>
      </c>
      <c r="I19" s="155" cm="1">
        <f t="array" ref="I19">Common_InputFunctions.Utility_LookupValueInTableNumber($I$21,Table_SourceData_CropAttributes[Crop type],Table_SourceData_CropAttributes[N content above-ground])</f>
        <v>6.0000000000000001E-3</v>
      </c>
      <c r="L19" s="8"/>
      <c r="M19" s="8"/>
      <c r="N19" s="8"/>
      <c r="O19" s="8"/>
      <c r="P19" s="8"/>
      <c r="Q19" s="8"/>
    </row>
    <row r="20" spans="1:20" ht="20.100000000000001" customHeight="1" x14ac:dyDescent="0.25">
      <c r="A20" s="5" t="str">
        <f>HYPERLINK("#'Input - Solid waste'!A1", "Solid waste")</f>
        <v>Solid waste</v>
      </c>
      <c r="D20" s="155" t="str">
        <v>NC_BGc</v>
      </c>
      <c r="E20" s="163" t="str">
        <v>nitrogen content of below-ground crop residue of crop c</v>
      </c>
      <c r="F20" s="165"/>
      <c r="G20" s="155" t="str">
        <v>kg N/kg DM</v>
      </c>
      <c r="H20" s="138" t="str">
        <v>Constant</v>
      </c>
      <c r="I20" s="155" cm="1">
        <f t="array" ref="I20">Common_InputFunctions.Utility_LookupValueInTableNumber($I$21,Table_SourceData_CropAttributes[Crop type],Table_SourceData_CropAttributes[N content below-ground])</f>
        <v>0.01</v>
      </c>
      <c r="L20" s="8"/>
      <c r="M20" s="160" t="s">
        <v>637</v>
      </c>
      <c r="N20" s="147" cm="1">
        <f t="array" ref="N20">AgResidue_Equations_CropResidue.VEERG_6_1_1_2__1__FractionOfCropResidueRemovedBaled(Q14,Q15,Q16,Q17)</f>
        <v>0.11</v>
      </c>
    </row>
    <row r="21" spans="1:20" ht="20.100000000000001" customHeight="1" x14ac:dyDescent="0.25">
      <c r="A21" s="5" t="str">
        <f>HYPERLINK("#'Input - Data quality'!A1", "Data quality")</f>
        <v>Data quality</v>
      </c>
      <c r="D21" s="155" t="str">
        <v>c</v>
      </c>
      <c r="E21" s="163" t="str">
        <v>Crop type</v>
      </c>
      <c r="F21" s="165"/>
      <c r="G21" s="155" t="str">
        <v/>
      </c>
      <c r="H21" s="137" t="str">
        <v>Input</v>
      </c>
      <c r="I21" s="155" t="str">
        <f>X_Cell_Crop_CropType</f>
        <v>Wheat</v>
      </c>
      <c r="L21" s="8"/>
      <c r="M21" s="8"/>
      <c r="N21" s="8"/>
      <c r="O21" s="8"/>
      <c r="P21" s="8"/>
      <c r="Q21" s="8"/>
    </row>
    <row r="22" spans="1:20" ht="20.100000000000001" customHeight="1" x14ac:dyDescent="0.25">
      <c r="D22" s="155" t="str">
        <v>State</v>
      </c>
      <c r="E22" s="163" t="str">
        <v>State or territory</v>
      </c>
      <c r="F22" s="165"/>
      <c r="G22" s="155" t="str">
        <v/>
      </c>
      <c r="H22" s="137" t="str">
        <v>Input</v>
      </c>
      <c r="I22" s="155" t="str">
        <f>Common_InputFunctions.Utility_ConvertStateCommonNameToAbbreviation(X_Cell_Site_State,Table_AustralianStates[Common Name],Table_AustralianStates[Abbreviation])</f>
        <v>WA</v>
      </c>
      <c r="L22" s="8"/>
      <c r="M22" s="8"/>
      <c r="N22" s="8"/>
      <c r="O22" s="8"/>
      <c r="P22" s="8"/>
      <c r="Q22" s="8"/>
    </row>
    <row r="23" spans="1:20" ht="20.100000000000001" customHeight="1" x14ac:dyDescent="0.25">
      <c r="D23" s="8"/>
      <c r="E23" s="8"/>
      <c r="F23" s="8"/>
      <c r="G23" s="8"/>
      <c r="H23" s="8"/>
      <c r="L23" s="147"/>
      <c r="M23" s="147"/>
      <c r="N23" s="147"/>
      <c r="O23" s="147"/>
      <c r="P23" s="147"/>
      <c r="Q23" s="147"/>
      <c r="R23" s="147"/>
      <c r="S23" s="147"/>
      <c r="T23" s="147"/>
    </row>
    <row r="24" spans="1:20" ht="20.100000000000001" customHeight="1" x14ac:dyDescent="0.25">
      <c r="A24" s="6" t="s">
        <v>2</v>
      </c>
      <c r="D24" s="160" t="s">
        <v>638</v>
      </c>
      <c r="E24" s="231" cm="1">
        <f t="array" ref="E24">AgResidue_Equations_CropResidue.VEERG_6_1_1_1__2__MassOfNitrogenInCropResidues(I13,I14,I16,I17,I18,I19,I15,I20)</f>
        <v>85008</v>
      </c>
      <c r="F24" s="161" t="str">
        <f>$E$11</f>
        <v>kg N</v>
      </c>
      <c r="M24" s="2" t="str" cm="1">
        <f t="array" ref="M24">AgResidue_Equations_CropResidue.VEERG_6_1_1_1__2__MassOfNitrogenInCropResidues_Title()</f>
        <v>Mass of nitrogen in crop residues returned to the soil</v>
      </c>
      <c r="N24" s="8"/>
      <c r="O24" s="8"/>
      <c r="P24" s="8"/>
      <c r="Q24" s="8"/>
    </row>
    <row r="25" spans="1:20" ht="20.100000000000001" customHeight="1" x14ac:dyDescent="0.25">
      <c r="A25" s="5" t="str">
        <f>HYPERLINK("#'5.1.1.1-2 Inorganic fert N2O'!A1", "5.1.1.1-2 Inorganic fert N2O")</f>
        <v>5.1.1.1-2 Inorganic fert N2O</v>
      </c>
      <c r="D25" s="88"/>
      <c r="E25" s="8"/>
      <c r="F25" s="8"/>
      <c r="G25" s="8"/>
      <c r="H25" s="8"/>
      <c r="L25" s="8"/>
      <c r="M25" s="27" t="str" cm="1">
        <f t="array" ref="M25">AgResidue_Equations_CropResidue.VEERG_6_1_1_1__2__MassOfNitrogenInCropResidues_Source()</f>
        <v>VEERG 2026: 6.1.1.1, Equation (2)</v>
      </c>
      <c r="N25" s="8"/>
      <c r="O25" s="8"/>
      <c r="P25" s="8"/>
      <c r="Q25" s="8"/>
    </row>
    <row r="26" spans="1:20" ht="20.100000000000001" customHeight="1" x14ac:dyDescent="0.25">
      <c r="A26" s="5" t="str">
        <f>HYPERLINK("#'5.1.1.3-4 Inorganic fert CO2'!A1", "5.1.1.3-4 Inorganic fert CO2")</f>
        <v>5.1.1.3-4 Inorganic fert CO2</v>
      </c>
      <c r="D26" s="8"/>
      <c r="E26" s="8"/>
      <c r="F26" s="8"/>
      <c r="G26" s="8"/>
      <c r="H26" s="8"/>
      <c r="L26" s="8"/>
      <c r="M26" s="133" t="s">
        <v>267</v>
      </c>
      <c r="N26" s="133" t="str" cm="1">
        <f t="array" aca="1" ref="N26" ca="1">Common_InputFunctions.Utility_DisplayFunctionName(N43)</f>
        <v>=AgResidue_Equations_CropResidue.VEERG_6_1_1_1__2__MassOfNitrogenInCropResidues</v>
      </c>
      <c r="O26" s="8"/>
      <c r="P26" s="8"/>
      <c r="Q26" s="8"/>
    </row>
    <row r="27" spans="1:20" ht="20.100000000000001" customHeight="1" x14ac:dyDescent="0.25">
      <c r="A27" s="5" t="str">
        <f>HYPERLINK("#'5.2.1.1-2 Organic Fert N2O'!A1", "5.2.1.1-2 Organic fert N2O")</f>
        <v>5.2.1.1-2 Organic fert N2O</v>
      </c>
      <c r="D27" s="232"/>
      <c r="E27" s="232"/>
      <c r="F27" s="232"/>
      <c r="G27" s="232"/>
      <c r="H27" s="232"/>
      <c r="I27" s="232"/>
      <c r="L27" s="8"/>
      <c r="O27" s="8"/>
      <c r="P27" s="8"/>
      <c r="Q27" s="8"/>
    </row>
    <row r="28" spans="1:20" ht="20.100000000000001" customHeight="1" x14ac:dyDescent="0.25">
      <c r="A28" s="5" t="str">
        <f>HYPERLINK("#'5.3.1.1-2 Lime CO2'!A1", "5.3.1.1-2 Lime CO2")</f>
        <v>5.3.1.1-2 Lime CO2</v>
      </c>
      <c r="D28" s="2" t="str" cm="1">
        <f t="array" ref="D28">AgResidue_Equations_CropResidue.VEERG_6_1_1_1__1__NitrousOxideEmissionsFromCropResidues_Title()</f>
        <v>Nitrous oxide emissions from the return of crop residues across all crops c to the soil</v>
      </c>
      <c r="E28" s="8"/>
      <c r="F28" s="8"/>
      <c r="G28" s="8"/>
      <c r="H28" s="8"/>
      <c r="J28" s="8"/>
      <c r="L28" s="8"/>
      <c r="M28" s="8"/>
      <c r="N28" s="8"/>
      <c r="O28" s="8"/>
      <c r="P28" s="8"/>
      <c r="Q28" s="8"/>
    </row>
    <row r="29" spans="1:20" ht="20.100000000000001" customHeight="1" x14ac:dyDescent="0.25">
      <c r="A29" s="5" t="str">
        <f>HYPERLINK("#'5.4.1.1-4 Atmos deposition'!A1", "5.4.1.1-4 Atmos. deposition")</f>
        <v>5.4.1.1-4 Atmos. deposition</v>
      </c>
      <c r="D29" s="27" t="str" cm="1">
        <f t="array" ref="D29">AgResidue_Equations_CropResidue.VEERG_6_1_1_1__1__NitrousOxideEmissionsFromCropResidues_Source()</f>
        <v>VEERG 2026: 6.1.1.1, Equation (1)</v>
      </c>
      <c r="E29" s="8"/>
      <c r="F29" s="8"/>
      <c r="G29" s="8"/>
      <c r="H29" s="8"/>
      <c r="J29" s="8"/>
      <c r="L29" s="8"/>
      <c r="M29" s="88" t="s">
        <v>268</v>
      </c>
      <c r="N29" s="1" t="str" cm="1">
        <f t="array" ref="N29">AgResidue_Equations_CropResidue.VEERG_6_1_1_1__2__MassOfNitrogenInCropResidues_Variable()</f>
        <v>M_c</v>
      </c>
      <c r="O29" s="8"/>
      <c r="P29" s="8"/>
      <c r="Q29" s="8"/>
    </row>
    <row r="30" spans="1:20" ht="20.100000000000001" customHeight="1" x14ac:dyDescent="0.25">
      <c r="A30" s="5" t="str">
        <f>HYPERLINK("#'5.5.1.1-2 Leaching and runoff'!A1", "5.5.1.1-2 Leaching &amp; runoff")</f>
        <v>5.5.1.1-2 Leaching &amp; runoff</v>
      </c>
      <c r="D30" s="133" t="s">
        <v>267</v>
      </c>
      <c r="E30" s="133" t="str">
        <f ca="1">Common_InputFunctions.Utility_DisplayFunctionName(VEERG_6_1_1_1__1__NitrousOxideEmissionsFromCropResidues_Result_Method1)</f>
        <v>=AgResidue_Equations_CropResidue.VEERG_6_1_1_1__1__NitrousOxideEmissionsFromCropResidues</v>
      </c>
      <c r="F30" s="8"/>
      <c r="G30" s="8"/>
      <c r="H30" s="8"/>
      <c r="L30" s="8"/>
      <c r="M30" s="88" t="s">
        <v>121</v>
      </c>
      <c r="N30" s="15" t="str" cm="1">
        <f t="array" ref="N30">AgResidue_Equations_CropResidue.VEERG_6_1_1_1__2__MassOfNitrogenInCropResidues_Unit()</f>
        <v>kg N</v>
      </c>
      <c r="O30" s="8"/>
      <c r="P30" s="8"/>
      <c r="Q30" s="8"/>
    </row>
    <row r="31" spans="1:20" ht="20.100000000000001" customHeight="1" x14ac:dyDescent="0.25">
      <c r="A31" s="142" t="str">
        <f>HYPERLINK("#'6.1.1.1-2 Crop residue N2O'!A1", "6.1.1.1-2 Crop residue N2O")</f>
        <v>6.1.1.1-2 Crop residue N2O</v>
      </c>
      <c r="F31" s="8"/>
      <c r="G31" s="8"/>
      <c r="H31" s="8"/>
      <c r="J31" s="8"/>
      <c r="L31" s="8"/>
      <c r="M31" s="8"/>
      <c r="N31" s="8"/>
      <c r="O31" s="8"/>
      <c r="P31" s="8"/>
    </row>
    <row r="32" spans="1:20" ht="20.100000000000001" customHeight="1" x14ac:dyDescent="0.25">
      <c r="A32" s="5" t="str">
        <f>HYPERLINK("#'6.3.1.1-2 Leach runoff crop'!A1", "6.3.1.1-2 Leach &amp; runoff (crop)")</f>
        <v>6.3.1.1-2 Leach &amp; runoff (crop)</v>
      </c>
      <c r="D32" s="8"/>
      <c r="E32" s="8"/>
      <c r="F32" s="8"/>
      <c r="G32" s="8"/>
      <c r="H32" s="8"/>
      <c r="J32" s="8"/>
      <c r="L32" s="8"/>
      <c r="M32" s="155" t="str" cm="1">
        <f t="array" ref="M32:N41">_xlfn.CHOOSECOLS(AgResidue_Equations_CropResidue.VEERG_6_1_1_1__2__MassOfNitrogenInCropResidues_Arguments_Method2(), 1, 2)</f>
        <v>P_c</v>
      </c>
      <c r="N32" s="163" t="str">
        <v>annual production of crop c</v>
      </c>
      <c r="O32" s="165"/>
      <c r="P32" s="155" t="str" cm="1">
        <f t="array" ref="P32:Q41">_xlfn.CHOOSECOLS(AgResidue_Equations_CropResidue.VEERG_6_1_1_1__2__MassOfNitrogenInCropResidues_Arguments_Method2(), 3,4)</f>
        <v>kg</v>
      </c>
      <c r="Q32" s="137" t="str">
        <v>Input</v>
      </c>
      <c r="R32" s="155"/>
    </row>
    <row r="33" spans="1:20" ht="20.100000000000001" customHeight="1" x14ac:dyDescent="0.25">
      <c r="A33" s="5" t="str">
        <f>HYPERLINK("#'6.4.1.1-2 Residue burning'!A1", "6.4.1.1-2 Residue burning")</f>
        <v>6.4.1.1-2 Residue burning</v>
      </c>
      <c r="D33" s="88" t="s">
        <v>268</v>
      </c>
      <c r="E33" s="1" t="str" cm="1">
        <f t="array" ref="E33">AgResidue_Equations_CropResidue.VEERG_6_1_1_1__1__NitrousOxideEmissionsFromCropResidues_Variable()</f>
        <v>E</v>
      </c>
      <c r="F33" s="8"/>
      <c r="G33" s="8"/>
      <c r="H33" s="8"/>
      <c r="J33" s="8"/>
      <c r="M33" s="155" t="str">
        <v>R_AGc</v>
      </c>
      <c r="N33" s="163" t="str">
        <v>residue to crop ratio for crop c</v>
      </c>
      <c r="O33" s="165"/>
      <c r="P33" s="155" t="str">
        <v/>
      </c>
      <c r="Q33" s="138" t="str">
        <v>Constant</v>
      </c>
      <c r="R33" s="155"/>
    </row>
    <row r="34" spans="1:20" ht="20.100000000000001" customHeight="1" x14ac:dyDescent="0.25">
      <c r="A34" s="5" t="str">
        <f>HYPERLINK("#'8.1.1.1-2 Transport fuel'!A1", "8.1.1.1-2 Transport fuel")</f>
        <v>8.1.1.1-2 Transport fuel</v>
      </c>
      <c r="D34" s="88" t="s">
        <v>121</v>
      </c>
      <c r="E34" s="15" t="str" cm="1">
        <f t="array" ref="E34">AgResidue_Equations_CropResidue.VEERG_6_1_1_1__1__NitrousOxideEmissionsFromCropResidues_Unit()</f>
        <v>t N2O</v>
      </c>
      <c r="F34" s="8"/>
      <c r="G34" s="8"/>
      <c r="H34" s="8"/>
      <c r="J34" s="8"/>
      <c r="M34" s="155" t="str">
        <v>R_BGc</v>
      </c>
      <c r="N34" s="163" t="str">
        <v>below ground-residue to above ground residue ratio for crop c</v>
      </c>
      <c r="O34" s="165"/>
      <c r="P34" s="155" t="str">
        <v/>
      </c>
      <c r="Q34" s="138" t="str">
        <v>Constant</v>
      </c>
      <c r="R34" s="155"/>
    </row>
    <row r="35" spans="1:20" ht="20.100000000000001" customHeight="1" x14ac:dyDescent="0.25">
      <c r="A35" s="5" t="str">
        <f>HYPERLINK("#'8.2.1.1-2 Stationary fuel'!A1", "8.2.1.1-2 Stationary fuel")</f>
        <v>8.2.1.1-2 Stationary fuel</v>
      </c>
      <c r="D35" s="8"/>
      <c r="E35" s="8"/>
      <c r="F35" s="8"/>
      <c r="G35" s="8"/>
      <c r="H35" s="8"/>
      <c r="J35" s="8"/>
      <c r="M35" s="155" t="str">
        <v>F_c</v>
      </c>
      <c r="N35" s="163" t="str">
        <v>fraction of crop residue that is burnt for crop c</v>
      </c>
      <c r="O35" s="165"/>
      <c r="P35" s="155" t="str">
        <v>fraction</v>
      </c>
      <c r="Q35" s="137" t="str">
        <v>Input</v>
      </c>
      <c r="R35" s="155"/>
    </row>
    <row r="36" spans="1:20" ht="20.100000000000001" customHeight="1" x14ac:dyDescent="0.25">
      <c r="A36" s="5" t="str">
        <f>HYPERLINK("#'14.1.1-2 Purchased electricity'!A1", "14.1.1-2 Purchased electricity")</f>
        <v>14.1.1-2 Purchased electricity</v>
      </c>
      <c r="D36" s="155" t="str" cm="1">
        <f t="array" ref="D36:E40">_xlfn.CHOOSECOLS(AgResidue_Equations_CropResidue.VEERG_6_1_1_1__1__NitrousOxideEmissionsFromCropResidues_Arguments(), 1, 2)</f>
        <v>M_c</v>
      </c>
      <c r="E36" s="163" t="str">
        <v>mass of nitrogen in crop c residues returned to the soil</v>
      </c>
      <c r="F36" s="165"/>
      <c r="G36" s="155" t="str" cm="1">
        <f t="array" ref="G36:H40">_xlfn.CHOOSECOLS(AgResidue_Equations_CropResidue.VEERG_6_1_1_1__1__NitrousOxideEmissionsFromCropResidues_Arguments(), 3,4)</f>
        <v>kg N</v>
      </c>
      <c r="H36" s="138" t="str">
        <v>Calculated from 6.1.1.1 (2)</v>
      </c>
      <c r="I36" s="155">
        <f>VEERG_6_1_1_1__2__MassOfNitrogenInCropResidues_Result_Method1</f>
        <v>85008</v>
      </c>
      <c r="J36" s="8"/>
      <c r="M36" s="155" t="str">
        <v>FFOD_c</v>
      </c>
      <c r="N36" s="163" t="str">
        <v>fraction of the crop residue that is removed for crop c</v>
      </c>
      <c r="O36" s="165"/>
      <c r="P36" s="155" t="str">
        <v>fraction</v>
      </c>
      <c r="Q36" s="138" t="str">
        <v>Calculated from 6.1.1.2 (1)</v>
      </c>
      <c r="R36" s="155">
        <f>VEERG_6_1_1_2__1__FractionOfCropResidueRemovedBaled_Result</f>
        <v>0.11</v>
      </c>
    </row>
    <row r="37" spans="1:20" ht="20.100000000000001" customHeight="1" x14ac:dyDescent="0.25">
      <c r="A37" s="5" t="str">
        <f>HYPERLINK("#'15 Scope 3'!A1", "15 Scope 3")</f>
        <v>15 Scope 3</v>
      </c>
      <c r="D37" s="155" t="str">
        <v>EF_Ni</v>
      </c>
      <c r="E37" s="163" t="str">
        <v>emission factor for crop residues returned to the soil</v>
      </c>
      <c r="F37" s="165"/>
      <c r="G37" s="155" t="str">
        <v>kg N2O-N/kg N</v>
      </c>
      <c r="H37" s="138" t="str">
        <v>Constant</v>
      </c>
      <c r="I37" s="155" cm="1">
        <f t="array" ref="I37">Common_InputFunctions.Utility_LookupValueInTableNumber(I40,Table_SourceData_N2OEFOrganicFert[Climate zone type i],Table_SourceData_N2OEFOrganicFert[EF i N2O])</f>
        <v>5.0000000000000001E-3</v>
      </c>
      <c r="J37" s="8"/>
      <c r="M37" s="155" t="str">
        <v>DM_c</v>
      </c>
      <c r="N37" s="163" t="str">
        <v>dry matter content of crop c</v>
      </c>
      <c r="O37" s="165"/>
      <c r="P37" s="155" t="str">
        <v>kg dry weight/kg crop residue</v>
      </c>
      <c r="Q37" s="138" t="str">
        <v>Constant</v>
      </c>
      <c r="R37" s="155"/>
    </row>
    <row r="38" spans="1:20" ht="20.100000000000001" customHeight="1" x14ac:dyDescent="0.25">
      <c r="A38" s="5" t="str">
        <f>HYPERLINK("#'Calcs - Manure sent off-site'!A1", "Calcs - Manure sent off-site")</f>
        <v>Calcs - Manure sent off-site</v>
      </c>
      <c r="D38" s="155" t="str">
        <v>C_N2O</v>
      </c>
      <c r="E38" s="163" t="str">
        <v>factor to convert elemental mass of nitrous oxide to molecular mass</v>
      </c>
      <c r="F38" s="165"/>
      <c r="G38" s="155" t="str">
        <v>dimensionless</v>
      </c>
      <c r="H38" s="138" t="str">
        <v>Constant</v>
      </c>
      <c r="I38" s="155">
        <f>Common_InputFunctions.Utility_LookupValueInTableNumber("N2O",Table_GasToMolecularConversionFactor[Gas],Table_GasToMolecularConversionFactor[Conversion factor combined])</f>
        <v>1.5714285714285714</v>
      </c>
      <c r="J38" s="8"/>
      <c r="M38" s="155" t="str">
        <v>NC_AGc</v>
      </c>
      <c r="N38" s="163" t="str">
        <v>nitrogen content of above-ground crop residue of crop c</v>
      </c>
      <c r="O38" s="165"/>
      <c r="P38" s="155" t="str">
        <v>kg N/kg DM</v>
      </c>
      <c r="Q38" s="138" t="str">
        <v>Constant</v>
      </c>
      <c r="R38" s="155"/>
    </row>
    <row r="39" spans="1:20" ht="20.100000000000001" customHeight="1" x14ac:dyDescent="0.25">
      <c r="A39" s="5" t="str">
        <f>HYPERLINK("#'10.1.1-2 Solid waste treatment'!A1", "10.1.1-2 Solid waste treatment")</f>
        <v>10.1.1-2 Solid waste treatment</v>
      </c>
      <c r="D39" s="155" t="str">
        <v>c</v>
      </c>
      <c r="E39" s="163" t="str">
        <v>Crop type</v>
      </c>
      <c r="F39" s="165"/>
      <c r="G39" s="155" t="str">
        <v/>
      </c>
      <c r="H39" s="137" t="str">
        <v>Input</v>
      </c>
      <c r="I39" s="155" t="str">
        <f>X_Cell_Crop_CropType</f>
        <v>Wheat</v>
      </c>
      <c r="J39" s="8"/>
      <c r="M39" s="155" t="str">
        <v>NC_BGc</v>
      </c>
      <c r="N39" s="163" t="str">
        <v>nitrogen content of below-ground crop residue of crop c</v>
      </c>
      <c r="O39" s="165"/>
      <c r="P39" s="155" t="str">
        <v>kg N/kg DM</v>
      </c>
      <c r="Q39" s="138" t="str">
        <v>Constant</v>
      </c>
      <c r="R39" s="155"/>
    </row>
    <row r="40" spans="1:20" ht="20.100000000000001" customHeight="1" x14ac:dyDescent="0.25">
      <c r="D40" s="155" t="str">
        <v>i</v>
      </c>
      <c r="E40" s="163" t="str">
        <v>Wet or dry climate zone</v>
      </c>
      <c r="F40" s="165"/>
      <c r="G40" s="155" t="str">
        <v/>
      </c>
      <c r="H40" s="137" t="str">
        <v>Input</v>
      </c>
      <c r="I40" s="155" t="str">
        <f>X_Cell_Site_WetOrDryClimateZone</f>
        <v>Dry climate zone</v>
      </c>
      <c r="M40" s="155" t="str">
        <v>c</v>
      </c>
      <c r="N40" s="163" t="str">
        <v>Crop type</v>
      </c>
      <c r="O40" s="165"/>
      <c r="P40" s="155" t="str">
        <v/>
      </c>
      <c r="Q40" s="137" t="str">
        <v>Input</v>
      </c>
      <c r="R40" s="155"/>
    </row>
    <row r="41" spans="1:20" ht="20.100000000000001" customHeight="1" x14ac:dyDescent="0.25">
      <c r="D41" s="8"/>
      <c r="E41" s="8"/>
      <c r="F41" s="8"/>
      <c r="G41" s="8"/>
      <c r="H41" s="8"/>
      <c r="M41" s="155" t="str">
        <v>State</v>
      </c>
      <c r="N41" s="163" t="str">
        <v>State or territory</v>
      </c>
      <c r="O41" s="165"/>
      <c r="P41" s="155" t="str">
        <v/>
      </c>
      <c r="Q41" s="137" t="str">
        <v>Input</v>
      </c>
      <c r="R41" s="155"/>
    </row>
    <row r="42" spans="1:20" ht="20.100000000000001" customHeight="1" x14ac:dyDescent="0.25">
      <c r="A42" s="108" t="s">
        <v>1</v>
      </c>
      <c r="D42" s="150" t="s">
        <v>297</v>
      </c>
      <c r="E42" s="151" cm="1">
        <f t="array" ref="E42">AgResidue_Equations_CropResidue.VEERG_6_1_1_1__1__NitrousOxideEmissionsFromCropResidues(I36,I37,I38)</f>
        <v>0.66792000000000007</v>
      </c>
      <c r="F42" s="152" t="str">
        <f>$E$34</f>
        <v>t N2O</v>
      </c>
      <c r="H42" s="8"/>
      <c r="M42" s="8"/>
      <c r="N42" s="8"/>
      <c r="O42" s="8"/>
      <c r="P42" s="8"/>
      <c r="Q42" s="8"/>
    </row>
    <row r="43" spans="1:20" ht="20.100000000000001" customHeight="1" x14ac:dyDescent="0.25">
      <c r="A43" s="5" t="str">
        <f>HYPERLINK("#'Constants - Ag Residue'!A1", "Constants - Ag residue")</f>
        <v>Constants - Ag residue</v>
      </c>
      <c r="H43" s="8"/>
      <c r="M43" s="160" t="s">
        <v>638</v>
      </c>
      <c r="N43" s="231" cm="1">
        <f t="array" ref="N43">AgResidue_Equations_CropResidue.VEERG_6_1_1_1__2__MassOfNitrogenInCropResidues(I13,I14,I16,R36,I18,I19,I15,I20)</f>
        <v>85008</v>
      </c>
      <c r="O43" s="161" t="str">
        <f>$E$11</f>
        <v>kg N</v>
      </c>
    </row>
    <row r="44" spans="1:20" ht="20.100000000000001" customHeight="1" x14ac:dyDescent="0.25">
      <c r="A44" s="5" t="str">
        <f>HYPERLINK("#'Constants - Common Livestock'!A1", "Constants - Common Livestock")</f>
        <v>Constants - Common Livestock</v>
      </c>
      <c r="D44" s="134" t="str" cm="1">
        <f t="array" ref="D44:E45">Common_Equations.Common_ConvertN2OToCO2e_Arguments()</f>
        <v>EN2O</v>
      </c>
      <c r="E44" s="135" t="str">
        <v>Nitrous oxide emissions (t N2O)</v>
      </c>
      <c r="F44" s="153"/>
      <c r="G44" s="25">
        <f>VEERG_6_1_1_1__1__NitrousOxideEmissionsFromCropResidues_Result_Method1</f>
        <v>0.66792000000000007</v>
      </c>
      <c r="M44" s="88"/>
      <c r="N44" s="8"/>
      <c r="O44" s="8"/>
      <c r="P44" s="8"/>
      <c r="Q44" s="8"/>
    </row>
    <row r="45" spans="1:20" ht="20.100000000000001" customHeight="1" x14ac:dyDescent="0.25">
      <c r="A45" s="5" t="str">
        <f>HYPERLINK("#'Constants - Electricity'!A1", "Constants - Electricity")</f>
        <v>Constants - Electricity</v>
      </c>
      <c r="D45" s="134" t="str">
        <v>GWPN2O</v>
      </c>
      <c r="E45" s="135" t="str">
        <v>Global warming potential for nitrous oxide (t CO2-e / t N2O)</v>
      </c>
      <c r="F45" s="153"/>
      <c r="G45" s="25">
        <f>Common_InputFunctions.Utility_LookupValueInTableNumber("N2O",Table_GWPData[Gas],Table_GWPData[CO2-e factor])</f>
        <v>265</v>
      </c>
      <c r="J45" s="8"/>
      <c r="M45" s="8"/>
      <c r="N45" s="8"/>
      <c r="O45" s="8"/>
      <c r="P45" s="8"/>
      <c r="Q45" s="8"/>
    </row>
    <row r="46" spans="1:20" ht="20.100000000000001" customHeight="1" x14ac:dyDescent="0.25">
      <c r="A46" s="5" t="str">
        <f>HYPERLINK("#'Constants - Fertiliser'!A1", "Constants - Fertiliser")</f>
        <v>Constants - Fertiliser</v>
      </c>
      <c r="H46" s="8"/>
      <c r="J46" s="8"/>
      <c r="L46" s="232"/>
      <c r="M46" s="232"/>
      <c r="N46" s="232"/>
      <c r="O46" s="232"/>
      <c r="P46" s="232"/>
      <c r="Q46" s="232"/>
      <c r="R46" s="232"/>
      <c r="S46" s="232"/>
      <c r="T46" s="232"/>
    </row>
    <row r="47" spans="1:20" ht="20.100000000000001" customHeight="1" x14ac:dyDescent="0.25">
      <c r="A47" s="5" t="str">
        <f>HYPERLINK("#'Constants - Fuel'!A1", "Constants - Fuel")</f>
        <v>Constants - Fuel</v>
      </c>
      <c r="D47" s="147" t="s">
        <v>299</v>
      </c>
      <c r="E47" s="147" cm="1">
        <f t="array" ref="E47">Common_Equations.Common_ConvertN2OToCO2e(G44,G45)</f>
        <v>176.99880000000002</v>
      </c>
      <c r="F47" s="154" t="str" cm="1">
        <f t="array" ref="F47">Common_Equations.Common_ConvertN2OToCO2e_Unit()</f>
        <v>t CO2e</v>
      </c>
      <c r="H47" s="8"/>
      <c r="J47" s="8"/>
      <c r="L47" s="8"/>
      <c r="M47" s="2" t="str" cm="1">
        <f t="array" ref="M47">AgResidue_Equations_CropResidue.VEERG_6_1_1_1__1__NitrousOxideEmissionsFromCropResidues_Title()</f>
        <v>Nitrous oxide emissions from the return of crop residues across all crops c to the soil</v>
      </c>
      <c r="N47" s="8"/>
      <c r="O47" s="8"/>
      <c r="P47" s="8"/>
      <c r="Q47" s="8"/>
    </row>
    <row r="48" spans="1:20" ht="20.100000000000001" customHeight="1" x14ac:dyDescent="0.25">
      <c r="A48" s="5" t="str">
        <f>HYPERLINK("#'Constants - Scope 3'!A1", "Constants - Scope 3")</f>
        <v>Constants - Scope 3</v>
      </c>
      <c r="D48" s="8"/>
      <c r="E48" s="8"/>
      <c r="F48" s="233"/>
      <c r="G48" s="8"/>
      <c r="H48" s="8"/>
      <c r="I48" s="8"/>
      <c r="J48" s="8"/>
      <c r="M48" s="27" t="str" cm="1">
        <f t="array" ref="M48">AgResidue_Equations_CropResidue.VEERG_6_1_1_1__1__NitrousOxideEmissionsFromCropResidues_Source()</f>
        <v>VEERG 2026: 6.1.1.1, Equation (1)</v>
      </c>
      <c r="N48" s="8"/>
      <c r="O48" s="8"/>
      <c r="P48" s="8"/>
      <c r="Q48" s="8"/>
    </row>
    <row r="49" spans="1:18" ht="20.100000000000001" customHeight="1" x14ac:dyDescent="0.25">
      <c r="A49" s="5" t="str">
        <f>HYPERLINK("#'Constants - Common'!A1", "Constants - Common")</f>
        <v>Constants - Common</v>
      </c>
      <c r="J49" s="8"/>
      <c r="L49" s="8"/>
      <c r="M49" s="133" t="s">
        <v>267</v>
      </c>
      <c r="N49" s="133" t="str">
        <f ca="1">Common_InputFunctions.Utility_DisplayFunctionName(VEERG_6_1_1_1__1__NitrousOxideEmissionsFromCropResidues_Result_Method2)</f>
        <v>=AgResidue_Equations_CropResidue.VEERG_6_1_1_1__1__NitrousOxideEmissionsFromCropResidues</v>
      </c>
      <c r="O49" s="8"/>
      <c r="P49" s="8"/>
      <c r="Q49" s="8"/>
    </row>
    <row r="50" spans="1:18" ht="20.100000000000001" customHeight="1" x14ac:dyDescent="0.25">
      <c r="A50" s="5" t="str">
        <f>HYPERLINK("#'Constants - Solid Waste'!A1", "Constants - Solid Waste")</f>
        <v>Constants - Solid Waste</v>
      </c>
      <c r="J50" s="8"/>
      <c r="L50" s="8"/>
      <c r="O50" s="8"/>
      <c r="P50" s="8"/>
      <c r="Q50" s="8"/>
    </row>
    <row r="51" spans="1:18" ht="20.100000000000001" customHeight="1" x14ac:dyDescent="0.25">
      <c r="J51" s="8"/>
      <c r="L51" s="8"/>
      <c r="M51" s="8"/>
      <c r="N51" s="8"/>
      <c r="O51" s="8"/>
      <c r="P51" s="8"/>
      <c r="Q51" s="8"/>
    </row>
    <row r="52" spans="1:18" ht="20.100000000000001" customHeight="1" x14ac:dyDescent="0.25">
      <c r="J52" s="8"/>
      <c r="L52" s="8"/>
      <c r="M52" s="88" t="s">
        <v>268</v>
      </c>
      <c r="N52" s="1" t="str" cm="1">
        <f t="array" ref="N52">AgResidue_Equations_CropResidue.VEERG_6_1_1_1__1__NitrousOxideEmissionsFromCropResidues_Variable()</f>
        <v>E</v>
      </c>
      <c r="O52" s="8"/>
      <c r="P52" s="8"/>
      <c r="Q52" s="8"/>
    </row>
    <row r="53" spans="1:18" ht="20.100000000000001" customHeight="1" x14ac:dyDescent="0.25">
      <c r="L53" s="8"/>
      <c r="M53" s="88" t="s">
        <v>121</v>
      </c>
      <c r="N53" s="15" t="str" cm="1">
        <f t="array" ref="N53">AgResidue_Equations_CropResidue.VEERG_6_1_1_1__1__NitrousOxideEmissionsFromCropResidues_Unit()</f>
        <v>t N2O</v>
      </c>
      <c r="O53" s="8"/>
      <c r="P53" s="8"/>
      <c r="Q53" s="8"/>
    </row>
    <row r="54" spans="1:18" ht="20.100000000000001" customHeight="1" x14ac:dyDescent="0.25">
      <c r="L54" s="8"/>
      <c r="M54" s="8"/>
      <c r="N54" s="8"/>
      <c r="O54" s="8"/>
      <c r="P54" s="8"/>
      <c r="Q54" s="8"/>
    </row>
    <row r="55" spans="1:18" ht="20.100000000000001" customHeight="1" x14ac:dyDescent="0.25">
      <c r="L55" s="8"/>
      <c r="M55" s="155" t="str" cm="1">
        <f t="array" ref="M55:N59">_xlfn.CHOOSECOLS(AgResidue_Equations_CropResidue.VEERG_6_1_1_1__1__NitrousOxideEmissionsFromCropResidues_Arguments(), 1, 2)</f>
        <v>M_c</v>
      </c>
      <c r="N55" s="163" t="str">
        <v>mass of nitrogen in crop c residues returned to the soil</v>
      </c>
      <c r="O55" s="165"/>
      <c r="P55" s="155" t="str" cm="1">
        <f t="array" ref="P55:Q59">_xlfn.CHOOSECOLS(AgResidue_Equations_CropResidue.VEERG_6_1_1_1__1__NitrousOxideEmissionsFromCropResidues_Arguments(), 3,4)</f>
        <v>kg N</v>
      </c>
      <c r="Q55" s="138" t="str">
        <v>Calculated from 6.1.1.1 (2)</v>
      </c>
      <c r="R55" s="155">
        <f>VEERG_6_1_1_1__2__MassOfNitrogenInCropResidues_Result_Method2</f>
        <v>85008</v>
      </c>
    </row>
    <row r="56" spans="1:18" ht="20.100000000000001" customHeight="1" x14ac:dyDescent="0.25">
      <c r="L56" s="8"/>
      <c r="M56" s="155" t="str">
        <v>EF_Ni</v>
      </c>
      <c r="N56" s="163" t="str">
        <v>emission factor for crop residues returned to the soil</v>
      </c>
      <c r="O56" s="165"/>
      <c r="P56" s="155" t="str">
        <v>kg N2O-N/kg N</v>
      </c>
      <c r="Q56" s="138" t="str">
        <v>Constant</v>
      </c>
      <c r="R56" s="155" cm="1">
        <f t="array" ref="R56">Common_InputFunctions.Utility_LookupValueInTableNumber(R59,Table_SourceData_N2OEFOrganicFert[Climate zone type i],Table_SourceData_N2OEFOrganicFert[EF i N2O])</f>
        <v>5.0000000000000001E-3</v>
      </c>
    </row>
    <row r="57" spans="1:18" ht="20.100000000000001" customHeight="1" x14ac:dyDescent="0.25">
      <c r="L57" s="8"/>
      <c r="M57" s="155" t="str">
        <v>C_N2O</v>
      </c>
      <c r="N57" s="163" t="str">
        <v>factor to convert elemental mass of nitrous oxide to molecular mass</v>
      </c>
      <c r="O57" s="165"/>
      <c r="P57" s="155" t="str">
        <v>dimensionless</v>
      </c>
      <c r="Q57" s="138" t="str">
        <v>Constant</v>
      </c>
      <c r="R57" s="155">
        <f>Common_InputFunctions.Utility_LookupValueInTableNumber("N2O",Table_GasToMolecularConversionFactor[Gas],Table_GasToMolecularConversionFactor[Conversion factor combined])</f>
        <v>1.5714285714285714</v>
      </c>
    </row>
    <row r="58" spans="1:18" ht="20.100000000000001" customHeight="1" x14ac:dyDescent="0.25">
      <c r="L58" s="8"/>
      <c r="M58" s="155" t="str">
        <v>c</v>
      </c>
      <c r="N58" s="163" t="str">
        <v>Crop type</v>
      </c>
      <c r="O58" s="165"/>
      <c r="P58" s="155" t="str">
        <v/>
      </c>
      <c r="Q58" s="137" t="str">
        <v>Input</v>
      </c>
      <c r="R58" s="155" t="str">
        <f>X_Cell_Crop_CropType</f>
        <v>Wheat</v>
      </c>
    </row>
    <row r="59" spans="1:18" ht="20.100000000000001" customHeight="1" x14ac:dyDescent="0.25">
      <c r="L59" s="8"/>
      <c r="M59" s="155" t="str">
        <v>i</v>
      </c>
      <c r="N59" s="163" t="str">
        <v>Wet or dry climate zone</v>
      </c>
      <c r="O59" s="165"/>
      <c r="P59" s="155" t="str">
        <v/>
      </c>
      <c r="Q59" s="137" t="str">
        <v>Input</v>
      </c>
      <c r="R59" s="155" t="str">
        <f>X_Cell_Site_WetOrDryClimateZone</f>
        <v>Dry climate zone</v>
      </c>
    </row>
    <row r="60" spans="1:18" ht="20.100000000000001" customHeight="1" x14ac:dyDescent="0.25">
      <c r="L60" s="8"/>
      <c r="M60" s="8"/>
      <c r="N60" s="8"/>
      <c r="O60" s="8"/>
      <c r="P60" s="8"/>
      <c r="Q60" s="8"/>
    </row>
    <row r="61" spans="1:18" ht="20.100000000000001" customHeight="1" x14ac:dyDescent="0.25">
      <c r="L61" s="8"/>
      <c r="M61" s="150" t="s">
        <v>297</v>
      </c>
      <c r="N61" s="151" cm="1">
        <f t="array" ref="N61">AgResidue_Equations_CropResidue.VEERG_6_1_1_1__1__NitrousOxideEmissionsFromCropResidues(R55,R56,R57)</f>
        <v>0.66792000000000007</v>
      </c>
      <c r="O61" s="152" t="str">
        <f>$E$34</f>
        <v>t N2O</v>
      </c>
      <c r="Q61" s="8"/>
    </row>
    <row r="62" spans="1:18" ht="20.100000000000001" customHeight="1" x14ac:dyDescent="0.25">
      <c r="L62" s="8"/>
      <c r="Q62" s="8"/>
    </row>
    <row r="63" spans="1:18" ht="20.100000000000001" customHeight="1" x14ac:dyDescent="0.25">
      <c r="L63" s="8"/>
      <c r="M63" s="134" t="str" cm="1">
        <f t="array" ref="M63:N64">Common_Equations.Common_ConvertN2OToCO2e_Arguments()</f>
        <v>EN2O</v>
      </c>
      <c r="N63" s="135" t="str">
        <v>Nitrous oxide emissions (t N2O)</v>
      </c>
      <c r="O63" s="153"/>
      <c r="P63" s="25">
        <f>VEERG_6_1_1_1__1__NitrousOxideEmissionsFromCropResidues_Result_Method2</f>
        <v>0.66792000000000007</v>
      </c>
    </row>
    <row r="64" spans="1:18" ht="20.100000000000001" customHeight="1" x14ac:dyDescent="0.25">
      <c r="L64" s="8"/>
      <c r="M64" s="134" t="str">
        <v>GWPN2O</v>
      </c>
      <c r="N64" s="135" t="str">
        <v>Global warming potential for nitrous oxide (t CO2-e / t N2O)</v>
      </c>
      <c r="O64" s="153"/>
      <c r="P64" s="25">
        <f>Common_InputFunctions.Utility_LookupValueInTableNumber("N2O",Table_GWPData[Gas],Table_GWPData[CO2-e factor])</f>
        <v>265</v>
      </c>
    </row>
    <row r="65" spans="12:18" ht="20.100000000000001" customHeight="1" x14ac:dyDescent="0.25">
      <c r="L65" s="8"/>
      <c r="Q65" s="8"/>
    </row>
    <row r="66" spans="12:18" ht="20.100000000000001" customHeight="1" x14ac:dyDescent="0.25">
      <c r="L66" s="8"/>
      <c r="M66" s="147" t="s">
        <v>299</v>
      </c>
      <c r="N66" s="147" cm="1">
        <f t="array" ref="N66">Common_Equations.Common_ConvertN2OToCO2e(P63,P64)</f>
        <v>176.99880000000002</v>
      </c>
      <c r="O66" s="154" t="str" cm="1">
        <f t="array" ref="O66">Common_Equations.Common_ConvertN2OToCO2e_Unit()</f>
        <v>t CO2e</v>
      </c>
      <c r="Q66" s="8"/>
    </row>
    <row r="67" spans="12:18" ht="20.100000000000001" customHeight="1" x14ac:dyDescent="0.25">
      <c r="L67" s="8"/>
      <c r="M67" s="8"/>
      <c r="N67" s="8"/>
      <c r="O67" s="233"/>
      <c r="P67" s="8"/>
      <c r="Q67" s="8"/>
      <c r="R67" s="8"/>
    </row>
    <row r="68" spans="12:18" ht="20.100000000000001" customHeight="1" x14ac:dyDescent="0.25">
      <c r="L68" s="8"/>
    </row>
    <row r="69" spans="12:18" ht="20.100000000000001" customHeight="1" x14ac:dyDescent="0.25">
      <c r="L69" s="8"/>
    </row>
    <row r="70" spans="12:18" ht="20.100000000000001" customHeight="1" x14ac:dyDescent="0.25"/>
    <row r="71" spans="12:18" ht="20.100000000000001" customHeight="1" x14ac:dyDescent="0.25"/>
    <row r="72" spans="12:18" ht="20.100000000000001" customHeight="1" x14ac:dyDescent="0.25"/>
    <row r="73" spans="12:18" ht="20.100000000000001" customHeight="1" x14ac:dyDescent="0.25"/>
    <row r="74" spans="12:18" ht="20.100000000000001" customHeight="1" x14ac:dyDescent="0.25"/>
    <row r="75" spans="12:18" ht="20.100000000000001" customHeight="1" x14ac:dyDescent="0.25"/>
    <row r="76" spans="12:18" ht="20.100000000000001" customHeight="1" x14ac:dyDescent="0.25"/>
    <row r="77" spans="12:18" ht="20.100000000000001" customHeight="1" x14ac:dyDescent="0.25"/>
    <row r="78" spans="12:18" ht="20.100000000000001" customHeight="1" x14ac:dyDescent="0.25"/>
    <row r="79" spans="12:18" ht="20.100000000000001" customHeight="1" x14ac:dyDescent="0.25"/>
    <row r="80" spans="12:18" ht="20.100000000000001" customHeight="1" x14ac:dyDescent="0.25"/>
    <row r="81" spans="12:12" ht="20.100000000000001" customHeight="1" x14ac:dyDescent="0.25"/>
    <row r="82" spans="12:12" ht="20.100000000000001" customHeight="1" x14ac:dyDescent="0.25"/>
    <row r="83" spans="12:12" ht="20.100000000000001" customHeight="1" x14ac:dyDescent="0.25"/>
    <row r="84" spans="12:12" ht="20.100000000000001" customHeight="1" x14ac:dyDescent="0.25"/>
    <row r="85" spans="12:12" ht="20.100000000000001" customHeight="1" x14ac:dyDescent="0.25"/>
    <row r="86" spans="12:12" ht="20.100000000000001" customHeight="1" x14ac:dyDescent="0.25">
      <c r="L86" s="8"/>
    </row>
    <row r="87" spans="12:12" ht="20.100000000000001" customHeight="1" x14ac:dyDescent="0.25"/>
    <row r="88" spans="12:12" ht="20.100000000000001" customHeight="1" x14ac:dyDescent="0.25"/>
    <row r="89" spans="12:12" ht="20.100000000000001" customHeight="1" x14ac:dyDescent="0.25"/>
    <row r="90" spans="12:12" ht="20.100000000000001" customHeight="1" x14ac:dyDescent="0.25"/>
    <row r="91" spans="12:12" ht="20.100000000000001" customHeight="1" x14ac:dyDescent="0.25"/>
    <row r="92" spans="12:12" ht="20.100000000000001" customHeight="1" x14ac:dyDescent="0.25"/>
    <row r="93" spans="12:12" ht="20.100000000000001" customHeight="1" x14ac:dyDescent="0.25"/>
    <row r="94" spans="12:12" ht="20.100000000000001" customHeight="1" x14ac:dyDescent="0.25"/>
    <row r="95" spans="12:12" ht="20.100000000000001" customHeight="1" x14ac:dyDescent="0.25"/>
    <row r="96" spans="12:12"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S172 O150:R150 E269 N166:S166 O143:S144 E228 O167:S167 G132 I129:I133 F134:I134 F129:F132 H128:H132 G129 F148:I148 I149 F150:I150 R149:S149" xr:uid="{A323B1CA-71BE-457B-AC38-9CA76827330D}"/>
  </dataValidations>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1AD9E8-95A7-4D9E-9C5B-2659716B2AFA}">
  <dimension ref="A1:T165"/>
  <sheetViews>
    <sheetView showGridLines="0" topLeftCell="A14" workbookViewId="0" zoomScale="100" zoomScaleNormal="100">
      <selection activeCell="A50" sqref="A50"/>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639</v>
      </c>
    </row>
    <row r="2" spans="1:20" s="3" customFormat="1" ht="20.100000000000001" customHeight="1" x14ac:dyDescent="0.25">
      <c r="A2"/>
    </row>
    <row r="3" spans="1:20" ht="20.100000000000001" customHeight="1" x14ac:dyDescent="0.25">
      <c r="A3" s="5" t="str">
        <f>HYPERLINK("#'Home'!A1", "Home")</f>
        <v>Home</v>
      </c>
      <c r="C3" s="33"/>
      <c r="D3" s="33" t="s">
        <v>135</v>
      </c>
      <c r="E3" s="33"/>
      <c r="F3" s="33"/>
      <c r="G3" s="33"/>
      <c r="H3" s="33"/>
      <c r="I3" s="33"/>
      <c r="J3" s="33"/>
      <c r="K3" s="33"/>
      <c r="M3" s="33"/>
      <c r="N3" s="33" t="s">
        <v>136</v>
      </c>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C5" s="8"/>
      <c r="D5" s="2" t="str" cm="1">
        <f t="array" ref="D5">AgResidue_Equations_Leaching.VEERG_6_3_1_1__2__MassOfNitrogenLostThroughLeachingAndRunoff_Title()</f>
        <v>Mass of nitrogen lost through leaching and runoff</v>
      </c>
      <c r="E5" s="8"/>
      <c r="F5" s="8"/>
      <c r="G5" s="8"/>
      <c r="H5" s="8"/>
      <c r="I5" s="8"/>
      <c r="J5" s="8"/>
      <c r="K5" s="8"/>
    </row>
    <row r="6" spans="1:20" ht="20.100000000000001" customHeight="1" x14ac:dyDescent="0.25">
      <c r="C6" s="8"/>
      <c r="D6" s="27" t="str" cm="1">
        <f t="array" ref="D6">AgResidue_Equations_Leaching.VEERG_6_3_1_1__2__MassOfNitrogenLostThroughLeachingAndRunoff_Source()</f>
        <v>VEERG 2026: 6.3.1.1, Equation (2)</v>
      </c>
      <c r="E6" s="8"/>
      <c r="F6" s="8"/>
      <c r="G6" s="8"/>
      <c r="H6" s="8"/>
      <c r="I6" s="8"/>
      <c r="J6" s="8"/>
      <c r="K6" s="8"/>
    </row>
    <row r="7" spans="1:20" ht="20.100000000000001" customHeight="1" x14ac:dyDescent="0.25">
      <c r="C7" s="8"/>
      <c r="D7" s="133" t="s">
        <v>267</v>
      </c>
      <c r="E7" s="133" t="str" cm="1">
        <f t="array" aca="1" ref="E7" ca="1">Common_InputFunctions.Utility_DisplayFunctionName(I24)</f>
        <v>=AgResidue_Equations_Leaching.VEERG_6_3_1_1__2__MassOfNitrogenLostThroughLeachingAndRunoff</v>
      </c>
      <c r="F7" s="133"/>
      <c r="G7" s="8"/>
      <c r="H7" s="8"/>
      <c r="I7" s="8"/>
      <c r="J7" s="8"/>
      <c r="K7" s="8"/>
    </row>
    <row r="8" spans="1:20" ht="20.100000000000001" customHeight="1" x14ac:dyDescent="0.25">
      <c r="A8" s="7" t="s">
        <v>0</v>
      </c>
      <c r="C8" s="8"/>
      <c r="F8" s="8"/>
      <c r="G8" s="8"/>
      <c r="H8" s="8"/>
      <c r="I8" s="8"/>
      <c r="J8" s="8"/>
      <c r="K8" s="8"/>
    </row>
    <row r="9" spans="1:20" ht="20.100000000000001" customHeight="1" x14ac:dyDescent="0.25">
      <c r="A9" s="5" t="str">
        <f>HYPERLINK("#'Input - Enterprise'!A1", "Enterprise")</f>
        <v>Enterprise</v>
      </c>
      <c r="C9" s="8"/>
      <c r="D9" s="8"/>
      <c r="E9" s="8"/>
      <c r="F9" s="8"/>
      <c r="G9" s="8"/>
      <c r="H9" s="8"/>
      <c r="I9" s="8"/>
      <c r="J9" s="8"/>
      <c r="K9" s="8"/>
    </row>
    <row r="10" spans="1:20" ht="20.100000000000001" customHeight="1" x14ac:dyDescent="0.25">
      <c r="A10" s="5" t="str">
        <f>HYPERLINK("#'Input - Site'!A1", "Site")</f>
        <v>Site</v>
      </c>
      <c r="C10" s="8"/>
      <c r="D10" s="12" t="s">
        <v>268</v>
      </c>
      <c r="E10" s="8" t="str" cm="1">
        <f t="array" ref="E10">AgResidue_Equations_Leaching.VEERG_6_3_1_1__2__MassOfNitrogenLostThroughLeachingAndRunoff_Variable()</f>
        <v>M_leachcp</v>
      </c>
      <c r="F10" s="8"/>
      <c r="G10" s="27"/>
      <c r="H10" s="8"/>
      <c r="I10" s="8"/>
      <c r="J10" s="8"/>
      <c r="K10" s="8"/>
    </row>
    <row r="11" spans="1:20" ht="20.100000000000001" customHeight="1" x14ac:dyDescent="0.25">
      <c r="A11" s="5" t="str">
        <f>HYPERLINK("#'Input - Crop'!A1", "Crop")</f>
        <v>Crop</v>
      </c>
      <c r="C11" s="8"/>
      <c r="D11" s="12" t="s">
        <v>121</v>
      </c>
      <c r="E11" s="15" t="str" cm="1">
        <f t="array" ref="E11">AgResidue_Equations_Leaching.VEERG_6_3_1_1__2__MassOfNitrogenLostThroughLeachingAndRunoff_Unit()</f>
        <v>kg N</v>
      </c>
      <c r="F11" s="8"/>
      <c r="G11" s="8"/>
      <c r="H11" s="8"/>
      <c r="I11" s="8"/>
      <c r="J11" s="8"/>
      <c r="K11" s="8"/>
    </row>
    <row r="12" spans="1:20" ht="20.100000000000001" customHeight="1" x14ac:dyDescent="0.25">
      <c r="A12" s="5" t="str">
        <f>HYPERLINK("#'Input - Fert Prod System'!A1", "Fert Prod System")</f>
        <v>Fert Prod System</v>
      </c>
      <c r="C12" s="8"/>
      <c r="D12" s="8"/>
      <c r="E12" s="8"/>
      <c r="F12" s="8"/>
      <c r="G12" s="8"/>
      <c r="H12" s="8"/>
      <c r="I12" s="8"/>
      <c r="J12" s="8"/>
      <c r="K12" s="8"/>
    </row>
    <row r="13" spans="1:20" ht="20.100000000000001" customHeight="1" x14ac:dyDescent="0.25">
      <c r="A13" s="5" t="str">
        <f>HYPERLINK("#'Input - Fertiliser'!A1", "Fertiliser")</f>
        <v>Fertiliser</v>
      </c>
      <c r="C13" s="8"/>
      <c r="D13" s="155" t="str" cm="1">
        <f t="array" ref="D13:E19">_xlfn.CHOOSECOLS(AgResidue_Equations_Leaching.VEERG_6_3_1_1__2__MassOfNitrogenLostThroughLeachingAndRunoff_Arguments(), 1,2)</f>
        <v>M_cp</v>
      </c>
      <c r="E13" s="163" t="str">
        <v>mass of nitrogen in crop residues c or pasture residues p applied to soils</v>
      </c>
      <c r="F13" s="164"/>
      <c r="G13" s="165"/>
      <c r="H13" s="155" t="str" cm="1">
        <f t="array" ref="H13:I19">_xlfn.CHOOSECOLS(AgResidue_Equations_Leaching.VEERG_6_3_1_1__2__MassOfNitrogenLostThroughLeachingAndRunoff_Arguments(), 3,4)</f>
        <v>kg N</v>
      </c>
      <c r="I13" s="138" t="str">
        <v>Calc from 6.1.1.1 (2) and 6.2.1.1 (2)</v>
      </c>
      <c r="J13" s="141" t="str" cm="1">
        <f t="array" aca="1" ref="J13" ca="1">HYPERLINK(Common_InputFunctions.Utility_SourceHyperlink($D$21), $D$21)</f>
        <v>M1_Table_M_leach_cp</v>
      </c>
      <c r="K13" s="8"/>
    </row>
    <row r="14" spans="1:20" ht="20.100000000000001" customHeight="1" x14ac:dyDescent="0.25">
      <c r="A14" s="5" t="str">
        <f>HYPERLINK("#'Input - Fuel'!A1", "Fuel")</f>
        <v>Fuel</v>
      </c>
      <c r="C14" s="8"/>
      <c r="D14" s="155" t="str">
        <v>FracWET_j</v>
      </c>
      <c r="E14" s="163" t="str">
        <v>fraction of N that is available for leaching and runoff from the leaching zone z and irrigation type ir</v>
      </c>
      <c r="F14" s="164"/>
      <c r="G14" s="165"/>
      <c r="H14" s="155" t="str">
        <v>fraction</v>
      </c>
      <c r="I14" s="138" t="str">
        <v>Constant</v>
      </c>
      <c r="J14" s="141" t="str" cm="1">
        <f t="array" aca="1" ref="J14" ca="1">HYPERLINK(Common_InputFunctions.Utility_SourceHyperlink($D$21), $D$21)</f>
        <v>M1_Table_M_leach_cp</v>
      </c>
      <c r="K14" s="8"/>
    </row>
    <row r="15" spans="1:20" ht="20.100000000000001" customHeight="1" x14ac:dyDescent="0.25">
      <c r="A15" s="5" t="str">
        <f>HYPERLINK("#'Input - Electricity'!A1", "Electricity")</f>
        <v>Electricity</v>
      </c>
      <c r="C15" s="8"/>
      <c r="D15" s="155" t="str">
        <v>FracLEACH</v>
      </c>
      <c r="E15" s="163" t="str">
        <v>fraction of N that is lost through leaching and runoff</v>
      </c>
      <c r="F15" s="164"/>
      <c r="G15" s="165"/>
      <c r="H15" s="155" t="str">
        <v>fraction</v>
      </c>
      <c r="I15" s="138" t="str">
        <v>Constant</v>
      </c>
      <c r="J15" s="155">
        <f>'Constants - Common'!$E$164</f>
        <v>0.24</v>
      </c>
      <c r="K15" s="8"/>
    </row>
    <row r="16" spans="1:20" ht="20.100000000000001" customHeight="1" x14ac:dyDescent="0.25">
      <c r="A16" s="5" t="str">
        <f>HYPERLINK("#'Input - Common farm inputs'!A1", "Common farm inputs")</f>
        <v>Common farm inputs</v>
      </c>
      <c r="C16" s="8"/>
      <c r="D16" s="155" t="str">
        <v>z</v>
      </c>
      <c r="E16" s="163" t="str">
        <v>Location in leaching zone</v>
      </c>
      <c r="F16" s="164"/>
      <c r="G16" s="165"/>
      <c r="H16" s="155" t="str">
        <v/>
      </c>
      <c r="I16" s="137" t="str">
        <v>Input</v>
      </c>
      <c r="J16" s="141" t="str" cm="1">
        <f t="array" aca="1" ref="J16" ca="1">HYPERLINK(Common_InputFunctions.Utility_SourceHyperlink($D$21), $D$21)</f>
        <v>M1_Table_M_leach_cp</v>
      </c>
      <c r="K16" s="8"/>
    </row>
    <row r="17" spans="1:20" ht="20.100000000000001" customHeight="1" x14ac:dyDescent="0.25">
      <c r="A17" s="5" t="str">
        <f>HYPERLINK("#'Input - Crop pasture farm input'!A1", "Crop pasture farm input")</f>
        <v>Crop pasture farm input</v>
      </c>
      <c r="C17" s="8"/>
      <c r="D17" s="155" t="str">
        <v>c</v>
      </c>
      <c r="E17" s="163" t="str">
        <v>Crop residue type</v>
      </c>
      <c r="F17" s="164"/>
      <c r="G17" s="165"/>
      <c r="H17" s="155" t="str">
        <v/>
      </c>
      <c r="I17" s="137" t="str">
        <v>Input</v>
      </c>
      <c r="J17" s="155" t="str">
        <f>X_Cell_Crop_CropType</f>
        <v>Wheat</v>
      </c>
      <c r="K17" s="8"/>
    </row>
    <row r="18" spans="1:20" ht="20.100000000000001" customHeight="1" x14ac:dyDescent="0.25">
      <c r="A18" s="5" t="str">
        <f>HYPERLINK("#'Input - Freight'!A1", "Freight")</f>
        <v>Freight</v>
      </c>
      <c r="C18" s="8"/>
      <c r="D18" s="155" t="str">
        <v>p</v>
      </c>
      <c r="E18" s="163" t="str">
        <v>Pasture residue type</v>
      </c>
      <c r="F18" s="164"/>
      <c r="G18" s="165"/>
      <c r="H18" s="155" t="str">
        <v/>
      </c>
      <c r="I18" s="137" t="str">
        <v>Input</v>
      </c>
      <c r="J18" s="155" t="s">
        <v>127</v>
      </c>
      <c r="K18" s="8"/>
    </row>
    <row r="19" spans="1:20" ht="20.100000000000001" customHeight="1" x14ac:dyDescent="0.25">
      <c r="A19" s="5" t="str">
        <f>HYPERLINK("#'Input - Manure sent off-site'!A1", "Manure sent off-site")</f>
        <v>Manure sent off-site</v>
      </c>
      <c r="C19" s="8"/>
      <c r="D19" s="155" t="str">
        <v>ir</v>
      </c>
      <c r="E19" s="163" t="str">
        <v>Irrigation type</v>
      </c>
      <c r="F19" s="164"/>
      <c r="G19" s="165"/>
      <c r="H19" s="155" t="str">
        <v/>
      </c>
      <c r="I19" s="137" t="str">
        <v>Input</v>
      </c>
      <c r="J19" s="141" t="str" cm="1">
        <f t="array" aca="1" ref="J19" ca="1">HYPERLINK(Common_InputFunctions.Utility_SourceHyperlink($D$21), $D$21)</f>
        <v>M1_Table_M_leach_cp</v>
      </c>
      <c r="K19" s="8"/>
    </row>
    <row r="20" spans="1:20" ht="20.100000000000001" customHeight="1" x14ac:dyDescent="0.25">
      <c r="A20" s="5" t="str">
        <f>HYPERLINK("#'Input - Solid waste'!A1", "Solid waste")</f>
        <v>Solid waste</v>
      </c>
      <c r="C20" s="8"/>
      <c r="D20" s="8"/>
      <c r="E20" s="8"/>
      <c r="F20" s="8"/>
      <c r="G20" s="8"/>
      <c r="H20" s="8"/>
      <c r="I20" s="8"/>
      <c r="J20" s="8"/>
      <c r="K20" s="8"/>
    </row>
    <row r="21" spans="1:20" ht="20.100000000000001" customHeight="1" x14ac:dyDescent="0.25">
      <c r="A21" s="5" t="str">
        <f>HYPERLINK("#'Input - Data quality'!A1", "Data quality")</f>
        <v>Data quality</v>
      </c>
      <c r="C21" s="8"/>
      <c r="D21" s="144" t="s">
        <v>640</v>
      </c>
      <c r="E21" s="8"/>
      <c r="F21" s="8"/>
      <c r="G21" s="8"/>
      <c r="H21" s="8"/>
      <c r="I21" s="8"/>
      <c r="J21" s="8"/>
      <c r="K21" s="8"/>
      <c r="N21" s="144" t="s">
        <v>641</v>
      </c>
      <c r="O21" s="8"/>
      <c r="P21" s="8"/>
      <c r="Q21" s="8"/>
      <c r="R21" s="8"/>
      <c r="S21" s="8"/>
    </row>
    <row r="22" spans="1:20" ht="20.100000000000001" customHeight="1" x14ac:dyDescent="0.25">
      <c r="C22" s="8"/>
      <c r="D22" s="145" t="s">
        <v>642</v>
      </c>
      <c r="E22" s="8"/>
      <c r="F22" s="8"/>
      <c r="G22" s="8"/>
      <c r="H22" s="8"/>
      <c r="I22" s="8"/>
      <c r="J22" s="8"/>
      <c r="K22" s="8"/>
      <c r="N22" s="145" t="s">
        <v>643</v>
      </c>
      <c r="O22" s="8"/>
      <c r="P22" s="8"/>
      <c r="Q22" s="8"/>
      <c r="R22" s="8"/>
      <c r="S22" s="8"/>
    </row>
    <row r="23" spans="1:20" ht="20.100000000000001" customHeight="1" x14ac:dyDescent="0.25">
      <c r="C23" s="8"/>
      <c r="D23" s="92" t="s">
        <v>644</v>
      </c>
      <c r="E23" s="146" t="s">
        <v>645</v>
      </c>
      <c r="F23" s="92" t="s">
        <v>646</v>
      </c>
      <c r="G23" s="92" t="s">
        <v>103</v>
      </c>
      <c r="H23" s="146" t="s">
        <v>647</v>
      </c>
      <c r="I23" s="146" t="s">
        <v>648</v>
      </c>
      <c r="J23" s="8"/>
      <c r="K23" s="8"/>
      <c r="N23" s="92" t="s">
        <v>644</v>
      </c>
      <c r="O23" s="146" t="s">
        <v>645</v>
      </c>
      <c r="P23" s="92" t="s">
        <v>646</v>
      </c>
      <c r="Q23" s="92" t="s">
        <v>103</v>
      </c>
      <c r="R23" s="146" t="s">
        <v>647</v>
      </c>
      <c r="S23" s="146" t="s">
        <v>648</v>
      </c>
    </row>
    <row r="24" spans="1:20" ht="20.100000000000001" customHeight="1" x14ac:dyDescent="0.25">
      <c r="A24" s="6" t="s">
        <v>2</v>
      </c>
      <c r="D24" s="25" t="s">
        <v>184</v>
      </c>
      <c r="E24" s="25">
        <f>'6.1.1.1-2 Crop residue N2O'!$E$24</f>
        <v>85008</v>
      </c>
      <c r="F24" s="25" t="str">
        <f>X_Cell_Crop_IrrigationMethod</f>
        <v>Sprinkler irrigation</v>
      </c>
      <c r="G24" s="25" t="str">
        <f>X_Cell_Site_LeachingZone</f>
        <v>NO - Not in leaching zone</v>
      </c>
      <c r="H24" s="25">
        <f>CommonCropping_InputFunctions.CommonCropping_GetFracWET(G24,F24,Table_SourceData_FracWET[Is in leaching zone],Table_SourceData_FracWET[FracWET], Table_SourceData_FracWETIrrigation[Irrigation type i],Table_SourceData_FracWETIrrigation[FracWET])</f>
        <v>1</v>
      </c>
      <c r="I24" s="25" cm="1">
        <f t="array" ref="I24">AgResidue_Equations_Leaching.VEERG_6_3_1_1__2__MassOfNitrogenLostThroughLeachingAndRunoff(E24,H24,$J$15)</f>
        <v>20401.919999999998</v>
      </c>
      <c r="N24" s="25"/>
      <c r="O24" s="25">
        <f>'6.1.1.1-2 Crop residue N2O'!$N$43</f>
        <v>85008</v>
      </c>
      <c r="P24" s="25"/>
      <c r="Q24" s="25"/>
      <c r="R24" s="25"/>
      <c r="S24" s="25" cm="1">
        <f t="array" ref="S24">AgResidue_Equations_Leaching.VEERG_6_3_1_1__2__MassOfNitrogenLostThroughLeachingAndRunoff(O24,H24,$J$15)</f>
        <v>20401.919999999998</v>
      </c>
    </row>
    <row r="25" spans="1:20" ht="20.100000000000001" customHeight="1" x14ac:dyDescent="0.25">
      <c r="A25" s="5" t="str">
        <f>HYPERLINK("#'5.1.1.1-2 Inorganic fert N2O'!A1", "5.1.1.1-2 Inorganic fert N2O")</f>
        <v>5.1.1.1-2 Inorganic fert N2O</v>
      </c>
      <c r="D25" s="25" t="s">
        <v>365</v>
      </c>
      <c r="E25" s="25" t="s">
        <v>127</v>
      </c>
      <c r="F25" s="25" t="s">
        <v>127</v>
      </c>
      <c r="G25" s="25" t="s">
        <v>127</v>
      </c>
      <c r="H25" s="25" t="s">
        <v>127</v>
      </c>
      <c r="I25" s="25" t="s">
        <v>127</v>
      </c>
      <c r="N25" s="25"/>
      <c r="O25" s="25" t="s">
        <v>127</v>
      </c>
      <c r="P25" s="25"/>
      <c r="Q25" s="25"/>
      <c r="R25" s="25"/>
      <c r="S25" s="25" t="s">
        <v>127</v>
      </c>
    </row>
    <row r="26" spans="1:20" ht="20.100000000000001" customHeight="1" x14ac:dyDescent="0.25">
      <c r="A26" s="5" t="str">
        <f>HYPERLINK("#'5.1.1.3-4 Inorganic fert CO2'!A1", "5.1.1.3-4 Inorganic fert CO2")</f>
        <v>5.1.1.3-4 Inorganic fert CO2</v>
      </c>
    </row>
    <row r="27" spans="1:20" ht="20.100000000000001" customHeight="1" x14ac:dyDescent="0.25">
      <c r="A27" s="5" t="str">
        <f>HYPERLINK("#'5.2.1.1-2 Organic Fert N2O'!A1", "5.2.1.1-2 Organic fert N2O")</f>
        <v>5.2.1.1-2 Organic fert N2O</v>
      </c>
      <c r="C27" s="232"/>
      <c r="D27" s="232"/>
      <c r="E27" s="232"/>
      <c r="F27" s="232"/>
      <c r="G27" s="232"/>
      <c r="H27" s="232"/>
      <c r="I27" s="232"/>
      <c r="J27" s="232"/>
      <c r="K27" s="232"/>
      <c r="M27" s="232"/>
      <c r="N27" s="232"/>
      <c r="O27" s="232"/>
      <c r="P27" s="232"/>
      <c r="Q27" s="232"/>
      <c r="R27" s="232"/>
      <c r="S27" s="232"/>
      <c r="T27" s="232"/>
    </row>
    <row r="28" spans="1:20" ht="20.100000000000001" customHeight="1" x14ac:dyDescent="0.25">
      <c r="A28" s="5" t="str">
        <f>HYPERLINK("#'5.3.1.1-2 Lime CO2'!A1", "5.3.1.1-2 Lime CO2")</f>
        <v>5.3.1.1-2 Lime CO2</v>
      </c>
      <c r="C28" s="8"/>
      <c r="D28" s="2" t="str" cm="1">
        <f t="array" ref="D28">AgResidue_Equations_Leaching.VEERG_6_3_1_1__1__LeachingAndRunoffEmissionsCropAndPastureResidue_Title()</f>
        <v>Nitrous oxide leaching and runoff emissions from crop and pasture residues returned to the soil</v>
      </c>
      <c r="E28" s="8"/>
      <c r="F28" s="234"/>
      <c r="G28" s="8"/>
      <c r="H28" s="8"/>
      <c r="I28" s="8"/>
      <c r="J28" s="8"/>
      <c r="K28" s="8"/>
    </row>
    <row r="29" spans="1:20" ht="20.100000000000001" customHeight="1" x14ac:dyDescent="0.25">
      <c r="A29" s="5" t="str">
        <f>HYPERLINK("#'5.4.1.1-4 Atmos deposition'!A1", "5.4.1.1-4 Atmos. deposition")</f>
        <v>5.4.1.1-4 Atmos. deposition</v>
      </c>
      <c r="C29" s="8"/>
      <c r="D29" s="27" t="str" cm="1">
        <f t="array" ref="D29">AgResidue_Equations_Leaching.VEERG_6_3_1_1__1__LeachingAndRunoffEmissionsCropAndPastureResidue_Source()</f>
        <v>VEERG 2026: 6.3.1.1, Equation (1)</v>
      </c>
      <c r="E29" s="8"/>
      <c r="F29" s="8"/>
      <c r="G29" s="8"/>
      <c r="H29" s="8"/>
      <c r="I29" s="8"/>
      <c r="J29" s="8"/>
      <c r="K29" s="8"/>
    </row>
    <row r="30" spans="1:20" ht="20.100000000000001" customHeight="1" x14ac:dyDescent="0.25">
      <c r="A30" s="5" t="str">
        <f>HYPERLINK("#'5.5.1.1-2 Leaching and runoff'!A1", "5.5.1.1-2 Leaching &amp; runoff")</f>
        <v>5.5.1.1-2 Leaching &amp; runoff</v>
      </c>
      <c r="C30" s="8"/>
      <c r="D30" s="133" t="s">
        <v>267</v>
      </c>
      <c r="E30" s="133" t="str" cm="1">
        <f t="array" aca="1" ref="E30" ca="1">Common_InputFunctions.Utility_DisplayFunctionName(E45)</f>
        <v>=AgResidue_Equations_Leaching.VEERG_6_3_1_1__1__LeachingAndRunoffEmissionsCropAndPastureResidue</v>
      </c>
      <c r="F30" s="8"/>
      <c r="G30" s="8"/>
      <c r="H30" s="8"/>
      <c r="I30" s="8"/>
      <c r="J30" s="8"/>
      <c r="K30" s="8"/>
    </row>
    <row r="31" spans="1:20" ht="20.100000000000001" customHeight="1" x14ac:dyDescent="0.25">
      <c r="A31" s="5" t="str">
        <f>HYPERLINK("#'6.1.1.1-2 Crop residue N2O'!A1", "6.1.1.1-2 Crop residue N2O")</f>
        <v>6.1.1.1-2 Crop residue N2O</v>
      </c>
      <c r="C31" s="8"/>
      <c r="D31" s="8"/>
      <c r="E31" s="8"/>
      <c r="F31" s="8"/>
      <c r="G31" s="8"/>
      <c r="H31" s="8"/>
      <c r="I31" s="8"/>
      <c r="J31" s="8"/>
      <c r="K31" s="8"/>
    </row>
    <row r="32" spans="1:20" ht="20.100000000000001" customHeight="1" x14ac:dyDescent="0.25">
      <c r="A32" s="142" t="str">
        <f>HYPERLINK("#'6.3.1.1-2 Leach runoff crop'!A1", "6.3.1.1-2 Leach &amp; runoff (crop)")</f>
        <v>6.3.1.1-2 Leach &amp; runoff (crop)</v>
      </c>
      <c r="C32" s="8"/>
      <c r="D32" s="8"/>
      <c r="E32" s="8"/>
      <c r="F32" s="27"/>
      <c r="G32" s="8"/>
      <c r="H32" s="8"/>
      <c r="I32" s="8"/>
      <c r="J32" s="8"/>
      <c r="K32" s="8"/>
    </row>
    <row r="33" spans="1:17" ht="20.100000000000001" customHeight="1" x14ac:dyDescent="0.25">
      <c r="A33" s="5" t="str">
        <f>HYPERLINK("#'6.4.1.1-2 Residue burning'!A1", "6.4.1.1-2 Residue burning")</f>
        <v>6.4.1.1-2 Residue burning</v>
      </c>
      <c r="C33" s="8"/>
      <c r="D33" s="12" t="s">
        <v>268</v>
      </c>
      <c r="E33" s="8" t="str" cm="1">
        <f t="array" ref="E33">AgResidue_Equations_Leaching.VEERG_6_3_1_1__1__LeachingAndRunoffEmissionsCropAndPastureResidue_Variable()</f>
        <v>EN2O</v>
      </c>
      <c r="F33" s="8"/>
      <c r="G33" s="8"/>
      <c r="H33" s="8"/>
      <c r="I33" s="8"/>
      <c r="J33" s="8"/>
      <c r="K33" s="8"/>
    </row>
    <row r="34" spans="1:17" ht="20.100000000000001" customHeight="1" x14ac:dyDescent="0.25">
      <c r="A34" s="5" t="str">
        <f>HYPERLINK("#'8.1.1.1-2 Transport fuel'!A1", "8.1.1.1-2 Transport fuel")</f>
        <v>8.1.1.1-2 Transport fuel</v>
      </c>
      <c r="C34" s="8"/>
      <c r="D34" s="12" t="s">
        <v>121</v>
      </c>
      <c r="E34" s="15" t="str" cm="1">
        <f t="array" ref="E34">AgResidue_Equations_Leaching.VEERG_6_3_1_1__1__LeachingAndRunoffEmissionsCropAndPastureResidue_Unit()</f>
        <v>t N2O</v>
      </c>
      <c r="F34" s="8"/>
      <c r="G34" s="8"/>
      <c r="H34" s="8"/>
      <c r="I34" s="8"/>
      <c r="J34" s="8"/>
      <c r="K34" s="8"/>
    </row>
    <row r="35" spans="1:17" ht="20.100000000000001" customHeight="1" x14ac:dyDescent="0.25">
      <c r="A35" s="5" t="str">
        <f>HYPERLINK("#'8.2.1.1-2 Stationary fuel'!A1", "8.2.1.1-2 Stationary fuel")</f>
        <v>8.2.1.1-2 Stationary fuel</v>
      </c>
      <c r="C35" s="8"/>
      <c r="D35" s="8"/>
      <c r="E35" s="8"/>
      <c r="F35" s="8"/>
      <c r="G35" s="8"/>
      <c r="H35" s="8"/>
      <c r="I35" s="8"/>
      <c r="J35" s="8"/>
      <c r="K35" s="8"/>
    </row>
    <row r="36" spans="1:17" ht="20.100000000000001" customHeight="1" x14ac:dyDescent="0.25">
      <c r="A36" s="5" t="str">
        <f>HYPERLINK("#'14.1.1-2 Purchased electricity'!A1", "14.1.1-2 Purchased electricity")</f>
        <v>14.1.1-2 Purchased electricity</v>
      </c>
      <c r="C36" s="8"/>
      <c r="D36" s="155" t="str" cm="1">
        <f t="array" ref="D36:E40">_xlfn.CHOOSECOLS(AgResidue_Equations_Leaching.VEERG_6_3_1_1__1__LeachingAndRunoffEmissionsCropAndPastureResidue_Arguments(),1,2)</f>
        <v>M_leachcp</v>
      </c>
      <c r="E36" s="163" t="str">
        <v>mass of nitrogen lost through leaching and runoff from the crop residue c or pasture residue p</v>
      </c>
      <c r="F36" s="164"/>
      <c r="G36" s="165"/>
      <c r="H36" s="155" t="str" cm="1">
        <f t="array" ref="H36:I40">_xlfn.CHOOSECOLS(AgResidue_Equations_Leaching.VEERG_6_3_1_1__1__LeachingAndRunoffEmissionsCropAndPastureResidue_Arguments(),3,4)</f>
        <v>kg N</v>
      </c>
      <c r="I36" s="138" t="str">
        <v>Calculated from 6.3.1.1 (2)</v>
      </c>
      <c r="J36" s="155" t="str" cm="1">
        <f t="array" aca="1" ref="J36" ca="1">HYPERLINK(Common_InputFunctions.Utility_SourceHyperlink($D$21), $D$21)</f>
        <v>M1_Table_M_leach_cp</v>
      </c>
      <c r="K36" s="8"/>
    </row>
    <row r="37" spans="1:17" ht="20.100000000000001" customHeight="1" x14ac:dyDescent="0.25">
      <c r="A37" s="5" t="str">
        <f>HYPERLINK("#'15 Scope 3'!A1", "15 Scope 3")</f>
        <v>15 Scope 3</v>
      </c>
      <c r="C37" s="8"/>
      <c r="D37" s="155" t="str">
        <v>EF_leach</v>
      </c>
      <c r="E37" s="163" t="str">
        <v>emission factor for leaching and runoff</v>
      </c>
      <c r="F37" s="164"/>
      <c r="G37" s="165"/>
      <c r="H37" s="155" t="str">
        <v>kg N2O-N/kg N</v>
      </c>
      <c r="I37" s="138" t="str">
        <v>Constant</v>
      </c>
      <c r="J37" s="155">
        <f>'Constants - Common'!$E$170</f>
        <v>1.0999999999999999E-2</v>
      </c>
      <c r="K37" s="8"/>
    </row>
    <row r="38" spans="1:17" ht="20.100000000000001" customHeight="1" x14ac:dyDescent="0.25">
      <c r="A38" s="5" t="str">
        <f>HYPERLINK("#'Calcs - Manure sent off-site'!A1", "Calcs - Manure sent off-site")</f>
        <v>Calcs - Manure sent off-site</v>
      </c>
      <c r="C38" s="8"/>
      <c r="D38" s="155" t="str">
        <v>C_N2O</v>
      </c>
      <c r="E38" s="163" t="str">
        <v>factor to convert elemental mass of nitrous oxide to molecular mass</v>
      </c>
      <c r="F38" s="164"/>
      <c r="G38" s="165"/>
      <c r="H38" s="155" t="str">
        <v>dimensionless</v>
      </c>
      <c r="I38" s="138" t="str">
        <v>Constant</v>
      </c>
      <c r="J38" s="155">
        <f>Common_InputFunctions.Utility_LookupValueInTableNumber("N2O",Table_GasToMolecularConversionFactor[Gas],Table_GasToMolecularConversionFactor[Conversion factor combined])</f>
        <v>1.5714285714285714</v>
      </c>
      <c r="K38" s="8"/>
    </row>
    <row r="39" spans="1:17" ht="20.100000000000001" customHeight="1" x14ac:dyDescent="0.25">
      <c r="A39" s="5" t="str">
        <f>HYPERLINK("#'10.1.1-2 Solid waste treatment'!A1", "10.1.1-2 Solid waste treatment")</f>
        <v>10.1.1-2 Solid waste treatment</v>
      </c>
      <c r="C39" s="8"/>
      <c r="D39" s="155" t="str">
        <v>c</v>
      </c>
      <c r="E39" s="163" t="str">
        <v>Crop residue type</v>
      </c>
      <c r="F39" s="164"/>
      <c r="G39" s="165"/>
      <c r="H39" s="155" t="str">
        <v/>
      </c>
      <c r="I39" s="137" t="str">
        <v>Input</v>
      </c>
      <c r="J39" s="155" t="str">
        <f>X_Cell_Crop_CropType</f>
        <v>Wheat</v>
      </c>
      <c r="K39" s="8"/>
    </row>
    <row r="40" spans="1:17" ht="20.100000000000001" customHeight="1" x14ac:dyDescent="0.25">
      <c r="C40" s="8"/>
      <c r="D40" s="155" t="str">
        <v>p</v>
      </c>
      <c r="E40" s="163" t="str">
        <v>Pasture residue type</v>
      </c>
      <c r="F40" s="164"/>
      <c r="G40" s="165"/>
      <c r="H40" s="155" t="str">
        <v/>
      </c>
      <c r="I40" s="137" t="str">
        <v>Input</v>
      </c>
      <c r="J40" s="155" t="s">
        <v>127</v>
      </c>
      <c r="K40" s="8"/>
    </row>
    <row r="41" spans="1:17" ht="20.100000000000001" customHeight="1" x14ac:dyDescent="0.25">
      <c r="C41" s="8"/>
      <c r="D41" s="8"/>
      <c r="E41" s="8"/>
      <c r="F41" s="8"/>
      <c r="G41" s="8"/>
      <c r="H41" s="8"/>
      <c r="I41" s="8"/>
      <c r="J41" s="8"/>
      <c r="K41" s="8"/>
    </row>
    <row r="42" spans="1:17" ht="20.100000000000001" customHeight="1" x14ac:dyDescent="0.25">
      <c r="A42" s="108" t="s">
        <v>1</v>
      </c>
      <c r="C42" s="8"/>
      <c r="D42" s="144" t="s">
        <v>294</v>
      </c>
      <c r="E42" s="8"/>
      <c r="F42" s="8"/>
      <c r="G42" s="8"/>
      <c r="H42" s="8"/>
      <c r="I42" s="8"/>
      <c r="J42" s="8"/>
      <c r="K42" s="8"/>
      <c r="N42" s="144" t="s">
        <v>294</v>
      </c>
      <c r="O42" s="8"/>
      <c r="P42" s="8"/>
      <c r="Q42" s="8"/>
    </row>
    <row r="43" spans="1:17" ht="20.100000000000001" customHeight="1" x14ac:dyDescent="0.25">
      <c r="A43" s="5" t="str">
        <f>HYPERLINK("#'Constants - Ag Residue'!A1", "Constants - Ag residue")</f>
        <v>Constants - Ag residue</v>
      </c>
      <c r="C43" s="8"/>
      <c r="D43" s="145" t="s">
        <v>649</v>
      </c>
      <c r="E43" s="8"/>
      <c r="F43" s="8"/>
      <c r="G43" s="8"/>
      <c r="H43" s="8"/>
      <c r="I43" s="8"/>
      <c r="J43" s="8"/>
      <c r="K43" s="8"/>
      <c r="N43" s="145" t="s">
        <v>649</v>
      </c>
      <c r="O43" s="8"/>
      <c r="P43" s="8"/>
      <c r="Q43" s="8"/>
    </row>
    <row r="44" spans="1:17" ht="20.100000000000001" customHeight="1" x14ac:dyDescent="0.25">
      <c r="A44" s="5" t="str">
        <f>HYPERLINK("#'Constants - Common Livestock'!A1", "Constants - Common Livestock")</f>
        <v>Constants - Common Livestock</v>
      </c>
      <c r="C44" s="8"/>
      <c r="D44" s="146" t="s">
        <v>648</v>
      </c>
      <c r="E44" s="146" t="s">
        <v>650</v>
      </c>
      <c r="F44" s="8"/>
      <c r="G44" s="8"/>
      <c r="H44" s="8"/>
      <c r="I44" s="8"/>
      <c r="J44" s="8"/>
      <c r="K44" s="8"/>
      <c r="N44" s="146" t="s">
        <v>648</v>
      </c>
      <c r="O44" s="146" t="s">
        <v>650</v>
      </c>
      <c r="P44" s="8"/>
      <c r="Q44" s="8"/>
    </row>
    <row r="45" spans="1:17" ht="20.100000000000001" customHeight="1" x14ac:dyDescent="0.25">
      <c r="A45" s="5" t="str">
        <f>HYPERLINK("#'Constants - Electricity'!A1", "Constants - Electricity")</f>
        <v>Constants - Electricity</v>
      </c>
      <c r="C45" s="8"/>
      <c r="D45" s="25">
        <f>I24</f>
        <v>20401.919999999998</v>
      </c>
      <c r="E45" s="25" cm="1">
        <f t="array" ref="E45">AgResidue_Equations_Leaching.VEERG_6_3_1_1__1__LeachingAndRunoffEmissionsCropAndPastureResidue(D45,$J$37,$J$38)</f>
        <v>0.35266175999999999</v>
      </c>
      <c r="F45" s="8"/>
      <c r="G45" s="8"/>
      <c r="H45" s="8"/>
      <c r="I45" s="8"/>
      <c r="J45" s="8"/>
      <c r="K45" s="8"/>
      <c r="N45" s="25">
        <f>S24</f>
        <v>20401.919999999998</v>
      </c>
      <c r="O45" s="25" cm="1">
        <f t="array" ref="O45">AgResidue_Equations_Leaching.VEERG_6_3_1_1__1__LeachingAndRunoffEmissionsCropAndPastureResidue(N45,$J$37,$J$38)</f>
        <v>0.35266175999999999</v>
      </c>
      <c r="P45" s="8"/>
      <c r="Q45" s="8"/>
    </row>
    <row r="46" spans="1:17" ht="20.100000000000001" customHeight="1" x14ac:dyDescent="0.25">
      <c r="A46" s="5" t="str">
        <f>HYPERLINK("#'Constants - Fertiliser'!A1", "Constants - Fertiliser")</f>
        <v>Constants - Fertiliser</v>
      </c>
      <c r="C46" s="8"/>
      <c r="D46" s="25" t="str">
        <f>I25</f>
        <v>N/A</v>
      </c>
      <c r="E46" s="25" t="s">
        <v>127</v>
      </c>
      <c r="F46" s="8"/>
      <c r="G46" s="8"/>
      <c r="H46" s="8"/>
      <c r="I46" s="8"/>
      <c r="J46" s="8"/>
      <c r="K46" s="8"/>
      <c r="N46" s="25" t="str">
        <f>S25</f>
        <v>N/A</v>
      </c>
      <c r="O46" s="25" t="s">
        <v>127</v>
      </c>
      <c r="P46" s="8"/>
      <c r="Q46" s="8"/>
    </row>
    <row r="47" spans="1:17" ht="20.100000000000001" customHeight="1" x14ac:dyDescent="0.25">
      <c r="A47" s="5" t="str">
        <f>HYPERLINK("#'Constants - Fuel'!A1", "Constants - Fuel")</f>
        <v>Constants - Fuel</v>
      </c>
      <c r="C47" s="8"/>
      <c r="F47" s="8"/>
      <c r="G47" s="8"/>
      <c r="H47" s="8"/>
      <c r="I47" s="8"/>
      <c r="J47" s="8"/>
      <c r="K47" s="8"/>
      <c r="P47" s="8"/>
      <c r="Q47" s="8"/>
    </row>
    <row r="48" spans="1:17" ht="20.100000000000001" customHeight="1" x14ac:dyDescent="0.4">
      <c r="A48" s="5" t="str">
        <f>HYPERLINK("#'Constants - Scope 3'!A1", "Constants - Scope 3")</f>
        <v>Constants - Scope 3</v>
      </c>
      <c r="C48" s="8"/>
      <c r="D48" s="235" t="s">
        <v>651</v>
      </c>
      <c r="E48" s="236">
        <f>SUM(E45:E46)</f>
        <v>0.35266175999999999</v>
      </c>
      <c r="F48" s="152" t="str">
        <f>$E$34</f>
        <v>t N2O</v>
      </c>
      <c r="G48" s="8"/>
      <c r="H48" s="8"/>
      <c r="I48" s="8"/>
      <c r="J48" s="8"/>
      <c r="K48" s="8"/>
      <c r="N48" s="235" t="s">
        <v>651</v>
      </c>
      <c r="O48" s="236">
        <f>SUM(O45:O46)</f>
        <v>0.35266175999999999</v>
      </c>
      <c r="P48" s="152" t="str">
        <f>$E$34</f>
        <v>t N2O</v>
      </c>
      <c r="Q48" s="8"/>
    </row>
    <row r="49" spans="1:17" ht="20.100000000000001" customHeight="1" x14ac:dyDescent="0.25">
      <c r="A49" s="5" t="str">
        <f>HYPERLINK("#'Constants - Common'!A1", "Constants - Common")</f>
        <v>Constants - Common</v>
      </c>
      <c r="D49" s="8"/>
      <c r="E49" s="8"/>
      <c r="F49" s="8"/>
      <c r="G49" s="8"/>
      <c r="N49" s="8"/>
      <c r="O49" s="8"/>
      <c r="P49" s="8"/>
      <c r="Q49" s="8"/>
    </row>
    <row r="50" spans="1:17" ht="20.100000000000001" customHeight="1" x14ac:dyDescent="0.25">
      <c r="A50" s="5" t="str">
        <f>HYPERLINK("#'Constants - Solid Waste'!A1", "Constants - Solid Waste")</f>
        <v>Constants - Solid Waste</v>
      </c>
      <c r="D50" s="134" t="str" cm="1">
        <f t="array" ref="D50:E51">Common_Equations.Common_ConvertN2OToCO2e_Arguments()</f>
        <v>EN2O</v>
      </c>
      <c r="E50" s="135" t="str">
        <v>Nitrous oxide emissions (t N2O)</v>
      </c>
      <c r="F50" s="153"/>
      <c r="G50" s="25">
        <f>VEERG_6_3_1_1__1__LeachingAndRunoffEmissionsCropAndPastureResidue_CropOnly_Result_Method1</f>
        <v>0.35266175999999999</v>
      </c>
      <c r="N50" s="134" t="str" cm="1">
        <f t="array" ref="N50:O51">Common_Equations.Common_ConvertN2OToCO2e_Arguments()</f>
        <v>EN2O</v>
      </c>
      <c r="O50" s="135" t="str">
        <v>Nitrous oxide emissions (t N2O)</v>
      </c>
      <c r="P50" s="153"/>
      <c r="Q50" s="25">
        <f>VEERG_6_3_1_1__1__LeachingAndRunoffEmissionsCropAndPastureResidue_CropOnly_Result_Method2</f>
        <v>0.35266175999999999</v>
      </c>
    </row>
    <row r="51" spans="1:17" ht="20.100000000000001" customHeight="1" x14ac:dyDescent="0.25">
      <c r="D51" s="134" t="str">
        <v>GWPN2O</v>
      </c>
      <c r="E51" s="135" t="str">
        <v>Global warming potential for nitrous oxide (t CO2-e / t N2O)</v>
      </c>
      <c r="F51" s="153"/>
      <c r="G51" s="25">
        <f>Common_InputFunctions.Utility_LookupValueInTableNumber("N2O",Table_GWPData[Gas],Table_GWPData[CO2-e factor])</f>
        <v>265</v>
      </c>
      <c r="H51" s="8"/>
      <c r="I51" s="8"/>
      <c r="N51" s="134" t="str">
        <v>GWPN2O</v>
      </c>
      <c r="O51" s="135" t="str">
        <v>Global warming potential for nitrous oxide (t CO2-e / t N2O)</v>
      </c>
      <c r="P51" s="153"/>
      <c r="Q51" s="25">
        <f>Common_InputFunctions.Utility_LookupValueInTableNumber("N2O",Table_GWPData[Gas],Table_GWPData[CO2-e factor])</f>
        <v>265</v>
      </c>
    </row>
    <row r="52" spans="1:17" ht="20.100000000000001" customHeight="1" x14ac:dyDescent="0.25">
      <c r="H52" s="8"/>
      <c r="I52" s="8"/>
    </row>
    <row r="53" spans="1:17" ht="20.100000000000001" customHeight="1" x14ac:dyDescent="0.25">
      <c r="D53" s="147" t="s">
        <v>299</v>
      </c>
      <c r="E53" s="147" cm="1">
        <f t="array" ref="E53">Common_Equations.Common_ConvertN2OToCO2e(G50,G51)</f>
        <v>93.455366400000003</v>
      </c>
      <c r="F53" s="154" t="str" cm="1">
        <f t="array" ref="F53">Common_Equations.Common_ConvertN2OToCO2e_Unit()</f>
        <v>t CO2e</v>
      </c>
      <c r="I53" s="8"/>
      <c r="N53" s="147" t="s">
        <v>299</v>
      </c>
      <c r="O53" s="147" cm="1">
        <f t="array" ref="O53">Common_Equations.Common_ConvertN2OToCO2e(Q50,Q51)</f>
        <v>93.455366400000003</v>
      </c>
      <c r="P53" s="154" t="str" cm="1">
        <f t="array" ref="P53">Common_Equations.Common_ConvertN2OToCO2e_Unit()</f>
        <v>t CO2e</v>
      </c>
    </row>
    <row r="54" spans="1:17" ht="20.100000000000001" customHeight="1" x14ac:dyDescent="0.25">
      <c r="I54" s="8"/>
    </row>
    <row r="55" spans="1:17" ht="20.100000000000001" customHeight="1" x14ac:dyDescent="0.25"/>
    <row r="56" spans="1:17" ht="20.100000000000001" customHeight="1" x14ac:dyDescent="0.25"/>
    <row r="57" spans="1:17" ht="20.100000000000001" customHeight="1" x14ac:dyDescent="0.25"/>
    <row r="58" spans="1:17" ht="20.100000000000001" customHeight="1" x14ac:dyDescent="0.25"/>
    <row r="59" spans="1:17" ht="20.100000000000001" customHeight="1" x14ac:dyDescent="0.25"/>
    <row r="60" spans="1:17" ht="20.100000000000001" customHeight="1" x14ac:dyDescent="0.25">
      <c r="H60" s="8"/>
      <c r="I60" s="8"/>
    </row>
    <row r="61" spans="1:17" ht="20.100000000000001" customHeight="1" x14ac:dyDescent="0.25">
      <c r="H61" s="8"/>
      <c r="I61" s="8"/>
    </row>
    <row r="62" spans="1:17" ht="20.100000000000001" customHeight="1" x14ac:dyDescent="0.25"/>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AA247-0E13-41B3-9FC0-DF93C03355FB}">
  <dimension ref="A1:S165"/>
  <sheetViews>
    <sheetView showGridLines="0" topLeftCell="A36" workbookViewId="0" zoomScale="100" zoomScaleNormal="100">
      <selection activeCell="A50" sqref="A50"/>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31" customFormat="1" ht="30" customHeight="1" x14ac:dyDescent="0.35">
      <c r="A1" s="16" t="e" vm="1">
        <v>#VALUE!</v>
      </c>
      <c r="C1" s="31" t="s">
        <v>652</v>
      </c>
    </row>
    <row r="2" spans="1:19" s="3" customFormat="1" ht="20.100000000000001" customHeight="1" x14ac:dyDescent="0.25">
      <c r="A2"/>
    </row>
    <row r="3" spans="1:19" ht="20.100000000000001" customHeight="1" x14ac:dyDescent="0.25">
      <c r="A3" s="5" t="str">
        <f>HYPERLINK("#'Home'!A1", "Home")</f>
        <v>Home</v>
      </c>
      <c r="C3" s="33"/>
      <c r="D3" s="33" t="s">
        <v>135</v>
      </c>
      <c r="E3" s="33"/>
      <c r="F3" s="33"/>
      <c r="G3" s="33"/>
      <c r="H3" s="33"/>
      <c r="I3" s="33"/>
      <c r="J3" s="33"/>
      <c r="L3" s="33"/>
      <c r="M3" s="33" t="s">
        <v>136</v>
      </c>
      <c r="N3" s="33"/>
      <c r="O3" s="33"/>
      <c r="P3" s="33"/>
      <c r="Q3" s="33"/>
      <c r="R3" s="33"/>
      <c r="S3" s="33"/>
    </row>
    <row r="4" spans="1:19" ht="20.100000000000001" customHeight="1" x14ac:dyDescent="0.25">
      <c r="A4" s="5" t="str">
        <f>HYPERLINK("#'Overview'!A1", "Overview")</f>
        <v>Overview</v>
      </c>
    </row>
    <row r="5" spans="1:19" ht="20.100000000000001" customHeight="1" x14ac:dyDescent="0.25">
      <c r="A5" s="5" t="str">
        <f>HYPERLINK("#'Results'!A1", "Results")</f>
        <v>Results</v>
      </c>
      <c r="D5" s="2" t="str" cm="1">
        <f t="array" ref="D5">AgResidue_Equations_FieldBurning.VEERG_6_4_1_1__3__MassOfCropResidueBurnt_Title()</f>
        <v>Mass of residue of crop c burnt</v>
      </c>
    </row>
    <row r="6" spans="1:19" ht="20.100000000000001" customHeight="1" x14ac:dyDescent="0.25">
      <c r="D6" s="27" t="str" cm="1">
        <f t="array" ref="D6">AgResidue_Equations_FieldBurning.VEERG_6_4_1_1__3__MassOfCropResidueBurnt_Source()</f>
        <v>VEERG 2026: 6.4.1.1, Equation (3)</v>
      </c>
    </row>
    <row r="7" spans="1:19" ht="20.100000000000001" customHeight="1" x14ac:dyDescent="0.25">
      <c r="D7" s="133" t="s">
        <v>267</v>
      </c>
      <c r="E7" s="133" t="str" cm="1">
        <f t="array" aca="1" ref="E7" ca="1">Common_InputFunctions.Utility_DisplayFunctionName(E21)</f>
        <v>=AgResidue_Equations_FieldBurning.VEERG_6_4_1_1__3__MassOfCropResidueBurnt</v>
      </c>
    </row>
    <row r="8" spans="1:19" ht="20.100000000000001" customHeight="1" x14ac:dyDescent="0.25">
      <c r="A8" s="7" t="s">
        <v>0</v>
      </c>
    </row>
    <row r="9" spans="1:19" ht="20.100000000000001" customHeight="1" x14ac:dyDescent="0.25">
      <c r="A9" s="5" t="str">
        <f>HYPERLINK("#'Input - Enterprise'!A1", "Enterprise")</f>
        <v>Enterprise</v>
      </c>
    </row>
    <row r="10" spans="1:19" ht="20.100000000000001" customHeight="1" x14ac:dyDescent="0.25">
      <c r="A10" s="5" t="str">
        <f>HYPERLINK("#'Input - Site'!A1", "Site")</f>
        <v>Site</v>
      </c>
      <c r="D10" s="88" t="s">
        <v>268</v>
      </c>
      <c r="E10" s="1" t="str" cm="1">
        <f t="array" ref="E10">AgResidue_Equations_FieldBurning.VEERG_6_4_1_1__3__MassOfCropResidueBurnt_Variable()</f>
        <v>M_burnc</v>
      </c>
    </row>
    <row r="11" spans="1:19" ht="20.100000000000001" customHeight="1" x14ac:dyDescent="0.25">
      <c r="A11" s="5" t="str">
        <f>HYPERLINK("#'Input - Crop'!A1", "Crop")</f>
        <v>Crop</v>
      </c>
      <c r="D11" s="88" t="s">
        <v>121</v>
      </c>
      <c r="E11" s="15" t="str" cm="1">
        <f t="array" ref="E11">AgResidue_Equations_FieldBurning.VEERG_6_4_1_1__3__MassOfCropResidueBurnt_Unit()</f>
        <v>kg</v>
      </c>
    </row>
    <row r="12" spans="1:19" ht="20.100000000000001" customHeight="1" x14ac:dyDescent="0.25">
      <c r="A12" s="5" t="str">
        <f>HYPERLINK("#'Input - Fert Prod System'!A1", "Fert Prod System")</f>
        <v>Fert Prod System</v>
      </c>
    </row>
    <row r="13" spans="1:19" ht="20.100000000000001" customHeight="1" x14ac:dyDescent="0.25">
      <c r="A13" s="5" t="str">
        <f>HYPERLINK("#'Input - Fertiliser'!A1", "Fertiliser")</f>
        <v>Fertiliser</v>
      </c>
      <c r="D13" s="155" t="str" cm="1">
        <f t="array" ref="D13:E19">_xlfn.CHOOSECOLS(AgResidue_Equations_FieldBurning.VEERG_6_4_1_1__3__MassOfCropResidueBurnt_Arguments(), 1, 2)</f>
        <v>P_c</v>
      </c>
      <c r="E13" s="163" t="str">
        <v>annual production of crop type c</v>
      </c>
      <c r="F13" s="165"/>
      <c r="G13" s="155" t="str" cm="1">
        <f t="array" ref="G13:H19">_xlfn.CHOOSECOLS(AgResidue_Equations_FieldBurning.VEERG_6_4_1_1__3__MassOfCropResidueBurnt_Arguments(), 3,4)</f>
        <v>kg</v>
      </c>
      <c r="H13" s="137" t="str">
        <v>Input</v>
      </c>
      <c r="I13" s="155">
        <f>X_Cell_Crop_TotalProductionOfCrop*10^3</f>
        <v>10000000</v>
      </c>
    </row>
    <row r="14" spans="1:19" ht="20.100000000000001" customHeight="1" x14ac:dyDescent="0.25">
      <c r="A14" s="5" t="str">
        <f>HYPERLINK("#'Input - Fuel'!A1", "Fuel")</f>
        <v>Fuel</v>
      </c>
      <c r="D14" s="155" t="str">
        <v>R_AGc</v>
      </c>
      <c r="E14" s="163" t="str">
        <v>residue to crop ratio of crop type c</v>
      </c>
      <c r="F14" s="165"/>
      <c r="G14" s="155" t="str">
        <v>kg crop residue/kg crop</v>
      </c>
      <c r="H14" s="138" t="str">
        <v>Constant</v>
      </c>
      <c r="I14" s="155">
        <f>'Input - Crop'!$E$18</f>
        <v>1.5</v>
      </c>
    </row>
    <row r="15" spans="1:19" ht="20.100000000000001" customHeight="1" x14ac:dyDescent="0.25">
      <c r="A15" s="5" t="str">
        <f>HYPERLINK("#'Input - Electricity'!A1", "Electricity")</f>
        <v>Electricity</v>
      </c>
      <c r="D15" s="155" t="str">
        <v>S_c</v>
      </c>
      <c r="E15" s="163" t="str">
        <v>fraction of residues of crop type c remaining at burning</v>
      </c>
      <c r="F15" s="165"/>
      <c r="G15" s="155" t="str">
        <v>fraction</v>
      </c>
      <c r="H15" s="138" t="str">
        <v>Constant</v>
      </c>
      <c r="I15" s="155" cm="1">
        <f t="array" ref="I15">Common_InputFunctions.Utility_LookupValueInTableNumber($I$19,Table_SourceData_CropAttributes[Crop type],Table_SourceData_CropAttributes[Fraction of residue remaining at time of burning (b)])</f>
        <v>0.5</v>
      </c>
    </row>
    <row r="16" spans="1:19" ht="20.100000000000001" customHeight="1" x14ac:dyDescent="0.25">
      <c r="A16" s="5" t="str">
        <f>HYPERLINK("#'Input - Common farm inputs'!A1", "Common farm inputs")</f>
        <v>Common farm inputs</v>
      </c>
      <c r="D16" s="155" t="str">
        <v>DM_c</v>
      </c>
      <c r="E16" s="163" t="str">
        <v>dry matter content of crop type c</v>
      </c>
      <c r="F16" s="165"/>
      <c r="G16" s="155" t="str">
        <v>kg dry weight/kg crop residue</v>
      </c>
      <c r="H16" s="138" t="str">
        <v>Constant</v>
      </c>
      <c r="I16" s="155" cm="1">
        <f t="array" ref="I16">Common_InputFunctions.Utility_LookupValueInTableNumber($I$19,Table_SourceData_CropAttributes[Crop type],Table_SourceData_CropAttributes[Dry matter content])</f>
        <v>0.88</v>
      </c>
    </row>
    <row r="17" spans="1:10" ht="20.100000000000001" customHeight="1" x14ac:dyDescent="0.25">
      <c r="A17" s="5" t="str">
        <f>HYPERLINK("#'Input - Crop pasture farm input'!A1", "Crop pasture farm input")</f>
        <v>Crop pasture farm input</v>
      </c>
      <c r="D17" s="155" t="str">
        <v>Z_c</v>
      </c>
      <c r="E17" s="163" t="str">
        <v>burning efficiency (ratio of fuel burnt to fuel load) of crop type c</v>
      </c>
      <c r="F17" s="165"/>
      <c r="G17" s="155" t="str">
        <v/>
      </c>
      <c r="H17" s="138" t="str">
        <v>Constant</v>
      </c>
      <c r="I17" s="155" cm="1">
        <f t="array" ref="I17">Common_InputFunctions.Utility_LookupValueInTableNumber($I$19,Table_SourceData_CropAttributes[Crop type],Table_SourceData_CropAttributes[Fraction burnt])</f>
        <v>0.9</v>
      </c>
    </row>
    <row r="18" spans="1:10" ht="20.100000000000001" customHeight="1" x14ac:dyDescent="0.25">
      <c r="A18" s="5" t="str">
        <f>HYPERLINK("#'Input - Freight'!A1", "Freight")</f>
        <v>Freight</v>
      </c>
      <c r="D18" s="155" t="str">
        <v>F_c</v>
      </c>
      <c r="E18" s="163" t="str">
        <v>fraction of the annual production of crop type c that is burnt</v>
      </c>
      <c r="F18" s="165"/>
      <c r="G18" s="155" t="str">
        <v>fraction</v>
      </c>
      <c r="H18" s="138" t="str">
        <v>Constant</v>
      </c>
      <c r="I18" s="155">
        <f>X_Cell_Crop_PercentResidueBurned</f>
        <v>0.3</v>
      </c>
    </row>
    <row r="19" spans="1:10" ht="20.100000000000001" customHeight="1" x14ac:dyDescent="0.25">
      <c r="A19" s="5" t="str">
        <f>HYPERLINK("#'Input - Manure sent off-site'!A1", "Manure sent off-site")</f>
        <v>Manure sent off-site</v>
      </c>
      <c r="D19" s="155" t="str">
        <v>c</v>
      </c>
      <c r="E19" s="163" t="str">
        <v>Crop type</v>
      </c>
      <c r="F19" s="165"/>
      <c r="G19" s="155" t="str">
        <v/>
      </c>
      <c r="H19" s="137" t="str">
        <v>Input</v>
      </c>
      <c r="I19" s="155" t="str">
        <f>X_Cell_Crop_CropType</f>
        <v>Wheat</v>
      </c>
    </row>
    <row r="20" spans="1:10" ht="20.100000000000001" customHeight="1" x14ac:dyDescent="0.25">
      <c r="A20" s="5" t="str">
        <f>HYPERLINK("#'Input - Solid waste'!A1", "Solid waste")</f>
        <v>Solid waste</v>
      </c>
    </row>
    <row r="21" spans="1:10" ht="20.100000000000001" customHeight="1" x14ac:dyDescent="0.25">
      <c r="A21" s="5" t="str">
        <f>HYPERLINK("#'Input - Data quality'!A1", "Data quality")</f>
        <v>Data quality</v>
      </c>
      <c r="D21" s="160" t="s">
        <v>653</v>
      </c>
      <c r="E21" s="147" cm="1">
        <f t="array" ref="E21">AgResidue_Equations_FieldBurning.VEERG_6_4_1_1__3__MassOfCropResidueBurnt(I13,I14,I15,I16,I17,I18)</f>
        <v>1782000</v>
      </c>
      <c r="F21" s="154" t="str" cm="1">
        <f t="array" ref="F21">AgResidue_Equations_FieldBurning.VEERG_6_4_1_1__3__MassOfCropResidueBurnt_Unit()</f>
        <v>kg</v>
      </c>
    </row>
    <row r="22" spans="1:10" ht="20.100000000000001" customHeight="1" x14ac:dyDescent="0.25"/>
    <row r="23" spans="1:10" ht="20.100000000000001" customHeight="1" x14ac:dyDescent="0.25"/>
    <row r="24" spans="1:10" ht="20.100000000000001" customHeight="1" x14ac:dyDescent="0.25">
      <c r="A24" s="6" t="s">
        <v>2</v>
      </c>
      <c r="C24" s="147"/>
      <c r="D24" s="147"/>
      <c r="E24" s="147"/>
      <c r="F24" s="147"/>
      <c r="G24" s="147"/>
      <c r="H24" s="147"/>
      <c r="I24" s="147"/>
      <c r="J24" s="147"/>
    </row>
    <row r="25" spans="1:10" ht="20.100000000000001" customHeight="1" x14ac:dyDescent="0.25">
      <c r="A25" s="5" t="str">
        <f>HYPERLINK("#'5.1.1.1-2 Inorganic fert N2O'!A1", "5.1.1.1-2 Inorganic fert N2O")</f>
        <v>5.1.1.1-2 Inorganic fert N2O</v>
      </c>
      <c r="D25" s="2" t="str" cm="1">
        <f t="array" ref="D25">AgResidue_Equations_FieldBurning.VEERG_6_4_1_1__2__NitrousOxideEmissionsFromBurningOfCropResidues_Title()</f>
        <v>Nitrous oxide emissions from the burning of crop residues</v>
      </c>
    </row>
    <row r="26" spans="1:10" ht="20.100000000000001" customHeight="1" x14ac:dyDescent="0.25">
      <c r="A26" s="5" t="str">
        <f>HYPERLINK("#'5.1.1.3-4 Inorganic fert CO2'!A1", "5.1.1.3-4 Inorganic fert CO2")</f>
        <v>5.1.1.3-4 Inorganic fert CO2</v>
      </c>
      <c r="D26" s="27" t="str" cm="1">
        <f t="array" ref="D26">AgResidue_Equations_FieldBurning.VEERG_6_4_1_1__2__NitrousOxideEmissionsFromBurningOfCropResidues_Source()</f>
        <v>VEERG 2026: 6.4.1.1, Equation (2)</v>
      </c>
    </row>
    <row r="27" spans="1:10" ht="20.100000000000001" customHeight="1" x14ac:dyDescent="0.25">
      <c r="A27" s="5" t="str">
        <f>HYPERLINK("#'5.2.1.1-2 Organic Fert N2O'!A1", "5.2.1.1-2 Organic fert N2O")</f>
        <v>5.2.1.1-2 Organic fert N2O</v>
      </c>
      <c r="D27" s="133" t="s">
        <v>267</v>
      </c>
      <c r="E27" s="133" t="str">
        <f ca="1">Common_InputFunctions.Utility_DisplayFunctionName(VEERG_6_4_1_1__2__NitrousOxideEmissionsFromBurningOfCropResidues_Result_Method1)</f>
        <v>=AgResidue_Equations_FieldBurning.VEERG_6_4_1_1__2__NitrousOxideEmissionsFromBurningOfCropResidues</v>
      </c>
    </row>
    <row r="28" spans="1:10" ht="20.100000000000001" customHeight="1" x14ac:dyDescent="0.25">
      <c r="A28" s="5" t="str">
        <f>HYPERLINK("#'5.3.1.1-2 Lime CO2'!A1", "5.3.1.1-2 Lime CO2")</f>
        <v>5.3.1.1-2 Lime CO2</v>
      </c>
    </row>
    <row r="29" spans="1:10" ht="20.100000000000001" customHeight="1" x14ac:dyDescent="0.25">
      <c r="A29" s="5" t="str">
        <f>HYPERLINK("#'5.4.1.1-4 Atmos deposition'!A1", "5.4.1.1-4 Atmos. deposition")</f>
        <v>5.4.1.1-4 Atmos. deposition</v>
      </c>
    </row>
    <row r="30" spans="1:10" ht="20.100000000000001" customHeight="1" x14ac:dyDescent="0.25">
      <c r="A30" s="5" t="str">
        <f>HYPERLINK("#'5.5.1.1-2 Leaching and runoff'!A1", "5.5.1.1-2 Leaching &amp; runoff")</f>
        <v>5.5.1.1-2 Leaching &amp; runoff</v>
      </c>
      <c r="D30" s="88" t="s">
        <v>268</v>
      </c>
      <c r="E30" s="1" t="str" cm="1">
        <f t="array" ref="E30">AgResidue_Equations_FieldBurning.VEERG_6_4_1_1__2__NitrousOxideEmissionsFromBurningOfCropResidues_Variable()</f>
        <v>EN2O</v>
      </c>
    </row>
    <row r="31" spans="1:10" ht="20.100000000000001" customHeight="1" x14ac:dyDescent="0.25">
      <c r="A31" s="5" t="str">
        <f>HYPERLINK("#'6.1.1.1-2 Crop residue N2O'!A1", "6.1.1.1-2 Crop residue N2O")</f>
        <v>6.1.1.1-2 Crop residue N2O</v>
      </c>
      <c r="D31" s="88" t="s">
        <v>121</v>
      </c>
      <c r="E31" s="15" t="str" cm="1">
        <f t="array" ref="E31">AgResidue_Equations_FieldBurning.VEERG_6_4_1_1__2__NitrousOxideEmissionsFromBurningOfCropResidues_Unit()</f>
        <v>t N2O</v>
      </c>
    </row>
    <row r="32" spans="1:10" ht="20.100000000000001" customHeight="1" x14ac:dyDescent="0.25">
      <c r="A32" s="5" t="str">
        <f>HYPERLINK("#'6.3.1.1-2 Leach runoff crop'!A1", "6.3.1.1-2 Leach &amp; runoff (crop)")</f>
        <v>6.3.1.1-2 Leach &amp; runoff (crop)</v>
      </c>
    </row>
    <row r="33" spans="1:10" ht="20.100000000000001" customHeight="1" x14ac:dyDescent="0.25">
      <c r="A33" s="142" t="str">
        <f>HYPERLINK("#'6.4.1.1-2 Residue burning'!A1", "6.4.1.1-2 Residue burning")</f>
        <v>6.4.1.1-2 Residue burning</v>
      </c>
      <c r="D33" s="155" t="str" cm="1">
        <f t="array" ref="D33:E37">_xlfn.CHOOSECOLS(AgResidue_Equations_FieldBurning.VEERG_6_4_1_1__2__NitrousOxideEmissionsFromBurningOfCropResidues_Arguments(), 1, 2)</f>
        <v>M_burnc</v>
      </c>
      <c r="E33" s="163" t="str">
        <v>mass of residue burnt for crop type c</v>
      </c>
      <c r="F33" s="165"/>
      <c r="G33" s="155" t="str" cm="1">
        <f t="array" ref="G33:H37">_xlfn.CHOOSECOLS(AgResidue_Equations_FieldBurning.VEERG_6_4_1_1__2__NitrousOxideEmissionsFromBurningOfCropResidues_Arguments(), 3,4)</f>
        <v>kg</v>
      </c>
      <c r="H33" s="138" t="str">
        <v>Calculated from 6.4.1.1 (3)</v>
      </c>
      <c r="I33" s="155">
        <f>$E$21</f>
        <v>1782000</v>
      </c>
    </row>
    <row r="34" spans="1:10" ht="20.100000000000001" customHeight="1" x14ac:dyDescent="0.25">
      <c r="A34" s="5" t="str">
        <f>HYPERLINK("#'8.1.1.1-2 Transport fuel'!A1", "8.1.1.1-2 Transport fuel")</f>
        <v>8.1.1.1-2 Transport fuel</v>
      </c>
      <c r="D34" s="155" t="str">
        <v>NC_AGc</v>
      </c>
      <c r="E34" s="163" t="str">
        <v>nitrogen content in the above-ground residue of crop type c</v>
      </c>
      <c r="F34" s="165"/>
      <c r="G34" s="155" t="str">
        <v>kg N/kg DM</v>
      </c>
      <c r="H34" s="138" t="str">
        <v>Constant</v>
      </c>
      <c r="I34" s="155" cm="1">
        <f t="array" ref="I34">Common_InputFunctions.Utility_LookupValueInTableNumber($I$37,Table_SourceData_CropAttributes[Crop type],Table_SourceData_CropAttributes[N content above-ground])</f>
        <v>6.0000000000000001E-3</v>
      </c>
    </row>
    <row r="35" spans="1:10" ht="20.100000000000001" customHeight="1" x14ac:dyDescent="0.25">
      <c r="A35" s="5" t="str">
        <f>HYPERLINK("#'8.2.1.1-2 Stationary fuel'!A1", "8.2.1.1-2 Stationary fuel")</f>
        <v>8.2.1.1-2 Stationary fuel</v>
      </c>
      <c r="D35" s="155" t="str">
        <v>EF_N2O</v>
      </c>
      <c r="E35" s="163" t="str">
        <v>emission factor for nitrous oxide from burning of crop residues</v>
      </c>
      <c r="F35" s="165"/>
      <c r="G35" s="155" t="str">
        <v>kg N2O/kg N2O burnt</v>
      </c>
      <c r="H35" s="138" t="str">
        <v>Constant</v>
      </c>
      <c r="I35" s="155" cm="1">
        <f t="array" ref="I35">Common_InputFunctions.Utility_LookupValueInTableNumber("N2O", Table_SourceData_BurningResidueEFs[Gas species],Table_SourceData_BurningResidueEFs[Emission factor EFg (Gg element in species/ Gg element in fuel burnt)])</f>
        <v>7.6E-3</v>
      </c>
    </row>
    <row r="36" spans="1:10" ht="20.100000000000001" customHeight="1" x14ac:dyDescent="0.25">
      <c r="A36" s="5" t="str">
        <f>HYPERLINK("#'14.1.1-2 Purchased electricity'!A1", "14.1.1-2 Purchased electricity")</f>
        <v>14.1.1-2 Purchased electricity</v>
      </c>
      <c r="D36" s="155" t="str">
        <v>C_N2O</v>
      </c>
      <c r="E36" s="163" t="str">
        <v>factor to convert elemental mass of nitrous oxide to molecular mass</v>
      </c>
      <c r="F36" s="165"/>
      <c r="G36" s="155" t="str">
        <v>dimensionless</v>
      </c>
      <c r="H36" s="138" t="str">
        <v>Constant</v>
      </c>
      <c r="I36" s="155">
        <f>Common_InputFunctions.Utility_LookupValueInTableNumber("N2O",Table_GasToMolecularConversionFactor[Gas],Table_GasToMolecularConversionFactor[Conversion factor combined])</f>
        <v>1.5714285714285714</v>
      </c>
    </row>
    <row r="37" spans="1:10" ht="20.100000000000001" customHeight="1" x14ac:dyDescent="0.25">
      <c r="A37" s="5" t="str">
        <f>HYPERLINK("#'15 Scope 3'!A1", "15 Scope 3")</f>
        <v>15 Scope 3</v>
      </c>
      <c r="D37" s="155" t="str">
        <v>c</v>
      </c>
      <c r="E37" s="163" t="str">
        <v>Crop type</v>
      </c>
      <c r="F37" s="165"/>
      <c r="G37" s="155" t="str">
        <v/>
      </c>
      <c r="H37" s="137" t="str">
        <v>Input</v>
      </c>
      <c r="I37" s="155" t="str">
        <f>X_Cell_Crop_CropType</f>
        <v>Wheat</v>
      </c>
    </row>
    <row r="38" spans="1:10" ht="20.100000000000001" customHeight="1" x14ac:dyDescent="0.25">
      <c r="A38" s="5" t="str">
        <f>HYPERLINK("#'Calcs - Manure sent off-site'!A1", "Calcs - Manure sent off-site")</f>
        <v>Calcs - Manure sent off-site</v>
      </c>
    </row>
    <row r="39" spans="1:10" ht="20.100000000000001" customHeight="1" x14ac:dyDescent="0.25">
      <c r="A39" s="5" t="str">
        <f>HYPERLINK("#'10.1.1-2 Solid waste treatment'!A1", "10.1.1-2 Solid waste treatment")</f>
        <v>10.1.1-2 Solid waste treatment</v>
      </c>
      <c r="D39" s="150" t="s">
        <v>297</v>
      </c>
      <c r="E39" s="151" cm="1">
        <f t="array" ref="E39">AgResidue_Equations_FieldBurning.VEERG_6_4_1_1__2__NitrousOxideEmissionsFromBurningOfCropResidues(I33,I34,I35,I36)</f>
        <v>0.12769302857142856</v>
      </c>
      <c r="F39" s="152" t="str" cm="1">
        <f t="array" ref="F39">AgResidue_Equations_FieldBurning.VEERG_6_4_1_1__2__NitrousOxideEmissionsFromBurningOfCropResidues_Unit()</f>
        <v>t N2O</v>
      </c>
    </row>
    <row r="40" spans="1:10" ht="20.100000000000001" customHeight="1" x14ac:dyDescent="0.25"/>
    <row r="41" spans="1:10" ht="20.100000000000001" customHeight="1" x14ac:dyDescent="0.25">
      <c r="D41" s="134" t="str" cm="1">
        <f t="array" ref="D41:E42">Common_Equations.Common_ConvertN2OToCO2e_Arguments()</f>
        <v>EN2O</v>
      </c>
      <c r="E41" s="135" t="str">
        <v>Nitrous oxide emissions (t N2O)</v>
      </c>
      <c r="F41" s="153"/>
      <c r="G41" s="140"/>
      <c r="H41" s="25">
        <f>VEERG_6_4_1_1__2__NitrousOxideEmissionsFromBurningOfCropResidues_Result_Method1</f>
        <v>0.12769302857142856</v>
      </c>
    </row>
    <row r="42" spans="1:10" ht="20.100000000000001" customHeight="1" x14ac:dyDescent="0.25">
      <c r="A42" s="108" t="s">
        <v>1</v>
      </c>
      <c r="D42" s="134" t="str">
        <v>GWPN2O</v>
      </c>
      <c r="E42" s="135" t="str">
        <v>Global warming potential for nitrous oxide (t CO2-e / t N2O)</v>
      </c>
      <c r="F42" s="153"/>
      <c r="G42" s="140"/>
      <c r="H42" s="25">
        <f>Common_InputFunctions.Utility_LookupValueInTableNumber("N2O",Table_GWPData[Gas],Table_GWPData[CO2-e factor])</f>
        <v>265</v>
      </c>
    </row>
    <row r="43" spans="1:10" ht="20.100000000000001" customHeight="1" x14ac:dyDescent="0.25">
      <c r="A43" s="5" t="str">
        <f>HYPERLINK("#'Constants - Ag Residue'!A1", "Constants - Ag residue")</f>
        <v>Constants - Ag residue</v>
      </c>
      <c r="H43" s="8"/>
    </row>
    <row r="44" spans="1:10" ht="20.100000000000001" customHeight="1" x14ac:dyDescent="0.25">
      <c r="A44" s="5" t="str">
        <f>HYPERLINK("#'Constants - Common Livestock'!A1", "Constants - Common Livestock")</f>
        <v>Constants - Common Livestock</v>
      </c>
      <c r="D44" s="147" t="s">
        <v>299</v>
      </c>
      <c r="E44" s="147" cm="1">
        <f t="array" ref="E44">Common_Equations.Common_ConvertN2OToCO2e(H41,H42)</f>
        <v>33.838652571428568</v>
      </c>
      <c r="F44" s="154" t="str" cm="1">
        <f t="array" ref="F44">Common_Equations.Common_ConvertN2OToCO2e_Unit()</f>
        <v>t CO2e</v>
      </c>
      <c r="H44" s="8"/>
    </row>
    <row r="45" spans="1:10" ht="20.100000000000001" customHeight="1" x14ac:dyDescent="0.25">
      <c r="A45" s="5" t="str">
        <f>HYPERLINK("#'Constants - Electricity'!A1", "Constants - Electricity")</f>
        <v>Constants - Electricity</v>
      </c>
    </row>
    <row r="46" spans="1:10" ht="20.100000000000001" customHeight="1" x14ac:dyDescent="0.25">
      <c r="A46" s="5" t="str">
        <f>HYPERLINK("#'Constants - Fertiliser'!A1", "Constants - Fertiliser")</f>
        <v>Constants - Fertiliser</v>
      </c>
    </row>
    <row r="47" spans="1:10" ht="20.100000000000001" customHeight="1" x14ac:dyDescent="0.25">
      <c r="A47" s="5" t="str">
        <f>HYPERLINK("#'Constants - Fuel'!A1", "Constants - Fuel")</f>
        <v>Constants - Fuel</v>
      </c>
      <c r="C47" s="147"/>
      <c r="D47" s="147"/>
      <c r="E47" s="147"/>
      <c r="F47" s="147"/>
      <c r="G47" s="147"/>
      <c r="H47" s="147"/>
      <c r="I47" s="147"/>
      <c r="J47" s="147"/>
    </row>
    <row r="48" spans="1:10" ht="20.100000000000001" customHeight="1" x14ac:dyDescent="0.25">
      <c r="A48" s="5" t="str">
        <f>HYPERLINK("#'Constants - Scope 3'!A1", "Constants - Scope 3")</f>
        <v>Constants - Scope 3</v>
      </c>
      <c r="D48" s="2" t="str" cm="1">
        <f t="array" ref="D48">AgResidue_Equations_FieldBurning.VEERG_6_4_1_1__1__MethaneEmissionsFromBurningOfCropResidues_Title()</f>
        <v>Methane emissions from the burning of crop residues</v>
      </c>
    </row>
    <row r="49" spans="1:9" ht="20.100000000000001" customHeight="1" x14ac:dyDescent="0.25">
      <c r="A49" s="5" t="str">
        <f>HYPERLINK("#'Constants - Common'!A1", "Constants - Common")</f>
        <v>Constants - Common</v>
      </c>
      <c r="D49" s="27" t="str" cm="1">
        <f t="array" ref="D49">AgResidue_Equations_FieldBurning.VEERG_6_4_1_1__1__MethaneEmissionsFromBurningOfCropResidues_Source()</f>
        <v>VEERG 2026: 6.4.1.1, Equation (1)</v>
      </c>
    </row>
    <row r="50" spans="1:9" ht="20.100000000000001" customHeight="1" x14ac:dyDescent="0.25">
      <c r="A50" s="5" t="str">
        <f>HYPERLINK("#'Constants - Solid Waste'!A1", "Constants - Solid Waste")</f>
        <v>Constants - Solid Waste</v>
      </c>
      <c r="D50" s="133" t="s">
        <v>267</v>
      </c>
      <c r="E50" s="133" t="str">
        <f ca="1">Common_InputFunctions.Utility_DisplayFunctionName(VEERG_6_4_1_1__1__MethaneEmissionsFromBurningOfCropResidues_Result_Method1)</f>
        <v>=AgResidue_Equations_FieldBurning.VEERG_6_4_1_1__1__MethaneEmissionsFromBurningOfCropResidues</v>
      </c>
    </row>
    <row r="51" spans="1:9" ht="20.100000000000001" customHeight="1" x14ac:dyDescent="0.25"/>
    <row r="52" spans="1:9" ht="20.100000000000001" customHeight="1" x14ac:dyDescent="0.25"/>
    <row r="53" spans="1:9" ht="20.100000000000001" customHeight="1" x14ac:dyDescent="0.25">
      <c r="D53" s="88" t="s">
        <v>268</v>
      </c>
      <c r="E53" s="1" t="str" cm="1">
        <f t="array" ref="E53">AgResidue_Equations_FieldBurning.VEERG_6_4_1_1__1__MethaneEmissionsFromBurningOfCropResidues_Variable()</f>
        <v>ECH4</v>
      </c>
      <c r="F53" s="27"/>
    </row>
    <row r="54" spans="1:9" ht="20.100000000000001" customHeight="1" x14ac:dyDescent="0.25">
      <c r="D54" s="88" t="s">
        <v>121</v>
      </c>
      <c r="E54" s="15" t="str" cm="1">
        <f t="array" ref="E54">AgResidue_Equations_FieldBurning.VEERG_6_4_1_1__1__MethaneEmissionsFromBurningOfCropResidues_Unit()</f>
        <v>t CH4</v>
      </c>
    </row>
    <row r="55" spans="1:9" ht="20.100000000000001" customHeight="1" x14ac:dyDescent="0.25"/>
    <row r="56" spans="1:9" ht="20.100000000000001" customHeight="1" x14ac:dyDescent="0.25">
      <c r="D56" s="155" t="str" cm="1">
        <f t="array" ref="D56:E60">_xlfn.CHOOSECOLS(AgResidue_Equations_FieldBurning.VEERG_6_4_1_1__1__MethaneEmissionsFromBurningOfCropResidues_Arguments(), 1,2)</f>
        <v>M_burnc</v>
      </c>
      <c r="E56" s="163" t="str">
        <v>mass of residue burnt for crop type c</v>
      </c>
      <c r="F56" s="165"/>
      <c r="G56" s="155" t="str" cm="1">
        <f t="array" ref="G56:H60">_xlfn.CHOOSECOLS(AgResidue_Equations_FieldBurning.VEERG_6_4_1_1__1__MethaneEmissionsFromBurningOfCropResidues_Arguments(), 3,4)</f>
        <v>kg</v>
      </c>
      <c r="H56" s="138" t="str">
        <v>Calculated from 6.4.1.1 (3)</v>
      </c>
      <c r="I56" s="155">
        <f>$E$21</f>
        <v>1782000</v>
      </c>
    </row>
    <row r="57" spans="1:9" ht="20.100000000000001" customHeight="1" x14ac:dyDescent="0.25">
      <c r="D57" s="155" t="str">
        <v>CC_c</v>
      </c>
      <c r="E57" s="163" t="str">
        <v>carbon mass fraction in the residues of crop type c</v>
      </c>
      <c r="F57" s="165"/>
      <c r="G57" s="155" t="str">
        <v>fraction</v>
      </c>
      <c r="H57" s="138" t="str">
        <v>Constant</v>
      </c>
      <c r="I57" s="155" cm="1">
        <f t="array" ref="I57">Common_InputFunctions.Utility_LookupValueInTableNumber($I$60,Table_SourceData_CropAttributes[Crop type],Table_SourceData_CropAttributes[Carbon fraction in dry matter])</f>
        <v>0.4</v>
      </c>
    </row>
    <row r="58" spans="1:9" ht="20.100000000000001" customHeight="1" x14ac:dyDescent="0.25">
      <c r="D58" s="155" t="str">
        <v>EF_CH4</v>
      </c>
      <c r="E58" s="163" t="str">
        <v>emission factor for methane from burning of crop residues</v>
      </c>
      <c r="F58" s="165"/>
      <c r="G58" s="155" t="str">
        <v>kg CH4 / kg CH4 burnt</v>
      </c>
      <c r="H58" s="138" t="str">
        <v>Constant</v>
      </c>
      <c r="I58" s="155" cm="1">
        <f t="array" ref="I58">Common_InputFunctions.Utility_LookupValueInTableNumber("CH4", Table_SourceData_BurningResidueEFs[Gas species],Table_SourceData_BurningResidueEFs[Emission factor EFg (Gg element in species/ Gg element in fuel burnt)])</f>
        <v>3.5000000000000001E-3</v>
      </c>
    </row>
    <row r="59" spans="1:9" ht="20.100000000000001" customHeight="1" x14ac:dyDescent="0.25">
      <c r="D59" s="155" t="str">
        <v>C_CH4</v>
      </c>
      <c r="E59" s="163" t="str">
        <v>factor to convert elemental mass of methane to molecular mass</v>
      </c>
      <c r="F59" s="165"/>
      <c r="G59" s="155" t="str">
        <v>dimensionless</v>
      </c>
      <c r="H59" s="138" t="str">
        <v>Constant</v>
      </c>
      <c r="I59" s="155">
        <f>Common_InputFunctions.Utility_LookupValueInTableNumber("CH4",Table_GasToMolecularConversionFactor[Gas],Table_GasToMolecularConversionFactor[Conversion factor combined])</f>
        <v>1.3333333333333333</v>
      </c>
    </row>
    <row r="60" spans="1:9" ht="20.100000000000001" customHeight="1" x14ac:dyDescent="0.25">
      <c r="D60" s="155" t="str">
        <v>c</v>
      </c>
      <c r="E60" s="163" t="str">
        <v>Crop type</v>
      </c>
      <c r="F60" s="165"/>
      <c r="G60" s="155" t="str">
        <v/>
      </c>
      <c r="H60" s="137" t="str">
        <v>Input</v>
      </c>
      <c r="I60" s="155" t="str">
        <f>X_Cell_Crop_CropType</f>
        <v>Wheat</v>
      </c>
    </row>
    <row r="61" spans="1:9" ht="20.100000000000001" customHeight="1" x14ac:dyDescent="0.25"/>
    <row r="62" spans="1:9" ht="20.100000000000001" customHeight="1" x14ac:dyDescent="0.25">
      <c r="D62" s="150" t="s">
        <v>654</v>
      </c>
      <c r="E62" s="151" cm="1">
        <f t="array" ref="E62">AgResidue_Equations_FieldBurning.VEERG_6_4_1_1__1__MethaneEmissionsFromBurningOfCropResidues(I56,I57,I58,I59)</f>
        <v>3.3264</v>
      </c>
      <c r="F62" s="152" t="str">
        <f>E54</f>
        <v>t CH4</v>
      </c>
    </row>
    <row r="63" spans="1:9" ht="20.100000000000001" customHeight="1" x14ac:dyDescent="0.25"/>
    <row r="64" spans="1:9" ht="20.100000000000001" customHeight="1" x14ac:dyDescent="0.25">
      <c r="D64" s="134" t="str" cm="1">
        <f t="array" ref="D64:E65">Common_Equations.Common_ConvertCH4ToCO2e_Arguments()</f>
        <v>ECH4</v>
      </c>
      <c r="E64" s="135" t="str">
        <v>Methane emissions (t CH4)</v>
      </c>
      <c r="F64" s="153"/>
      <c r="G64" s="140"/>
      <c r="H64" s="25">
        <f>VEERG_6_4_1_1__1__MethaneEmissionsFromBurningOfCropResidues_Result_Method1</f>
        <v>3.3264</v>
      </c>
    </row>
    <row r="65" spans="4:8" ht="20.100000000000001" customHeight="1" x14ac:dyDescent="0.25">
      <c r="D65" s="134" t="str">
        <v>GWPCH4</v>
      </c>
      <c r="E65" s="135" t="str">
        <v>Global warming potential for methane (t CO2-e / t CH4)</v>
      </c>
      <c r="F65" s="153"/>
      <c r="G65" s="140"/>
      <c r="H65" s="25">
        <f>Common_InputFunctions.Utility_LookupValueInTableNumber("CH4",Table_GWPData[Gas],Table_GWPData[CO2-e factor])</f>
        <v>28</v>
      </c>
    </row>
    <row r="66" spans="4:8" ht="20.100000000000001" customHeight="1" x14ac:dyDescent="0.25">
      <c r="H66" s="8"/>
    </row>
    <row r="67" spans="4:8" ht="20.100000000000001" customHeight="1" x14ac:dyDescent="0.25">
      <c r="D67" s="147" t="s">
        <v>299</v>
      </c>
      <c r="E67" s="147" cm="1">
        <f t="array" ref="E67">Common_Equations.Common_ConvertCH4ToCO2e(H64,H65)</f>
        <v>93.139200000000002</v>
      </c>
      <c r="F67" s="154" t="str" cm="1">
        <f t="array" ref="F67">Common_Equations.Common_ConvertCH4ToCO2e_Unit()</f>
        <v>t CO2e</v>
      </c>
      <c r="H67" s="8"/>
    </row>
    <row r="68" spans="4:8" ht="20.100000000000001" customHeight="1" x14ac:dyDescent="0.25"/>
    <row r="69" spans="4:8" ht="20.100000000000001" customHeight="1" x14ac:dyDescent="0.25"/>
    <row r="70" spans="4:8" ht="20.100000000000001" customHeight="1" x14ac:dyDescent="0.25"/>
    <row r="71" spans="4:8" ht="20.100000000000001" customHeight="1" x14ac:dyDescent="0.25"/>
    <row r="72" spans="4:8" ht="20.100000000000001" customHeight="1" x14ac:dyDescent="0.25"/>
    <row r="73" spans="4:8" ht="20.100000000000001" customHeight="1" x14ac:dyDescent="0.25"/>
    <row r="74" spans="4:8" ht="20.100000000000001" customHeight="1" x14ac:dyDescent="0.25"/>
    <row r="75" spans="4:8" ht="20.100000000000001" customHeight="1" x14ac:dyDescent="0.25"/>
    <row r="76" spans="4:8" ht="20.100000000000001" customHeight="1" x14ac:dyDescent="0.25"/>
    <row r="77" spans="4:8" ht="20.100000000000001" customHeight="1" x14ac:dyDescent="0.25"/>
    <row r="78" spans="4:8" ht="20.100000000000001" customHeight="1" x14ac:dyDescent="0.25"/>
    <row r="79" spans="4:8" ht="20.100000000000001" customHeight="1" x14ac:dyDescent="0.25"/>
    <row r="80" spans="4: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99565-7ACB-404C-B45C-BAB12E14A8BE}">
  <dimension ref="A1:R342"/>
  <sheetViews>
    <sheetView showGridLines="0" topLeftCell="E45" workbookViewId="0" zoomScale="100" zoomScaleNormal="100">
      <selection activeCell="A50" sqref="A50"/>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31" customFormat="1" ht="30" customHeight="1" x14ac:dyDescent="0.35">
      <c r="A1" s="16" t="e" vm="1">
        <v>#VALUE!</v>
      </c>
      <c r="C1" s="31" t="s">
        <v>465</v>
      </c>
    </row>
    <row r="2" spans="1:18" s="3" customFormat="1" ht="20.100000000000001" customHeight="1" x14ac:dyDescent="0.25">
      <c r="A2"/>
    </row>
    <row r="3" spans="1:18" ht="20.100000000000001" customHeight="1" x14ac:dyDescent="0.25">
      <c r="A3" s="5" t="str">
        <f>HYPERLINK("#'Home'!A1", "Home")</f>
        <v>Home</v>
      </c>
      <c r="C3" s="33"/>
      <c r="D3" s="33" t="s">
        <v>135</v>
      </c>
      <c r="E3" s="33"/>
      <c r="F3" s="33"/>
      <c r="G3" s="33"/>
      <c r="H3" s="33"/>
      <c r="I3" s="33"/>
      <c r="J3" s="33"/>
      <c r="K3" s="33"/>
      <c r="L3" s="33"/>
      <c r="M3" s="33"/>
      <c r="N3" s="33"/>
      <c r="O3" s="33"/>
      <c r="P3" s="33"/>
      <c r="Q3" s="33"/>
      <c r="R3" s="33"/>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59"/>
      <c r="P5" s="159"/>
      <c r="Q5" s="159"/>
    </row>
    <row r="6" spans="1:18" ht="20.100000000000001" customHeight="1" x14ac:dyDescent="0.25">
      <c r="D6" s="27" t="str" cm="1">
        <f t="array" ref="D6">Fuel_Equations.VEERG_8_1_1_1__1_FuelCombustionTransport_Source()</f>
        <v>VEERG 2026: 8.1.1.1, Equation (1)</v>
      </c>
      <c r="K6" s="27" t="str" cm="1">
        <f t="array" ref="K6">Scope3_Equations.VEERG_15_11_1_1__2_UpstreamTransportFuelEmissions_Source()</f>
        <v>VEERG 2026: 15.11.1.1, Equation (2)</v>
      </c>
      <c r="O6" s="159"/>
      <c r="P6" s="159"/>
      <c r="Q6" s="159"/>
    </row>
    <row r="7" spans="1:18" ht="20.100000000000001" customHeight="1" x14ac:dyDescent="0.25">
      <c r="D7" s="133" t="s">
        <v>267</v>
      </c>
      <c r="E7" s="133" t="str" cm="1">
        <f t="array" aca="1" ref="E7" ca="1">Common_InputFunctions.Utility_DisplayFunctionName(N25)</f>
        <v>=Fuel_Equations.VEERG_8_1_1_1__1_FuelCombustionTransport</v>
      </c>
      <c r="K7" s="133" t="s">
        <v>267</v>
      </c>
      <c r="L7" s="133" t="str" cm="1">
        <f t="array" aca="1" ref="L7" ca="1">Common_InputFunctions.Utility_DisplayFunctionName(Q25)</f>
        <v>=Scope3_Equations.VEERG_15_11_1_1__2_UpstreamTransportFuelEmissions</v>
      </c>
      <c r="O7" s="159"/>
      <c r="P7" s="159"/>
      <c r="Q7" s="159"/>
    </row>
    <row r="8" spans="1:18" ht="20.100000000000001" customHeight="1" x14ac:dyDescent="0.25">
      <c r="A8" s="7" t="s">
        <v>0</v>
      </c>
      <c r="E8" s="133"/>
      <c r="L8" s="133"/>
      <c r="O8" s="159"/>
      <c r="P8" s="159"/>
      <c r="Q8" s="159"/>
    </row>
    <row r="9" spans="1:18" ht="20.100000000000001" customHeight="1" x14ac:dyDescent="0.25">
      <c r="A9" s="5" t="str">
        <f>HYPERLINK("#'Input - Enterprise'!A1", "Enterprise")</f>
        <v>Enterprise</v>
      </c>
      <c r="G9" s="27"/>
      <c r="O9" s="159"/>
      <c r="P9" s="159"/>
      <c r="Q9" s="159"/>
    </row>
    <row r="10" spans="1:18" ht="20.100000000000001" customHeight="1" x14ac:dyDescent="0.25">
      <c r="A10" s="5" t="str">
        <f>HYPERLINK("#'Input - Site'!A1", "Site")</f>
        <v>Site</v>
      </c>
      <c r="O10" s="159"/>
      <c r="P10" s="159"/>
      <c r="Q10" s="159"/>
    </row>
    <row r="11" spans="1:18" ht="20.100000000000001" customHeight="1" x14ac:dyDescent="0.25">
      <c r="A11" s="5" t="str">
        <f>HYPERLINK("#'Input - Crop'!A1", "Crop")</f>
        <v>Crop</v>
      </c>
      <c r="D11" s="88" t="s">
        <v>268</v>
      </c>
      <c r="E11" s="1" t="str" cm="1">
        <f t="array" ref="E11">Fuel_Equations.VEERG_8_1_1_1__1_FuelCombustionTransport_Variable()</f>
        <v>E_g</v>
      </c>
      <c r="K11" s="88" t="s">
        <v>268</v>
      </c>
      <c r="L11" s="1" t="str" cm="1">
        <f t="array" ref="L11">Scope3_Equations.VEERG_15_11_1_1__2_UpstreamTransportFuelEmissions_Variable()</f>
        <v>E_WTTtransq</v>
      </c>
      <c r="O11" s="159"/>
      <c r="P11" s="159"/>
      <c r="Q11" s="159"/>
    </row>
    <row r="12" spans="1:18" ht="20.100000000000001" customHeight="1" x14ac:dyDescent="0.25">
      <c r="A12" s="5" t="str">
        <f>HYPERLINK("#'Input - Fert Prod System'!A1", "Fert Prod System")</f>
        <v>Fert Prod System</v>
      </c>
      <c r="D12" s="88" t="s">
        <v>121</v>
      </c>
      <c r="E12" s="15" t="str" cm="1">
        <f t="array" ref="E12">Fuel_Equations.VEERG_8_1_1_1__1_FuelCombustionTransport_Unit()</f>
        <v>t CO2-e</v>
      </c>
      <c r="K12" s="88" t="s">
        <v>121</v>
      </c>
      <c r="L12" s="15" t="str" cm="1">
        <f t="array" ref="L12">Scope3_Equations.VEERG_15_11_1_1__2_UpstreamTransportFuelEmissions_Unit()</f>
        <v>t CO2e</v>
      </c>
    </row>
    <row r="13" spans="1:18" ht="20.100000000000001" customHeight="1" x14ac:dyDescent="0.25">
      <c r="A13" s="5" t="str">
        <f>HYPERLINK("#'Input - Fertiliser'!A1", "Fertiliser")</f>
        <v>Fertiliser</v>
      </c>
    </row>
    <row r="14" spans="1:18" ht="20.100000000000001" customHeight="1" x14ac:dyDescent="0.25">
      <c r="A14" s="5" t="str">
        <f>HYPERLINK("#'Input - Fuel'!A1", "Fuel")</f>
        <v>Fuel</v>
      </c>
      <c r="D14" s="155" t="str" cm="1">
        <f t="array" ref="D14:E20">_xlfn.CHOOSECOLS(Fuel_Equations.VEERG_8_1_1_1__1_FuelCombustionTransport_Arguments(), 1,2)</f>
        <v>Q_Transtq</v>
      </c>
      <c r="E14" s="163" t="str">
        <v>Amount of fuel type q combusted for transport energy purposes</v>
      </c>
      <c r="F14" s="165"/>
      <c r="G14" s="155" t="str" cm="1">
        <f t="array" ref="G14:H20">_xlfn.CHOOSECOLS(Fuel_Equations.VEERG_8_1_1_1__1_FuelCombustionTransport_Arguments(), 3,4)</f>
        <v>Varies based on fuel type: kL, m3, GJ</v>
      </c>
      <c r="H14" s="137" t="str">
        <v>Input</v>
      </c>
      <c r="I14" s="141" t="str" cm="1">
        <f t="array" aca="1" ref="I14" ca="1">HYPERLINK(Common_InputFunctions.Utility_SourceHyperlink($D$22), $D$22)</f>
        <v>Table_E_g</v>
      </c>
      <c r="K14" s="155" t="str" cm="1">
        <f t="array" ref="K14:L16">_xlfn.CHOOSECOLS(Scope3_Equations.VEERG_15_11_1_1__2_UpstreamTransportFuelEmissions_Arguments(),1,2)</f>
        <v>Q_Transq</v>
      </c>
      <c r="L14" s="155" t="str">
        <v>amount of fuel q combusted for transport energy purposes</v>
      </c>
      <c r="M14" s="155"/>
      <c r="N14" s="155" t="str" cm="1">
        <f t="array" ref="N14:O16">_xlfn.CHOOSECOLS(Scope3_Equations.VEERG_15_11_1_1__2_UpstreamTransportFuelEmissions_Arguments(),3,4)</f>
        <v>kL</v>
      </c>
      <c r="O14" s="137" t="str">
        <v>Input</v>
      </c>
      <c r="P14" s="141" t="str" cm="1">
        <f t="array" aca="1" ref="P14" ca="1">HYPERLINK(Common_InputFunctions.Utility_SourceHyperlink($D$22), $D$22)</f>
        <v>Table_E_g</v>
      </c>
      <c r="Q14" s="159"/>
    </row>
    <row r="15" spans="1:18" ht="20.100000000000001" customHeight="1" x14ac:dyDescent="0.25">
      <c r="A15" s="5" t="str">
        <f>HYPERLINK("#'Input - Electricity'!A1", "Electricity")</f>
        <v>Electricity</v>
      </c>
      <c r="D15" s="155" t="str">
        <v>EC_Transq</v>
      </c>
      <c r="E15" s="163" t="str">
        <v>Energy content factor for transport energy purposes</v>
      </c>
      <c r="F15" s="165"/>
      <c r="G15" s="155" t="str">
        <v>GJ / unit of fuel</v>
      </c>
      <c r="H15" s="138" t="str">
        <v>Constant</v>
      </c>
      <c r="I15" s="141" t="str" cm="1">
        <f t="array" aca="1" ref="I15" ca="1">HYPERLINK(Common_InputFunctions.Utility_SourceHyperlink($D$22), $D$22)</f>
        <v>Table_E_g</v>
      </c>
      <c r="K15" s="155" t="str">
        <v>EC_Transq</v>
      </c>
      <c r="L15" s="155" t="str">
        <v>energy content factor for transport energy purposes</v>
      </c>
      <c r="M15" s="155"/>
      <c r="N15" s="155" t="str">
        <v>GJ/kL or GJ/m3</v>
      </c>
      <c r="O15" s="138" t="str">
        <v>Constant</v>
      </c>
      <c r="P15" s="141" t="str" cm="1">
        <f t="array" aca="1" ref="P15" ca="1">HYPERLINK(Common_InputFunctions.Utility_SourceHyperlink($D$22), $D$22)</f>
        <v>Table_E_g</v>
      </c>
      <c r="Q15" s="159"/>
    </row>
    <row r="16" spans="1:18" ht="20.100000000000001" customHeight="1" x14ac:dyDescent="0.25">
      <c r="A16" s="5" t="str">
        <f>HYPERLINK("#'Input - Common farm inputs'!A1", "Common farm inputs")</f>
        <v>Common farm inputs</v>
      </c>
      <c r="D16" s="155" t="str">
        <v>EF_Trans1tqg</v>
      </c>
      <c r="E16" s="163" t="str">
        <v>Scope 1 emission factor for transport energy purposes for each greenhouse gas</v>
      </c>
      <c r="F16" s="165"/>
      <c r="G16" s="155" t="str">
        <v>kg CO2e / GJ</v>
      </c>
      <c r="H16" s="138" t="str">
        <v>Constant</v>
      </c>
      <c r="I16" s="141" t="str" cm="1">
        <f t="array" aca="1" ref="I16" ca="1">HYPERLINK(Common_InputFunctions.Utility_SourceHyperlink($D$22), $D$22)</f>
        <v>Table_E_g</v>
      </c>
      <c r="K16" s="155" t="str">
        <v>EF_Trans3q</v>
      </c>
      <c r="L16" s="155" t="str">
        <v>scope 3 emission factor for transport energy purposes</v>
      </c>
      <c r="M16" s="155"/>
      <c r="N16" s="155" t="str">
        <v>kg CO2e/GJ</v>
      </c>
      <c r="O16" s="138" t="str">
        <v>Constant</v>
      </c>
      <c r="P16" s="141" t="str" cm="1">
        <f t="array" aca="1" ref="P16" ca="1">HYPERLINK(Common_InputFunctions.Utility_SourceHyperlink($D$22), $D$22)</f>
        <v>Table_E_g</v>
      </c>
      <c r="Q16" s="159"/>
    </row>
    <row r="17" spans="1:17" ht="20.100000000000001" customHeight="1" x14ac:dyDescent="0.25">
      <c r="A17" s="5" t="str">
        <f>HYPERLINK("#'Input - Crop pasture farm input'!A1", "Crop pasture farm input")</f>
        <v>Crop pasture farm input</v>
      </c>
      <c r="D17" s="155" t="str">
        <v>q</v>
      </c>
      <c r="E17" s="163" t="str">
        <v>Fuel type</v>
      </c>
      <c r="F17" s="165"/>
      <c r="G17" s="155" t="str">
        <v/>
      </c>
      <c r="H17" s="138" t="str">
        <v>Constant</v>
      </c>
      <c r="I17" s="141"/>
      <c r="J17" s="159"/>
      <c r="P17" s="159"/>
      <c r="Q17" s="159"/>
    </row>
    <row r="18" spans="1:17" ht="20.100000000000001" customHeight="1" x14ac:dyDescent="0.25">
      <c r="A18" s="5" t="str">
        <f>HYPERLINK("#'Input - Freight'!A1", "Freight")</f>
        <v>Freight</v>
      </c>
      <c r="D18" s="155" t="str">
        <v>Trans</v>
      </c>
      <c r="E18" s="163" t="str">
        <v>Transport combustion</v>
      </c>
      <c r="F18" s="165"/>
      <c r="G18" s="155" t="str">
        <v/>
      </c>
      <c r="H18" s="138" t="str">
        <v>Constant</v>
      </c>
      <c r="I18" s="141"/>
      <c r="J18" s="159"/>
      <c r="L18" s="159"/>
      <c r="M18" s="159"/>
      <c r="N18" s="159"/>
      <c r="O18" s="159"/>
      <c r="P18" s="159"/>
      <c r="Q18" s="159"/>
    </row>
    <row r="19" spans="1:17" ht="20.100000000000001" customHeight="1" x14ac:dyDescent="0.25">
      <c r="A19" s="5" t="str">
        <f>HYPERLINK("#'Input - Manure sent off-site'!A1", "Manure sent off-site")</f>
        <v>Manure sent off-site</v>
      </c>
      <c r="D19" s="155" t="str">
        <v>g</v>
      </c>
      <c r="E19" s="163" t="str">
        <v>Greenhouse gas</v>
      </c>
      <c r="F19" s="165"/>
      <c r="G19" s="155" t="str">
        <v/>
      </c>
      <c r="H19" s="138" t="str">
        <v>Constant</v>
      </c>
      <c r="I19" s="141"/>
      <c r="J19" s="159"/>
      <c r="L19" s="159"/>
      <c r="M19" s="159"/>
      <c r="N19" s="159"/>
      <c r="O19" s="159"/>
      <c r="P19" s="159"/>
      <c r="Q19" s="159"/>
    </row>
    <row r="20" spans="1:17" ht="20.100000000000001" customHeight="1" x14ac:dyDescent="0.25">
      <c r="A20" s="5" t="str">
        <f>HYPERLINK("#'Input - Solid waste'!A1", "Solid waste")</f>
        <v>Solid waste</v>
      </c>
      <c r="D20" s="155" t="str">
        <v>1</v>
      </c>
      <c r="E20" s="163" t="str">
        <v>Scope 1</v>
      </c>
      <c r="F20" s="165"/>
      <c r="G20" s="155" t="str">
        <v/>
      </c>
      <c r="H20" s="138" t="str">
        <v>Constant</v>
      </c>
      <c r="I20" s="141"/>
      <c r="J20" s="159"/>
      <c r="L20" s="159"/>
      <c r="M20" s="159"/>
      <c r="N20" s="159"/>
      <c r="O20" s="159"/>
      <c r="P20" s="159"/>
      <c r="Q20" s="159"/>
    </row>
    <row r="21" spans="1:17" ht="20.100000000000001" customHeight="1" x14ac:dyDescent="0.25">
      <c r="A21" s="5" t="str">
        <f>HYPERLINK("#'Input - Data quality'!A1", "Data quality")</f>
        <v>Data quality</v>
      </c>
      <c r="O21" s="159"/>
      <c r="P21" s="159"/>
      <c r="Q21" s="159"/>
    </row>
    <row r="22" spans="1:17" ht="20.100000000000001" customHeight="1" x14ac:dyDescent="0.25">
      <c r="D22" s="144" t="s">
        <v>466</v>
      </c>
    </row>
    <row r="23" spans="1:17" ht="20.100000000000001" customHeight="1" x14ac:dyDescent="0.25">
      <c r="D23" s="145" t="s">
        <v>467</v>
      </c>
    </row>
    <row r="24" spans="1:17" ht="20.100000000000001" customHeight="1" x14ac:dyDescent="0.25">
      <c r="A24" s="6" t="s">
        <v>2</v>
      </c>
      <c r="D24" s="146" t="s">
        <v>468</v>
      </c>
      <c r="E24" s="146" t="s">
        <v>469</v>
      </c>
      <c r="F24" s="146" t="s">
        <v>470</v>
      </c>
      <c r="G24" s="146" t="s">
        <v>471</v>
      </c>
      <c r="H24" s="146" t="s">
        <v>472</v>
      </c>
      <c r="I24" s="146" t="s">
        <v>473</v>
      </c>
      <c r="J24" s="146" t="s">
        <v>474</v>
      </c>
      <c r="K24" s="146" t="s">
        <v>475</v>
      </c>
      <c r="L24" s="92" t="s">
        <v>476</v>
      </c>
      <c r="M24" s="146" t="s">
        <v>477</v>
      </c>
      <c r="N24" s="146" t="s">
        <v>478</v>
      </c>
      <c r="O24" s="146" t="s">
        <v>479</v>
      </c>
      <c r="P24" s="146" t="s">
        <v>480</v>
      </c>
      <c r="Q24" s="146" t="s">
        <v>481</v>
      </c>
    </row>
    <row r="25" spans="1:17" ht="20.100000000000001" customHeight="1" x14ac:dyDescent="0.25">
      <c r="A25" s="5" t="str">
        <f>HYPERLINK("#'5.1.1.1-2 Inorganic fert N2O'!A1", "5.1.1.1-2 Inorganic fert N2O")</f>
        <v>5.1.1.1-2 Inorganic fert N2O</v>
      </c>
      <c r="D25" s="35" t="str">
        <f>Table_FuelTypesPerUse[[#Headers],[Cars and light commercial vehicles]]</f>
        <v>Cars and light commercial vehicles</v>
      </c>
      <c r="E25" s="189" t="str">
        <f>'Constants - Fuel'!$E$10</f>
        <v>Gasoline</v>
      </c>
      <c r="F25" s="189" t="str">
        <f>'Constants - Fuel'!G131</f>
        <v>Petrol</v>
      </c>
      <c r="G25" s="25" cm="1">
        <f t="array" ref="G25">IFERROR(_xlfn.XLOOKUP(1, (Table_Fuel_EFs_Transport[Fuel combusted]=$E25)*(Table_Fuel_EFs_Transport[Transport type]=$D$25), Table_Fuel_EFs_Transport[Energy Content Factor (GJ per unit of fuel)]), 0)</f>
        <v>34.200000000000003</v>
      </c>
      <c r="H25" s="25" cm="1">
        <f t="array" ref="H25">IFERROR(_xlfn.XLOOKUP(1, (Table_Fuel_EFs_Transport[Fuel combusted]=$E25)*(Table_Fuel_EFs_Transport[Transport type]=$D$25), Table_Fuel_EFs_Transport[Scope 1 Emission Factor (kg CO2 - e / GJ) CO2]), 0)</f>
        <v>67.400000000000006</v>
      </c>
      <c r="I25" s="25" cm="1">
        <f t="array" ref="I25">IFERROR(_xlfn.XLOOKUP(1, (Table_Fuel_EFs_Transport[Fuel combusted]=$E25)*(Table_Fuel_EFs_Transport[Transport type]=$D$25), Table_Fuel_EFs_Transport[Scope 1 Emission Factor (kg CO2 - e / GJ) CH4]), 0)</f>
        <v>0.02</v>
      </c>
      <c r="J25" s="25" cm="1">
        <f t="array" ref="J25">IFERROR(_xlfn.XLOOKUP(1, (Table_Fuel_EFs_Transport[Fuel combusted]=$E25)*(Table_Fuel_EFs_Transport[Transport type]=$D$25), Table_Fuel_EFs_Transport[Scope 1 Emission Factor (kg CO2 - e / GJ) N2O]), 0)</f>
        <v>0.2</v>
      </c>
      <c r="K25" s="25" cm="1">
        <f t="array" ref="K25">IFERROR(_xlfn.XLOOKUP(1, (Table_Fuel_EFs_Transport[Fuel combusted]=$E25)*(Table_Fuel_EFs_Transport[Transport type]=$D$25), Table_Fuel_EFs_Transport[Scope 3 Emission Factor (kg CO2 - e / GJ)]), 0)</f>
        <v>17.2</v>
      </c>
      <c r="L25" s="167" cm="1">
        <f t="array" ref="L25">Fuel_InputFunctions.Fuel_TotalConsumption(Table_Input_Fuel[Amount consumed], Table_Input_Fuel[Fuel use (select)], D25, Table_Input_Fuel[Fuel type (select)],F25)</f>
        <v>0</v>
      </c>
      <c r="M25" s="167" t="str" cm="1">
        <f t="array" ref="M25">Common_InputFunctions.Utility_LookupValueInTable(F25,Table_FuelTypes_Units[Fuel type],Table_FuelTypes_Units[Unit])</f>
        <v>kL</v>
      </c>
      <c r="N25" s="190" cm="1">
        <f t="array" ref="N25">Fuel_Equations.VEERG_8_1_1_1__1_FuelCombustionTransport($L25,$G25,$H25)</f>
        <v>0</v>
      </c>
      <c r="O25" s="190" cm="1">
        <f t="array" ref="O25">Fuel_Equations.VEERG_8_1_1_1__1_FuelCombustionTransport($L25,$G25,$I25)</f>
        <v>0</v>
      </c>
      <c r="P25" s="190" cm="1">
        <f t="array" ref="P25">Fuel_Equations.VEERG_8_1_1_1__1_FuelCombustionTransport($L25,$G25,$J25)</f>
        <v>0</v>
      </c>
      <c r="Q25" s="190" cm="1">
        <f t="array" ref="Q25">Scope3_Equations.VEERG_15_11_1_1__2_UpstreamTransportFuelEmissions(L25,G25,K25)</f>
        <v>0</v>
      </c>
    </row>
    <row r="26" spans="1:17" ht="20.100000000000001" customHeight="1" x14ac:dyDescent="0.25">
      <c r="A26" s="5" t="str">
        <f>HYPERLINK("#'5.1.1.3-4 Inorganic fert CO2'!A1", "5.1.1.3-4 Inorganic fert CO2")</f>
        <v>5.1.1.3-4 Inorganic fert CO2</v>
      </c>
      <c r="D26" s="191" t="str">
        <f t="shared" ref="D26:D32" si="0">$D$25</f>
        <v>Cars and light commercial vehicles</v>
      </c>
      <c r="E26" s="189" t="str">
        <f>'Constants - Fuel'!$E$11</f>
        <v>Diesel oil</v>
      </c>
      <c r="F26" s="189" t="str">
        <f>'Constants - Fuel'!G132</f>
        <v>Diesel</v>
      </c>
      <c r="G26" s="25" cm="1">
        <f t="array" ref="G26">IFERROR(_xlfn.XLOOKUP(1, (Table_Fuel_EFs_Transport[Fuel combusted]=$E26)*(Table_Fuel_EFs_Transport[Transport type]=$D$25), Table_Fuel_EFs_Transport[Energy Content Factor (GJ per unit of fuel)]), 0)</f>
        <v>38.6</v>
      </c>
      <c r="H26" s="25" cm="1">
        <f t="array" ref="H26">IFERROR(_xlfn.XLOOKUP(1, (Table_Fuel_EFs_Transport[Fuel combusted]=$E26)*(Table_Fuel_EFs_Transport[Transport type]=$D$25), Table_Fuel_EFs_Transport[Scope 1 Emission Factor (kg CO2 - e / GJ) CO2]), 0)</f>
        <v>69.900000000000006</v>
      </c>
      <c r="I26" s="25" cm="1">
        <f t="array" ref="I26">IFERROR(_xlfn.XLOOKUP(1, (Table_Fuel_EFs_Transport[Fuel combusted]=$E26)*(Table_Fuel_EFs_Transport[Transport type]=$D$25), Table_Fuel_EFs_Transport[Scope 1 Emission Factor (kg CO2 - e / GJ) CH4]), 0)</f>
        <v>0.01</v>
      </c>
      <c r="J26" s="25" cm="1">
        <f t="array" ref="J26">IFERROR(_xlfn.XLOOKUP(1, (Table_Fuel_EFs_Transport[Fuel combusted]=$E26)*(Table_Fuel_EFs_Transport[Transport type]=$D$25), Table_Fuel_EFs_Transport[Scope 1 Emission Factor (kg CO2 - e / GJ) N2O]), 0)</f>
        <v>0.5</v>
      </c>
      <c r="K26" s="25" cm="1">
        <f t="array" ref="K26">IFERROR(_xlfn.XLOOKUP(1, (Table_Fuel_EFs_Transport[Fuel combusted]=$E26)*(Table_Fuel_EFs_Transport[Transport type]=$D$25), Table_Fuel_EFs_Transport[Scope 3 Emission Factor (kg CO2 - e / GJ)]), 0)</f>
        <v>17.3</v>
      </c>
      <c r="L26" s="167" cm="1">
        <f t="array" ref="L26">Fuel_InputFunctions.Fuel_TotalConsumption(Table_Input_Fuel[Amount consumed], Table_Input_Fuel[Fuel use (select)], D26, Table_Input_Fuel[Fuel type (select)],F26)</f>
        <v>10</v>
      </c>
      <c r="M26" s="167" t="str" cm="1">
        <f t="array" ref="M26">Common_InputFunctions.Utility_LookupValueInTable(F26,Table_FuelTypes_Units[Fuel type],Table_FuelTypes_Units[Unit])</f>
        <v>kL</v>
      </c>
      <c r="N26" s="190" cm="1">
        <f t="array" ref="N26">Fuel_Equations.VEERG_8_1_1_1__1_FuelCombustionTransport($L26,$G26,$H26)</f>
        <v>26.981400000000001</v>
      </c>
      <c r="O26" s="190" cm="1">
        <f t="array" ref="O26">Fuel_Equations.VEERG_8_1_1_1__1_FuelCombustionTransport($L26,$G26,$I26)</f>
        <v>3.8600000000000001E-3</v>
      </c>
      <c r="P26" s="190" cm="1">
        <f t="array" ref="P26">Fuel_Equations.VEERG_8_1_1_1__1_FuelCombustionTransport($L26,$G26,$J26)</f>
        <v>0.193</v>
      </c>
      <c r="Q26" s="190" cm="1">
        <f t="array" ref="Q26">Scope3_Equations.VEERG_15_11_1_1__2_UpstreamTransportFuelEmissions(L26,G26,K26)</f>
        <v>6.6778000000000004</v>
      </c>
    </row>
    <row r="27" spans="1:17" ht="20.100000000000001" customHeight="1" x14ac:dyDescent="0.25">
      <c r="A27" s="5" t="str">
        <f>HYPERLINK("#'5.2.1.1-2 Organic Fert N2O'!A1", "5.2.1.1-2 Organic fert N2O")</f>
        <v>5.2.1.1-2 Organic fert N2O</v>
      </c>
      <c r="D27" s="191" t="str">
        <f t="shared" si="0"/>
        <v>Cars and light commercial vehicles</v>
      </c>
      <c r="E27" s="189" t="str">
        <f>'Constants - Fuel'!$E$12</f>
        <v>Liquefied petroleum gas (LPG)</v>
      </c>
      <c r="F27" s="189" t="str">
        <f>'Constants - Fuel'!G133</f>
        <v>Liquefied petroleum gas (LPG)</v>
      </c>
      <c r="G27" s="25" cm="1">
        <f t="array" ref="G27">IFERROR(_xlfn.XLOOKUP(1, (Table_Fuel_EFs_Transport[Fuel combusted]=$E27)*(Table_Fuel_EFs_Transport[Transport type]=$D$25), Table_Fuel_EFs_Transport[Energy Content Factor (GJ per unit of fuel)]), 0)</f>
        <v>26.2</v>
      </c>
      <c r="H27" s="25" cm="1">
        <f t="array" ref="H27">IFERROR(_xlfn.XLOOKUP(1, (Table_Fuel_EFs_Transport[Fuel combusted]=$E27)*(Table_Fuel_EFs_Transport[Transport type]=$D$25), Table_Fuel_EFs_Transport[Scope 1 Emission Factor (kg CO2 - e / GJ) CO2]), 0)</f>
        <v>60.2</v>
      </c>
      <c r="I27" s="25" cm="1">
        <f t="array" ref="I27">IFERROR(_xlfn.XLOOKUP(1, (Table_Fuel_EFs_Transport[Fuel combusted]=$E27)*(Table_Fuel_EFs_Transport[Transport type]=$D$25), Table_Fuel_EFs_Transport[Scope 1 Emission Factor (kg CO2 - e / GJ) CH4]), 0)</f>
        <v>0.5</v>
      </c>
      <c r="J27" s="25" cm="1">
        <f t="array" ref="J27">IFERROR(_xlfn.XLOOKUP(1, (Table_Fuel_EFs_Transport[Fuel combusted]=$E27)*(Table_Fuel_EFs_Transport[Transport type]=$D$25), Table_Fuel_EFs_Transport[Scope 1 Emission Factor (kg CO2 - e / GJ) N2O]), 0)</f>
        <v>0.3</v>
      </c>
      <c r="K27" s="25" cm="1">
        <f t="array" ref="K27">IFERROR(_xlfn.XLOOKUP(1, (Table_Fuel_EFs_Transport[Fuel combusted]=$E27)*(Table_Fuel_EFs_Transport[Transport type]=$D$25), Table_Fuel_EFs_Transport[Scope 3 Emission Factor (kg CO2 - e / GJ)]), 0)</f>
        <v>20.2</v>
      </c>
      <c r="L27" s="167" cm="1">
        <f t="array" ref="L27">Fuel_InputFunctions.Fuel_TotalConsumption(Table_Input_Fuel[Amount consumed], Table_Input_Fuel[Fuel use (select)], D27, Table_Input_Fuel[Fuel type (select)],F27)</f>
        <v>0</v>
      </c>
      <c r="M27" s="167" t="str" cm="1">
        <f t="array" ref="M27">Common_InputFunctions.Utility_LookupValueInTable(F27,Table_FuelTypes_Units[Fuel type],Table_FuelTypes_Units[Unit])</f>
        <v>kL</v>
      </c>
      <c r="N27" s="190" cm="1">
        <f t="array" ref="N27">Fuel_Equations.VEERG_8_1_1_1__1_FuelCombustionTransport($L27,$G27,$H27)</f>
        <v>0</v>
      </c>
      <c r="O27" s="190" cm="1">
        <f t="array" ref="O27">Fuel_Equations.VEERG_8_1_1_1__1_FuelCombustionTransport($L27,$G27,$I27)</f>
        <v>0</v>
      </c>
      <c r="P27" s="190" cm="1">
        <f t="array" ref="P27">Fuel_Equations.VEERG_8_1_1_1__1_FuelCombustionTransport($L27,$G27,$J27)</f>
        <v>0</v>
      </c>
      <c r="Q27" s="190" cm="1">
        <f t="array" ref="Q27">Scope3_Equations.VEERG_15_11_1_1__2_UpstreamTransportFuelEmissions(L27,G27,K27)</f>
        <v>0</v>
      </c>
    </row>
    <row r="28" spans="1:17" ht="20.100000000000001" customHeight="1" x14ac:dyDescent="0.25">
      <c r="A28" s="5" t="str">
        <f>HYPERLINK("#'5.3.1.1-2 Lime CO2'!A1", "5.3.1.1-2 Lime CO2")</f>
        <v>5.3.1.1-2 Lime CO2</v>
      </c>
      <c r="D28" s="191" t="str">
        <f t="shared" si="0"/>
        <v>Cars and light commercial vehicles</v>
      </c>
      <c r="E28" s="189" t="str">
        <f>'Constants - Fuel'!$E$13</f>
        <v>Fuel oil</v>
      </c>
      <c r="F28" s="189" t="str">
        <f>'Constants - Fuel'!G134</f>
        <v>Fuel oil</v>
      </c>
      <c r="G28" s="25" cm="1">
        <f t="array" ref="G28">IFERROR(_xlfn.XLOOKUP(1, (Table_Fuel_EFs_Transport[Fuel combusted]=$E28)*(Table_Fuel_EFs_Transport[Transport type]=$D$25), Table_Fuel_EFs_Transport[Energy Content Factor (GJ per unit of fuel)]), 0)</f>
        <v>39.700000000000003</v>
      </c>
      <c r="H28" s="25" cm="1">
        <f t="array" ref="H28">IFERROR(_xlfn.XLOOKUP(1, (Table_Fuel_EFs_Transport[Fuel combusted]=$E28)*(Table_Fuel_EFs_Transport[Transport type]=$D$25), Table_Fuel_EFs_Transport[Scope 1 Emission Factor (kg CO2 - e / GJ) CO2]), 0)</f>
        <v>73.599999999999994</v>
      </c>
      <c r="I28" s="25" cm="1">
        <f t="array" ref="I28">IFERROR(_xlfn.XLOOKUP(1, (Table_Fuel_EFs_Transport[Fuel combusted]=$E28)*(Table_Fuel_EFs_Transport[Transport type]=$D$25), Table_Fuel_EFs_Transport[Scope 1 Emission Factor (kg CO2 - e / GJ) CH4]), 0)</f>
        <v>0.08</v>
      </c>
      <c r="J28" s="25" cm="1">
        <f t="array" ref="J28">IFERROR(_xlfn.XLOOKUP(1, (Table_Fuel_EFs_Transport[Fuel combusted]=$E28)*(Table_Fuel_EFs_Transport[Transport type]=$D$25), Table_Fuel_EFs_Transport[Scope 1 Emission Factor (kg CO2 - e / GJ) N2O]), 0)</f>
        <v>0.5</v>
      </c>
      <c r="K28" s="25" cm="1">
        <f t="array" ref="K28">IFERROR(_xlfn.XLOOKUP(1, (Table_Fuel_EFs_Transport[Fuel combusted]=$E28)*(Table_Fuel_EFs_Transport[Transport type]=$D$25), Table_Fuel_EFs_Transport[Scope 3 Emission Factor (kg CO2 - e / GJ)]), 0)</f>
        <v>18</v>
      </c>
      <c r="L28" s="167" cm="1">
        <f t="array" ref="L28">Fuel_InputFunctions.Fuel_TotalConsumption(Table_Input_Fuel[Amount consumed], Table_Input_Fuel[Fuel use (select)], D28, Table_Input_Fuel[Fuel type (select)],F28)</f>
        <v>0</v>
      </c>
      <c r="M28" s="167" t="str" cm="1">
        <f t="array" ref="M28">Common_InputFunctions.Utility_LookupValueInTable(F28,Table_FuelTypes_Units[Fuel type],Table_FuelTypes_Units[Unit])</f>
        <v>kL</v>
      </c>
      <c r="N28" s="190" cm="1">
        <f t="array" ref="N28">Fuel_Equations.VEERG_8_1_1_1__1_FuelCombustionTransport($L28,$G28,$H28)</f>
        <v>0</v>
      </c>
      <c r="O28" s="190" cm="1">
        <f t="array" ref="O28">Fuel_Equations.VEERG_8_1_1_1__1_FuelCombustionTransport($L28,$G28,$I28)</f>
        <v>0</v>
      </c>
      <c r="P28" s="190" cm="1">
        <f t="array" ref="P28">Fuel_Equations.VEERG_8_1_1_1__1_FuelCombustionTransport($L28,$G28,$J28)</f>
        <v>0</v>
      </c>
      <c r="Q28" s="190" cm="1">
        <f t="array" ref="Q28">Scope3_Equations.VEERG_15_11_1_1__2_UpstreamTransportFuelEmissions(L28,G28,K28)</f>
        <v>0</v>
      </c>
    </row>
    <row r="29" spans="1:17" ht="20.100000000000001" customHeight="1" x14ac:dyDescent="0.25">
      <c r="A29" s="5" t="str">
        <f>HYPERLINK("#'5.4.1.1-4 Atmos deposition'!A1", "5.4.1.1-4 Atmos. deposition")</f>
        <v>5.4.1.1-4 Atmos. deposition</v>
      </c>
      <c r="D29" s="191" t="str">
        <f t="shared" si="0"/>
        <v>Cars and light commercial vehicles</v>
      </c>
      <c r="E29" s="189" t="str">
        <f>'Constants - Fuel'!$E$14</f>
        <v>Ethanol</v>
      </c>
      <c r="F29" s="189" t="str">
        <f>'Constants - Fuel'!G135</f>
        <v>Ethanol</v>
      </c>
      <c r="G29" s="25" cm="1">
        <f t="array" ref="G29">IFERROR(_xlfn.XLOOKUP(1, (Table_Fuel_EFs_Transport[Fuel combusted]=$E29)*(Table_Fuel_EFs_Transport[Transport type]=$D$25), Table_Fuel_EFs_Transport[Energy Content Factor (GJ per unit of fuel)]), 0)</f>
        <v>23.4</v>
      </c>
      <c r="H29" s="25" cm="1">
        <f t="array" ref="H29">IFERROR(_xlfn.XLOOKUP(1, (Table_Fuel_EFs_Transport[Fuel combusted]=$E29)*(Table_Fuel_EFs_Transport[Transport type]=$D$25), Table_Fuel_EFs_Transport[Scope 1 Emission Factor (kg CO2 - e / GJ) CO2]), 0)</f>
        <v>0</v>
      </c>
      <c r="I29" s="25" cm="1">
        <f t="array" ref="I29">IFERROR(_xlfn.XLOOKUP(1, (Table_Fuel_EFs_Transport[Fuel combusted]=$E29)*(Table_Fuel_EFs_Transport[Transport type]=$D$25), Table_Fuel_EFs_Transport[Scope 1 Emission Factor (kg CO2 - e / GJ) CH4]), 0)</f>
        <v>0.2</v>
      </c>
      <c r="J29" s="25" cm="1">
        <f t="array" ref="J29">IFERROR(_xlfn.XLOOKUP(1, (Table_Fuel_EFs_Transport[Fuel combusted]=$E29)*(Table_Fuel_EFs_Transport[Transport type]=$D$25), Table_Fuel_EFs_Transport[Scope 1 Emission Factor (kg CO2 - e / GJ) N2O]), 0)</f>
        <v>0.2</v>
      </c>
      <c r="K29" s="25" t="str" cm="1">
        <f t="array" ref="K29">IFERROR(_xlfn.XLOOKUP(1, (Table_Fuel_EFs_Transport[Fuel combusted]=$E29)*(Table_Fuel_EFs_Transport[Transport type]=$D$25), Table_Fuel_EFs_Transport[Scope 3 Emission Factor (kg CO2 - e / GJ)]), 0)</f>
        <v>NE</v>
      </c>
      <c r="L29" s="167" cm="1">
        <f t="array" ref="L29">Fuel_InputFunctions.Fuel_TotalConsumption(Table_Input_Fuel[Amount consumed], Table_Input_Fuel[Fuel use (select)], D29, Table_Input_Fuel[Fuel type (select)],F29)</f>
        <v>0</v>
      </c>
      <c r="M29" s="167" t="str" cm="1">
        <f t="array" ref="M29">Common_InputFunctions.Utility_LookupValueInTable(F29,Table_FuelTypes_Units[Fuel type],Table_FuelTypes_Units[Unit])</f>
        <v>kL</v>
      </c>
      <c r="N29" s="190" cm="1">
        <f t="array" ref="N29">Fuel_Equations.VEERG_8_1_1_1__1_FuelCombustionTransport($L29,$G29,$H29)</f>
        <v>0</v>
      </c>
      <c r="O29" s="190" cm="1">
        <f t="array" ref="O29">Fuel_Equations.VEERG_8_1_1_1__1_FuelCombustionTransport($L29,$G29,$I29)</f>
        <v>0</v>
      </c>
      <c r="P29" s="190" cm="1">
        <f t="array" ref="P29">Fuel_Equations.VEERG_8_1_1_1__1_FuelCombustionTransport($L29,$G29,$J29)</f>
        <v>0</v>
      </c>
      <c r="Q29" s="190" cm="1">
        <f t="array" ref="Q29">Scope3_Equations.VEERG_15_11_1_1__2_UpstreamTransportFuelEmissions(L29,G29,IF(ISNUMBER(K29),K29,0))</f>
        <v>0</v>
      </c>
    </row>
    <row r="30" spans="1:17" ht="20.100000000000001" customHeight="1" x14ac:dyDescent="0.25">
      <c r="A30" s="5" t="str">
        <f>HYPERLINK("#'5.5.1.1-2 Leaching and runoff'!A1", "5.5.1.1-2 Leaching &amp; runoff")</f>
        <v>5.5.1.1-2 Leaching &amp; runoff</v>
      </c>
      <c r="D30" s="191" t="str">
        <f t="shared" si="0"/>
        <v>Cars and light commercial vehicles</v>
      </c>
      <c r="E30" s="189" t="str">
        <f>'Constants - Fuel'!$E$15</f>
        <v>Biodiesel</v>
      </c>
      <c r="F30" s="189" t="str">
        <f>'Constants - Fuel'!G136</f>
        <v>Biodiesel</v>
      </c>
      <c r="G30" s="25" cm="1">
        <f t="array" ref="G30">IFERROR(_xlfn.XLOOKUP(1, (Table_Fuel_EFs_Transport[Fuel combusted]=$E30)*(Table_Fuel_EFs_Transport[Transport type]=$D$25), Table_Fuel_EFs_Transport[Energy Content Factor (GJ per unit of fuel)]), 0)</f>
        <v>34.6</v>
      </c>
      <c r="H30" s="25" cm="1">
        <f t="array" ref="H30">IFERROR(_xlfn.XLOOKUP(1, (Table_Fuel_EFs_Transport[Fuel combusted]=$E30)*(Table_Fuel_EFs_Transport[Transport type]=$D$25), Table_Fuel_EFs_Transport[Scope 1 Emission Factor (kg CO2 - e / GJ) CO2]), 0)</f>
        <v>0</v>
      </c>
      <c r="I30" s="25" cm="1">
        <f t="array" ref="I30">IFERROR(_xlfn.XLOOKUP(1, (Table_Fuel_EFs_Transport[Fuel combusted]=$E30)*(Table_Fuel_EFs_Transport[Transport type]=$D$25), Table_Fuel_EFs_Transport[Scope 1 Emission Factor (kg CO2 - e / GJ) CH4]), 0)</f>
        <v>0.8</v>
      </c>
      <c r="J30" s="25" cm="1">
        <f t="array" ref="J30">IFERROR(_xlfn.XLOOKUP(1, (Table_Fuel_EFs_Transport[Fuel combusted]=$E30)*(Table_Fuel_EFs_Transport[Transport type]=$D$25), Table_Fuel_EFs_Transport[Scope 1 Emission Factor (kg CO2 - e / GJ) N2O]), 0)</f>
        <v>1.7</v>
      </c>
      <c r="K30" s="25" t="str" cm="1">
        <f t="array" ref="K30">IFERROR(_xlfn.XLOOKUP(1, (Table_Fuel_EFs_Transport[Fuel combusted]=$E30)*(Table_Fuel_EFs_Transport[Transport type]=$D$25), Table_Fuel_EFs_Transport[Scope 3 Emission Factor (kg CO2 - e / GJ)]), 0)</f>
        <v>NE</v>
      </c>
      <c r="L30" s="167" cm="1">
        <f t="array" ref="L30">Fuel_InputFunctions.Fuel_TotalConsumption(Table_Input_Fuel[Amount consumed], Table_Input_Fuel[Fuel use (select)], D30, Table_Input_Fuel[Fuel type (select)],F30)</f>
        <v>0</v>
      </c>
      <c r="M30" s="167" t="str" cm="1">
        <f t="array" ref="M30">Common_InputFunctions.Utility_LookupValueInTable(F30,Table_FuelTypes_Units[Fuel type],Table_FuelTypes_Units[Unit])</f>
        <v>kL</v>
      </c>
      <c r="N30" s="190" cm="1">
        <f t="array" ref="N30">Fuel_Equations.VEERG_8_1_1_1__1_FuelCombustionTransport($L30,$G30,$H30)</f>
        <v>0</v>
      </c>
      <c r="O30" s="190" cm="1">
        <f t="array" ref="O30">Fuel_Equations.VEERG_8_1_1_1__1_FuelCombustionTransport($L30,$G30,$I30)</f>
        <v>0</v>
      </c>
      <c r="P30" s="190" cm="1">
        <f t="array" ref="P30">Fuel_Equations.VEERG_8_1_1_1__1_FuelCombustionTransport($L30,$G30,$J30)</f>
        <v>0</v>
      </c>
      <c r="Q30" s="190" cm="1">
        <f t="array" ref="Q30">Scope3_Equations.VEERG_15_11_1_1__2_UpstreamTransportFuelEmissions(L30,G30,IF(ISNUMBER(K30),K30,0))</f>
        <v>0</v>
      </c>
    </row>
    <row r="31" spans="1:17" ht="20.100000000000001" customHeight="1" x14ac:dyDescent="0.25">
      <c r="A31" s="5" t="str">
        <f>HYPERLINK("#'6.1.1.1-2 Crop residue N2O'!A1", "6.1.1.1-2 Crop residue N2O")</f>
        <v>6.1.1.1-2 Crop residue N2O</v>
      </c>
      <c r="D31" s="191" t="str">
        <f t="shared" si="0"/>
        <v>Cars and light commercial vehicles</v>
      </c>
      <c r="E31" s="189" t="str">
        <f>'Constants - Fuel'!$E$16</f>
        <v>Renewable diesel</v>
      </c>
      <c r="F31" s="189" t="str">
        <f>'Constants - Fuel'!G137</f>
        <v>Renewable diesel</v>
      </c>
      <c r="G31" s="25" cm="1">
        <f t="array" ref="G31">IFERROR(_xlfn.XLOOKUP(1, (Table_Fuel_EFs_Transport[Fuel combusted]=$E31)*(Table_Fuel_EFs_Transport[Transport type]=$D$25), Table_Fuel_EFs_Transport[Energy Content Factor (GJ per unit of fuel)]), 0)</f>
        <v>38.6</v>
      </c>
      <c r="H31" s="25" cm="1">
        <f t="array" ref="H31">IFERROR(_xlfn.XLOOKUP(1, (Table_Fuel_EFs_Transport[Fuel combusted]=$E31)*(Table_Fuel_EFs_Transport[Transport type]=$D$25), Table_Fuel_EFs_Transport[Scope 1 Emission Factor (kg CO2 - e / GJ) CO2]), 0)</f>
        <v>0</v>
      </c>
      <c r="I31" s="25" cm="1">
        <f t="array" ref="I31">IFERROR(_xlfn.XLOOKUP(1, (Table_Fuel_EFs_Transport[Fuel combusted]=$E31)*(Table_Fuel_EFs_Transport[Transport type]=$D$25), Table_Fuel_EFs_Transport[Scope 1 Emission Factor (kg CO2 - e / GJ) CH4]), 0)</f>
        <v>0.01</v>
      </c>
      <c r="J31" s="25" cm="1">
        <f t="array" ref="J31">IFERROR(_xlfn.XLOOKUP(1, (Table_Fuel_EFs_Transport[Fuel combusted]=$E31)*(Table_Fuel_EFs_Transport[Transport type]=$D$25), Table_Fuel_EFs_Transport[Scope 1 Emission Factor (kg CO2 - e / GJ) N2O]), 0)</f>
        <v>0.5</v>
      </c>
      <c r="K31" s="25" t="str" cm="1">
        <f t="array" ref="K31">IFERROR(_xlfn.XLOOKUP(1, (Table_Fuel_EFs_Transport[Fuel combusted]=$E31)*(Table_Fuel_EFs_Transport[Transport type]=$D$25), Table_Fuel_EFs_Transport[Scope 3 Emission Factor (kg CO2 - e / GJ)]), 0)</f>
        <v>NE</v>
      </c>
      <c r="L31" s="167" cm="1">
        <f t="array" ref="L31">Fuel_InputFunctions.Fuel_TotalConsumption(Table_Input_Fuel[Amount consumed], Table_Input_Fuel[Fuel use (select)], D31, Table_Input_Fuel[Fuel type (select)],F31)</f>
        <v>0</v>
      </c>
      <c r="M31" s="167" t="str" cm="1">
        <f t="array" ref="M31">Common_InputFunctions.Utility_LookupValueInTable(F31,Table_FuelTypes_Units[Fuel type],Table_FuelTypes_Units[Unit])</f>
        <v>kL</v>
      </c>
      <c r="N31" s="190" cm="1">
        <f t="array" ref="N31">Fuel_Equations.VEERG_8_1_1_1__1_FuelCombustionTransport($L31,$G31,$H31)</f>
        <v>0</v>
      </c>
      <c r="O31" s="190" cm="1">
        <f t="array" ref="O31">Fuel_Equations.VEERG_8_1_1_1__1_FuelCombustionTransport($L31,$G31,$I31)</f>
        <v>0</v>
      </c>
      <c r="P31" s="190" cm="1">
        <f t="array" ref="P31">Fuel_Equations.VEERG_8_1_1_1__1_FuelCombustionTransport($L31,$G31,$J31)</f>
        <v>0</v>
      </c>
      <c r="Q31" s="190" cm="1">
        <f t="array" ref="Q31">Scope3_Equations.VEERG_15_11_1_1__2_UpstreamTransportFuelEmissions(L31,G31,IF(ISNUMBER(K31),K31,0))</f>
        <v>0</v>
      </c>
    </row>
    <row r="32" spans="1:17" ht="20.100000000000001" customHeight="1" x14ac:dyDescent="0.25">
      <c r="A32" s="5" t="str">
        <f>HYPERLINK("#'6.3.1.1-2 Leach runoff crop'!A1", "6.3.1.1-2 Leach &amp; runoff (crop)")</f>
        <v>6.3.1.1-2 Leach &amp; runoff (crop)</v>
      </c>
      <c r="D32" s="191" t="str">
        <f t="shared" si="0"/>
        <v>Cars and light commercial vehicles</v>
      </c>
      <c r="E32" s="189" t="str">
        <f>'Constants - Fuel'!$E$17</f>
        <v>Other biofuels</v>
      </c>
      <c r="F32" s="189" t="str">
        <f>'Constants - Fuel'!G138</f>
        <v>Other biofuels</v>
      </c>
      <c r="G32" s="25" cm="1">
        <f t="array" ref="G32">IFERROR(_xlfn.XLOOKUP(1, (Table_Fuel_EFs_Transport[Fuel combusted]=$E32)*(Table_Fuel_EFs_Transport[Transport type]=$D$25), Table_Fuel_EFs_Transport[Energy Content Factor (GJ per unit of fuel)]), 0)</f>
        <v>23.4</v>
      </c>
      <c r="H32" s="25" cm="1">
        <f t="array" ref="H32">IFERROR(_xlfn.XLOOKUP(1, (Table_Fuel_EFs_Transport[Fuel combusted]=$E32)*(Table_Fuel_EFs_Transport[Transport type]=$D$25), Table_Fuel_EFs_Transport[Scope 1 Emission Factor (kg CO2 - e / GJ) CO2]), 0)</f>
        <v>0</v>
      </c>
      <c r="I32" s="25" cm="1">
        <f t="array" ref="I32">IFERROR(_xlfn.XLOOKUP(1, (Table_Fuel_EFs_Transport[Fuel combusted]=$E32)*(Table_Fuel_EFs_Transport[Transport type]=$D$25), Table_Fuel_EFs_Transport[Scope 1 Emission Factor (kg CO2 - e / GJ) CH4]), 0)</f>
        <v>0.8</v>
      </c>
      <c r="J32" s="25" cm="1">
        <f t="array" ref="J32">IFERROR(_xlfn.XLOOKUP(1, (Table_Fuel_EFs_Transport[Fuel combusted]=$E32)*(Table_Fuel_EFs_Transport[Transport type]=$D$25), Table_Fuel_EFs_Transport[Scope 1 Emission Factor (kg CO2 - e / GJ) N2O]), 0)</f>
        <v>1.7</v>
      </c>
      <c r="K32" s="187" t="str" cm="1">
        <f t="array" ref="K32">IFERROR(_xlfn.XLOOKUP(1, (Table_Fuel_EFs_Transport[Fuel combusted]=$E32)*(Table_Fuel_EFs_Transport[Transport type]=$D$25), Table_Fuel_EFs_Transport[Scope 3 Emission Factor (kg CO2 - e / GJ)]), 0)</f>
        <v>NE</v>
      </c>
      <c r="L32" s="192" cm="1">
        <f t="array" ref="L32">Fuel_InputFunctions.Fuel_TotalConsumption(Table_Input_Fuel[Amount consumed], Table_Input_Fuel[Fuel use (select)], D32, Table_Input_Fuel[Fuel type (select)],F32)</f>
        <v>0</v>
      </c>
      <c r="M32" s="167" t="str" cm="1">
        <f t="array" ref="M32">Common_InputFunctions.Utility_LookupValueInTable(F32,Table_FuelTypes_Units[Fuel type],Table_FuelTypes_Units[Unit])</f>
        <v>kL</v>
      </c>
      <c r="N32" s="193" cm="1">
        <f t="array" ref="N32">Fuel_Equations.VEERG_8_1_1_1__1_FuelCombustionTransport($L32,$G32,$H32)</f>
        <v>0</v>
      </c>
      <c r="O32" s="193" cm="1">
        <f t="array" ref="O32">Fuel_Equations.VEERG_8_1_1_1__1_FuelCombustionTransport($L32,$G32,$I32)</f>
        <v>0</v>
      </c>
      <c r="P32" s="193" cm="1">
        <f t="array" ref="P32">Fuel_Equations.VEERG_8_1_1_1__1_FuelCombustionTransport($L32,$G32,$J32)</f>
        <v>0</v>
      </c>
      <c r="Q32" s="190" cm="1">
        <f t="array" ref="Q32">Scope3_Equations.VEERG_15_11_1_1__2_UpstreamTransportFuelEmissions(L32,G32,IF(ISNUMBER(K32),K32,0))</f>
        <v>0</v>
      </c>
    </row>
    <row r="33" spans="1:17" ht="20.100000000000001" customHeight="1" x14ac:dyDescent="0.25">
      <c r="A33" s="5" t="str">
        <f>HYPERLINK("#'6.4.1.1-2 Residue burning'!A1", "6.4.1.1-2 Residue burning")</f>
        <v>6.4.1.1-2 Residue burning</v>
      </c>
      <c r="D33" s="194" t="str">
        <f>Table_FuelTypesPerUse[[#Headers],[Off-road Agriculture and forestry equipment]]</f>
        <v>Off-road Agriculture and forestry equipment</v>
      </c>
      <c r="E33" s="195" t="str">
        <f>'Constants - Fuel'!$E$11</f>
        <v>Diesel oil</v>
      </c>
      <c r="F33" s="195" t="str">
        <f>'Constants - Fuel'!H131</f>
        <v>Diesel</v>
      </c>
      <c r="G33" s="196" cm="1">
        <f t="array" ref="G33">IFERROR(_xlfn.XLOOKUP(1, (Table_Fuel_EFs_Transport[Fuel combusted]=$E33)*(Table_Fuel_EFs_Transport[Transport type]=$D$33), Table_Fuel_EFs_Transport[Energy Content Factor (GJ per unit of fuel)]), 0)</f>
        <v>38.6</v>
      </c>
      <c r="H33" s="196" cm="1">
        <f t="array" ref="H33">IFERROR(_xlfn.XLOOKUP(1, (Table_Fuel_EFs_Transport[Fuel combusted]=$E33)*(Table_Fuel_EFs_Transport[Transport type]=$D$33), Table_Fuel_EFs_Transport[Scope 1 Emission Factor (kg CO2 - e / GJ) CO2]), 0)</f>
        <v>69.900000000000006</v>
      </c>
      <c r="I33" s="196" cm="1">
        <f t="array" ref="I33">IFERROR(_xlfn.XLOOKUP(1, (Table_Fuel_EFs_Transport[Fuel combusted]=$E33)*(Table_Fuel_EFs_Transport[Transport type]=$D$33), Table_Fuel_EFs_Transport[Scope 1 Emission Factor (kg CO2 - e / GJ) CH4]), 0)</f>
        <v>0.3</v>
      </c>
      <c r="J33" s="196" cm="1">
        <f t="array" ref="J33">IFERROR(_xlfn.XLOOKUP(1, (Table_Fuel_EFs_Transport[Fuel combusted]=$E33)*(Table_Fuel_EFs_Transport[Transport type]=$D$33), Table_Fuel_EFs_Transport[Scope 1 Emission Factor (kg CO2 - e / GJ) N2O]), 0)</f>
        <v>0.5</v>
      </c>
      <c r="K33" s="197" cm="1">
        <f t="array" ref="K33">IFERROR(_xlfn.XLOOKUP(1, (Table_Fuel_EFs_Transport[Fuel combusted]=$E33)*(Table_Fuel_EFs_Transport[Transport type]=$D$25), Table_Fuel_EFs_Transport[Scope 3 Emission Factor (kg CO2 - e / GJ)]), 0)</f>
        <v>17.3</v>
      </c>
      <c r="L33" s="198" cm="1">
        <f t="array" ref="L33">Fuel_InputFunctions.Fuel_TotalConsumption(Table_Input_Fuel[Amount consumed], Table_Input_Fuel[Fuel use (select)], D33, Table_Input_Fuel[Fuel type (select)],F33)</f>
        <v>10</v>
      </c>
      <c r="M33" s="199" t="str" cm="1">
        <f t="array" ref="M33">Common_InputFunctions.Utility_LookupValueInTable(F33,Table_FuelTypes_Units[Fuel type],Table_FuelTypes_Units[Unit])</f>
        <v>kL</v>
      </c>
      <c r="N33" s="200" cm="1">
        <f t="array" ref="N33">Fuel_Equations.VEERG_8_1_1_1__1_FuelCombustionTransport($L33,$G33,$H33)</f>
        <v>26.981400000000001</v>
      </c>
      <c r="O33" s="200" cm="1">
        <f t="array" ref="O33">Fuel_Equations.VEERG_8_1_1_1__1_FuelCombustionTransport($L33,$G33,$I33)</f>
        <v>0.1158</v>
      </c>
      <c r="P33" s="200" cm="1">
        <f t="array" ref="P33">Fuel_Equations.VEERG_8_1_1_1__1_FuelCombustionTransport($L33,$G33,$J33)</f>
        <v>0.193</v>
      </c>
      <c r="Q33" s="201" cm="1">
        <f t="array" ref="Q33">Scope3_Equations.VEERG_15_11_1_1__2_UpstreamTransportFuelEmissions(L33,G33,K33)</f>
        <v>6.6778000000000004</v>
      </c>
    </row>
    <row r="34" spans="1:17" ht="20.100000000000001" customHeight="1" x14ac:dyDescent="0.25">
      <c r="A34" s="142" t="str">
        <f>HYPERLINK("#'8.1.1.1-2 Transport fuel'!A1", "8.1.1.1-2 Transport fuel")</f>
        <v>8.1.1.1-2 Transport fuel</v>
      </c>
      <c r="D34" s="194" t="str">
        <f>Table_FuelTypesPerUse[[#Headers],[Aviation]]</f>
        <v>Aviation</v>
      </c>
      <c r="E34" s="195" t="str">
        <f>'Constants - Fuel'!$E$28</f>
        <v>Gasoline for use as fuel in an aircraft</v>
      </c>
      <c r="F34" s="195" t="str">
        <f>'Constants - Fuel'!$F$131</f>
        <v>Avgas</v>
      </c>
      <c r="G34" s="202" cm="1">
        <f t="array" ref="G34">IFERROR(_xlfn.XLOOKUP(1, (Table_Fuel_EFs_Transport[Fuel combusted]=$E34)*(Table_Fuel_EFs_Transport[Transport type]=$D$34), Table_Fuel_EFs_Transport[Energy Content Factor (GJ per unit of fuel)]), 0)</f>
        <v>33.1</v>
      </c>
      <c r="H34" s="202" cm="1">
        <f t="array" ref="H34">IFERROR(_xlfn.XLOOKUP(1, (Table_Fuel_EFs_Transport[Fuel combusted]=$E34)*(Table_Fuel_EFs_Transport[Transport type]=$D$34), Table_Fuel_EFs_Transport[Scope 1 Emission Factor (kg CO2 - e / GJ) CO2]), 0)</f>
        <v>67</v>
      </c>
      <c r="I34" s="202" cm="1">
        <f t="array" ref="I34">IFERROR(_xlfn.XLOOKUP(1, (Table_Fuel_EFs_Transport[Fuel combusted]=$E34)*(Table_Fuel_EFs_Transport[Transport type]=$D$34), Table_Fuel_EFs_Transport[Scope 1 Emission Factor (kg CO2 - e / GJ) CH4]), 0)</f>
        <v>0.06</v>
      </c>
      <c r="J34" s="202" cm="1">
        <f t="array" ref="J34">IFERROR(_xlfn.XLOOKUP(1, (Table_Fuel_EFs_Transport[Fuel combusted]=$E34)*(Table_Fuel_EFs_Transport[Transport type]=$D$34), Table_Fuel_EFs_Transport[Scope 1 Emission Factor (kg CO2 - e / GJ) N2O]), 0)</f>
        <v>0.6</v>
      </c>
      <c r="K34" s="202" cm="1">
        <f t="array" ref="K34">IFERROR(_xlfn.XLOOKUP(1, (Table_Fuel_EFs_Transport[Fuel combusted]=$E34)*(Table_Fuel_EFs_Transport[Transport type]=$D$25), Table_Fuel_EFs_Transport[Scope 3 Emission Factor (kg CO2 - e / GJ)]), 0)</f>
        <v>0</v>
      </c>
      <c r="L34" s="199" cm="1">
        <f t="array" ref="L34">Fuel_InputFunctions.Fuel_TotalConsumption(Table_Input_Fuel[Amount consumed], Table_Input_Fuel[Fuel use (select)], D34, Table_Input_Fuel[Fuel type (select)],F34)</f>
        <v>0</v>
      </c>
      <c r="M34" s="199" t="str" cm="1">
        <f t="array" ref="M34">Common_InputFunctions.Utility_LookupValueInTable(F34,Table_FuelTypes_Units[Fuel type],Table_FuelTypes_Units[Unit])</f>
        <v>kL</v>
      </c>
      <c r="N34" s="200" cm="1">
        <f t="array" ref="N34">Fuel_Equations.VEERG_8_1_1_1__1_FuelCombustionTransport($L34,$G34,$H34)</f>
        <v>0</v>
      </c>
      <c r="O34" s="200" cm="1">
        <f t="array" ref="O34">Fuel_Equations.VEERG_8_1_1_1__1_FuelCombustionTransport($L34,$G34,$I34)</f>
        <v>0</v>
      </c>
      <c r="P34" s="200" cm="1">
        <f t="array" ref="P34">Fuel_Equations.VEERG_8_1_1_1__1_FuelCombustionTransport($L34,$G34,$J34)</f>
        <v>0</v>
      </c>
      <c r="Q34" s="200" cm="1">
        <f t="array" ref="Q34">Scope3_Equations.VEERG_15_11_1_1__2_UpstreamTransportFuelEmissions(L34,G34,K34)</f>
        <v>0</v>
      </c>
    </row>
    <row r="35" spans="1:17" ht="20.100000000000001" customHeight="1" x14ac:dyDescent="0.25">
      <c r="A35" s="5" t="str">
        <f>HYPERLINK("#'8.2.1.1-2 Stationary fuel'!A1", "8.2.1.1-2 Stationary fuel")</f>
        <v>8.2.1.1-2 Stationary fuel</v>
      </c>
      <c r="D35" s="191" t="str">
        <f>$D$34</f>
        <v>Aviation</v>
      </c>
      <c r="E35" s="189" t="str">
        <f>'Constants - Fuel'!$E$29</f>
        <v>Kerosene for use as fuel in an aircraft</v>
      </c>
      <c r="F35" s="189" t="str">
        <f>'Constants - Fuel'!$F$132</f>
        <v>Jet A1, Jet B</v>
      </c>
      <c r="G35" s="25" cm="1">
        <f t="array" ref="G35">IFERROR(_xlfn.XLOOKUP(1, (Table_Fuel_EFs_Transport[Fuel combusted]=$E35)*(Table_Fuel_EFs_Transport[Transport type]=$D$34), Table_Fuel_EFs_Transport[Energy Content Factor (GJ per unit of fuel)]), 0)</f>
        <v>36.799999999999997</v>
      </c>
      <c r="H35" s="25" cm="1">
        <f t="array" ref="H35">IFERROR(_xlfn.XLOOKUP(1, (Table_Fuel_EFs_Transport[Fuel combusted]=$E35)*(Table_Fuel_EFs_Transport[Transport type]=$D$34), Table_Fuel_EFs_Transport[Scope 1 Emission Factor (kg CO2 - e / GJ) CO2]), 0)</f>
        <v>69.599999999999994</v>
      </c>
      <c r="I35" s="25" cm="1">
        <f t="array" ref="I35">IFERROR(_xlfn.XLOOKUP(1, (Table_Fuel_EFs_Transport[Fuel combusted]=$E35)*(Table_Fuel_EFs_Transport[Transport type]=$D$34), Table_Fuel_EFs_Transport[Scope 1 Emission Factor (kg CO2 - e / GJ) CH4]), 0)</f>
        <v>0.01</v>
      </c>
      <c r="J35" s="25" cm="1">
        <f t="array" ref="J35">IFERROR(_xlfn.XLOOKUP(1, (Table_Fuel_EFs_Transport[Fuel combusted]=$E35)*(Table_Fuel_EFs_Transport[Transport type]=$D$34), Table_Fuel_EFs_Transport[Scope 1 Emission Factor (kg CO2 - e / GJ) N2O]), 0)</f>
        <v>0.6</v>
      </c>
      <c r="K35" s="25" cm="1">
        <f t="array" ref="K35">IFERROR(_xlfn.XLOOKUP(1, (Table_Fuel_EFs_Transport[Fuel combusted]=$E35)*(Table_Fuel_EFs_Transport[Transport type]=$D$25), Table_Fuel_EFs_Transport[Scope 3 Emission Factor (kg CO2 - e / GJ)]), 0)</f>
        <v>0</v>
      </c>
      <c r="L35" s="167" cm="1">
        <f t="array" ref="L35">Fuel_InputFunctions.Fuel_TotalConsumption(Table_Input_Fuel[Amount consumed], Table_Input_Fuel[Fuel use (select)], D35, Table_Input_Fuel[Fuel type (select)],F35)</f>
        <v>0</v>
      </c>
      <c r="M35" s="167" t="str" cm="1">
        <f t="array" ref="M35">Common_InputFunctions.Utility_LookupValueInTable(F35,Table_FuelTypes_Units[Fuel type],Table_FuelTypes_Units[Unit])</f>
        <v>kL</v>
      </c>
      <c r="N35" s="190" cm="1">
        <f t="array" ref="N35">Fuel_Equations.VEERG_8_1_1_1__1_FuelCombustionTransport($L35,$G35,$H35)</f>
        <v>0</v>
      </c>
      <c r="O35" s="190" cm="1">
        <f t="array" ref="O35">Fuel_Equations.VEERG_8_1_1_1__1_FuelCombustionTransport($L35,$G35,$I35)</f>
        <v>0</v>
      </c>
      <c r="P35" s="190" cm="1">
        <f t="array" ref="P35">Fuel_Equations.VEERG_8_1_1_1__1_FuelCombustionTransport($L35,$G35,$J35)</f>
        <v>0</v>
      </c>
      <c r="Q35" s="190" cm="1">
        <f t="array" ref="Q35">Scope3_Equations.VEERG_15_11_1_1__2_UpstreamTransportFuelEmissions(L35,G35,K35)</f>
        <v>0</v>
      </c>
    </row>
    <row r="36" spans="1:17" ht="20.100000000000001" customHeight="1" x14ac:dyDescent="0.25">
      <c r="A36" s="5" t="str">
        <f>HYPERLINK("#'14.1.1-2 Purchased electricity'!A1", "14.1.1-2 Purchased electricity")</f>
        <v>14.1.1-2 Purchased electricity</v>
      </c>
      <c r="D36" s="191" t="str">
        <f>$D$34</f>
        <v>Aviation</v>
      </c>
      <c r="E36" s="189" t="str">
        <f>'Constants - Fuel'!$E$30</f>
        <v>Renewable aviation kerosene</v>
      </c>
      <c r="F36" s="189" t="str">
        <f>'Constants - Fuel'!$F$133</f>
        <v>Renewable aviation kerosene</v>
      </c>
      <c r="G36" s="187" cm="1">
        <f t="array" ref="G36">IFERROR(_xlfn.XLOOKUP(1, (Table_Fuel_EFs_Transport[Fuel combusted]=$E36)*(Table_Fuel_EFs_Transport[Transport type]=$D$34), Table_Fuel_EFs_Transport[Energy Content Factor (GJ per unit of fuel)]), 0)</f>
        <v>36.799999999999997</v>
      </c>
      <c r="H36" s="187" cm="1">
        <f t="array" ref="H36">IFERROR(_xlfn.XLOOKUP(1, (Table_Fuel_EFs_Transport[Fuel combusted]=$E36)*(Table_Fuel_EFs_Transport[Transport type]=$D$34), Table_Fuel_EFs_Transport[Scope 1 Emission Factor (kg CO2 - e / GJ) CO2]), 0)</f>
        <v>0</v>
      </c>
      <c r="I36" s="187" cm="1">
        <f t="array" ref="I36">IFERROR(_xlfn.XLOOKUP(1, (Table_Fuel_EFs_Transport[Fuel combusted]=$E36)*(Table_Fuel_EFs_Transport[Transport type]=$D$34), Table_Fuel_EFs_Transport[Scope 1 Emission Factor (kg CO2 - e / GJ) CH4]), 0)</f>
        <v>0.01</v>
      </c>
      <c r="J36" s="187" cm="1">
        <f t="array" ref="J36">IFERROR(_xlfn.XLOOKUP(1, (Table_Fuel_EFs_Transport[Fuel combusted]=$E36)*(Table_Fuel_EFs_Transport[Transport type]=$D$34), Table_Fuel_EFs_Transport[Scope 1 Emission Factor (kg CO2 - e / GJ) N2O]), 0)</f>
        <v>0.6</v>
      </c>
      <c r="K36" s="187" cm="1">
        <f t="array" ref="K36">IFERROR(_xlfn.XLOOKUP(1, (Table_Fuel_EFs_Transport[Fuel combusted]=$E36)*(Table_Fuel_EFs_Transport[Transport type]=$D$25), Table_Fuel_EFs_Transport[Scope 3 Emission Factor (kg CO2 - e / GJ)]), 0)</f>
        <v>0</v>
      </c>
      <c r="L36" s="192" cm="1">
        <f t="array" ref="L36">Fuel_InputFunctions.Fuel_TotalConsumption(Table_Input_Fuel[Amount consumed], Table_Input_Fuel[Fuel use (select)], D36, Table_Input_Fuel[Fuel type (select)],F36)</f>
        <v>0</v>
      </c>
      <c r="M36" s="167" t="str" cm="1">
        <f t="array" ref="M36">Common_InputFunctions.Utility_LookupValueInTable(F36,Table_FuelTypes_Units[Fuel type],Table_FuelTypes_Units[Unit])</f>
        <v>kL</v>
      </c>
      <c r="N36" s="190" cm="1">
        <f t="array" ref="N36">Fuel_Equations.VEERG_8_1_1_1__1_FuelCombustionTransport($L36,$G36,$H36)</f>
        <v>0</v>
      </c>
      <c r="O36" s="190" cm="1">
        <f t="array" ref="O36">Fuel_Equations.VEERG_8_1_1_1__1_FuelCombustionTransport($L36,$G36,$I36)</f>
        <v>0</v>
      </c>
      <c r="P36" s="190" cm="1">
        <f t="array" ref="P36">Fuel_Equations.VEERG_8_1_1_1__1_FuelCombustionTransport($L36,$G36,$J36)</f>
        <v>0</v>
      </c>
      <c r="Q36" s="193" cm="1">
        <f t="array" ref="Q36">Scope3_Equations.VEERG_15_11_1_1__2_UpstreamTransportFuelEmissions(L36,G36,K36)</f>
        <v>0</v>
      </c>
    </row>
    <row r="37" spans="1:17" ht="20.100000000000001" customHeight="1" x14ac:dyDescent="0.25">
      <c r="A37" s="5" t="str">
        <f>HYPERLINK("#'15 Scope 3'!A1", "15 Scope 3")</f>
        <v>15 Scope 3</v>
      </c>
      <c r="D37" s="194" t="str">
        <f>Table_FuelTypesPerUse[[#Headers],[Vessels]]</f>
        <v>Vessels</v>
      </c>
      <c r="E37" s="195" t="str">
        <f>'Constants - Fuel'!$E$10</f>
        <v>Gasoline</v>
      </c>
      <c r="F37" s="195" t="str">
        <f>'Constants - Fuel'!$I$131</f>
        <v>Petrol</v>
      </c>
      <c r="G37" s="202" cm="1">
        <f t="array" ref="G37">IFERROR(_xlfn.XLOOKUP(1, (Table_Fuel_EFs_Transport[Fuel combusted]=$E37)*(Table_Fuel_EFs_Transport[Transport type]=$D$37), Table_Fuel_EFs_Transport[Energy Content Factor (GJ per unit of fuel)]), 0)</f>
        <v>34.200000000000003</v>
      </c>
      <c r="H37" s="202" cm="1">
        <f t="array" ref="H37">IFERROR(_xlfn.XLOOKUP(1, (Table_Fuel_EFs_Transport[Fuel combusted]=$E37)*(Table_Fuel_EFs_Transport[Transport type]=$D$37), Table_Fuel_EFs_Transport[Scope 1 Emission Factor (kg CO2 - e / GJ) CO2]), 0)</f>
        <v>67.400000000000006</v>
      </c>
      <c r="I37" s="202" cm="1">
        <f t="array" ref="I37">IFERROR(_xlfn.XLOOKUP(1, (Table_Fuel_EFs_Transport[Fuel combusted]=$E37)*(Table_Fuel_EFs_Transport[Transport type]=$D$37), Table_Fuel_EFs_Transport[Scope 1 Emission Factor (kg CO2 - e / GJ) CH4]), 0)</f>
        <v>10.1</v>
      </c>
      <c r="J37" s="202" cm="1">
        <f t="array" ref="J37">IFERROR(_xlfn.XLOOKUP(1, (Table_Fuel_EFs_Transport[Fuel combusted]=$E37)*(Table_Fuel_EFs_Transport[Transport type]=$D$37), Table_Fuel_EFs_Transport[Scope 1 Emission Factor (kg CO2 - e / GJ) N2O]), 0)</f>
        <v>0.3</v>
      </c>
      <c r="K37" s="202" cm="1">
        <f t="array" ref="K37">IFERROR(_xlfn.XLOOKUP(1, (Table_Fuel_EFs_Transport[Fuel combusted]=$E37)*(Table_Fuel_EFs_Transport[Transport type]=$D$25), Table_Fuel_EFs_Transport[Scope 3 Emission Factor (kg CO2 - e / GJ)]), 0)</f>
        <v>17.2</v>
      </c>
      <c r="L37" s="199" cm="1">
        <f t="array" ref="L37">Fuel_InputFunctions.Fuel_TotalConsumption(Table_Input_Fuel[Amount consumed], Table_Input_Fuel[Fuel use (select)], D37, Table_Input_Fuel[Fuel type (select)],F37)</f>
        <v>0</v>
      </c>
      <c r="M37" s="203" t="str" cm="1">
        <f t="array" ref="M37">Common_InputFunctions.Utility_LookupValueInTable(F37,Table_FuelTypes_Units[Fuel type],Table_FuelTypes_Units[Unit])</f>
        <v>kL</v>
      </c>
      <c r="N37" s="200" cm="1">
        <f t="array" ref="N37">Fuel_Equations.VEERG_8_1_1_1__1_FuelCombustionTransport($L37,$G37,$H37)</f>
        <v>0</v>
      </c>
      <c r="O37" s="200" cm="1">
        <f t="array" ref="O37">Fuel_Equations.VEERG_8_1_1_1__1_FuelCombustionTransport($L37,$G37,$I37)</f>
        <v>0</v>
      </c>
      <c r="P37" s="200" cm="1">
        <f t="array" ref="P37">Fuel_Equations.VEERG_8_1_1_1__1_FuelCombustionTransport($L37,$G37,$J37)</f>
        <v>0</v>
      </c>
      <c r="Q37" s="200" cm="1">
        <f t="array" ref="Q37">Scope3_Equations.VEERG_15_11_1_1__2_UpstreamTransportFuelEmissions(L37,G37,K37)</f>
        <v>0</v>
      </c>
    </row>
    <row r="38" spans="1:17" ht="20.100000000000001" customHeight="1" x14ac:dyDescent="0.25">
      <c r="A38" s="5" t="str">
        <f>HYPERLINK("#'Calcs - Manure sent off-site'!A1", "Calcs - Manure sent off-site")</f>
        <v>Calcs - Manure sent off-site</v>
      </c>
      <c r="D38" s="191" t="str">
        <f>$D$37</f>
        <v>Vessels</v>
      </c>
      <c r="E38" s="189" t="str">
        <f>'Constants - Fuel'!$E$11</f>
        <v>Diesel oil</v>
      </c>
      <c r="F38" s="189" t="str">
        <f>'Constants - Fuel'!$I$132</f>
        <v>Diesel</v>
      </c>
      <c r="G38" s="25" cm="1">
        <f t="array" ref="G38">IFERROR(_xlfn.XLOOKUP(1, (Table_Fuel_EFs_Transport[Fuel combusted]=$E38)*(Table_Fuel_EFs_Transport[Transport type]=$D$37), Table_Fuel_EFs_Transport[Energy Content Factor (GJ per unit of fuel)]), 0)</f>
        <v>38.6</v>
      </c>
      <c r="H38" s="25" cm="1">
        <f t="array" ref="H38">IFERROR(_xlfn.XLOOKUP(1, (Table_Fuel_EFs_Transport[Fuel combusted]=$E38)*(Table_Fuel_EFs_Transport[Transport type]=$D$37), Table_Fuel_EFs_Transport[Scope 1 Emission Factor (kg CO2 - e / GJ) CO2]), 0)</f>
        <v>69.900000000000006</v>
      </c>
      <c r="I38" s="25" cm="1">
        <f t="array" ref="I38">IFERROR(_xlfn.XLOOKUP(1, (Table_Fuel_EFs_Transport[Fuel combusted]=$E38)*(Table_Fuel_EFs_Transport[Transport type]=$D$37), Table_Fuel_EFs_Transport[Scope 1 Emission Factor (kg CO2 - e / GJ) CH4]), 0)</f>
        <v>0.2</v>
      </c>
      <c r="J38" s="25" cm="1">
        <f t="array" ref="J38">IFERROR(_xlfn.XLOOKUP(1, (Table_Fuel_EFs_Transport[Fuel combusted]=$E38)*(Table_Fuel_EFs_Transport[Transport type]=$D$37), Table_Fuel_EFs_Transport[Scope 1 Emission Factor (kg CO2 - e / GJ) N2O]), 0)</f>
        <v>0.5</v>
      </c>
      <c r="K38" s="25" cm="1">
        <f t="array" ref="K38">IFERROR(_xlfn.XLOOKUP(1, (Table_Fuel_EFs_Transport[Fuel combusted]=$E38)*(Table_Fuel_EFs_Transport[Transport type]=$D$25), Table_Fuel_EFs_Transport[Scope 3 Emission Factor (kg CO2 - e / GJ)]), 0)</f>
        <v>17.3</v>
      </c>
      <c r="L38" s="167" cm="1">
        <f t="array" ref="L38">Fuel_InputFunctions.Fuel_TotalConsumption(Table_Input_Fuel[Amount consumed], Table_Input_Fuel[Fuel use (select)], D38, Table_Input_Fuel[Fuel type (select)],F38)</f>
        <v>0</v>
      </c>
      <c r="M38" s="167" t="str" cm="1">
        <f t="array" ref="M38">Common_InputFunctions.Utility_LookupValueInTable(F38,Table_FuelTypes_Units[Fuel type],Table_FuelTypes_Units[Unit])</f>
        <v>kL</v>
      </c>
      <c r="N38" s="190" cm="1">
        <f t="array" ref="N38">Fuel_Equations.VEERG_8_1_1_1__1_FuelCombustionTransport($L38,$G38,$H38)</f>
        <v>0</v>
      </c>
      <c r="O38" s="190" cm="1">
        <f t="array" ref="O38">Fuel_Equations.VEERG_8_1_1_1__1_FuelCombustionTransport($L38,$G38,$I38)</f>
        <v>0</v>
      </c>
      <c r="P38" s="190" cm="1">
        <f t="array" ref="P38">Fuel_Equations.VEERG_8_1_1_1__1_FuelCombustionTransport($L38,$G38,$J38)</f>
        <v>0</v>
      </c>
      <c r="Q38" s="190" cm="1">
        <f t="array" ref="Q38">Scope3_Equations.VEERG_15_11_1_1__2_UpstreamTransportFuelEmissions(L38,G38,K38)</f>
        <v>0</v>
      </c>
    </row>
    <row r="39" spans="1:17" ht="20.100000000000001" customHeight="1" x14ac:dyDescent="0.25">
      <c r="A39" s="5" t="str">
        <f>HYPERLINK("#'10.1.1-2 Solid waste treatment'!A1", "10.1.1-2 Solid waste treatment")</f>
        <v>10.1.1-2 Solid waste treatment</v>
      </c>
      <c r="D39" s="191" t="str">
        <f>$D$37</f>
        <v>Vessels</v>
      </c>
      <c r="E39" s="189" t="str">
        <f>'Constants - Fuel'!E33</f>
        <v>Fuel Oil</v>
      </c>
      <c r="F39" s="189" t="str">
        <f>'Constants - Fuel'!$I$133</f>
        <v>Fuel oil</v>
      </c>
      <c r="G39" s="25" cm="1">
        <f t="array" ref="G39">IFERROR(_xlfn.XLOOKUP(1, (Table_Fuel_EFs_Transport[Fuel combusted]=$E39)*(Table_Fuel_EFs_Transport[Transport type]=$D$37), Table_Fuel_EFs_Transport[Energy Content Factor (GJ per unit of fuel)]), 0)</f>
        <v>39.700000000000003</v>
      </c>
      <c r="H39" s="25" cm="1">
        <f t="array" ref="H39">IFERROR(_xlfn.XLOOKUP(1, (Table_Fuel_EFs_Transport[Fuel combusted]=$E39)*(Table_Fuel_EFs_Transport[Transport type]=$D$37), Table_Fuel_EFs_Transport[Scope 1 Emission Factor (kg CO2 - e / GJ) CO2]), 0)</f>
        <v>73.599999999999994</v>
      </c>
      <c r="I39" s="25" cm="1">
        <f t="array" ref="I39">IFERROR(_xlfn.XLOOKUP(1, (Table_Fuel_EFs_Transport[Fuel combusted]=$E39)*(Table_Fuel_EFs_Transport[Transport type]=$D$37), Table_Fuel_EFs_Transport[Scope 1 Emission Factor (kg CO2 - e / GJ) CH4]), 0)</f>
        <v>0.2</v>
      </c>
      <c r="J39" s="25" cm="1">
        <f t="array" ref="J39">IFERROR(_xlfn.XLOOKUP(1, (Table_Fuel_EFs_Transport[Fuel combusted]=$E39)*(Table_Fuel_EFs_Transport[Transport type]=$D$37), Table_Fuel_EFs_Transport[Scope 1 Emission Factor (kg CO2 - e / GJ) N2O]), 0)</f>
        <v>0.5</v>
      </c>
      <c r="K39" s="25" cm="1">
        <f t="array" ref="K39">IFERROR(_xlfn.XLOOKUP(1, (Table_Fuel_EFs_Transport[Fuel combusted]=$E39)*(Table_Fuel_EFs_Transport[Transport type]=$D$25), Table_Fuel_EFs_Transport[Scope 3 Emission Factor (kg CO2 - e / GJ)]), 0)</f>
        <v>18</v>
      </c>
      <c r="L39" s="167" cm="1">
        <f t="array" ref="L39">Fuel_InputFunctions.Fuel_TotalConsumption(Table_Input_Fuel[Amount consumed], Table_Input_Fuel[Fuel use (select)], D39, Table_Input_Fuel[Fuel type (select)],F39)</f>
        <v>10</v>
      </c>
      <c r="M39" s="167" t="str" cm="1">
        <f t="array" ref="M39">Common_InputFunctions.Utility_LookupValueInTable(F39,Table_FuelTypes_Units[Fuel type],Table_FuelTypes_Units[Unit])</f>
        <v>kL</v>
      </c>
      <c r="N39" s="190" cm="1">
        <f t="array" ref="N39">Fuel_Equations.VEERG_8_1_1_1__1_FuelCombustionTransport($L39,$G39,$H39)</f>
        <v>29.219199999999997</v>
      </c>
      <c r="O39" s="190" cm="1">
        <f t="array" ref="O39">Fuel_Equations.VEERG_8_1_1_1__1_FuelCombustionTransport($L39,$G39,$I39)</f>
        <v>7.9400000000000012E-2</v>
      </c>
      <c r="P39" s="190" cm="1">
        <f t="array" ref="P39">Fuel_Equations.VEERG_8_1_1_1__1_FuelCombustionTransport($L39,$G39,$J39)</f>
        <v>0.19850000000000001</v>
      </c>
      <c r="Q39" s="190" cm="1">
        <f t="array" ref="Q39">Scope3_Equations.VEERG_15_11_1_1__2_UpstreamTransportFuelEmissions(L39,G39,K39)</f>
        <v>7.1459999999999999</v>
      </c>
    </row>
    <row r="40" spans="1:17" ht="20.100000000000001" customHeight="1" x14ac:dyDescent="0.25">
      <c r="H40" s="159"/>
      <c r="I40" s="159"/>
      <c r="J40" s="159"/>
      <c r="L40" s="159"/>
      <c r="M40" s="159"/>
      <c r="N40" s="159"/>
      <c r="O40" s="159"/>
      <c r="P40" s="159"/>
      <c r="Q40" s="159"/>
    </row>
    <row r="41" spans="1:17" ht="20.100000000000001" customHeight="1" x14ac:dyDescent="0.25">
      <c r="H41" s="159"/>
      <c r="I41" s="159"/>
      <c r="J41" s="159"/>
      <c r="L41" s="159"/>
      <c r="M41" s="159"/>
      <c r="N41" s="159"/>
      <c r="O41" s="159"/>
      <c r="P41" s="159"/>
      <c r="Q41" s="159"/>
    </row>
    <row r="42" spans="1:17" ht="20.100000000000001" customHeight="1" x14ac:dyDescent="0.25">
      <c r="A42" s="108" t="s">
        <v>1</v>
      </c>
      <c r="D42" s="204" t="str">
        <f>"Total scope 1 - " &amp; D25</f>
        <v>Total scope 1 - Cars and light commercial vehicles</v>
      </c>
      <c r="E42" s="205"/>
      <c r="F42" s="206"/>
    </row>
    <row r="43" spans="1:17" ht="20.100000000000001" customHeight="1" x14ac:dyDescent="0.25">
      <c r="A43" s="5" t="str">
        <f>HYPERLINK("#'Constants - Ag Residue'!A1", "Constants - Ag residue")</f>
        <v>Constants - Ag residue</v>
      </c>
      <c r="D43" s="35" t="s">
        <v>482</v>
      </c>
      <c r="E43" s="207">
        <f>SUM(N25:N32)+N("Partial sum")</f>
        <v>26.981400000000001</v>
      </c>
      <c r="F43" s="26" t="str">
        <f>$E$12</f>
        <v>t CO2-e</v>
      </c>
    </row>
    <row r="44" spans="1:17" ht="20.100000000000001" customHeight="1" x14ac:dyDescent="0.25">
      <c r="A44" s="5" t="str">
        <f>HYPERLINK("#'Constants - Common Livestock'!A1", "Constants - Common Livestock")</f>
        <v>Constants - Common Livestock</v>
      </c>
      <c r="D44" s="35" t="s">
        <v>483</v>
      </c>
      <c r="E44" s="207">
        <f>SUM(O25:O32)+N("Partial sum")</f>
        <v>3.8600000000000001E-3</v>
      </c>
      <c r="F44" s="26" t="str">
        <f t="shared" ref="F44:F46" si="1">$E$12</f>
        <v>t CO2-e</v>
      </c>
    </row>
    <row r="45" spans="1:17" ht="20.100000000000001" customHeight="1" x14ac:dyDescent="0.25">
      <c r="A45" s="5" t="str">
        <f>HYPERLINK("#'Constants - Electricity'!A1", "Constants - Electricity")</f>
        <v>Constants - Electricity</v>
      </c>
      <c r="D45" s="35" t="s">
        <v>484</v>
      </c>
      <c r="E45" s="207">
        <f>SUM(P25:P32)+N("Partial sum")</f>
        <v>0.193</v>
      </c>
      <c r="F45" s="26" t="str">
        <f t="shared" si="1"/>
        <v>t CO2-e</v>
      </c>
    </row>
    <row r="46" spans="1:17" ht="20.100000000000001" customHeight="1" x14ac:dyDescent="0.25">
      <c r="A46" s="5" t="str">
        <f>HYPERLINK("#'Constants - Fertiliser'!A1", "Constants - Fertiliser")</f>
        <v>Constants - Fertiliser</v>
      </c>
      <c r="D46" s="35" t="s">
        <v>485</v>
      </c>
      <c r="E46" s="207">
        <f>SUM(Q25:Q32)+N("Partial sum")</f>
        <v>6.6778000000000004</v>
      </c>
      <c r="F46" s="26" t="str">
        <f t="shared" si="1"/>
        <v>t CO2-e</v>
      </c>
    </row>
    <row r="47" spans="1:17" ht="20.100000000000001" customHeight="1" x14ac:dyDescent="0.25">
      <c r="A47" s="5" t="str">
        <f>HYPERLINK("#'Constants - Fuel'!A1", "Constants - Fuel")</f>
        <v>Constants - Fuel</v>
      </c>
      <c r="D47" s="159"/>
      <c r="E47" s="159"/>
      <c r="F47" s="159"/>
    </row>
    <row r="48" spans="1:17" ht="20.100000000000001" customHeight="1" x14ac:dyDescent="0.25">
      <c r="A48" s="5" t="str">
        <f>HYPERLINK("#'Constants - Scope 3'!A1", "Constants - Scope 3")</f>
        <v>Constants - Scope 3</v>
      </c>
      <c r="D48" s="204" t="str">
        <f>"Total scope 1 - " &amp; D33</f>
        <v>Total scope 1 - Off-road Agriculture and forestry equipment</v>
      </c>
      <c r="E48" s="208"/>
      <c r="F48" s="206"/>
      <c r="H48" s="159"/>
      <c r="I48" s="159"/>
      <c r="J48" s="159"/>
      <c r="L48" s="159"/>
      <c r="M48" s="159"/>
      <c r="N48" s="159"/>
      <c r="O48" s="159"/>
      <c r="P48" s="159"/>
      <c r="Q48" s="159"/>
    </row>
    <row r="49" spans="1:17" ht="20.100000000000001" customHeight="1" x14ac:dyDescent="0.25">
      <c r="A49" s="5" t="str">
        <f>HYPERLINK("#'Constants - Common'!A1", "Constants - Common")</f>
        <v>Constants - Common</v>
      </c>
      <c r="D49" s="35" t="s">
        <v>482</v>
      </c>
      <c r="E49" s="207">
        <f>SUM(N33:N33)+N("Partial sum")</f>
        <v>26.981400000000001</v>
      </c>
      <c r="F49" s="26" t="str">
        <f t="shared" ref="F49:F52" si="2">$E$12</f>
        <v>t CO2-e</v>
      </c>
      <c r="H49" s="159"/>
      <c r="I49" s="159"/>
      <c r="J49" s="159"/>
      <c r="L49" s="159"/>
      <c r="M49" s="159"/>
      <c r="N49" s="159"/>
      <c r="O49" s="159"/>
      <c r="P49" s="159"/>
      <c r="Q49" s="159"/>
    </row>
    <row r="50" spans="1:17" ht="20.100000000000001" customHeight="1" x14ac:dyDescent="0.25">
      <c r="A50" s="5" t="str">
        <f>HYPERLINK("#'Constants - Solid Waste'!A1", "Constants - Solid Waste")</f>
        <v>Constants - Solid Waste</v>
      </c>
      <c r="D50" s="35" t="s">
        <v>483</v>
      </c>
      <c r="E50" s="207">
        <f>SUM(O33:O33)+N("Partial sum")</f>
        <v>0.1158</v>
      </c>
      <c r="F50" s="26" t="str">
        <f t="shared" si="2"/>
        <v>t CO2-e</v>
      </c>
      <c r="H50" s="159"/>
      <c r="I50" s="159"/>
      <c r="J50" s="159"/>
      <c r="L50" s="159"/>
      <c r="M50" s="159"/>
      <c r="N50" s="159"/>
      <c r="O50" s="159"/>
      <c r="P50" s="159"/>
      <c r="Q50" s="159"/>
    </row>
    <row r="51" spans="1:17" ht="20.100000000000001" customHeight="1" x14ac:dyDescent="0.25">
      <c r="D51" s="35" t="s">
        <v>484</v>
      </c>
      <c r="E51" s="207">
        <f>SUM(P33:P33)+N("Partial sum")</f>
        <v>0.193</v>
      </c>
      <c r="F51" s="26" t="str">
        <f t="shared" si="2"/>
        <v>t CO2-e</v>
      </c>
      <c r="H51" s="159"/>
      <c r="I51" s="159"/>
      <c r="J51" s="159"/>
      <c r="L51" s="159"/>
      <c r="M51" s="159"/>
      <c r="N51" s="159"/>
      <c r="O51" s="159"/>
      <c r="P51" s="159"/>
      <c r="Q51" s="159"/>
    </row>
    <row r="52" spans="1:17" ht="20.100000000000001" customHeight="1" x14ac:dyDescent="0.25">
      <c r="D52" s="35" t="s">
        <v>485</v>
      </c>
      <c r="E52" s="207">
        <f>SUM(Q33)+N("Partial sum")</f>
        <v>6.6778000000000004</v>
      </c>
      <c r="F52" s="26" t="str">
        <f t="shared" si="2"/>
        <v>t CO2-e</v>
      </c>
      <c r="H52" s="159"/>
      <c r="I52" s="159"/>
      <c r="J52" s="159"/>
      <c r="L52" s="159"/>
      <c r="M52" s="159"/>
      <c r="N52" s="159"/>
      <c r="O52" s="159"/>
      <c r="P52" s="159"/>
      <c r="Q52" s="159"/>
    </row>
    <row r="53" spans="1:17" ht="20.100000000000001" customHeight="1" x14ac:dyDescent="0.25">
      <c r="D53" s="159"/>
      <c r="E53" s="209"/>
      <c r="F53" s="159"/>
      <c r="G53" s="159"/>
      <c r="H53" s="159"/>
      <c r="I53" s="159"/>
      <c r="J53" s="159"/>
      <c r="L53" s="159"/>
      <c r="M53" s="159"/>
      <c r="N53" s="159"/>
      <c r="O53" s="159"/>
      <c r="P53" s="159"/>
      <c r="Q53" s="159"/>
    </row>
    <row r="54" spans="1:17" ht="20.100000000000001" customHeight="1" x14ac:dyDescent="0.25">
      <c r="D54" s="204" t="str">
        <f>"Total scope 1 - " &amp; D34</f>
        <v>Total scope 1 - Aviation</v>
      </c>
      <c r="E54" s="208"/>
      <c r="F54" s="206"/>
      <c r="G54" s="159"/>
      <c r="H54" s="159"/>
      <c r="I54" s="159"/>
      <c r="J54" s="159"/>
      <c r="L54" s="159"/>
      <c r="M54" s="159"/>
      <c r="N54" s="159"/>
      <c r="O54" s="159"/>
      <c r="P54" s="159"/>
      <c r="Q54" s="159"/>
    </row>
    <row r="55" spans="1:17" ht="20.100000000000001" customHeight="1" x14ac:dyDescent="0.25">
      <c r="D55" s="35" t="s">
        <v>482</v>
      </c>
      <c r="E55" s="207">
        <f>SUM(N34:N36)+N("Partial sum")</f>
        <v>0</v>
      </c>
      <c r="F55" s="26" t="str">
        <f t="shared" ref="F55:F58" si="3">$E$12</f>
        <v>t CO2-e</v>
      </c>
      <c r="G55" s="159"/>
      <c r="H55" s="159"/>
      <c r="I55" s="159"/>
      <c r="J55" s="159"/>
      <c r="L55" s="159"/>
      <c r="M55" s="159"/>
      <c r="N55" s="159"/>
      <c r="O55" s="159"/>
      <c r="P55" s="159"/>
      <c r="Q55" s="159"/>
    </row>
    <row r="56" spans="1:17" ht="20.100000000000001" customHeight="1" x14ac:dyDescent="0.25">
      <c r="D56" s="35" t="s">
        <v>483</v>
      </c>
      <c r="E56" s="207">
        <f>SUM(O34:O36)+N("Partial sum")</f>
        <v>0</v>
      </c>
      <c r="F56" s="26" t="str">
        <f t="shared" si="3"/>
        <v>t CO2-e</v>
      </c>
      <c r="G56" s="159"/>
      <c r="H56" s="159"/>
      <c r="I56" s="159"/>
      <c r="J56" s="159"/>
      <c r="L56" s="159"/>
      <c r="M56" s="159"/>
      <c r="N56" s="159"/>
      <c r="O56" s="159"/>
      <c r="P56" s="159"/>
      <c r="Q56" s="159"/>
    </row>
    <row r="57" spans="1:17" ht="20.100000000000001" customHeight="1" x14ac:dyDescent="0.25">
      <c r="D57" s="35" t="s">
        <v>484</v>
      </c>
      <c r="E57" s="207">
        <f>SUM(P34:P36)+N("Partial sum")</f>
        <v>0</v>
      </c>
      <c r="F57" s="26" t="str">
        <f t="shared" si="3"/>
        <v>t CO2-e</v>
      </c>
      <c r="G57" s="159"/>
      <c r="H57" s="159"/>
      <c r="I57" s="159"/>
      <c r="J57" s="159"/>
      <c r="L57" s="159"/>
      <c r="M57" s="159"/>
      <c r="N57" s="159"/>
      <c r="O57" s="159"/>
      <c r="P57" s="159"/>
      <c r="Q57" s="159"/>
    </row>
    <row r="58" spans="1:17" ht="20.100000000000001" customHeight="1" x14ac:dyDescent="0.25">
      <c r="D58" s="35" t="s">
        <v>485</v>
      </c>
      <c r="E58" s="207">
        <f>SUM(Q34:Q36)+N("Partial sum")</f>
        <v>0</v>
      </c>
      <c r="F58" s="26" t="str">
        <f t="shared" si="3"/>
        <v>t CO2-e</v>
      </c>
      <c r="G58" s="159"/>
      <c r="H58" s="159"/>
      <c r="I58" s="159"/>
      <c r="J58" s="159"/>
      <c r="L58" s="159"/>
      <c r="M58" s="159"/>
      <c r="N58" s="159"/>
      <c r="O58" s="159"/>
      <c r="P58" s="159"/>
      <c r="Q58" s="159"/>
    </row>
    <row r="59" spans="1:17" ht="20.100000000000001" customHeight="1" x14ac:dyDescent="0.25">
      <c r="D59" s="159"/>
      <c r="E59" s="209"/>
      <c r="F59" s="159"/>
      <c r="G59" s="159"/>
      <c r="H59" s="159"/>
      <c r="I59" s="159"/>
      <c r="J59" s="159"/>
      <c r="L59" s="159"/>
      <c r="M59" s="159"/>
      <c r="N59" s="159"/>
      <c r="O59" s="159"/>
      <c r="P59" s="159"/>
      <c r="Q59" s="159"/>
    </row>
    <row r="60" spans="1:17" ht="20.100000000000001" customHeight="1" x14ac:dyDescent="0.25">
      <c r="D60" s="204" t="str">
        <f>"Total scope 1 - " &amp; D37</f>
        <v>Total scope 1 - Vessels</v>
      </c>
      <c r="E60" s="208"/>
      <c r="F60" s="206"/>
      <c r="G60" s="159"/>
      <c r="H60" s="159"/>
      <c r="I60" s="159"/>
      <c r="J60" s="159"/>
      <c r="L60" s="159"/>
      <c r="M60" s="159"/>
      <c r="N60" s="159"/>
      <c r="O60" s="159"/>
      <c r="P60" s="159"/>
      <c r="Q60" s="159"/>
    </row>
    <row r="61" spans="1:17" ht="20.100000000000001" customHeight="1" x14ac:dyDescent="0.25">
      <c r="D61" s="35" t="s">
        <v>482</v>
      </c>
      <c r="E61" s="207">
        <f>SUM(N37:N39)+N("Partial sum")</f>
        <v>29.219199999999997</v>
      </c>
      <c r="F61" s="26" t="str">
        <f t="shared" ref="F61:F64" si="4">$E$12</f>
        <v>t CO2-e</v>
      </c>
      <c r="G61" s="159"/>
      <c r="H61" s="159"/>
      <c r="I61" s="159"/>
      <c r="J61" s="159"/>
      <c r="L61" s="159"/>
      <c r="M61" s="159"/>
      <c r="N61" s="159"/>
      <c r="O61" s="159"/>
      <c r="P61" s="159"/>
      <c r="Q61" s="159"/>
    </row>
    <row r="62" spans="1:17" ht="20.100000000000001" customHeight="1" x14ac:dyDescent="0.25">
      <c r="D62" s="35" t="s">
        <v>483</v>
      </c>
      <c r="E62" s="207">
        <f>SUM(O37:O39)+N("Partial sum")</f>
        <v>7.9400000000000012E-2</v>
      </c>
      <c r="F62" s="26" t="str">
        <f t="shared" si="4"/>
        <v>t CO2-e</v>
      </c>
      <c r="G62" s="159"/>
      <c r="H62" s="159"/>
      <c r="I62" s="159"/>
      <c r="J62" s="159"/>
      <c r="L62" s="159"/>
      <c r="M62" s="159"/>
      <c r="N62" s="159"/>
      <c r="O62" s="159"/>
      <c r="P62" s="159"/>
      <c r="Q62" s="159"/>
    </row>
    <row r="63" spans="1:17" ht="20.100000000000001" customHeight="1" x14ac:dyDescent="0.25">
      <c r="D63" s="35" t="s">
        <v>484</v>
      </c>
      <c r="E63" s="207">
        <f>SUM(P37:P39)+N("Partial sum")</f>
        <v>0.19850000000000001</v>
      </c>
      <c r="F63" s="26" t="str">
        <f t="shared" si="4"/>
        <v>t CO2-e</v>
      </c>
      <c r="G63" s="159"/>
      <c r="H63" s="159"/>
      <c r="I63" s="159"/>
      <c r="J63" s="159"/>
      <c r="L63" s="159"/>
      <c r="M63" s="159"/>
      <c r="N63" s="159"/>
      <c r="O63" s="159"/>
      <c r="P63" s="159"/>
      <c r="Q63" s="159"/>
    </row>
    <row r="64" spans="1:17" ht="20.100000000000001" customHeight="1" x14ac:dyDescent="0.25">
      <c r="D64" s="35" t="s">
        <v>485</v>
      </c>
      <c r="E64" s="207">
        <f>SUM(Q37:Q39)+N("Partial sum")</f>
        <v>7.1459999999999999</v>
      </c>
      <c r="F64" s="26" t="str">
        <f t="shared" si="4"/>
        <v>t CO2-e</v>
      </c>
      <c r="G64" s="159"/>
      <c r="H64" s="159"/>
      <c r="I64" s="159"/>
      <c r="J64" s="159"/>
      <c r="L64" s="159"/>
      <c r="M64" s="159"/>
      <c r="N64" s="159"/>
      <c r="O64" s="159"/>
      <c r="P64" s="159"/>
      <c r="Q64" s="159"/>
    </row>
    <row r="65" spans="4:17" ht="20.100000000000001" customHeight="1" x14ac:dyDescent="0.25">
      <c r="G65" s="159"/>
      <c r="H65" s="159"/>
      <c r="I65" s="159"/>
      <c r="J65" s="159"/>
      <c r="L65" s="159"/>
      <c r="M65" s="159"/>
      <c r="N65" s="159"/>
      <c r="O65" s="159"/>
      <c r="P65" s="159"/>
      <c r="Q65" s="159"/>
    </row>
    <row r="66" spans="4:17" ht="20.100000000000001" customHeight="1" x14ac:dyDescent="0.25">
      <c r="D66" s="204" t="s">
        <v>486</v>
      </c>
      <c r="E66" s="210"/>
      <c r="F66" s="206"/>
      <c r="G66" s="159"/>
      <c r="H66" s="159"/>
      <c r="I66" s="159"/>
      <c r="J66" s="159"/>
      <c r="L66" s="159"/>
      <c r="M66" s="159"/>
      <c r="N66" s="159"/>
      <c r="O66" s="159"/>
      <c r="P66" s="159"/>
      <c r="Q66" s="159"/>
    </row>
    <row r="67" spans="4:17" ht="20.100000000000001" customHeight="1" x14ac:dyDescent="0.25">
      <c r="D67" s="35" t="s">
        <v>482</v>
      </c>
      <c r="E67" s="207">
        <f>E43+E49+E55+E61</f>
        <v>83.182000000000002</v>
      </c>
      <c r="F67" s="26" t="str">
        <f t="shared" ref="F67:F70" si="5">$E$12</f>
        <v>t CO2-e</v>
      </c>
      <c r="G67" s="159"/>
    </row>
    <row r="68" spans="4:17" ht="20.100000000000001" customHeight="1" x14ac:dyDescent="0.25">
      <c r="D68" s="35" t="s">
        <v>483</v>
      </c>
      <c r="E68" s="207">
        <f t="shared" ref="E68:E70" si="6">E44+E50+E56+E62</f>
        <v>0.19906000000000001</v>
      </c>
      <c r="F68" s="26" t="str">
        <f t="shared" si="5"/>
        <v>t CO2-e</v>
      </c>
      <c r="G68" s="159"/>
    </row>
    <row r="69" spans="4:17" ht="20.100000000000001" customHeight="1" x14ac:dyDescent="0.25">
      <c r="D69" s="35" t="s">
        <v>484</v>
      </c>
      <c r="E69" s="207">
        <f t="shared" si="6"/>
        <v>0.58450000000000002</v>
      </c>
      <c r="F69" s="26" t="str">
        <f t="shared" si="5"/>
        <v>t CO2-e</v>
      </c>
      <c r="G69" s="159"/>
    </row>
    <row r="70" spans="4:17" ht="20.100000000000001" customHeight="1" x14ac:dyDescent="0.25">
      <c r="D70" s="35" t="s">
        <v>485</v>
      </c>
      <c r="E70" s="207">
        <f t="shared" si="6"/>
        <v>20.5016</v>
      </c>
      <c r="F70" s="26" t="str">
        <f t="shared" si="5"/>
        <v>t CO2-e</v>
      </c>
      <c r="G70" s="159"/>
    </row>
    <row r="71" spans="4:17" ht="20.100000000000001" customHeight="1" x14ac:dyDescent="0.25">
      <c r="G71" s="159"/>
    </row>
    <row r="72" spans="4:17" ht="20.100000000000001" customHeight="1" x14ac:dyDescent="0.25"/>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Q172 O150:Q150 E269 N166:Q166 O143:Q144 E228 O167:Q167 G132 I129:I133 F134:I134 F129:F132 H128:H132 G129 F148:I148 I149 F150:I150" xr:uid="{2CF987B9-F7F0-4AA5-9DFB-82095DD89683}"/>
  </dataValidations>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A2A5DD-6CE3-4C1C-A9C8-1734327A6FDF}">
  <dimension ref="A1:R165"/>
  <sheetViews>
    <sheetView showGridLines="0" topLeftCell="A36" workbookViewId="0" zoomScale="100" zoomScaleNormal="100">
      <selection activeCell="A50" sqref="A50"/>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31" customFormat="1" ht="30" customHeight="1" x14ac:dyDescent="0.35">
      <c r="A1" s="16" t="e" vm="1">
        <v>#VALUE!</v>
      </c>
      <c r="C1" s="31" t="s">
        <v>487</v>
      </c>
    </row>
    <row r="2" spans="1:18" s="3" customFormat="1" ht="20.100000000000001" customHeight="1" x14ac:dyDescent="0.25">
      <c r="A2"/>
    </row>
    <row r="3" spans="1:18" ht="20.100000000000001" customHeight="1" x14ac:dyDescent="0.25">
      <c r="A3" s="5" t="str">
        <f>HYPERLINK("#'Home'!A1", "Home")</f>
        <v>Home</v>
      </c>
      <c r="C3" s="33"/>
      <c r="D3" s="33" t="s">
        <v>135</v>
      </c>
      <c r="E3" s="33"/>
      <c r="F3" s="33"/>
      <c r="G3" s="33"/>
      <c r="H3" s="33"/>
      <c r="I3" s="33"/>
      <c r="J3" s="33"/>
      <c r="K3" s="33"/>
      <c r="L3" s="33"/>
      <c r="M3" s="33"/>
      <c r="N3" s="33"/>
      <c r="O3" s="33"/>
      <c r="P3" s="33"/>
      <c r="Q3" s="33"/>
      <c r="R3" s="33"/>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59"/>
      <c r="P5" s="159"/>
      <c r="Q5" s="159"/>
      <c r="R5" s="159"/>
    </row>
    <row r="6" spans="1:18" ht="20.100000000000001" customHeight="1" x14ac:dyDescent="0.25">
      <c r="D6" s="27" t="str" cm="1">
        <f t="array" ref="D6">Fuel_Equations.VEERG_8_2_1_1__1_FuelCombustionStationary_Source()</f>
        <v>VEERG 2026: 8.2.1.1, Equation (1)</v>
      </c>
      <c r="K6" s="27" t="str" cm="1">
        <f t="array" ref="K6">Scope3_Equations.VEERG_15_11_1_1__3_UpstreamStationaryFuelEmissions_Source()</f>
        <v>VEERG 2026: 15.11.1.1, Equation (3)</v>
      </c>
      <c r="O6" s="159"/>
      <c r="P6" s="159"/>
      <c r="Q6" s="159"/>
      <c r="R6" s="159"/>
    </row>
    <row r="7" spans="1:18" ht="20.100000000000001" customHeight="1" x14ac:dyDescent="0.25">
      <c r="D7" s="133" t="s">
        <v>267</v>
      </c>
      <c r="E7" s="133" t="str" cm="1">
        <f t="array" aca="1" ref="E7" ca="1">Common_InputFunctions.Utility_DisplayFunctionName(N25)</f>
        <v>=Fuel_Equations.VEERG_8_2_1_1__1_FuelCombustionStationary</v>
      </c>
      <c r="K7" s="36" t="str" cm="1">
        <f t="array" ref="K7">Scope3_Equations.VEERG_15_11_1_1__3_UpstreamStationaryFuelEmissions_Variation()</f>
        <v>VARIATION ON SOURCE: Added 'state' and 'metro/non-metro' arguments as gaseous scope 3 EFs are state and metro/non-metro location-based.</v>
      </c>
      <c r="O7" s="159"/>
      <c r="P7" s="159"/>
      <c r="Q7" s="159"/>
      <c r="R7" s="159"/>
    </row>
    <row r="8" spans="1:18" ht="20.100000000000001" customHeight="1" x14ac:dyDescent="0.25">
      <c r="A8" s="7" t="s">
        <v>0</v>
      </c>
      <c r="K8" s="133" t="s">
        <v>267</v>
      </c>
      <c r="L8" s="133" t="str" cm="1">
        <f t="array" aca="1" ref="L8" ca="1">Common_InputFunctions.Utility_DisplayFunctionName(Q25)</f>
        <v>=Fuel_Equations.VEERG_8_2_1_1__1_FuelCombustionStationary</v>
      </c>
      <c r="O8" s="159"/>
      <c r="P8" s="159"/>
      <c r="Q8" s="159"/>
      <c r="R8" s="159"/>
    </row>
    <row r="9" spans="1:18" ht="20.100000000000001" customHeight="1" x14ac:dyDescent="0.25">
      <c r="A9" s="5" t="str">
        <f>HYPERLINK("#'Input - Enterprise'!A1", "Enterprise")</f>
        <v>Enterprise</v>
      </c>
      <c r="G9" s="27"/>
      <c r="O9" s="159"/>
      <c r="P9" s="159"/>
      <c r="Q9" s="159"/>
      <c r="R9" s="159"/>
    </row>
    <row r="10" spans="1:18" ht="20.100000000000001" customHeight="1" x14ac:dyDescent="0.25">
      <c r="A10" s="5" t="str">
        <f>HYPERLINK("#'Input - Site'!A1", "Site")</f>
        <v>Site</v>
      </c>
      <c r="O10" s="159"/>
      <c r="P10" s="159"/>
      <c r="Q10" s="159"/>
      <c r="R10" s="159"/>
    </row>
    <row r="11" spans="1:18" ht="20.100000000000001" customHeight="1" x14ac:dyDescent="0.25">
      <c r="A11" s="5" t="str">
        <f>HYPERLINK("#'Input - Crop'!A1", "Crop")</f>
        <v>Crop</v>
      </c>
      <c r="D11" s="88" t="s">
        <v>268</v>
      </c>
      <c r="E11" s="1" t="str" cm="1">
        <f t="array" ref="E11">Fuel_Equations.VEERG_8_2_1_1__1_FuelCombustionStationary_Variable()</f>
        <v>E_g</v>
      </c>
      <c r="K11" s="88" t="s">
        <v>268</v>
      </c>
      <c r="L11" s="1" t="str" cm="1">
        <f t="array" ref="L11">Scope3_Equations.VEERG_15_11_1_1__3_UpstreamStationaryFuelEmissions_Variable()</f>
        <v>E_WTTSCq</v>
      </c>
      <c r="O11" s="159"/>
      <c r="P11" s="159"/>
      <c r="Q11" s="159"/>
      <c r="R11" s="159"/>
    </row>
    <row r="12" spans="1:18" ht="20.100000000000001" customHeight="1" x14ac:dyDescent="0.25">
      <c r="A12" s="5" t="str">
        <f>HYPERLINK("#'Input - Fert Prod System'!A1", "Fert Prod System")</f>
        <v>Fert Prod System</v>
      </c>
      <c r="D12" s="88" t="s">
        <v>121</v>
      </c>
      <c r="E12" s="15" t="str" cm="1">
        <f t="array" ref="E12">Fuel_Equations.VEERG_8_2_1_1__1_FuelCombustionStationary_Unit()</f>
        <v>t CO2-e</v>
      </c>
      <c r="K12" s="88" t="s">
        <v>121</v>
      </c>
      <c r="L12" s="15" t="str" cm="1">
        <f t="array" ref="L12">Scope3_Equations.VEERG_15_11_1_1__3_UpstreamStationaryFuelEmissions_Unit()</f>
        <v>t CO2e</v>
      </c>
    </row>
    <row r="13" spans="1:18" ht="20.100000000000001" customHeight="1" x14ac:dyDescent="0.25">
      <c r="A13" s="5" t="str">
        <f>HYPERLINK("#'Input - Fertiliser'!A1", "Fertiliser")</f>
        <v>Fertiliser</v>
      </c>
    </row>
    <row r="14" spans="1:18" ht="20.100000000000001" customHeight="1" x14ac:dyDescent="0.25">
      <c r="A14" s="5" t="str">
        <f>HYPERLINK("#'Input - Fuel'!A1", "Fuel")</f>
        <v>Fuel</v>
      </c>
      <c r="D14" s="155" t="str" cm="1">
        <f t="array" ref="D14:E20">_xlfn.CHOOSECOLS(Fuel_Equations.VEERG_8_2_1_1__1_FuelCombustionStationary_Arguments(), 1,2)</f>
        <v>Q_SCq</v>
      </c>
      <c r="E14" s="163" t="str">
        <v>Amount of fuel type q used for stationary combustion operations</v>
      </c>
      <c r="F14" s="165"/>
      <c r="G14" s="155" t="str" cm="1">
        <f t="array" ref="G14:H20">_xlfn.CHOOSECOLS(Fuel_Equations.VEERG_8_2_1_1__1_FuelCombustionStationary_Arguments(), 3,4)</f>
        <v>Varies based on fuel type: kL, m3, GJ</v>
      </c>
      <c r="H14" s="137" t="str">
        <v>Input</v>
      </c>
      <c r="I14" s="141" t="str" cm="1">
        <f t="array" aca="1" ref="I14" ca="1">HYPERLINK(Common_InputFunctions.Utility_SourceHyperlink($D$22), $D$22)</f>
        <v>Table_E_g</v>
      </c>
      <c r="K14" s="155" t="str" cm="1">
        <f t="array" ref="K14:L18">_xlfn.CHOOSECOLS(Scope3_Equations.VEERG_15_11_1_1__3_UpstreamStationaryFuelEmissions_Arguments(),1,2)</f>
        <v>Q_SCq</v>
      </c>
      <c r="L14" s="155" t="str">
        <v>amount of fuel q used for stationary combustion operations</v>
      </c>
      <c r="M14" s="155"/>
      <c r="N14" s="155" t="str" cm="1">
        <f t="array" ref="N14:O18">_xlfn.CHOOSECOLS(Scope3_Equations.VEERG_15_11_1_1__3_UpstreamStationaryFuelEmissions_Arguments(),3,4)</f>
        <v>kL</v>
      </c>
      <c r="O14" s="137" t="str">
        <v>Input</v>
      </c>
      <c r="P14" s="141" t="str" cm="1">
        <f t="array" aca="1" ref="P14" ca="1">HYPERLINK(Common_InputFunctions.Utility_SourceHyperlink($D$22), $D$22)</f>
        <v>Table_E_g</v>
      </c>
      <c r="Q14" s="159"/>
    </row>
    <row r="15" spans="1:18" ht="20.100000000000001" customHeight="1" x14ac:dyDescent="0.25">
      <c r="A15" s="5" t="str">
        <f>HYPERLINK("#'Input - Electricity'!A1", "Electricity")</f>
        <v>Electricity</v>
      </c>
      <c r="D15" s="155" t="str">
        <v>EC_SCq</v>
      </c>
      <c r="E15" s="163" t="str">
        <v>Energy content factor for stationary combustion operations</v>
      </c>
      <c r="F15" s="165"/>
      <c r="G15" s="155" t="str">
        <v>GJ / unit of fuel</v>
      </c>
      <c r="H15" s="138" t="str">
        <v>Constant</v>
      </c>
      <c r="I15" s="141" t="str" cm="1">
        <f t="array" aca="1" ref="I15" ca="1">HYPERLINK(Common_InputFunctions.Utility_SourceHyperlink($D$22), $D$22)</f>
        <v>Table_E_g</v>
      </c>
      <c r="K15" s="155" t="str">
        <v>EC_SCq</v>
      </c>
      <c r="L15" s="155" t="str">
        <v>energy content factor for stationary combustion operations</v>
      </c>
      <c r="M15" s="155"/>
      <c r="N15" s="155" t="str">
        <v>GJ/kL</v>
      </c>
      <c r="O15" s="138" t="str">
        <v>Constant</v>
      </c>
      <c r="P15" s="141" t="str" cm="1">
        <f t="array" aca="1" ref="P15" ca="1">HYPERLINK(Common_InputFunctions.Utility_SourceHyperlink($D$22), $D$22)</f>
        <v>Table_E_g</v>
      </c>
      <c r="Q15" s="159"/>
    </row>
    <row r="16" spans="1:18" ht="20.100000000000001" customHeight="1" x14ac:dyDescent="0.25">
      <c r="A16" s="5" t="str">
        <f>HYPERLINK("#'Input - Common farm inputs'!A1", "Common farm inputs")</f>
        <v>Common farm inputs</v>
      </c>
      <c r="D16" s="155" t="str">
        <v>EF_SC1qg</v>
      </c>
      <c r="E16" s="163" t="str">
        <v>Scope 1 emission factor for stationary combustion for each greenhouse gas</v>
      </c>
      <c r="F16" s="165"/>
      <c r="G16" s="155" t="str">
        <v>kg CO2e / GJ</v>
      </c>
      <c r="H16" s="138" t="str">
        <v>Constant</v>
      </c>
      <c r="I16" s="141" t="str" cm="1">
        <f t="array" aca="1" ref="I16" ca="1">HYPERLINK(Common_InputFunctions.Utility_SourceHyperlink($D$22), $D$22)</f>
        <v>Table_E_g</v>
      </c>
      <c r="K16" s="155" t="str">
        <v>EF_SC3q</v>
      </c>
      <c r="L16" s="155" t="str">
        <v>scope 3 emission factor for stationary combustion operations</v>
      </c>
      <c r="M16" s="155"/>
      <c r="N16" s="155" t="str">
        <v>kg CO2e/GJ</v>
      </c>
      <c r="O16" s="138" t="str">
        <v>Constant</v>
      </c>
      <c r="P16" s="141" t="str" cm="1">
        <f t="array" aca="1" ref="P16" ca="1">HYPERLINK(Common_InputFunctions.Utility_SourceHyperlink($D$22), $D$22)</f>
        <v>Table_E_g</v>
      </c>
      <c r="Q16" s="159"/>
    </row>
    <row r="17" spans="1:17" ht="20.100000000000001" customHeight="1" x14ac:dyDescent="0.25">
      <c r="A17" s="5" t="str">
        <f>HYPERLINK("#'Input - Crop pasture farm input'!A1", "Crop pasture farm input")</f>
        <v>Crop pasture farm input</v>
      </c>
      <c r="D17" s="155" t="str">
        <v>q</v>
      </c>
      <c r="E17" s="163" t="str">
        <v>Fuel type</v>
      </c>
      <c r="F17" s="165"/>
      <c r="G17" s="155" t="str">
        <v/>
      </c>
      <c r="H17" s="138" t="str">
        <v>Constant</v>
      </c>
      <c r="I17" s="141"/>
      <c r="J17" s="159"/>
      <c r="K17" s="155" t="str">
        <v>i</v>
      </c>
      <c r="L17" s="163" t="str">
        <v>state</v>
      </c>
      <c r="M17" s="165"/>
      <c r="N17" s="155" t="str">
        <v/>
      </c>
      <c r="O17" s="137" t="str">
        <v>Input</v>
      </c>
      <c r="P17" s="155" t="str">
        <f>X_Cell_Site_State</f>
        <v>Western Australia</v>
      </c>
      <c r="Q17" s="159"/>
    </row>
    <row r="18" spans="1:17" ht="20.100000000000001" customHeight="1" x14ac:dyDescent="0.25">
      <c r="A18" s="5" t="str">
        <f>HYPERLINK("#'Input - Freight'!A1", "Freight")</f>
        <v>Freight</v>
      </c>
      <c r="D18" s="155" t="str">
        <v>SC</v>
      </c>
      <c r="E18" s="163" t="str">
        <v>Stationary combustion</v>
      </c>
      <c r="F18" s="165"/>
      <c r="G18" s="155" t="str">
        <v/>
      </c>
      <c r="H18" s="138" t="str">
        <v>Constant</v>
      </c>
      <c r="I18" s="141"/>
      <c r="J18" s="159"/>
      <c r="K18" s="155" t="str">
        <v>m</v>
      </c>
      <c r="L18" s="163" t="str">
        <v>metropolitan/non-metropolitan location</v>
      </c>
      <c r="M18" s="165"/>
      <c r="N18" s="155" t="str">
        <v/>
      </c>
      <c r="O18" s="137" t="str">
        <v>Input</v>
      </c>
      <c r="P18" s="155" t="str">
        <f>X_Cell_Fuel_IsMetroLocation</f>
        <v>Metro</v>
      </c>
      <c r="Q18" s="159"/>
    </row>
    <row r="19" spans="1:17" ht="20.100000000000001" customHeight="1" x14ac:dyDescent="0.25">
      <c r="A19" s="5" t="str">
        <f>HYPERLINK("#'Input - Manure sent off-site'!A1", "Manure sent off-site")</f>
        <v>Manure sent off-site</v>
      </c>
      <c r="D19" s="155" t="str">
        <v>g</v>
      </c>
      <c r="E19" s="163" t="str">
        <v>Greenhouse gas</v>
      </c>
      <c r="F19" s="165"/>
      <c r="G19" s="155" t="str">
        <v/>
      </c>
      <c r="H19" s="138" t="str">
        <v>Constant</v>
      </c>
      <c r="I19" s="141"/>
      <c r="J19" s="159"/>
      <c r="L19" s="159"/>
      <c r="N19" s="159"/>
      <c r="O19" s="159"/>
      <c r="P19" s="159"/>
      <c r="Q19" s="159"/>
    </row>
    <row r="20" spans="1:17" ht="20.100000000000001" customHeight="1" x14ac:dyDescent="0.25">
      <c r="A20" s="5" t="str">
        <f>HYPERLINK("#'Input - Solid waste'!A1", "Solid waste")</f>
        <v>Solid waste</v>
      </c>
      <c r="D20" s="155" t="str">
        <v>1</v>
      </c>
      <c r="E20" s="163" t="str">
        <v>Scope 1</v>
      </c>
      <c r="F20" s="165"/>
      <c r="G20" s="155" t="str">
        <v/>
      </c>
      <c r="H20" s="138" t="str">
        <v>Constant</v>
      </c>
      <c r="I20" s="141"/>
      <c r="J20" s="159"/>
      <c r="L20" s="159"/>
      <c r="N20" s="159"/>
      <c r="O20" s="159"/>
      <c r="P20" s="159"/>
      <c r="Q20" s="159"/>
    </row>
    <row r="21" spans="1:17" ht="20.100000000000001" customHeight="1" x14ac:dyDescent="0.25">
      <c r="A21" s="5" t="str">
        <f>HYPERLINK("#'Input - Data quality'!A1", "Data quality")</f>
        <v>Data quality</v>
      </c>
      <c r="O21" s="159"/>
      <c r="P21" s="159"/>
      <c r="Q21" s="159"/>
    </row>
    <row r="22" spans="1:17" ht="20.100000000000001" customHeight="1" x14ac:dyDescent="0.25">
      <c r="D22" s="144" t="s">
        <v>466</v>
      </c>
    </row>
    <row r="23" spans="1:17" ht="20.100000000000001" customHeight="1" x14ac:dyDescent="0.25">
      <c r="D23" s="145" t="s">
        <v>488</v>
      </c>
    </row>
    <row r="24" spans="1:17" ht="20.100000000000001" customHeight="1" x14ac:dyDescent="0.25">
      <c r="A24" s="6" t="s">
        <v>2</v>
      </c>
      <c r="D24" s="146" t="s">
        <v>468</v>
      </c>
      <c r="E24" s="146" t="s">
        <v>469</v>
      </c>
      <c r="F24" s="146" t="s">
        <v>470</v>
      </c>
      <c r="G24" s="146" t="s">
        <v>489</v>
      </c>
      <c r="H24" s="146" t="s">
        <v>490</v>
      </c>
      <c r="I24" s="146" t="s">
        <v>491</v>
      </c>
      <c r="J24" s="146" t="s">
        <v>492</v>
      </c>
      <c r="K24" s="146" t="s">
        <v>493</v>
      </c>
      <c r="L24" s="92" t="s">
        <v>494</v>
      </c>
      <c r="M24" s="146" t="s">
        <v>477</v>
      </c>
      <c r="N24" s="146" t="s">
        <v>478</v>
      </c>
      <c r="O24" s="146" t="s">
        <v>479</v>
      </c>
      <c r="P24" s="146" t="s">
        <v>480</v>
      </c>
      <c r="Q24" s="146" t="s">
        <v>495</v>
      </c>
    </row>
    <row r="25" spans="1:17" ht="20.100000000000001" customHeight="1" x14ac:dyDescent="0.25">
      <c r="A25" s="5" t="str">
        <f>HYPERLINK("#'5.1.1.1-2 Inorganic fert N2O'!A1", "5.1.1.1-2 Inorganic fert N2O")</f>
        <v>5.1.1.1-2 Inorganic fert N2O</v>
      </c>
      <c r="D25" s="35" t="str">
        <f>Table_FuelTypesPerUse[[#Headers],[Generators]]</f>
        <v>Generators</v>
      </c>
      <c r="E25" s="189" t="str">
        <f>'Constants - Fuel'!$D$58</f>
        <v>Automotive gasoline / petrol (other than for use as fuel in an aircraft)</v>
      </c>
      <c r="F25" s="189" t="str">
        <f>'Constants - Fuel'!D131</f>
        <v>Petrol</v>
      </c>
      <c r="G25" s="25">
        <f>IFERROR(_xlfn.XLOOKUP($E25, Table_Fuel_EFs_StationaryLiquid[Fuel combusted], Table_Fuel_EFs_StationaryLiquid[Energy Content Factor (GJ per unit of fuel)]),0)</f>
        <v>34.200000000000003</v>
      </c>
      <c r="H25" s="25">
        <f>IFERROR(_xlfn.XLOOKUP($E25, Table_Fuel_EFs_StationaryLiquid[Fuel combusted], Table_Fuel_EFs_StationaryLiquid[Scope 1 Emission Factor (kg CO2 - e / GJ) CO2]),0)</f>
        <v>67.400000000000006</v>
      </c>
      <c r="I25" s="25">
        <f>IFERROR(_xlfn.XLOOKUP($E25, Table_Fuel_EFs_StationaryLiquid[Fuel combusted], Table_Fuel_EFs_StationaryLiquid[Scope 1 Emission Factor (kg CO2 - e / GJ) CH4]),0)</f>
        <v>0.2</v>
      </c>
      <c r="J25" s="25">
        <f>IFERROR(_xlfn.XLOOKUP($E25, Table_Fuel_EFs_StationaryLiquid[Fuel combusted], Table_Fuel_EFs_StationaryLiquid[Scope 1 Emission Factor (kg CO2 - e / GJ) N2O]),0)</f>
        <v>0.2</v>
      </c>
      <c r="K25" s="25">
        <f>IFERROR(_xlfn.XLOOKUP($E25, Table_Fuel_EFs_StationaryLiquid[Fuel combusted], Table_Fuel_EFs_StationaryLiquid[Scope 3 Emission Factor (kg CO2 - e / GJ)]),0)</f>
        <v>17.2</v>
      </c>
      <c r="L25" s="167" cm="1">
        <f t="array" ref="L25">Fuel_InputFunctions.Fuel_TotalConsumption(Table_Input_Fuel[Amount consumed], Table_Input_Fuel[Fuel use (select)], D25, Table_Input_Fuel[Fuel type (select)],F25)</f>
        <v>0</v>
      </c>
      <c r="M25" s="167" t="str" cm="1">
        <f t="array" ref="M25">Common_InputFunctions.Utility_LookupValueInTable(F25,Table_FuelTypes_Units[Fuel type],Table_FuelTypes_Units[Unit])</f>
        <v>kL</v>
      </c>
      <c r="N25" s="211" cm="1">
        <f t="array" ref="N25">Fuel_Equations.VEERG_8_2_1_1__1_FuelCombustionStationary($L25,$G25,H25)</f>
        <v>0</v>
      </c>
      <c r="O25" s="211" cm="1">
        <f t="array" ref="O25">Fuel_Equations.VEERG_8_2_1_1__1_FuelCombustionStationary($L25,$G25,I25)</f>
        <v>0</v>
      </c>
      <c r="P25" s="211" cm="1">
        <f t="array" ref="P25">Fuel_Equations.VEERG_8_2_1_1__1_FuelCombustionStationary($L25,$G25,J25)</f>
        <v>0</v>
      </c>
      <c r="Q25" s="211" cm="1">
        <f t="array" ref="Q25">Fuel_Equations.VEERG_8_2_1_1__1_FuelCombustionStationary($L25,$G25,IF(ISNUMBER(K25), K25, 0))</f>
        <v>0</v>
      </c>
    </row>
    <row r="26" spans="1:17" ht="20.100000000000001" customHeight="1" x14ac:dyDescent="0.25">
      <c r="A26" s="5" t="str">
        <f>HYPERLINK("#'5.1.1.3-4 Inorganic fert CO2'!A1", "5.1.1.3-4 Inorganic fert CO2")</f>
        <v>5.1.1.3-4 Inorganic fert CO2</v>
      </c>
      <c r="D26" s="191" t="str">
        <f t="shared" ref="D26:D31" si="0">$D$25</f>
        <v>Generators</v>
      </c>
      <c r="E26" s="189" t="str">
        <f>'Constants - Fuel'!$D$63</f>
        <v>Diesel oil</v>
      </c>
      <c r="F26" s="189" t="str">
        <f>'Constants - Fuel'!D132</f>
        <v>Diesel</v>
      </c>
      <c r="G26" s="25">
        <f>IFERROR(_xlfn.XLOOKUP($E26, Table_Fuel_EFs_StationaryLiquid[Fuel combusted], Table_Fuel_EFs_StationaryLiquid[Energy Content Factor (GJ per unit of fuel)]),0)</f>
        <v>38.6</v>
      </c>
      <c r="H26" s="25">
        <f>IFERROR(_xlfn.XLOOKUP($E26, Table_Fuel_EFs_StationaryLiquid[Fuel combusted], Table_Fuel_EFs_StationaryLiquid[Scope 1 Emission Factor (kg CO2 - e / GJ) CO2]),0)</f>
        <v>69.900000000000006</v>
      </c>
      <c r="I26" s="25">
        <f>IFERROR(_xlfn.XLOOKUP($E26, Table_Fuel_EFs_StationaryLiquid[Fuel combusted], Table_Fuel_EFs_StationaryLiquid[Scope 1 Emission Factor (kg CO2 - e / GJ) CH4]),0)</f>
        <v>0.1</v>
      </c>
      <c r="J26" s="25">
        <f>IFERROR(_xlfn.XLOOKUP($E26, Table_Fuel_EFs_StationaryLiquid[Fuel combusted], Table_Fuel_EFs_StationaryLiquid[Scope 1 Emission Factor (kg CO2 - e / GJ) N2O]),0)</f>
        <v>0.2</v>
      </c>
      <c r="K26" s="25">
        <f>IFERROR(_xlfn.XLOOKUP($E26, Table_Fuel_EFs_StationaryLiquid[Fuel combusted], Table_Fuel_EFs_StationaryLiquid[Scope 3 Emission Factor (kg CO2 - e / GJ)]),0)</f>
        <v>17.3</v>
      </c>
      <c r="L26" s="167" cm="1">
        <f t="array" ref="L26">Fuel_InputFunctions.Fuel_TotalConsumption(Table_Input_Fuel[Amount consumed], Table_Input_Fuel[Fuel use (select)], D26, Table_Input_Fuel[Fuel type (select)],F26)</f>
        <v>0</v>
      </c>
      <c r="M26" s="167" t="str" cm="1">
        <f t="array" ref="M26">Common_InputFunctions.Utility_LookupValueInTable(F26,Table_FuelTypes_Units[Fuel type],Table_FuelTypes_Units[Unit])</f>
        <v>kL</v>
      </c>
      <c r="N26" s="211" cm="1">
        <f t="array" ref="N26">Fuel_Equations.VEERG_8_2_1_1__1_FuelCombustionStationary($L26,$G26,H26)</f>
        <v>0</v>
      </c>
      <c r="O26" s="211" cm="1">
        <f t="array" ref="O26">Fuel_Equations.VEERG_8_2_1_1__1_FuelCombustionStationary($L26,$G26,I26)</f>
        <v>0</v>
      </c>
      <c r="P26" s="211" cm="1">
        <f t="array" ref="P26">Fuel_Equations.VEERG_8_2_1_1__1_FuelCombustionStationary($L26,$G26,J26)</f>
        <v>0</v>
      </c>
      <c r="Q26" s="211" cm="1">
        <f t="array" ref="Q26">Fuel_Equations.VEERG_8_2_1_1__1_FuelCombustionStationary($L26,$G26,IF(ISNUMBER(K26), K26, 0))</f>
        <v>0</v>
      </c>
    </row>
    <row r="27" spans="1:17" ht="20.100000000000001" customHeight="1" x14ac:dyDescent="0.25">
      <c r="A27" s="5" t="str">
        <f>HYPERLINK("#'5.2.1.1-2 Organic Fert N2O'!A1", "5.2.1.1-2 Organic fert N2O")</f>
        <v>5.2.1.1-2 Organic fert N2O</v>
      </c>
      <c r="D27" s="191" t="str">
        <f t="shared" si="0"/>
        <v>Generators</v>
      </c>
      <c r="E27" s="189" t="str">
        <f>'Constants - Fuel'!$D$67</f>
        <v>Liquefied petroleum gas (LPG)</v>
      </c>
      <c r="F27" s="189" t="str">
        <f>'Constants - Fuel'!D133</f>
        <v>Liquefied petroleum gas (LPG)</v>
      </c>
      <c r="G27" s="25">
        <f>IFERROR(_xlfn.XLOOKUP($E27, Table_Fuel_EFs_StationaryLiquid[Fuel combusted], Table_Fuel_EFs_StationaryLiquid[Energy Content Factor (GJ per unit of fuel)]),0)</f>
        <v>25.7</v>
      </c>
      <c r="H27" s="25">
        <f>IFERROR(_xlfn.XLOOKUP($E27, Table_Fuel_EFs_StationaryLiquid[Fuel combusted], Table_Fuel_EFs_StationaryLiquid[Scope 1 Emission Factor (kg CO2 - e / GJ) CO2]),0)</f>
        <v>60.2</v>
      </c>
      <c r="I27" s="25">
        <f>IFERROR(_xlfn.XLOOKUP($E27, Table_Fuel_EFs_StationaryLiquid[Fuel combusted], Table_Fuel_EFs_StationaryLiquid[Scope 1 Emission Factor (kg CO2 - e / GJ) CH4]),0)</f>
        <v>0.2</v>
      </c>
      <c r="J27" s="25">
        <f>IFERROR(_xlfn.XLOOKUP($E27, Table_Fuel_EFs_StationaryLiquid[Fuel combusted], Table_Fuel_EFs_StationaryLiquid[Scope 1 Emission Factor (kg CO2 - e / GJ) N2O]),0)</f>
        <v>0.2</v>
      </c>
      <c r="K27" s="25">
        <f>IFERROR(_xlfn.XLOOKUP($E27, Table_Fuel_EFs_StationaryLiquid[Fuel combusted], Table_Fuel_EFs_StationaryLiquid[Scope 3 Emission Factor (kg CO2 - e / GJ)]),0)</f>
        <v>20.2</v>
      </c>
      <c r="L27" s="167" cm="1">
        <f t="array" ref="L27">Fuel_InputFunctions.Fuel_TotalConsumption(Table_Input_Fuel[Amount consumed], Table_Input_Fuel[Fuel use (select)], D27, Table_Input_Fuel[Fuel type (select)],F27)</f>
        <v>0</v>
      </c>
      <c r="M27" s="167" t="str" cm="1">
        <f t="array" ref="M27">Common_InputFunctions.Utility_LookupValueInTable(F27,Table_FuelTypes_Units[Fuel type],Table_FuelTypes_Units[Unit])</f>
        <v>kL</v>
      </c>
      <c r="N27" s="211" cm="1">
        <f t="array" ref="N27">Fuel_Equations.VEERG_8_2_1_1__1_FuelCombustionStationary($L27,$G27,H27)</f>
        <v>0</v>
      </c>
      <c r="O27" s="211" cm="1">
        <f t="array" ref="O27">Fuel_Equations.VEERG_8_2_1_1__1_FuelCombustionStationary($L27,$G27,I27)</f>
        <v>0</v>
      </c>
      <c r="P27" s="211" cm="1">
        <f t="array" ref="P27">Fuel_Equations.VEERG_8_2_1_1__1_FuelCombustionStationary($L27,$G27,J27)</f>
        <v>0</v>
      </c>
      <c r="Q27" s="211" cm="1">
        <f t="array" ref="Q27">Fuel_Equations.VEERG_8_2_1_1__1_FuelCombustionStationary($L27,$G27,IF(ISNUMBER(K27), K27, 0))</f>
        <v>0</v>
      </c>
    </row>
    <row r="28" spans="1:17" ht="20.100000000000001" customHeight="1" x14ac:dyDescent="0.25">
      <c r="A28" s="5" t="str">
        <f>HYPERLINK("#'5.3.1.1-2 Lime CO2'!A1", "5.3.1.1-2 Lime CO2")</f>
        <v>5.3.1.1-2 Lime CO2</v>
      </c>
      <c r="D28" s="191" t="str">
        <f t="shared" si="0"/>
        <v>Generators</v>
      </c>
      <c r="E28" s="189" t="str">
        <f>'Constants - Fuel'!$D$73</f>
        <v>Biodiesel</v>
      </c>
      <c r="F28" s="189" t="str">
        <f>'Constants - Fuel'!D134</f>
        <v>Biodiesel</v>
      </c>
      <c r="G28" s="25">
        <f>IFERROR(_xlfn.XLOOKUP($E28, Table_Fuel_EFs_StationaryLiquid[Fuel combusted], Table_Fuel_EFs_StationaryLiquid[Energy Content Factor (GJ per unit of fuel)]),0)</f>
        <v>34.6</v>
      </c>
      <c r="H28" s="25">
        <f>IFERROR(_xlfn.XLOOKUP($E28, Table_Fuel_EFs_StationaryLiquid[Fuel combusted], Table_Fuel_EFs_StationaryLiquid[Scope 1 Emission Factor (kg CO2 - e / GJ) CO2]),0)</f>
        <v>0</v>
      </c>
      <c r="I28" s="25">
        <f>IFERROR(_xlfn.XLOOKUP($E28, Table_Fuel_EFs_StationaryLiquid[Fuel combusted], Table_Fuel_EFs_StationaryLiquid[Scope 1 Emission Factor (kg CO2 - e / GJ) CH4]),0)</f>
        <v>0.08</v>
      </c>
      <c r="J28" s="25">
        <f>IFERROR(_xlfn.XLOOKUP($E28, Table_Fuel_EFs_StationaryLiquid[Fuel combusted], Table_Fuel_EFs_StationaryLiquid[Scope 1 Emission Factor (kg CO2 - e / GJ) N2O]),0)</f>
        <v>0.2</v>
      </c>
      <c r="K28" s="25" t="str">
        <f>IFERROR(_xlfn.XLOOKUP($E28, Table_Fuel_EFs_StationaryLiquid[Fuel combusted], Table_Fuel_EFs_StationaryLiquid[Scope 3 Emission Factor (kg CO2 - e / GJ)]),0)</f>
        <v>NE</v>
      </c>
      <c r="L28" s="167" cm="1">
        <f t="array" ref="L28">Fuel_InputFunctions.Fuel_TotalConsumption(Table_Input_Fuel[Amount consumed], Table_Input_Fuel[Fuel use (select)], D28, Table_Input_Fuel[Fuel type (select)],F28)</f>
        <v>0</v>
      </c>
      <c r="M28" s="167" t="str" cm="1">
        <f t="array" ref="M28">Common_InputFunctions.Utility_LookupValueInTable(F28,Table_FuelTypes_Units[Fuel type],Table_FuelTypes_Units[Unit])</f>
        <v>kL</v>
      </c>
      <c r="N28" s="211" cm="1">
        <f t="array" ref="N28">Fuel_Equations.VEERG_8_2_1_1__1_FuelCombustionStationary($L28,$G28,H28)</f>
        <v>0</v>
      </c>
      <c r="O28" s="211" cm="1">
        <f t="array" ref="O28">Fuel_Equations.VEERG_8_2_1_1__1_FuelCombustionStationary($L28,$G28,I28)</f>
        <v>0</v>
      </c>
      <c r="P28" s="211" cm="1">
        <f t="array" ref="P28">Fuel_Equations.VEERG_8_2_1_1__1_FuelCombustionStationary($L28,$G28,J28)</f>
        <v>0</v>
      </c>
      <c r="Q28" s="211" cm="1">
        <f t="array" ref="Q28">Fuel_Equations.VEERG_8_2_1_1__1_FuelCombustionStationary($L28,$G28,IF(ISNUMBER(K28), K28, 0))</f>
        <v>0</v>
      </c>
    </row>
    <row r="29" spans="1:17" ht="20.100000000000001" customHeight="1" x14ac:dyDescent="0.25">
      <c r="A29" s="5" t="str">
        <f>HYPERLINK("#'5.4.1.1-4 Atmos deposition'!A1", "5.4.1.1-4 Atmos. deposition")</f>
        <v>5.4.1.1-4 Atmos. deposition</v>
      </c>
      <c r="D29" s="191" t="str">
        <f t="shared" si="0"/>
        <v>Generators</v>
      </c>
      <c r="E29" s="189" t="str">
        <f>'Constants - Fuel'!$D$74</f>
        <v>Ethanol for use as a fuel in an internal combustion engine</v>
      </c>
      <c r="F29" s="189" t="str">
        <f>'Constants - Fuel'!D135</f>
        <v>Ethanol</v>
      </c>
      <c r="G29" s="25">
        <f>IFERROR(_xlfn.XLOOKUP($E29, Table_Fuel_EFs_StationaryLiquid[Fuel combusted], Table_Fuel_EFs_StationaryLiquid[Energy Content Factor (GJ per unit of fuel)]),0)</f>
        <v>23.4</v>
      </c>
      <c r="H29" s="25">
        <f>IFERROR(_xlfn.XLOOKUP($E29, Table_Fuel_EFs_StationaryLiquid[Fuel combusted], Table_Fuel_EFs_StationaryLiquid[Scope 1 Emission Factor (kg CO2 - e / GJ) CO2]),0)</f>
        <v>0</v>
      </c>
      <c r="I29" s="25">
        <f>IFERROR(_xlfn.XLOOKUP($E29, Table_Fuel_EFs_StationaryLiquid[Fuel combusted], Table_Fuel_EFs_StationaryLiquid[Scope 1 Emission Factor (kg CO2 - e / GJ) CH4]),0)</f>
        <v>0.08</v>
      </c>
      <c r="J29" s="25">
        <f>IFERROR(_xlfn.XLOOKUP($E29, Table_Fuel_EFs_StationaryLiquid[Fuel combusted], Table_Fuel_EFs_StationaryLiquid[Scope 1 Emission Factor (kg CO2 - e / GJ) N2O]),0)</f>
        <v>0.2</v>
      </c>
      <c r="K29" s="25" t="str">
        <f>IFERROR(_xlfn.XLOOKUP($E29, Table_Fuel_EFs_StationaryLiquid[Fuel combusted], Table_Fuel_EFs_StationaryLiquid[Scope 3 Emission Factor (kg CO2 - e / GJ)]),0)</f>
        <v>NE</v>
      </c>
      <c r="L29" s="167" cm="1">
        <f t="array" ref="L29">Fuel_InputFunctions.Fuel_TotalConsumption(Table_Input_Fuel[Amount consumed], Table_Input_Fuel[Fuel use (select)], D29, Table_Input_Fuel[Fuel type (select)],F29)</f>
        <v>0</v>
      </c>
      <c r="M29" s="167" t="str" cm="1">
        <f t="array" ref="M29">Common_InputFunctions.Utility_LookupValueInTable(F29,Table_FuelTypes_Units[Fuel type],Table_FuelTypes_Units[Unit])</f>
        <v>kL</v>
      </c>
      <c r="N29" s="211" cm="1">
        <f t="array" ref="N29">Fuel_Equations.VEERG_8_2_1_1__1_FuelCombustionStationary($L29,$G29,H29)</f>
        <v>0</v>
      </c>
      <c r="O29" s="211" cm="1">
        <f t="array" ref="O29">Fuel_Equations.VEERG_8_2_1_1__1_FuelCombustionStationary($L29,$G29,I29)</f>
        <v>0</v>
      </c>
      <c r="P29" s="211" cm="1">
        <f t="array" ref="P29">Fuel_Equations.VEERG_8_2_1_1__1_FuelCombustionStationary($L29,$G29,J29)</f>
        <v>0</v>
      </c>
      <c r="Q29" s="211" cm="1">
        <f t="array" ref="Q29">Fuel_Equations.VEERG_8_2_1_1__1_FuelCombustionStationary($L29,$G29,IF(ISNUMBER(K29), K29, 0))</f>
        <v>0</v>
      </c>
    </row>
    <row r="30" spans="1:17" ht="20.100000000000001" customHeight="1" x14ac:dyDescent="0.25">
      <c r="A30" s="5" t="str">
        <f>HYPERLINK("#'5.5.1.1-2 Leaching and runoff'!A1", "5.5.1.1-2 Leaching &amp; runoff")</f>
        <v>5.5.1.1-2 Leaching &amp; runoff</v>
      </c>
      <c r="D30" s="191" t="str">
        <f t="shared" si="0"/>
        <v>Generators</v>
      </c>
      <c r="E30" s="189" t="str">
        <f>'Constants - Fuel'!$D$75</f>
        <v>Biofuels other than those mentioned in the items above and below</v>
      </c>
      <c r="F30" s="189" t="str">
        <f>'Constants - Fuel'!D136</f>
        <v>Other biofuels</v>
      </c>
      <c r="G30" s="25">
        <f>IFERROR(_xlfn.XLOOKUP($E30, Table_Fuel_EFs_StationaryLiquid[Fuel combusted], Table_Fuel_EFs_StationaryLiquid[Energy Content Factor (GJ per unit of fuel)]),0)</f>
        <v>23.4</v>
      </c>
      <c r="H30" s="25">
        <f>IFERROR(_xlfn.XLOOKUP($E30, Table_Fuel_EFs_StationaryLiquid[Fuel combusted], Table_Fuel_EFs_StationaryLiquid[Scope 1 Emission Factor (kg CO2 - e / GJ) CO2]),0)</f>
        <v>0</v>
      </c>
      <c r="I30" s="25">
        <f>IFERROR(_xlfn.XLOOKUP($E30, Table_Fuel_EFs_StationaryLiquid[Fuel combusted], Table_Fuel_EFs_StationaryLiquid[Scope 1 Emission Factor (kg CO2 - e / GJ) CH4]),0)</f>
        <v>0.08</v>
      </c>
      <c r="J30" s="25">
        <f>IFERROR(_xlfn.XLOOKUP($E30, Table_Fuel_EFs_StationaryLiquid[Fuel combusted], Table_Fuel_EFs_StationaryLiquid[Scope 1 Emission Factor (kg CO2 - e / GJ) N2O]),0)</f>
        <v>0.2</v>
      </c>
      <c r="K30" s="25" t="str">
        <f>IFERROR(_xlfn.XLOOKUP($E30, Table_Fuel_EFs_StationaryLiquid[Fuel combusted], Table_Fuel_EFs_StationaryLiquid[Scope 3 Emission Factor (kg CO2 - e / GJ)]),0)</f>
        <v>NE</v>
      </c>
      <c r="L30" s="167" cm="1">
        <f t="array" ref="L30">Fuel_InputFunctions.Fuel_TotalConsumption(Table_Input_Fuel[Amount consumed], Table_Input_Fuel[Fuel use (select)], D30, Table_Input_Fuel[Fuel type (select)],F30)</f>
        <v>0</v>
      </c>
      <c r="M30" s="167" t="str" cm="1">
        <f t="array" ref="M30">Common_InputFunctions.Utility_LookupValueInTable(F30,Table_FuelTypes_Units[Fuel type],Table_FuelTypes_Units[Unit])</f>
        <v>kL</v>
      </c>
      <c r="N30" s="211" cm="1">
        <f t="array" ref="N30">Fuel_Equations.VEERG_8_2_1_1__1_FuelCombustionStationary($L30,$G30,H30)</f>
        <v>0</v>
      </c>
      <c r="O30" s="211" cm="1">
        <f t="array" ref="O30">Fuel_Equations.VEERG_8_2_1_1__1_FuelCombustionStationary($L30,$G30,I30)</f>
        <v>0</v>
      </c>
      <c r="P30" s="211" cm="1">
        <f t="array" ref="P30">Fuel_Equations.VEERG_8_2_1_1__1_FuelCombustionStationary($L30,$G30,J30)</f>
        <v>0</v>
      </c>
      <c r="Q30" s="211" cm="1">
        <f t="array" ref="Q30">Fuel_Equations.VEERG_8_2_1_1__1_FuelCombustionStationary($L30,$G30,IF(ISNUMBER(K30), K30, 0))</f>
        <v>0</v>
      </c>
    </row>
    <row r="31" spans="1:17" ht="20.100000000000001" customHeight="1" x14ac:dyDescent="0.25">
      <c r="A31" s="5" t="str">
        <f>HYPERLINK("#'6.1.1.1-2 Crop residue N2O'!A1", "6.1.1.1-2 Crop residue N2O")</f>
        <v>6.1.1.1-2 Crop residue N2O</v>
      </c>
      <c r="D31" s="191" t="str">
        <f t="shared" si="0"/>
        <v>Generators</v>
      </c>
      <c r="E31" s="189" t="str">
        <f>'Constants - Fuel'!$D$77</f>
        <v>Renewable diesel</v>
      </c>
      <c r="F31" s="189" t="str">
        <f>'Constants - Fuel'!D137</f>
        <v>Renewable diesel</v>
      </c>
      <c r="G31" s="187">
        <f>IFERROR(_xlfn.XLOOKUP($E31, Table_Fuel_EFs_StationaryLiquid[Fuel combusted], Table_Fuel_EFs_StationaryLiquid[Energy Content Factor (GJ per unit of fuel)]),0)</f>
        <v>38.6</v>
      </c>
      <c r="H31" s="187">
        <f>IFERROR(_xlfn.XLOOKUP($E31, Table_Fuel_EFs_StationaryLiquid[Fuel combusted], Table_Fuel_EFs_StationaryLiquid[Scope 1 Emission Factor (kg CO2 - e / GJ) CO2]),0)</f>
        <v>0</v>
      </c>
      <c r="I31" s="187">
        <f>IFERROR(_xlfn.XLOOKUP($E31, Table_Fuel_EFs_StationaryLiquid[Fuel combusted], Table_Fuel_EFs_StationaryLiquid[Scope 1 Emission Factor (kg CO2 - e / GJ) CH4]),0)</f>
        <v>0.1</v>
      </c>
      <c r="J31" s="187">
        <f>IFERROR(_xlfn.XLOOKUP($E31, Table_Fuel_EFs_StationaryLiquid[Fuel combusted], Table_Fuel_EFs_StationaryLiquid[Scope 1 Emission Factor (kg CO2 - e / GJ) N2O]),0)</f>
        <v>0.2</v>
      </c>
      <c r="K31" s="187" t="str">
        <f>IFERROR(_xlfn.XLOOKUP($E31, Table_Fuel_EFs_StationaryLiquid[Fuel combusted], Table_Fuel_EFs_StationaryLiquid[Scope 3 Emission Factor (kg CO2 - e / GJ)]),0)</f>
        <v>NE</v>
      </c>
      <c r="L31" s="192" cm="1">
        <f t="array" ref="L31">Fuel_InputFunctions.Fuel_TotalConsumption(Table_Input_Fuel[Amount consumed], Table_Input_Fuel[Fuel use (select)], D31, Table_Input_Fuel[Fuel type (select)],F31)</f>
        <v>0</v>
      </c>
      <c r="M31" s="192" t="str" cm="1">
        <f t="array" ref="M31">Common_InputFunctions.Utility_LookupValueInTable(F31,Table_FuelTypes_Units[Fuel type],Table_FuelTypes_Units[Unit])</f>
        <v>kL</v>
      </c>
      <c r="N31" s="212" cm="1">
        <f t="array" ref="N31">Fuel_Equations.VEERG_8_2_1_1__1_FuelCombustionStationary($L31,$G31,H31)</f>
        <v>0</v>
      </c>
      <c r="O31" s="212" cm="1">
        <f t="array" ref="O31">Fuel_Equations.VEERG_8_2_1_1__1_FuelCombustionStationary($L31,$G31,I31)</f>
        <v>0</v>
      </c>
      <c r="P31" s="212" cm="1">
        <f t="array" ref="P31">Fuel_Equations.VEERG_8_2_1_1__1_FuelCombustionStationary($L31,$G31,J31)</f>
        <v>0</v>
      </c>
      <c r="Q31" s="212" cm="1">
        <f t="array" ref="Q31">Fuel_Equations.VEERG_8_2_1_1__1_FuelCombustionStationary($L31,$G31,IF(ISNUMBER(K31), K31, 0))</f>
        <v>0</v>
      </c>
    </row>
    <row r="32" spans="1:17" ht="20.100000000000001" customHeight="1" x14ac:dyDescent="0.25">
      <c r="A32" s="5" t="str">
        <f>HYPERLINK("#'6.3.1.1-2 Leach runoff crop'!A1", "6.3.1.1-2 Leach &amp; runoff (crop)")</f>
        <v>6.3.1.1-2 Leach &amp; runoff (crop)</v>
      </c>
      <c r="D32" s="194" t="str">
        <f>Table_FuelTypesPerUse[[#Headers],[Power standalone machinery or heating]]</f>
        <v>Power standalone machinery or heating</v>
      </c>
      <c r="E32" s="195" t="str">
        <f>'Constants - Fuel'!$D$58</f>
        <v>Automotive gasoline / petrol (other than for use as fuel in an aircraft)</v>
      </c>
      <c r="F32" s="195" t="str">
        <f>'Constants - Fuel'!E131</f>
        <v>Petrol</v>
      </c>
      <c r="G32" s="202">
        <f>IFERROR(_xlfn.XLOOKUP($E32, Table_Fuel_EFs_StationaryLiquid[Fuel combusted], Table_Fuel_EFs_StationaryLiquid[Energy Content Factor (GJ per unit of fuel)]),0)</f>
        <v>34.200000000000003</v>
      </c>
      <c r="H32" s="202">
        <f>IFERROR(_xlfn.XLOOKUP($E32, Table_Fuel_EFs_StationaryLiquid[Fuel combusted], Table_Fuel_EFs_StationaryLiquid[Scope 1 Emission Factor (kg CO2 - e / GJ) CO2]),0)</f>
        <v>67.400000000000006</v>
      </c>
      <c r="I32" s="202">
        <f>IFERROR(_xlfn.XLOOKUP($E32, Table_Fuel_EFs_StationaryLiquid[Fuel combusted], Table_Fuel_EFs_StationaryLiquid[Scope 1 Emission Factor (kg CO2 - e / GJ) CH4]),0)</f>
        <v>0.2</v>
      </c>
      <c r="J32" s="202">
        <f>IFERROR(_xlfn.XLOOKUP($E32, Table_Fuel_EFs_StationaryLiquid[Fuel combusted], Table_Fuel_EFs_StationaryLiquid[Scope 1 Emission Factor (kg CO2 - e / GJ) N2O]),0)</f>
        <v>0.2</v>
      </c>
      <c r="K32" s="202">
        <f>IFERROR(_xlfn.XLOOKUP($E32, Table_Fuel_EFs_StationaryLiquid[Fuel combusted], Table_Fuel_EFs_StationaryLiquid[Scope 3 Emission Factor (kg CO2 - e / GJ)]),0)</f>
        <v>17.2</v>
      </c>
      <c r="L32" s="198" cm="1">
        <f t="array" ref="L32">Fuel_InputFunctions.Fuel_TotalConsumption(Table_Input_Fuel[Amount consumed], Table_Input_Fuel[Fuel use (select)], D32, Table_Input_Fuel[Fuel type (select)],F32)</f>
        <v>10</v>
      </c>
      <c r="M32" s="199" t="str" cm="1">
        <f t="array" ref="M32">Common_InputFunctions.Utility_LookupValueInTable(F32,Table_FuelTypes_Units[Fuel type],Table_FuelTypes_Units[Unit])</f>
        <v>kL</v>
      </c>
      <c r="N32" s="213" cm="1">
        <f t="array" ref="N32">Fuel_Equations.VEERG_8_2_1_1__1_FuelCombustionStationary($L32,$G32,H32)</f>
        <v>23.050800000000002</v>
      </c>
      <c r="O32" s="213" cm="1">
        <f t="array" ref="O32">Fuel_Equations.VEERG_8_2_1_1__1_FuelCombustionStationary($L32,$G32,I32)</f>
        <v>6.8400000000000002E-2</v>
      </c>
      <c r="P32" s="213" cm="1">
        <f t="array" ref="P32">Fuel_Equations.VEERG_8_2_1_1__1_FuelCombustionStationary($L32,$G32,J32)</f>
        <v>6.8400000000000002E-2</v>
      </c>
      <c r="Q32" s="213" cm="1">
        <f t="array" ref="Q32">Fuel_Equations.VEERG_8_2_1_1__1_FuelCombustionStationary($L32,$G32,IF(ISNUMBER(K32), K32, 0))</f>
        <v>5.8823999999999996</v>
      </c>
    </row>
    <row r="33" spans="1:17" ht="20.100000000000001" customHeight="1" x14ac:dyDescent="0.25">
      <c r="A33" s="5" t="str">
        <f>HYPERLINK("#'6.4.1.1-2 Residue burning'!A1", "6.4.1.1-2 Residue burning")</f>
        <v>6.4.1.1-2 Residue burning</v>
      </c>
      <c r="D33" s="191" t="str">
        <f t="shared" ref="D33:D40" si="1">$D$32</f>
        <v>Power standalone machinery or heating</v>
      </c>
      <c r="E33" s="189" t="str">
        <f>'Constants - Fuel'!$D$63</f>
        <v>Diesel oil</v>
      </c>
      <c r="F33" s="189" t="str">
        <f>'Constants - Fuel'!E132</f>
        <v>Diesel</v>
      </c>
      <c r="G33" s="25">
        <f>IFERROR(_xlfn.XLOOKUP($E33, Table_Fuel_EFs_StationaryLiquid[Fuel combusted], Table_Fuel_EFs_StationaryLiquid[Energy Content Factor (GJ per unit of fuel)]),0)</f>
        <v>38.6</v>
      </c>
      <c r="H33" s="25">
        <f>IFERROR(_xlfn.XLOOKUP($E33, Table_Fuel_EFs_StationaryLiquid[Fuel combusted], Table_Fuel_EFs_StationaryLiquid[Scope 1 Emission Factor (kg CO2 - e / GJ) CO2]),0)</f>
        <v>69.900000000000006</v>
      </c>
      <c r="I33" s="25">
        <f>IFERROR(_xlfn.XLOOKUP($E33, Table_Fuel_EFs_StationaryLiquid[Fuel combusted], Table_Fuel_EFs_StationaryLiquid[Scope 1 Emission Factor (kg CO2 - e / GJ) CH4]),0)</f>
        <v>0.1</v>
      </c>
      <c r="J33" s="25">
        <f>IFERROR(_xlfn.XLOOKUP($E33, Table_Fuel_EFs_StationaryLiquid[Fuel combusted], Table_Fuel_EFs_StationaryLiquid[Scope 1 Emission Factor (kg CO2 - e / GJ) N2O]),0)</f>
        <v>0.2</v>
      </c>
      <c r="K33" s="25">
        <f>IFERROR(_xlfn.XLOOKUP($E33, Table_Fuel_EFs_StationaryLiquid[Fuel combusted], Table_Fuel_EFs_StationaryLiquid[Scope 3 Emission Factor (kg CO2 - e / GJ)]),0)</f>
        <v>17.3</v>
      </c>
      <c r="L33" s="25" cm="1">
        <f t="array" ref="L33">Fuel_InputFunctions.Fuel_TotalConsumption(Table_Input_Fuel[Amount consumed], Table_Input_Fuel[Fuel use (select)], D33, Table_Input_Fuel[Fuel type (select)],F33)</f>
        <v>0</v>
      </c>
      <c r="M33" s="25" t="str" cm="1">
        <f t="array" ref="M33">Common_InputFunctions.Utility_LookupValueInTable(F33,Table_FuelTypes_Units[Fuel type],Table_FuelTypes_Units[Unit])</f>
        <v>kL</v>
      </c>
      <c r="N33" s="211" cm="1">
        <f t="array" ref="N33">Fuel_Equations.VEERG_8_2_1_1__1_FuelCombustionStationary($L33,$G33,H33)</f>
        <v>0</v>
      </c>
      <c r="O33" s="211" cm="1">
        <f t="array" ref="O33">Fuel_Equations.VEERG_8_2_1_1__1_FuelCombustionStationary($L33,$G33,I33)</f>
        <v>0</v>
      </c>
      <c r="P33" s="211" cm="1">
        <f t="array" ref="P33">Fuel_Equations.VEERG_8_2_1_1__1_FuelCombustionStationary($L33,$G33,J33)</f>
        <v>0</v>
      </c>
      <c r="Q33" s="211" cm="1">
        <f t="array" ref="Q33">Fuel_Equations.VEERG_8_2_1_1__1_FuelCombustionStationary($L33,$G33,IF(ISNUMBER(K33), K33, 0))</f>
        <v>0</v>
      </c>
    </row>
    <row r="34" spans="1:17" ht="20.100000000000001" customHeight="1" x14ac:dyDescent="0.25">
      <c r="A34" s="5" t="str">
        <f>HYPERLINK("#'8.1.1.1-2 Transport fuel'!A1", "8.1.1.1-2 Transport fuel")</f>
        <v>8.1.1.1-2 Transport fuel</v>
      </c>
      <c r="D34" s="191" t="str">
        <f t="shared" si="1"/>
        <v>Power standalone machinery or heating</v>
      </c>
      <c r="E34" s="189" t="str">
        <f>'Constants - Fuel'!$D$67</f>
        <v>Liquefied petroleum gas (LPG)</v>
      </c>
      <c r="F34" s="189" t="str">
        <f>'Constants - Fuel'!E133</f>
        <v>Liquefied petroleum gas (LPG)</v>
      </c>
      <c r="G34" s="25">
        <f>IFERROR(_xlfn.XLOOKUP($E34, Table_Fuel_EFs_StationaryLiquid[Fuel combusted], Table_Fuel_EFs_StationaryLiquid[Energy Content Factor (GJ per unit of fuel)]),0)</f>
        <v>25.7</v>
      </c>
      <c r="H34" s="25">
        <f>IFERROR(_xlfn.XLOOKUP($E34, Table_Fuel_EFs_StationaryLiquid[Fuel combusted], Table_Fuel_EFs_StationaryLiquid[Scope 1 Emission Factor (kg CO2 - e / GJ) CO2]),0)</f>
        <v>60.2</v>
      </c>
      <c r="I34" s="25">
        <f>IFERROR(_xlfn.XLOOKUP($E34, Table_Fuel_EFs_StationaryLiquid[Fuel combusted], Table_Fuel_EFs_StationaryLiquid[Scope 1 Emission Factor (kg CO2 - e / GJ) CH4]),0)</f>
        <v>0.2</v>
      </c>
      <c r="J34" s="25">
        <f>IFERROR(_xlfn.XLOOKUP($E34, Table_Fuel_EFs_StationaryLiquid[Fuel combusted], Table_Fuel_EFs_StationaryLiquid[Scope 1 Emission Factor (kg CO2 - e / GJ) N2O]),0)</f>
        <v>0.2</v>
      </c>
      <c r="K34" s="25">
        <f>IFERROR(_xlfn.XLOOKUP($E34, Table_Fuel_EFs_StationaryLiquid[Fuel combusted], Table_Fuel_EFs_StationaryLiquid[Scope 3 Emission Factor (kg CO2 - e / GJ)]),0)</f>
        <v>20.2</v>
      </c>
      <c r="L34" s="25" cm="1">
        <f t="array" ref="L34">Fuel_InputFunctions.Fuel_TotalConsumption(Table_Input_Fuel[Amount consumed], Table_Input_Fuel[Fuel use (select)], D34, Table_Input_Fuel[Fuel type (select)],F34)</f>
        <v>0</v>
      </c>
      <c r="M34" s="25" t="str" cm="1">
        <f t="array" ref="M34">Common_InputFunctions.Utility_LookupValueInTable(F34,Table_FuelTypes_Units[Fuel type],Table_FuelTypes_Units[Unit])</f>
        <v>kL</v>
      </c>
      <c r="N34" s="211" cm="1">
        <f t="array" ref="N34">Fuel_Equations.VEERG_8_2_1_1__1_FuelCombustionStationary($L34,$G34,H34)</f>
        <v>0</v>
      </c>
      <c r="O34" s="211" cm="1">
        <f t="array" ref="O34">Fuel_Equations.VEERG_8_2_1_1__1_FuelCombustionStationary($L34,$G34,I34)</f>
        <v>0</v>
      </c>
      <c r="P34" s="211" cm="1">
        <f t="array" ref="P34">Fuel_Equations.VEERG_8_2_1_1__1_FuelCombustionStationary($L34,$G34,J34)</f>
        <v>0</v>
      </c>
      <c r="Q34" s="211" cm="1">
        <f t="array" ref="Q34">Fuel_Equations.VEERG_8_2_1_1__1_FuelCombustionStationary($L34,$G34,IF(ISNUMBER(K34), K34, 0))</f>
        <v>0</v>
      </c>
    </row>
    <row r="35" spans="1:17" ht="20.100000000000001" customHeight="1" x14ac:dyDescent="0.25">
      <c r="A35" s="142" t="str">
        <f>HYPERLINK("#'8.2.1.1-2 Stationary fuel'!A1", "8.2.1.1-2 Stationary fuel")</f>
        <v>8.2.1.1-2 Stationary fuel</v>
      </c>
      <c r="D35" s="191" t="str">
        <f t="shared" si="1"/>
        <v>Power standalone machinery or heating</v>
      </c>
      <c r="E35" s="189" t="str">
        <f>'Constants - Fuel'!$D$73</f>
        <v>Biodiesel</v>
      </c>
      <c r="F35" s="189" t="str">
        <f>'Constants - Fuel'!E134</f>
        <v>Biodiesel</v>
      </c>
      <c r="G35" s="25">
        <f>IFERROR(_xlfn.XLOOKUP($E35, Table_Fuel_EFs_StationaryLiquid[Fuel combusted], Table_Fuel_EFs_StationaryLiquid[Energy Content Factor (GJ per unit of fuel)]),0)</f>
        <v>34.6</v>
      </c>
      <c r="H35" s="25">
        <f>IFERROR(_xlfn.XLOOKUP($E35, Table_Fuel_EFs_StationaryLiquid[Fuel combusted], Table_Fuel_EFs_StationaryLiquid[Scope 1 Emission Factor (kg CO2 - e / GJ) CO2]),0)</f>
        <v>0</v>
      </c>
      <c r="I35" s="25">
        <f>IFERROR(_xlfn.XLOOKUP($E35, Table_Fuel_EFs_StationaryLiquid[Fuel combusted], Table_Fuel_EFs_StationaryLiquid[Scope 1 Emission Factor (kg CO2 - e / GJ) CH4]),0)</f>
        <v>0.08</v>
      </c>
      <c r="J35" s="25">
        <f>IFERROR(_xlfn.XLOOKUP($E35, Table_Fuel_EFs_StationaryLiquid[Fuel combusted], Table_Fuel_EFs_StationaryLiquid[Scope 1 Emission Factor (kg CO2 - e / GJ) N2O]),0)</f>
        <v>0.2</v>
      </c>
      <c r="K35" s="25" t="str">
        <f>IFERROR(_xlfn.XLOOKUP($E35, Table_Fuel_EFs_StationaryLiquid[Fuel combusted], Table_Fuel_EFs_StationaryLiquid[Scope 3 Emission Factor (kg CO2 - e / GJ)]),0)</f>
        <v>NE</v>
      </c>
      <c r="L35" s="25" cm="1">
        <f t="array" ref="L35">Fuel_InputFunctions.Fuel_TotalConsumption(Table_Input_Fuel[Amount consumed], Table_Input_Fuel[Fuel use (select)], D35, Table_Input_Fuel[Fuel type (select)],F35)</f>
        <v>0</v>
      </c>
      <c r="M35" s="25" t="str" cm="1">
        <f t="array" ref="M35">Common_InputFunctions.Utility_LookupValueInTable(F35,Table_FuelTypes_Units[Fuel type],Table_FuelTypes_Units[Unit])</f>
        <v>kL</v>
      </c>
      <c r="N35" s="211" cm="1">
        <f t="array" ref="N35">Fuel_Equations.VEERG_8_2_1_1__1_FuelCombustionStationary($L35,$G35,H35)</f>
        <v>0</v>
      </c>
      <c r="O35" s="211" cm="1">
        <f t="array" ref="O35">Fuel_Equations.VEERG_8_2_1_1__1_FuelCombustionStationary($L35,$G35,I35)</f>
        <v>0</v>
      </c>
      <c r="P35" s="211" cm="1">
        <f t="array" ref="P35">Fuel_Equations.VEERG_8_2_1_1__1_FuelCombustionStationary($L35,$G35,J35)</f>
        <v>0</v>
      </c>
      <c r="Q35" s="211" cm="1">
        <f t="array" ref="Q35">Fuel_Equations.VEERG_8_2_1_1__1_FuelCombustionStationary($L35,$G35,IF(ISNUMBER(K35), K35, 0))</f>
        <v>0</v>
      </c>
    </row>
    <row r="36" spans="1:17" ht="20.100000000000001" customHeight="1" x14ac:dyDescent="0.25">
      <c r="A36" s="5" t="str">
        <f>HYPERLINK("#'14.1.1-2 Purchased electricity'!A1", "14.1.1-2 Purchased electricity")</f>
        <v>14.1.1-2 Purchased electricity</v>
      </c>
      <c r="D36" s="191" t="str">
        <f t="shared" si="1"/>
        <v>Power standalone machinery or heating</v>
      </c>
      <c r="E36" s="189" t="str">
        <f>'Constants - Fuel'!$D$74</f>
        <v>Ethanol for use as a fuel in an internal combustion engine</v>
      </c>
      <c r="F36" s="189" t="str">
        <f>'Constants - Fuel'!E135</f>
        <v>Ethanol</v>
      </c>
      <c r="G36" s="25">
        <f>IFERROR(_xlfn.XLOOKUP($E36, Table_Fuel_EFs_StationaryLiquid[Fuel combusted], Table_Fuel_EFs_StationaryLiquid[Energy Content Factor (GJ per unit of fuel)]),0)</f>
        <v>23.4</v>
      </c>
      <c r="H36" s="25">
        <f>IFERROR(_xlfn.XLOOKUP($E36, Table_Fuel_EFs_StationaryLiquid[Fuel combusted], Table_Fuel_EFs_StationaryLiquid[Scope 1 Emission Factor (kg CO2 - e / GJ) CO2]),0)</f>
        <v>0</v>
      </c>
      <c r="I36" s="25">
        <f>IFERROR(_xlfn.XLOOKUP($E36, Table_Fuel_EFs_StationaryLiquid[Fuel combusted], Table_Fuel_EFs_StationaryLiquid[Scope 1 Emission Factor (kg CO2 - e / GJ) CH4]),0)</f>
        <v>0.08</v>
      </c>
      <c r="J36" s="25">
        <f>IFERROR(_xlfn.XLOOKUP($E36, Table_Fuel_EFs_StationaryLiquid[Fuel combusted], Table_Fuel_EFs_StationaryLiquid[Scope 1 Emission Factor (kg CO2 - e / GJ) N2O]),0)</f>
        <v>0.2</v>
      </c>
      <c r="K36" s="25" t="str">
        <f>IFERROR(_xlfn.XLOOKUP($E36, Table_Fuel_EFs_StationaryLiquid[Fuel combusted], Table_Fuel_EFs_StationaryLiquid[Scope 3 Emission Factor (kg CO2 - e / GJ)]),0)</f>
        <v>NE</v>
      </c>
      <c r="L36" s="25" cm="1">
        <f t="array" ref="L36">Fuel_InputFunctions.Fuel_TotalConsumption(Table_Input_Fuel[Amount consumed], Table_Input_Fuel[Fuel use (select)], D36, Table_Input_Fuel[Fuel type (select)],F36)</f>
        <v>0</v>
      </c>
      <c r="M36" s="25" t="str" cm="1">
        <f t="array" ref="M36">Common_InputFunctions.Utility_LookupValueInTable(F36,Table_FuelTypes_Units[Fuel type],Table_FuelTypes_Units[Unit])</f>
        <v>kL</v>
      </c>
      <c r="N36" s="211" cm="1">
        <f t="array" ref="N36">Fuel_Equations.VEERG_8_2_1_1__1_FuelCombustionStationary($L36,$G36,H36)</f>
        <v>0</v>
      </c>
      <c r="O36" s="211" cm="1">
        <f t="array" ref="O36">Fuel_Equations.VEERG_8_2_1_1__1_FuelCombustionStationary($L36,$G36,I36)</f>
        <v>0</v>
      </c>
      <c r="P36" s="211" cm="1">
        <f t="array" ref="P36">Fuel_Equations.VEERG_8_2_1_1__1_FuelCombustionStationary($L36,$G36,J36)</f>
        <v>0</v>
      </c>
      <c r="Q36" s="211" cm="1">
        <f t="array" ref="Q36">Fuel_Equations.VEERG_8_2_1_1__1_FuelCombustionStationary($L36,$G36,IF(ISNUMBER(K36), K36, 0))</f>
        <v>0</v>
      </c>
    </row>
    <row r="37" spans="1:17" ht="20.100000000000001" customHeight="1" x14ac:dyDescent="0.25">
      <c r="A37" s="5" t="str">
        <f>HYPERLINK("#'15 Scope 3'!A1", "15 Scope 3")</f>
        <v>15 Scope 3</v>
      </c>
      <c r="D37" s="191" t="str">
        <f t="shared" si="1"/>
        <v>Power standalone machinery or heating</v>
      </c>
      <c r="E37" s="189" t="str">
        <f>'Constants - Fuel'!$D$75</f>
        <v>Biofuels other than those mentioned in the items above and below</v>
      </c>
      <c r="F37" s="189" t="str">
        <f>'Constants - Fuel'!E136</f>
        <v>Other biofuels</v>
      </c>
      <c r="G37" s="25">
        <f>IFERROR(_xlfn.XLOOKUP($E37, Table_Fuel_EFs_StationaryLiquid[Fuel combusted], Table_Fuel_EFs_StationaryLiquid[Energy Content Factor (GJ per unit of fuel)]),0)</f>
        <v>23.4</v>
      </c>
      <c r="H37" s="25">
        <f>IFERROR(_xlfn.XLOOKUP($E37, Table_Fuel_EFs_StationaryLiquid[Fuel combusted], Table_Fuel_EFs_StationaryLiquid[Scope 1 Emission Factor (kg CO2 - e / GJ) CO2]),0)</f>
        <v>0</v>
      </c>
      <c r="I37" s="25">
        <f>IFERROR(_xlfn.XLOOKUP($E37, Table_Fuel_EFs_StationaryLiquid[Fuel combusted], Table_Fuel_EFs_StationaryLiquid[Scope 1 Emission Factor (kg CO2 - e / GJ) CH4]),0)</f>
        <v>0.08</v>
      </c>
      <c r="J37" s="25">
        <f>IFERROR(_xlfn.XLOOKUP($E37, Table_Fuel_EFs_StationaryLiquid[Fuel combusted], Table_Fuel_EFs_StationaryLiquid[Scope 1 Emission Factor (kg CO2 - e / GJ) N2O]),0)</f>
        <v>0.2</v>
      </c>
      <c r="K37" s="25" t="str">
        <f>IFERROR(_xlfn.XLOOKUP($E37, Table_Fuel_EFs_StationaryLiquid[Fuel combusted], Table_Fuel_EFs_StationaryLiquid[Scope 3 Emission Factor (kg CO2 - e / GJ)]),0)</f>
        <v>NE</v>
      </c>
      <c r="L37" s="25" cm="1">
        <f t="array" ref="L37">Fuel_InputFunctions.Fuel_TotalConsumption(Table_Input_Fuel[Amount consumed], Table_Input_Fuel[Fuel use (select)], D37, Table_Input_Fuel[Fuel type (select)],F37)</f>
        <v>0</v>
      </c>
      <c r="M37" s="25" t="str" cm="1">
        <f t="array" ref="M37">Common_InputFunctions.Utility_LookupValueInTable(F37,Table_FuelTypes_Units[Fuel type],Table_FuelTypes_Units[Unit])</f>
        <v>kL</v>
      </c>
      <c r="N37" s="211" cm="1">
        <f t="array" ref="N37">Fuel_Equations.VEERG_8_2_1_1__1_FuelCombustionStationary($L37,$G37,H37)</f>
        <v>0</v>
      </c>
      <c r="O37" s="211" cm="1">
        <f t="array" ref="O37">Fuel_Equations.VEERG_8_2_1_1__1_FuelCombustionStationary($L37,$G37,I37)</f>
        <v>0</v>
      </c>
      <c r="P37" s="211" cm="1">
        <f t="array" ref="P37">Fuel_Equations.VEERG_8_2_1_1__1_FuelCombustionStationary($L37,$G37,J37)</f>
        <v>0</v>
      </c>
      <c r="Q37" s="211" cm="1">
        <f t="array" ref="Q37">Fuel_Equations.VEERG_8_2_1_1__1_FuelCombustionStationary($L37,$G37,IF(ISNUMBER(K37), K37, 0))</f>
        <v>0</v>
      </c>
    </row>
    <row r="38" spans="1:17" ht="20.100000000000001" customHeight="1" x14ac:dyDescent="0.25">
      <c r="A38" s="5" t="str">
        <f>HYPERLINK("#'Calcs - Manure sent off-site'!A1", "Calcs - Manure sent off-site")</f>
        <v>Calcs - Manure sent off-site</v>
      </c>
      <c r="D38" s="191" t="str">
        <f t="shared" si="1"/>
        <v>Power standalone machinery or heating</v>
      </c>
      <c r="E38" s="189" t="str">
        <f>'Constants - Fuel'!$D$77</f>
        <v>Renewable diesel</v>
      </c>
      <c r="F38" s="189" t="str">
        <f>'Constants - Fuel'!E137</f>
        <v>Renewable diesel</v>
      </c>
      <c r="G38" s="25">
        <f>IFERROR(_xlfn.XLOOKUP($E38, Table_Fuel_EFs_StationaryLiquid[Fuel combusted], Table_Fuel_EFs_StationaryLiquid[Energy Content Factor (GJ per unit of fuel)]),0)</f>
        <v>38.6</v>
      </c>
      <c r="H38" s="25">
        <f>IFERROR(_xlfn.XLOOKUP($E38, Table_Fuel_EFs_StationaryLiquid[Fuel combusted], Table_Fuel_EFs_StationaryLiquid[Scope 1 Emission Factor (kg CO2 - e / GJ) CO2]),0)</f>
        <v>0</v>
      </c>
      <c r="I38" s="25">
        <f>IFERROR(_xlfn.XLOOKUP($E38, Table_Fuel_EFs_StationaryLiquid[Fuel combusted], Table_Fuel_EFs_StationaryLiquid[Scope 1 Emission Factor (kg CO2 - e / GJ) CH4]),0)</f>
        <v>0.1</v>
      </c>
      <c r="J38" s="25">
        <f>IFERROR(_xlfn.XLOOKUP($E38, Table_Fuel_EFs_StationaryLiquid[Fuel combusted], Table_Fuel_EFs_StationaryLiquid[Scope 1 Emission Factor (kg CO2 - e / GJ) N2O]),0)</f>
        <v>0.2</v>
      </c>
      <c r="K38" s="25" t="str">
        <f>IFERROR(_xlfn.XLOOKUP($E38, Table_Fuel_EFs_StationaryLiquid[Fuel combusted], Table_Fuel_EFs_StationaryLiquid[Scope 3 Emission Factor (kg CO2 - e / GJ)]),0)</f>
        <v>NE</v>
      </c>
      <c r="L38" s="25" cm="1">
        <f t="array" ref="L38">Fuel_InputFunctions.Fuel_TotalConsumption(Table_Input_Fuel[Amount consumed], Table_Input_Fuel[Fuel use (select)], D38, Table_Input_Fuel[Fuel type (select)],F38)</f>
        <v>0</v>
      </c>
      <c r="M38" s="25" t="str" cm="1">
        <f t="array" ref="M38">Common_InputFunctions.Utility_LookupValueInTable(F38,Table_FuelTypes_Units[Fuel type],Table_FuelTypes_Units[Unit])</f>
        <v>kL</v>
      </c>
      <c r="N38" s="211" cm="1">
        <f t="array" ref="N38">Fuel_Equations.VEERG_8_2_1_1__1_FuelCombustionStationary($L38,$G38,H38)</f>
        <v>0</v>
      </c>
      <c r="O38" s="211" cm="1">
        <f t="array" ref="O38">Fuel_Equations.VEERG_8_2_1_1__1_FuelCombustionStationary($L38,$G38,I38)</f>
        <v>0</v>
      </c>
      <c r="P38" s="211" cm="1">
        <f t="array" ref="P38">Fuel_Equations.VEERG_8_2_1_1__1_FuelCombustionStationary($L38,$G38,J38)</f>
        <v>0</v>
      </c>
      <c r="Q38" s="211" cm="1">
        <f t="array" ref="Q38">Fuel_Equations.VEERG_8_2_1_1__1_FuelCombustionStationary($L38,$G38,IF(ISNUMBER(K38), K38, 0))</f>
        <v>0</v>
      </c>
    </row>
    <row r="39" spans="1:17" ht="20.100000000000001" customHeight="1" x14ac:dyDescent="0.25">
      <c r="A39" s="5" t="str">
        <f>HYPERLINK("#'10.1.1-2 Solid waste treatment'!A1", "10.1.1-2 Solid waste treatment")</f>
        <v>10.1.1-2 Solid waste treatment</v>
      </c>
      <c r="D39" s="191" t="str">
        <f t="shared" si="1"/>
        <v>Power standalone machinery or heating</v>
      </c>
      <c r="E39" s="189" t="str">
        <f>'Constants - Fuel'!$D$103</f>
        <v>Natural gas distributed in a pipeline - Gigajoules</v>
      </c>
      <c r="F39" s="189" t="str">
        <f>'Constants - Fuel'!E138</f>
        <v>Natural gas (via pipeline) in GJ</v>
      </c>
      <c r="G39" s="25">
        <f>IFERROR(_xlfn.XLOOKUP($E39, Table_Fuel_EFs_StationaryGaseous[Fuel combusted], Table_Fuel_EFs_StationaryGaseous[Energy Content Factor (GJ per unit of fuel)]),0)</f>
        <v>1</v>
      </c>
      <c r="H39" s="25">
        <f>IFERROR(_xlfn.XLOOKUP($E39, Table_Fuel_EFs_StationaryGaseous[Fuel combusted], Table_Fuel_EFs_StationaryGaseous[Scope 1 Emission Factor (kg CO2 - e / GJ) CO2]),0)</f>
        <v>51.4</v>
      </c>
      <c r="I39" s="25">
        <f>IFERROR(_xlfn.XLOOKUP($E39, Table_Fuel_EFs_StationaryGaseous[Fuel combusted], Table_Fuel_EFs_StationaryGaseous[Scope 1 Emission Factor (kg CO2 - e / GJ) CH4]),0)</f>
        <v>0.1</v>
      </c>
      <c r="J39" s="25">
        <f>IFERROR(_xlfn.XLOOKUP($E39, Table_Fuel_EFs_StationaryGaseous[Fuel combusted], Table_Fuel_EFs_StationaryGaseous[Scope 1 Emission Factor (kg CO2 - e / GJ) N2O]),0)</f>
        <v>0.03</v>
      </c>
      <c r="K39" s="25" cm="1">
        <f t="array" ref="K39">IFERROR(Common_InputFunctions.Utility_LookupValueInTableOneColumnAndHeader($P$17,$P$18,Table_Fuel_EFs_StationaryGaseous34[State or territory],Table_Fuel_EFs_StationaryGaseous34[#Headers],Table_Fuel_EFs_StationaryGaseous34[#Data]),0)</f>
        <v>4.0999999999999996</v>
      </c>
      <c r="L39" s="167" cm="1">
        <f t="array" ref="L39">Fuel_InputFunctions.Fuel_TotalConsumption(Table_Input_Fuel[Amount consumed], Table_Input_Fuel[Fuel use (select)], D39, Table_Input_Fuel[Fuel type (select)],F39)</f>
        <v>0</v>
      </c>
      <c r="M39" s="167" t="str" cm="1">
        <f t="array" ref="M39">Common_InputFunctions.Utility_LookupValueInTable(F39,Table_FuelTypes_Units[Fuel type],Table_FuelTypes_Units[Unit])</f>
        <v>GJ</v>
      </c>
      <c r="N39" s="211" cm="1">
        <f t="array" ref="N39">Fuel_Equations.VEERG_8_2_1_1__1_FuelCombustionStationary($L39,$G39,H39)</f>
        <v>0</v>
      </c>
      <c r="O39" s="211" cm="1">
        <f t="array" ref="O39">Fuel_Equations.VEERG_8_2_1_1__1_FuelCombustionStationary($L39,$G39,I39)</f>
        <v>0</v>
      </c>
      <c r="P39" s="211" cm="1">
        <f t="array" ref="P39">Fuel_Equations.VEERG_8_2_1_1__1_FuelCombustionStationary($L39,$G39,J39)</f>
        <v>0</v>
      </c>
      <c r="Q39" s="211" cm="1">
        <f t="array" ref="Q39">Fuel_Equations.VEERG_8_2_1_1__1_FuelCombustionStationary($L39,$G39,IF(ISNUMBER(K39), K39, 0))</f>
        <v>0</v>
      </c>
    </row>
    <row r="40" spans="1:17" ht="20.100000000000001" customHeight="1" x14ac:dyDescent="0.25">
      <c r="D40" s="191" t="str">
        <f t="shared" si="1"/>
        <v>Power standalone machinery or heating</v>
      </c>
      <c r="E40" s="189" t="str">
        <f>'Constants - Fuel'!$D$104</f>
        <v>Town gas - Gigajoules</v>
      </c>
      <c r="F40" s="189" t="str">
        <f>'Constants - Fuel'!E139</f>
        <v>Town gas in GJ</v>
      </c>
      <c r="G40" s="25">
        <f>IFERROR(_xlfn.XLOOKUP($E40, Table_Fuel_EFs_StationaryGaseous[Fuel combusted], Table_Fuel_EFs_StationaryGaseous[Energy Content Factor (GJ per unit of fuel)]),0)</f>
        <v>1</v>
      </c>
      <c r="H40" s="25">
        <f>IFERROR(_xlfn.XLOOKUP($E40, Table_Fuel_EFs_StationaryGaseous[Fuel combusted], Table_Fuel_EFs_StationaryGaseous[Scope 1 Emission Factor (kg CO2 - e / GJ) CO2]),0)</f>
        <v>60.2</v>
      </c>
      <c r="I40" s="25">
        <f>IFERROR(_xlfn.XLOOKUP($E40, Table_Fuel_EFs_StationaryGaseous[Fuel combusted], Table_Fuel_EFs_StationaryGaseous[Scope 1 Emission Factor (kg CO2 - e / GJ) CH4]),0)</f>
        <v>0.04</v>
      </c>
      <c r="J40" s="25">
        <f>IFERROR(_xlfn.XLOOKUP($E40, Table_Fuel_EFs_StationaryGaseous[Fuel combusted], Table_Fuel_EFs_StationaryGaseous[Scope 1 Emission Factor (kg CO2 - e / GJ) N2O]),0)</f>
        <v>0.03</v>
      </c>
      <c r="K40" s="25" cm="1">
        <f t="array" ref="K40">IFERROR(Common_InputFunctions.Utility_LookupValueInTableOneColumnAndHeader($P$17,$P$18,Table_Fuel_EFs_StationaryGaseous34[State or territory],Table_Fuel_EFs_StationaryGaseous34[#Headers],Table_Fuel_EFs_StationaryGaseous34[#Data]),0)</f>
        <v>4.0999999999999996</v>
      </c>
      <c r="L40" s="167" cm="1">
        <f t="array" ref="L40">Fuel_InputFunctions.Fuel_TotalConsumption(Table_Input_Fuel[Amount consumed], Table_Input_Fuel[Fuel use (select)], D40, Table_Input_Fuel[Fuel type (select)],F40)</f>
        <v>100</v>
      </c>
      <c r="M40" s="167" t="str" cm="1">
        <f t="array" ref="M40">Common_InputFunctions.Utility_LookupValueInTable(F40,Table_FuelTypes_Units[Fuel type],Table_FuelTypes_Units[Unit])</f>
        <v>GJ</v>
      </c>
      <c r="N40" s="211" cm="1">
        <f t="array" ref="N40">Fuel_Equations.VEERG_8_2_1_1__1_FuelCombustionStationary($L40,$G40,H40)</f>
        <v>6.0200000000000005</v>
      </c>
      <c r="O40" s="211" cm="1">
        <f t="array" ref="O40">Fuel_Equations.VEERG_8_2_1_1__1_FuelCombustionStationary($L40,$G40,I40)</f>
        <v>4.0000000000000001E-3</v>
      </c>
      <c r="P40" s="211" cm="1">
        <f t="array" ref="P40">Fuel_Equations.VEERG_8_2_1_1__1_FuelCombustionStationary($L40,$G40,J40)</f>
        <v>3.0000000000000001E-3</v>
      </c>
      <c r="Q40" s="211" cm="1">
        <f t="array" ref="Q40">Fuel_Equations.VEERG_8_2_1_1__1_FuelCombustionStationary($L40,$G40,IF(ISNUMBER(K40), K40, 0))</f>
        <v>0.41</v>
      </c>
    </row>
    <row r="41" spans="1:17" ht="20.100000000000001" customHeight="1" x14ac:dyDescent="0.25"/>
    <row r="42" spans="1:17" ht="20.100000000000001" customHeight="1" x14ac:dyDescent="0.25">
      <c r="A42" s="108" t="s">
        <v>1</v>
      </c>
      <c r="D42" s="204" t="str">
        <f>"Total scope 1 - " &amp; D25</f>
        <v>Total scope 1 - Generators</v>
      </c>
      <c r="E42" s="205"/>
      <c r="F42" s="206"/>
    </row>
    <row r="43" spans="1:17" ht="20.100000000000001" customHeight="1" x14ac:dyDescent="0.25">
      <c r="A43" s="5" t="str">
        <f>HYPERLINK("#'Constants - Ag Residue'!A1", "Constants - Ag residue")</f>
        <v>Constants - Ag residue</v>
      </c>
      <c r="D43" s="35" t="s">
        <v>482</v>
      </c>
      <c r="E43" s="207">
        <f>SUM(N25:N31)+N("Partial sum")</f>
        <v>0</v>
      </c>
      <c r="F43" s="26" t="str">
        <f>$E$12</f>
        <v>t CO2-e</v>
      </c>
    </row>
    <row r="44" spans="1:17" ht="20.100000000000001" customHeight="1" x14ac:dyDescent="0.25">
      <c r="A44" s="5" t="str">
        <f>HYPERLINK("#'Constants - Common Livestock'!A1", "Constants - Common Livestock")</f>
        <v>Constants - Common Livestock</v>
      </c>
      <c r="D44" s="35" t="s">
        <v>483</v>
      </c>
      <c r="E44" s="207">
        <f>SUM(O25:O31)+N("Partial sum")</f>
        <v>0</v>
      </c>
      <c r="F44" s="26" t="str">
        <f t="shared" ref="F44:F46" si="2">$E$12</f>
        <v>t CO2-e</v>
      </c>
    </row>
    <row r="45" spans="1:17" ht="20.100000000000001" customHeight="1" x14ac:dyDescent="0.25">
      <c r="A45" s="5" t="str">
        <f>HYPERLINK("#'Constants - Electricity'!A1", "Constants - Electricity")</f>
        <v>Constants - Electricity</v>
      </c>
      <c r="D45" s="35" t="s">
        <v>484</v>
      </c>
      <c r="E45" s="207">
        <f>SUM(P25:P31)+N("Partial sum")</f>
        <v>0</v>
      </c>
      <c r="F45" s="26" t="str">
        <f t="shared" si="2"/>
        <v>t CO2-e</v>
      </c>
    </row>
    <row r="46" spans="1:17" ht="20.100000000000001" customHeight="1" x14ac:dyDescent="0.25">
      <c r="A46" s="5" t="str">
        <f>HYPERLINK("#'Constants - Fertiliser'!A1", "Constants - Fertiliser")</f>
        <v>Constants - Fertiliser</v>
      </c>
      <c r="D46" s="35" t="s">
        <v>485</v>
      </c>
      <c r="E46" s="207">
        <f>SUM(Q25:Q31)+N("Partial sum")</f>
        <v>0</v>
      </c>
      <c r="F46" s="26" t="str">
        <f t="shared" si="2"/>
        <v>t CO2-e</v>
      </c>
    </row>
    <row r="47" spans="1:17" ht="20.100000000000001" customHeight="1" x14ac:dyDescent="0.25">
      <c r="A47" s="5" t="str">
        <f>HYPERLINK("#'Constants - Fuel'!A1", "Constants - Fuel")</f>
        <v>Constants - Fuel</v>
      </c>
      <c r="H47" s="159"/>
      <c r="I47" s="159"/>
      <c r="J47" s="159"/>
      <c r="L47" s="159"/>
      <c r="N47" s="159"/>
      <c r="O47" s="159"/>
      <c r="P47" s="159"/>
      <c r="Q47" s="159"/>
    </row>
    <row r="48" spans="1:17" ht="20.100000000000001" customHeight="1" x14ac:dyDescent="0.25">
      <c r="A48" s="5" t="str">
        <f>HYPERLINK("#'Constants - Scope 3'!A1", "Constants - Scope 3")</f>
        <v>Constants - Scope 3</v>
      </c>
      <c r="D48" s="204" t="str">
        <f>"Total scope 1 - " &amp; D32</f>
        <v>Total scope 1 - Power standalone machinery or heating</v>
      </c>
      <c r="E48" s="208"/>
      <c r="F48" s="206"/>
      <c r="H48" s="159"/>
      <c r="I48" s="159"/>
      <c r="J48" s="159"/>
      <c r="L48" s="159"/>
      <c r="N48" s="159"/>
      <c r="O48" s="159"/>
      <c r="P48" s="159"/>
      <c r="Q48" s="159"/>
    </row>
    <row r="49" spans="1:17" ht="20.100000000000001" customHeight="1" x14ac:dyDescent="0.25">
      <c r="A49" s="5" t="str">
        <f>HYPERLINK("#'Constants - Common'!A1", "Constants - Common")</f>
        <v>Constants - Common</v>
      </c>
      <c r="D49" s="35" t="s">
        <v>482</v>
      </c>
      <c r="E49" s="207">
        <f>SUM(N32:N40)+N("Partial sum")</f>
        <v>29.070800000000002</v>
      </c>
      <c r="F49" s="26" t="str">
        <f t="shared" ref="F49:F52" si="3">$E$12</f>
        <v>t CO2-e</v>
      </c>
      <c r="H49" s="159"/>
      <c r="I49" s="159"/>
      <c r="J49" s="159"/>
      <c r="L49" s="159"/>
      <c r="N49" s="159"/>
      <c r="O49" s="159"/>
      <c r="P49" s="159"/>
      <c r="Q49" s="159"/>
    </row>
    <row r="50" spans="1:17" ht="20.100000000000001" customHeight="1" x14ac:dyDescent="0.25">
      <c r="A50" s="5" t="str">
        <f>HYPERLINK("#'Constants - Solid Waste'!A1", "Constants - Solid Waste")</f>
        <v>Constants - Solid Waste</v>
      </c>
      <c r="D50" s="35" t="s">
        <v>483</v>
      </c>
      <c r="E50" s="207">
        <f>SUM(O32:O40)+N("Partial sum")</f>
        <v>7.2400000000000006E-2</v>
      </c>
      <c r="F50" s="26" t="str">
        <f t="shared" si="3"/>
        <v>t CO2-e</v>
      </c>
      <c r="H50" s="159"/>
      <c r="I50" s="159"/>
      <c r="J50" s="159"/>
      <c r="L50" s="159"/>
      <c r="N50" s="159"/>
      <c r="O50" s="159"/>
      <c r="P50" s="159"/>
      <c r="Q50" s="159"/>
    </row>
    <row r="51" spans="1:17" ht="20.100000000000001" customHeight="1" x14ac:dyDescent="0.25">
      <c r="D51" s="35" t="s">
        <v>484</v>
      </c>
      <c r="E51" s="207">
        <f>SUM(P32:P40)+N("Partial sum")</f>
        <v>7.1400000000000005E-2</v>
      </c>
      <c r="F51" s="26" t="str">
        <f t="shared" si="3"/>
        <v>t CO2-e</v>
      </c>
      <c r="H51" s="159"/>
      <c r="I51" s="159"/>
      <c r="J51" s="159"/>
      <c r="L51" s="159"/>
      <c r="N51" s="159"/>
      <c r="O51" s="159"/>
      <c r="P51" s="159"/>
      <c r="Q51" s="159"/>
    </row>
    <row r="52" spans="1:17" ht="20.100000000000001" customHeight="1" x14ac:dyDescent="0.25">
      <c r="D52" s="35" t="s">
        <v>485</v>
      </c>
      <c r="E52" s="207">
        <f>SUM(Q32:Q40)+N("Partial sum")</f>
        <v>6.2923999999999998</v>
      </c>
      <c r="F52" s="26" t="str">
        <f t="shared" si="3"/>
        <v>t CO2-e</v>
      </c>
      <c r="G52" s="159"/>
      <c r="H52" s="159"/>
      <c r="I52" s="159"/>
      <c r="J52" s="159"/>
      <c r="L52" s="159"/>
      <c r="N52" s="159"/>
      <c r="O52" s="159"/>
      <c r="P52" s="159"/>
      <c r="Q52" s="159"/>
    </row>
    <row r="53" spans="1:17" ht="20.100000000000001" customHeight="1" x14ac:dyDescent="0.25">
      <c r="G53" s="159"/>
      <c r="H53" s="159"/>
      <c r="I53" s="159"/>
      <c r="J53" s="159"/>
      <c r="L53" s="159"/>
      <c r="N53" s="159"/>
      <c r="O53" s="159"/>
      <c r="P53" s="159"/>
      <c r="Q53" s="159"/>
    </row>
    <row r="54" spans="1:17" ht="20.100000000000001" customHeight="1" x14ac:dyDescent="0.25">
      <c r="D54" s="204" t="s">
        <v>496</v>
      </c>
      <c r="E54" s="208"/>
      <c r="F54" s="206"/>
      <c r="G54" s="159"/>
      <c r="H54" s="159"/>
      <c r="I54" s="159"/>
      <c r="J54" s="159"/>
      <c r="L54" s="159"/>
      <c r="N54" s="159"/>
      <c r="O54" s="159"/>
      <c r="P54" s="159"/>
      <c r="Q54" s="159"/>
    </row>
    <row r="55" spans="1:17" ht="20.100000000000001" customHeight="1" x14ac:dyDescent="0.25">
      <c r="D55" s="35" t="s">
        <v>482</v>
      </c>
      <c r="E55" s="207">
        <f>E43+E49</f>
        <v>29.070800000000002</v>
      </c>
      <c r="F55" s="26" t="str">
        <f t="shared" ref="F55:F58" si="4">$E$12</f>
        <v>t CO2-e</v>
      </c>
      <c r="G55" s="159"/>
      <c r="H55" s="159"/>
      <c r="I55" s="159"/>
      <c r="J55" s="159"/>
      <c r="L55" s="159"/>
      <c r="N55" s="159"/>
      <c r="O55" s="159"/>
      <c r="P55" s="159"/>
      <c r="Q55" s="159"/>
    </row>
    <row r="56" spans="1:17" ht="20.100000000000001" customHeight="1" x14ac:dyDescent="0.25">
      <c r="D56" s="35" t="s">
        <v>483</v>
      </c>
      <c r="E56" s="207">
        <f>E44+E50</f>
        <v>7.2400000000000006E-2</v>
      </c>
      <c r="F56" s="26" t="str">
        <f t="shared" si="4"/>
        <v>t CO2-e</v>
      </c>
      <c r="H56" s="159"/>
    </row>
    <row r="57" spans="1:17" ht="20.100000000000001" customHeight="1" x14ac:dyDescent="0.25">
      <c r="D57" s="35" t="s">
        <v>484</v>
      </c>
      <c r="E57" s="207">
        <f>E45+E51</f>
        <v>7.1400000000000005E-2</v>
      </c>
      <c r="F57" s="26" t="str">
        <f t="shared" si="4"/>
        <v>t CO2-e</v>
      </c>
      <c r="G57" s="159"/>
      <c r="H57" s="159"/>
      <c r="I57" s="159"/>
      <c r="J57" s="159"/>
      <c r="L57" s="159"/>
      <c r="N57" s="159"/>
      <c r="O57" s="159"/>
      <c r="P57" s="159"/>
      <c r="Q57" s="159"/>
    </row>
    <row r="58" spans="1:17" ht="20.100000000000001" customHeight="1" x14ac:dyDescent="0.25">
      <c r="D58" s="35" t="s">
        <v>485</v>
      </c>
      <c r="E58" s="207">
        <f>E46+E52</f>
        <v>6.2923999999999998</v>
      </c>
      <c r="F58" s="26" t="str">
        <f t="shared" si="4"/>
        <v>t CO2-e</v>
      </c>
      <c r="G58" s="159"/>
      <c r="H58" s="159"/>
      <c r="I58" s="159"/>
      <c r="J58" s="159"/>
      <c r="L58" s="159"/>
      <c r="N58" s="159"/>
      <c r="O58" s="159"/>
      <c r="P58" s="159"/>
      <c r="Q58" s="159"/>
    </row>
    <row r="59" spans="1:17" ht="20.100000000000001" customHeight="1" x14ac:dyDescent="0.25">
      <c r="G59" s="159"/>
      <c r="H59" s="159"/>
      <c r="I59" s="159"/>
      <c r="J59" s="159"/>
      <c r="L59" s="159"/>
      <c r="N59" s="159"/>
      <c r="O59" s="159"/>
      <c r="P59" s="159"/>
      <c r="Q59" s="159"/>
    </row>
    <row r="60" spans="1:17" ht="20.100000000000001" customHeight="1" x14ac:dyDescent="0.25">
      <c r="G60" s="159"/>
      <c r="H60" s="159"/>
      <c r="I60" s="159"/>
      <c r="J60" s="159"/>
      <c r="L60" s="159"/>
      <c r="N60" s="159"/>
      <c r="O60" s="159"/>
      <c r="P60" s="159"/>
      <c r="Q60" s="159"/>
    </row>
    <row r="61" spans="1:17" ht="20.100000000000001" customHeight="1" x14ac:dyDescent="0.25">
      <c r="G61" s="159"/>
      <c r="H61" s="159"/>
      <c r="I61" s="159"/>
      <c r="J61" s="159"/>
      <c r="L61" s="159"/>
      <c r="N61" s="159"/>
      <c r="O61" s="159"/>
      <c r="P61" s="159"/>
      <c r="Q61" s="159"/>
    </row>
    <row r="62" spans="1:17" ht="20.100000000000001" customHeight="1" x14ac:dyDescent="0.25">
      <c r="G62" s="159"/>
      <c r="H62" s="159"/>
      <c r="I62" s="159"/>
      <c r="J62" s="159"/>
      <c r="L62" s="159"/>
      <c r="N62" s="159"/>
      <c r="O62" s="159"/>
      <c r="P62" s="159"/>
      <c r="Q62" s="159"/>
    </row>
    <row r="63" spans="1:17" ht="20.100000000000001" customHeight="1" x14ac:dyDescent="0.25">
      <c r="G63" s="159"/>
      <c r="H63" s="159"/>
      <c r="I63" s="159"/>
      <c r="J63" s="159"/>
      <c r="L63" s="159"/>
      <c r="N63" s="159"/>
      <c r="O63" s="159"/>
      <c r="P63" s="159"/>
      <c r="Q63" s="159"/>
    </row>
    <row r="64" spans="1:17" ht="20.100000000000001" customHeight="1" x14ac:dyDescent="0.25">
      <c r="G64" s="159"/>
      <c r="H64" s="159"/>
      <c r="I64" s="159"/>
      <c r="J64" s="159"/>
      <c r="L64" s="159"/>
      <c r="N64" s="159"/>
      <c r="O64" s="159"/>
      <c r="P64" s="159"/>
      <c r="Q64" s="159"/>
    </row>
    <row r="65" spans="7:17" ht="20.100000000000001" customHeight="1" x14ac:dyDescent="0.25">
      <c r="G65" s="159"/>
      <c r="H65" s="159"/>
      <c r="I65" s="159"/>
      <c r="J65" s="159"/>
      <c r="L65" s="159"/>
      <c r="N65" s="159"/>
      <c r="O65" s="159"/>
      <c r="P65" s="159"/>
      <c r="Q65" s="159"/>
    </row>
    <row r="66" spans="7:17" ht="20.100000000000001" customHeight="1" x14ac:dyDescent="0.25">
      <c r="G66" s="159"/>
      <c r="H66" s="159"/>
      <c r="I66" s="159"/>
      <c r="J66" s="159"/>
      <c r="L66" s="159"/>
      <c r="N66" s="159"/>
      <c r="O66" s="159"/>
      <c r="P66" s="159"/>
      <c r="Q66" s="159"/>
    </row>
    <row r="67" spans="7:17" ht="20.100000000000001" customHeight="1" x14ac:dyDescent="0.25">
      <c r="G67" s="159"/>
    </row>
    <row r="68" spans="7:17" ht="20.100000000000001" customHeight="1" x14ac:dyDescent="0.25">
      <c r="G68" s="159"/>
    </row>
    <row r="69" spans="7:17" ht="20.100000000000001" customHeight="1" x14ac:dyDescent="0.25">
      <c r="G69" s="159"/>
    </row>
    <row r="70" spans="7:17" ht="20.100000000000001" customHeight="1" x14ac:dyDescent="0.25">
      <c r="G70" s="159"/>
    </row>
    <row r="71" spans="7:17" ht="20.100000000000001" customHeight="1" x14ac:dyDescent="0.25">
      <c r="G71" s="159"/>
    </row>
    <row r="72" spans="7:17" ht="20.100000000000001" customHeight="1" x14ac:dyDescent="0.25"/>
    <row r="73" spans="7:17" ht="20.100000000000001" customHeight="1" x14ac:dyDescent="0.25"/>
    <row r="74" spans="7:17" ht="20.100000000000001" customHeight="1" x14ac:dyDescent="0.25"/>
    <row r="75" spans="7:17" ht="20.100000000000001" customHeight="1" x14ac:dyDescent="0.25"/>
    <row r="76" spans="7:17" ht="20.100000000000001" customHeight="1" x14ac:dyDescent="0.25"/>
    <row r="77" spans="7:17" ht="20.100000000000001" customHeight="1" x14ac:dyDescent="0.25"/>
    <row r="78" spans="7:17" ht="20.100000000000001" customHeight="1" x14ac:dyDescent="0.25"/>
    <row r="79" spans="7:17" ht="20.100000000000001" customHeight="1" x14ac:dyDescent="0.25"/>
    <row r="80" spans="7: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A2FCE-8211-42E1-9C08-14E5F2E86E5B}">
  <dimension ref="A1:K342"/>
  <sheetViews>
    <sheetView showGridLines="0" topLeftCell="C16" workbookViewId="0" zoomScale="100" zoomScaleNormal="100">
      <selection activeCell="A50" sqref="A50"/>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31" customFormat="1" ht="30" customHeight="1" x14ac:dyDescent="0.35">
      <c r="A1" s="16" t="e" vm="1">
        <v>#VALUE!</v>
      </c>
      <c r="C1" s="31" t="s">
        <v>432</v>
      </c>
    </row>
    <row r="2" spans="1:11" s="3" customFormat="1" ht="20.100000000000001" customHeight="1" x14ac:dyDescent="0.25">
      <c r="A2"/>
    </row>
    <row r="3" spans="1:11" ht="20.100000000000001" customHeight="1" x14ac:dyDescent="0.25">
      <c r="A3" s="5" t="str">
        <f>HYPERLINK("#'Home'!A1", "Home")</f>
        <v>Home</v>
      </c>
      <c r="C3" s="33"/>
      <c r="D3" s="33" t="s">
        <v>135</v>
      </c>
      <c r="E3" s="33"/>
      <c r="F3" s="33"/>
      <c r="G3" s="33"/>
      <c r="H3" s="33"/>
      <c r="I3" s="33"/>
      <c r="J3" s="33"/>
      <c r="K3" s="33"/>
    </row>
    <row r="4" spans="1:11" ht="20.100000000000001" customHeight="1" x14ac:dyDescent="0.25">
      <c r="A4" s="5" t="str">
        <f>HYPERLINK("#'Overview'!A1", "Overview")</f>
        <v>Overview</v>
      </c>
    </row>
    <row r="5" spans="1:11" ht="20.100000000000001" customHeight="1" x14ac:dyDescent="0.25">
      <c r="A5" s="5" t="str">
        <f>HYPERLINK("#'Results'!A1", "Results")</f>
        <v>Results</v>
      </c>
      <c r="D5" s="2" t="str" cm="1">
        <f t="array" ref="D5">Electricity_Equations.VEERG_14_1_1__1_LocationBasedScopeElectricityEmissions_Title()</f>
        <v>Location-based Scope 2 emissions from purchased electricity</v>
      </c>
    </row>
    <row r="6" spans="1:11" ht="20.100000000000001" customHeight="1" x14ac:dyDescent="0.25">
      <c r="D6" s="27" t="str" cm="1">
        <f t="array" ref="D6">Electricity_Equations.VEERG_14_1_1__1_LocationBasedScopeElectricityEmissions_Source()</f>
        <v>VEERG 2026: 14.1.1, Equation (1)</v>
      </c>
    </row>
    <row r="7" spans="1:11" ht="20.100000000000001" customHeight="1" x14ac:dyDescent="0.25">
      <c r="D7" s="36" t="str" cm="1">
        <f t="array" ref="D7">Electricity_Equations.VEERG_14_1_1__1_LocationBasedScopeElectricityEmissions_Variation()</f>
        <v>Added g variable to capture which grid electricity was purchased from</v>
      </c>
    </row>
    <row r="8" spans="1:11" ht="20.100000000000001" customHeight="1" x14ac:dyDescent="0.25">
      <c r="A8" s="7" t="s">
        <v>0</v>
      </c>
      <c r="D8" s="133" t="s">
        <v>267</v>
      </c>
      <c r="E8" s="133" t="str">
        <f ca="1">Common_InputFunctions.Utility_DisplayFunctionName(VEERG_14_1_1__1_LocationBasedScopeElectricityEmissions_Result_Method1)</f>
        <v>=Electricity_Equations.VEERG_14_1_1__1_LocationBasedScopeElectricityEmissions</v>
      </c>
    </row>
    <row r="9" spans="1:11" ht="20.100000000000001" customHeight="1" x14ac:dyDescent="0.25">
      <c r="A9" s="5" t="str">
        <f>HYPERLINK("#'Input - Enterprise'!A1", "Enterprise")</f>
        <v>Enterprise</v>
      </c>
    </row>
    <row r="10" spans="1:11" ht="20.100000000000001" customHeight="1" x14ac:dyDescent="0.25">
      <c r="A10" s="5" t="str">
        <f>HYPERLINK("#'Input - Site'!A1", "Site")</f>
        <v>Site</v>
      </c>
    </row>
    <row r="11" spans="1:11" ht="20.100000000000001" customHeight="1" x14ac:dyDescent="0.25">
      <c r="A11" s="5" t="str">
        <f>HYPERLINK("#'Input - Crop'!A1", "Crop")</f>
        <v>Crop</v>
      </c>
      <c r="D11" s="88" t="s">
        <v>268</v>
      </c>
      <c r="E11" s="1" t="str" cm="1">
        <f t="array" ref="E11">Electricity_Equations.VEERG_14_1_1__1_LocationBasedScopeElectricityEmissions_Variable()</f>
        <v>E_2elec</v>
      </c>
    </row>
    <row r="12" spans="1:11" ht="20.100000000000001" customHeight="1" x14ac:dyDescent="0.25">
      <c r="A12" s="5" t="str">
        <f>HYPERLINK("#'Input - Fert Prod System'!A1", "Fert Prod System")</f>
        <v>Fert Prod System</v>
      </c>
      <c r="D12" s="88" t="s">
        <v>121</v>
      </c>
      <c r="E12" s="15" t="str" cm="1">
        <f t="array" ref="E12">Electricity_Equations.VEERG_14_1_1__1_LocationBasedScopeElectricityEmissions_Unit()</f>
        <v>t CO2e</v>
      </c>
    </row>
    <row r="13" spans="1:11" ht="20.100000000000001" customHeight="1" x14ac:dyDescent="0.25">
      <c r="A13" s="5" t="str">
        <f>HYPERLINK("#'Input - Fertiliser'!A1", "Fertiliser")</f>
        <v>Fertiliser</v>
      </c>
    </row>
    <row r="14" spans="1:11" ht="20.100000000000001" customHeight="1" x14ac:dyDescent="0.25">
      <c r="A14" s="5" t="str">
        <f>HYPERLINK("#'Input - Fuel'!A1", "Fuel")</f>
        <v>Fuel</v>
      </c>
      <c r="D14" s="155" t="str" cm="1">
        <f t="array" ref="D14:E16">_xlfn.CHOOSECOLS(Electricity_Equations.VEERG_14_1_1__1_LocationBasedScopeElectricityEmissions_Arguments(),1,2)</f>
        <v>Q_elec</v>
      </c>
      <c r="E14" s="163" t="str">
        <v>amount of electricity purchased from the grid</v>
      </c>
      <c r="F14" s="165"/>
      <c r="G14" s="155" t="str" cm="1">
        <f t="array" ref="G14:H16">_xlfn.CHOOSECOLS(Electricity_Equations.VEERG_14_1_1__1_LocationBasedScopeElectricityEmissions_Arguments(),3,4)</f>
        <v>kWh</v>
      </c>
      <c r="H14" s="137" t="str">
        <v>Input</v>
      </c>
      <c r="I14" s="163">
        <f>X_Cell_Electricity_Location_AmountPurchasedInkWh</f>
        <v>30000</v>
      </c>
      <c r="J14" s="165"/>
    </row>
    <row r="15" spans="1:11" ht="20.100000000000001" customHeight="1" x14ac:dyDescent="0.25">
      <c r="A15" s="5" t="str">
        <f>HYPERLINK("#'Input - Electricity'!A1", "Electricity")</f>
        <v>Electricity</v>
      </c>
      <c r="D15" s="155" t="str">
        <v>EF_2elec</v>
      </c>
      <c r="E15" s="163" t="str">
        <v>location-based Scope 2 emission factor for electricity</v>
      </c>
      <c r="F15" s="165"/>
      <c r="G15" s="155" t="str">
        <v>kg CO2e/kWh</v>
      </c>
      <c r="H15" s="138" t="str">
        <v>Constant</v>
      </c>
      <c r="I15" s="163" cm="1">
        <f t="array" ref="I15">Common_InputFunctions.Utility_LookupValueInTableNumber(I16,Table_SourceData_ElectricityEFs[State, Territory or grid description],Table_SourceData_ElectricityEFs[Scope 2 Emission Factors (kg CO2-e/kWh)])</f>
        <v>0.56000000000000005</v>
      </c>
      <c r="J15" s="165"/>
    </row>
    <row r="16" spans="1:11" ht="20.100000000000001" customHeight="1" x14ac:dyDescent="0.25">
      <c r="A16" s="5" t="str">
        <f>HYPERLINK("#'Input - Common farm inputs'!A1", "Common farm inputs")</f>
        <v>Common farm inputs</v>
      </c>
      <c r="D16" s="155" t="str">
        <v>g</v>
      </c>
      <c r="E16" s="163" t="str">
        <v>Grid electricity was purchased from</v>
      </c>
      <c r="F16" s="165"/>
      <c r="G16" s="155" t="str">
        <v/>
      </c>
      <c r="H16" s="137" t="str">
        <v>Input</v>
      </c>
      <c r="I16" s="163" t="str">
        <f>X_Cell_Electricity_Location_GridElectricityPurchasedFrom</f>
        <v>Western Australia - North Western Interconnected System (NWIS)</v>
      </c>
      <c r="J16" s="165"/>
    </row>
    <row r="17" spans="1:11" ht="20.100000000000001" customHeight="1" x14ac:dyDescent="0.25">
      <c r="A17" s="5" t="str">
        <f>HYPERLINK("#'Input - Crop pasture farm input'!A1", "Crop pasture farm input")</f>
        <v>Crop pasture farm input</v>
      </c>
    </row>
    <row r="18" spans="1:11" ht="20.100000000000001" customHeight="1" x14ac:dyDescent="0.25">
      <c r="A18" s="5" t="str">
        <f>HYPERLINK("#'Input - Freight'!A1", "Freight")</f>
        <v>Freight</v>
      </c>
      <c r="D18" s="150" t="s">
        <v>433</v>
      </c>
      <c r="E18" s="151" cm="1">
        <f t="array" ref="E18">Electricity_Equations.VEERG_14_1_1__1_LocationBasedScopeElectricityEmissions(I14,I15)</f>
        <v>16.8</v>
      </c>
      <c r="F18" s="152" t="str">
        <f>$E$12</f>
        <v>t CO2e</v>
      </c>
    </row>
    <row r="19" spans="1:11" ht="20.100000000000001" customHeight="1" x14ac:dyDescent="0.25">
      <c r="A19" s="5" t="str">
        <f>HYPERLINK("#'Input - Manure sent off-site'!A1", "Manure sent off-site")</f>
        <v>Manure sent off-site</v>
      </c>
    </row>
    <row r="20" spans="1:11" ht="20.100000000000001" customHeight="1" x14ac:dyDescent="0.25">
      <c r="A20" s="5" t="str">
        <f>HYPERLINK("#'Input - Solid waste'!A1", "Solid waste")</f>
        <v>Solid waste</v>
      </c>
    </row>
    <row r="21" spans="1:11" ht="20.100000000000001" customHeight="1" x14ac:dyDescent="0.25">
      <c r="A21" s="5" t="str">
        <f>HYPERLINK("#'Input - Data quality'!A1", "Data quality")</f>
        <v>Data quality</v>
      </c>
      <c r="C21" s="147"/>
      <c r="D21" s="147"/>
      <c r="E21" s="147"/>
      <c r="F21" s="147"/>
      <c r="G21" s="147"/>
      <c r="H21" s="147"/>
      <c r="I21" s="147"/>
      <c r="J21" s="147"/>
      <c r="K21" s="147"/>
    </row>
    <row r="22" spans="1:11" ht="20.100000000000001" customHeight="1" x14ac:dyDescent="0.25">
      <c r="D22" s="2" t="str" cm="1">
        <f t="array" ref="D22">Electricity_Equations.VEERG_14_1_2__1_MarketBasedScopeElectricityEmissions_Title()</f>
        <v>Market-based Scope 2 emissions from purchased electricity</v>
      </c>
    </row>
    <row r="23" spans="1:11" ht="20.100000000000001" customHeight="1" x14ac:dyDescent="0.25">
      <c r="D23" s="27" t="str" cm="1">
        <f t="array" ref="D23">Electricity_Equations.VEERG_14_1_2__1_MarketBasedScopeElectricityEmissions_Source()</f>
        <v>VEERG 2026: 14.1.2, Equation (1)</v>
      </c>
    </row>
    <row r="24" spans="1:11" ht="20.100000000000001" customHeight="1" x14ac:dyDescent="0.25">
      <c r="A24" s="6" t="s">
        <v>2</v>
      </c>
      <c r="D24" s="36"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A25" s="5" t="str">
        <f>HYPERLINK("#'5.1.1.1-2 Inorganic fert N2O'!A1", "5.1.1.1-2 Inorganic fert N2O")</f>
        <v>5.1.1.1-2 Inorganic fert N2O</v>
      </c>
      <c r="D25" s="133" t="s">
        <v>267</v>
      </c>
      <c r="E25" s="133" t="str">
        <f ca="1">Common_InputFunctions.Utility_DisplayFunctionName(VEERG_14_1_2__1_MarketBasedScopeElectricityEmissionsVariation_Result_Method1)</f>
        <v>=Electricity_Equations.VEERG_14_1_2__1_MarketBasedScopeElectricityEmissionsVariation</v>
      </c>
    </row>
    <row r="26" spans="1:11" ht="20.100000000000001" customHeight="1" x14ac:dyDescent="0.25">
      <c r="A26" s="5" t="str">
        <f>HYPERLINK("#'5.1.1.3-4 Inorganic fert CO2'!A1", "5.1.1.3-4 Inorganic fert CO2")</f>
        <v>5.1.1.3-4 Inorganic fert CO2</v>
      </c>
    </row>
    <row r="27" spans="1:11" ht="20.100000000000001" customHeight="1" x14ac:dyDescent="0.25">
      <c r="A27" s="5" t="str">
        <f>HYPERLINK("#'5.2.1.1-2 Organic Fert N2O'!A1", "5.2.1.1-2 Organic fert N2O")</f>
        <v>5.2.1.1-2 Organic fert N2O</v>
      </c>
    </row>
    <row r="28" spans="1:11" ht="20.100000000000001" customHeight="1" x14ac:dyDescent="0.25">
      <c r="A28" s="5" t="str">
        <f>HYPERLINK("#'5.3.1.1-2 Lime CO2'!A1", "5.3.1.1-2 Lime CO2")</f>
        <v>5.3.1.1-2 Lime CO2</v>
      </c>
      <c r="D28" s="88" t="s">
        <v>268</v>
      </c>
      <c r="E28" s="1" t="str" cm="1">
        <f t="array" ref="E28">Electricity_Equations.VEERG_14_1_2__1_MarketBasedScopeElectricityEmissions_Variable()</f>
        <v>E_2elec</v>
      </c>
    </row>
    <row r="29" spans="1:11" ht="20.100000000000001" customHeight="1" x14ac:dyDescent="0.25">
      <c r="A29" s="5" t="str">
        <f>HYPERLINK("#'5.4.1.1-4 Atmos deposition'!A1", "5.4.1.1-4 Atmos. deposition")</f>
        <v>5.4.1.1-4 Atmos. deposition</v>
      </c>
      <c r="D29" s="88" t="s">
        <v>121</v>
      </c>
      <c r="E29" s="15" t="str" cm="1">
        <f t="array" ref="E29">Electricity_Equations.VEERG_14_1_2__1_MarketBasedScopeElectricityEmissions_Unit()</f>
        <v>t CO2e</v>
      </c>
    </row>
    <row r="30" spans="1:11" ht="20.100000000000001" customHeight="1" x14ac:dyDescent="0.25">
      <c r="A30" s="5" t="str">
        <f>HYPERLINK("#'5.5.1.1-2 Leaching and runoff'!A1", "5.5.1.1-2 Leaching &amp; runoff")</f>
        <v>5.5.1.1-2 Leaching &amp; runoff</v>
      </c>
    </row>
    <row r="31" spans="1:11" ht="20.100000000000001" customHeight="1" x14ac:dyDescent="0.25">
      <c r="A31" s="5" t="str">
        <f>HYPERLINK("#'6.1.1.1-2 Crop residue N2O'!A1", "6.1.1.1-2 Crop residue N2O")</f>
        <v>6.1.1.1-2 Crop residue N2O</v>
      </c>
      <c r="D31" s="155" t="str" cm="1">
        <f t="array" ref="D31:E37">_xlfn.CHOOSECOLS(Electricity_Equations.VEERG_14_1_2__1_MarketBasedScopeElectricityEmissions_Arguments(),1,2)</f>
        <v>Q_elec</v>
      </c>
      <c r="E31" s="163" t="str">
        <v>amount of electricity purchased from the grid</v>
      </c>
      <c r="F31" s="164"/>
      <c r="G31" s="164"/>
      <c r="H31" s="155" t="str" cm="1">
        <f t="array" ref="H31:I37">_xlfn.CHOOSECOLS(Electricity_Equations.VEERG_14_1_2__1_MarketBasedScopeElectricityEmissions_Arguments(),3,4)</f>
        <v>kWh</v>
      </c>
      <c r="I31" s="137" t="str">
        <v>Input</v>
      </c>
      <c r="J31" s="155">
        <f>X_Cell_Electricity_Market_AmountPurchasedExcludingGreenPower</f>
        <v>30000</v>
      </c>
    </row>
    <row r="32" spans="1:11" ht="20.100000000000001" customHeight="1" x14ac:dyDescent="0.25">
      <c r="A32" s="5" t="str">
        <f>HYPERLINK("#'6.3.1.1-2 Leach runoff crop'!A1", "6.3.1.1-2 Leach &amp; runoff (crop)")</f>
        <v>6.3.1.1-2 Leach &amp; runoff (crop)</v>
      </c>
      <c r="D32" s="155" t="str">
        <v>RPP</v>
      </c>
      <c r="E32" s="163" t="str">
        <v>Renewable Power Percentage under the Large-scale Renewable Energy Target (LRET)</v>
      </c>
      <c r="F32" s="164"/>
      <c r="G32" s="164"/>
      <c r="H32" s="155" t="str">
        <v>per cent</v>
      </c>
      <c r="I32" s="137" t="str">
        <v>Input</v>
      </c>
      <c r="J32" s="181">
        <f>X_Cell_Electricity_Market_RenewablePowerPercentage</f>
        <v>0.1</v>
      </c>
    </row>
    <row r="33" spans="1:10" ht="20.100000000000001" customHeight="1" x14ac:dyDescent="0.25">
      <c r="A33" s="5" t="str">
        <f>HYPERLINK("#'6.4.1.1-2 Residue burning'!A1", "6.4.1.1-2 Residue burning")</f>
        <v>6.4.1.1-2 Residue burning</v>
      </c>
      <c r="D33" s="155" t="str">
        <v>JRPP</v>
      </c>
      <c r="E33" s="163" t="str">
        <v>jurisdictional renewable power percentage for the applicable period (ACT only)</v>
      </c>
      <c r="F33" s="164"/>
      <c r="G33" s="164"/>
      <c r="H33" s="155" t="str">
        <v>per cent</v>
      </c>
      <c r="I33" s="137" t="str">
        <v>Input</v>
      </c>
      <c r="J33" s="181" t="str">
        <f>IF(J37="ACT", X_Cell_Electricity_Market_JurisdictionalRenewablePowerPercentage, "N/A")</f>
        <v>N/A</v>
      </c>
    </row>
    <row r="34" spans="1:10" ht="20.100000000000001" customHeight="1" x14ac:dyDescent="0.25">
      <c r="A34" s="5" t="str">
        <f>HYPERLINK("#'8.1.1.1-2 Transport fuel'!A1", "8.1.1.1-2 Transport fuel")</f>
        <v>8.1.1.1-2 Transport fuel</v>
      </c>
      <c r="D34" s="155" t="str">
        <v>REC_surrendered</v>
      </c>
      <c r="E34" s="163" t="str">
        <v>Renewable Energy Certificates voluntarily surrendered in the reporting year</v>
      </c>
      <c r="F34" s="164"/>
      <c r="G34" s="164"/>
      <c r="H34" s="155" t="str">
        <v>MWh</v>
      </c>
      <c r="I34" s="137" t="str">
        <v>Input</v>
      </c>
      <c r="J34" s="155">
        <f>(X_Cell_Electricity_Market_AmountPurchasedGreenPower*10^-3)+X_Cell_TotalElegibleVoluntarilySurrenderedRECs</f>
        <v>15</v>
      </c>
    </row>
    <row r="35" spans="1:10" ht="20.100000000000001" customHeight="1" x14ac:dyDescent="0.25">
      <c r="A35" s="5" t="str">
        <f>HYPERLINK("#'8.2.1.1-2 Stationary fuel'!A1", "8.2.1.1-2 Stationary fuel")</f>
        <v>8.2.1.1-2 Stationary fuel</v>
      </c>
      <c r="D35" s="155" t="str">
        <v>REC_onsite</v>
      </c>
      <c r="E35" s="163" t="str">
        <v>Renewable Energy Certificates issued for electricity produced on-site during the year and consumed by the entity</v>
      </c>
      <c r="F35" s="164"/>
      <c r="G35" s="164"/>
      <c r="H35" s="155" t="str">
        <v>MWh</v>
      </c>
      <c r="I35" s="137" t="str">
        <v>Input</v>
      </c>
      <c r="J35" s="155">
        <f>X_Cell_TotalElegibleRECsForElectricityProducedOnSite</f>
        <v>0</v>
      </c>
    </row>
    <row r="36" spans="1:10" ht="20.100000000000001" customHeight="1" x14ac:dyDescent="0.25">
      <c r="A36" s="142" t="str">
        <f>HYPERLINK("#'14.1.1-2 Purchased electricity'!A1", "14.1.1-2 Purchased electricity")</f>
        <v>14.1.1-2 Purchased electricity</v>
      </c>
      <c r="D36" s="155" t="str">
        <v>EF_RMF2elec</v>
      </c>
      <c r="E36" s="163" t="str">
        <v>Scope 2 residual mix emission factor for electricity</v>
      </c>
      <c r="F36" s="164"/>
      <c r="G36" s="164"/>
      <c r="H36" s="155" t="str">
        <v>kg CO2e/kWh</v>
      </c>
      <c r="I36" s="138" t="str">
        <v>Constant</v>
      </c>
      <c r="J36" s="155" cm="1">
        <f t="array" ref="J36">Table_SourceData_ElectricityEFsMarketBased[Scope 2 EF (kg CO2-e/kWh)]</f>
        <v>0.81</v>
      </c>
    </row>
    <row r="37" spans="1:10" ht="20.100000000000001" customHeight="1" x14ac:dyDescent="0.25">
      <c r="A37" s="5" t="str">
        <f>HYPERLINK("#'15 Scope 3'!A1", "15 Scope 3")</f>
        <v>15 Scope 3</v>
      </c>
      <c r="D37" s="155" t="str">
        <v>i</v>
      </c>
      <c r="E37" s="163" t="str">
        <v>state</v>
      </c>
      <c r="F37" s="164"/>
      <c r="G37" s="165"/>
      <c r="H37" s="155" t="str">
        <v/>
      </c>
      <c r="I37" s="137" t="str">
        <v>Input</v>
      </c>
      <c r="J37" s="155" t="str">
        <f>X_Cell_Site_State</f>
        <v>Western Australia</v>
      </c>
    </row>
    <row r="38" spans="1:10" ht="20.100000000000001" customHeight="1" x14ac:dyDescent="0.25">
      <c r="A38" s="5" t="str">
        <f>HYPERLINK("#'Calcs - Manure sent off-site'!A1", "Calcs - Manure sent off-site")</f>
        <v>Calcs - Manure sent off-site</v>
      </c>
    </row>
    <row r="39" spans="1:10" ht="20.100000000000001" customHeight="1" x14ac:dyDescent="0.25">
      <c r="A39" s="5" t="str">
        <f>HYPERLINK("#'10.1.1-2 Solid waste treatment'!A1", "10.1.1-2 Solid waste treatment")</f>
        <v>10.1.1-2 Solid waste treatment</v>
      </c>
      <c r="D39" s="150" t="s">
        <v>433</v>
      </c>
      <c r="E39" s="151" cm="1">
        <f t="array" ref="E39">Electricity_Equations.VEERG_14_1_2__1_MarketBasedScopeElectricityEmissionsVariation(J31,J32,IF(ISNUMBER(J33), J33, 0),J34,J35,J36)</f>
        <v>9.7200000000000006</v>
      </c>
      <c r="F39" s="152" t="str">
        <f>E29</f>
        <v>t CO2e</v>
      </c>
    </row>
    <row r="40" spans="1:10" ht="20.100000000000001" customHeight="1" x14ac:dyDescent="0.25">
      <c r="H40" s="1" t="s">
        <v>427</v>
      </c>
    </row>
    <row r="41" spans="1:10" ht="20.100000000000001" customHeight="1" x14ac:dyDescent="0.25"/>
    <row r="42" spans="1:10" ht="20.100000000000001" customHeight="1" x14ac:dyDescent="0.25">
      <c r="A42" s="108" t="s">
        <v>1</v>
      </c>
    </row>
    <row r="43" spans="1:10" ht="20.100000000000001" customHeight="1" x14ac:dyDescent="0.25">
      <c r="A43" s="5" t="str">
        <f>HYPERLINK("#'Constants - Ag Residue'!A1", "Constants - Ag residue")</f>
        <v>Constants - Ag residue</v>
      </c>
    </row>
    <row r="44" spans="1:10" ht="20.100000000000001" customHeight="1" x14ac:dyDescent="0.25">
      <c r="A44" s="5" t="str">
        <f>HYPERLINK("#'Constants - Common Livestock'!A1", "Constants - Common Livestock")</f>
        <v>Constants - Common Livestock</v>
      </c>
      <c r="E44" s="114"/>
    </row>
    <row r="45" spans="1:10" ht="20.100000000000001" customHeight="1" x14ac:dyDescent="0.25">
      <c r="A45" s="5" t="str">
        <f>HYPERLINK("#'Constants - Electricity'!A1", "Constants - Electricity")</f>
        <v>Constants - Electricity</v>
      </c>
    </row>
    <row r="46" spans="1:10" ht="20.100000000000001" customHeight="1" x14ac:dyDescent="0.25">
      <c r="A46" s="5" t="str">
        <f>HYPERLINK("#'Constants - Fertiliser'!A1", "Constants - Fertiliser")</f>
        <v>Constants - Fertiliser</v>
      </c>
    </row>
    <row r="47" spans="1:10" ht="20.100000000000001" customHeight="1" x14ac:dyDescent="0.25">
      <c r="A47" s="5" t="str">
        <f>HYPERLINK("#'Constants - Fuel'!A1", "Constants - Fuel")</f>
        <v>Constants - Fuel</v>
      </c>
    </row>
    <row r="48" spans="1:10" ht="20.100000000000001" customHeight="1" x14ac:dyDescent="0.25">
      <c r="A48" s="5" t="str">
        <f>HYPERLINK("#'Constants - Scope 3'!A1", "Constants - Scope 3")</f>
        <v>Constants - Scope 3</v>
      </c>
    </row>
    <row r="49" spans="1:1" ht="20.100000000000001" customHeight="1" x14ac:dyDescent="0.25">
      <c r="A49" s="5" t="str">
        <f>HYPERLINK("#'Constants - Common'!A1", "Constants - Common")</f>
        <v>Constants - Common</v>
      </c>
    </row>
    <row r="50" spans="1:1" ht="20.100000000000001" customHeight="1" x14ac:dyDescent="0.25">
      <c r="A50" s="5" t="str">
        <f>HYPERLINK("#'Constants - Solid Waste'!A1", "Constants - Solid Waste")</f>
        <v>Constants - Solid Waste</v>
      </c>
    </row>
    <row r="51" spans="1:1" ht="20.100000000000001" customHeight="1" x14ac:dyDescent="0.25"/>
    <row r="52" spans="1:1" ht="20.100000000000001" customHeight="1" x14ac:dyDescent="0.25"/>
    <row r="53" spans="1:1" ht="20.100000000000001" customHeight="1" x14ac:dyDescent="0.25"/>
    <row r="54" spans="1:1" ht="20.100000000000001" customHeight="1" x14ac:dyDescent="0.25"/>
    <row r="55" spans="1:1" ht="20.100000000000001" customHeight="1" x14ac:dyDescent="0.25"/>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G132 I129:I133 F134:I134 F129:F132 H128:H132 G129 F148:I148 I149 F150:I150" xr:uid="{D776D497-5C6D-437E-BEAD-EF2D635EE2D5}"/>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E543DD-FA6F-4F20-8E8E-CAC3F43025F6}">
  <sheetPr>
    <tabColor theme="9" tint="-0.249977111117893"/>
  </sheetPr>
  <dimension ref="A1:AO642"/>
  <sheetViews>
    <sheetView showGridLines="0" topLeftCell="L208" workbookViewId="0" zoomScale="100" zoomScaleNormal="100">
      <selection activeCell="A50" sqref="A50"/>
    </sheetView>
  </sheetViews>
  <sheetFormatPr defaultRowHeight="15.75" x14ac:dyDescent="0.25"/>
  <cols>
    <col min="1" max="1" width="35" style="239" customWidth="1"/>
    <col min="2" max="2" width="5.28515625" style="239" customWidth="1"/>
    <col min="3" max="3" width="5.28515625" style="1" customWidth="1"/>
    <col min="4" max="40" width="35" style="1" customWidth="1"/>
    <col min="41" max="41" width="5.28515625" style="1" customWidth="1"/>
    <col min="42" max="16384" width="9.140625" style="239"/>
  </cols>
  <sheetData>
    <row r="1" spans="1:41" s="31" customFormat="1" ht="30" customHeight="1" x14ac:dyDescent="0.35">
      <c r="A1" s="16" t="e" vm="1">
        <v>#VALUE!</v>
      </c>
      <c r="C1" s="31" t="s">
        <v>760</v>
      </c>
    </row>
    <row r="2" spans="1:41" s="3" customFormat="1" ht="20.100000000000001" customHeight="1" x14ac:dyDescent="0.25">
      <c r="A2"/>
    </row>
    <row r="3" spans="1:41"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row>
    <row r="4" spans="1:41" ht="20.100000000000001" customHeight="1" x14ac:dyDescent="0.25">
      <c r="A4" s="5" t="str">
        <f>HYPERLINK("#'Overview'!A1", "Overview")</f>
        <v>Overview</v>
      </c>
    </row>
    <row r="5" spans="1:41" ht="20.100000000000001" customHeight="1" x14ac:dyDescent="0.25">
      <c r="A5" s="5" t="str">
        <f>HYPERLINK("#'Results'!A1", "Results")</f>
        <v>Results</v>
      </c>
      <c r="D5" s="2" t="str" cm="1">
        <f t="array" ref="D5">Scope3_Equations.VEERG_15_1_1_1__1_EmissionsFromPurchasedLivestock_Title()</f>
        <v>Total emissions from purchased livestock</v>
      </c>
    </row>
    <row r="6" spans="1:41" ht="20.100000000000001" customHeight="1" x14ac:dyDescent="0.25">
      <c r="A6"/>
      <c r="D6" s="27" t="str" cm="1">
        <f t="array" ref="D6">Scope3_Equations.VEERG_15_1_1_1__1_EmissionsFromPurchasedLivestock_Source()</f>
        <v>VEERG 2026: 15.1.1.1, Equation (1)</v>
      </c>
    </row>
    <row r="7" spans="1:41" ht="20.100000000000001" customHeight="1" x14ac:dyDescent="0.25">
      <c r="A7"/>
      <c r="D7" s="133" t="s">
        <v>267</v>
      </c>
      <c r="E7" s="133" t="str" cm="1">
        <f t="array" aca="1" ref="E7" ca="1">Common_InputFunctions.Utility_DisplayFunctionName(J23)</f>
        <v>=Scope3_Equations.VEERG_15_1_1_1__1_EmissionsFromPurchasedLivestock</v>
      </c>
    </row>
    <row r="8" spans="1:41" ht="20.100000000000001" customHeight="1" x14ac:dyDescent="0.25">
      <c r="A8" s="7" t="s">
        <v>0</v>
      </c>
    </row>
    <row r="9" spans="1:41" ht="20.100000000000001" customHeight="1" x14ac:dyDescent="0.25">
      <c r="A9" s="5" t="str">
        <f>HYPERLINK("#'Input - Enterprise'!A1", "Enterprise")</f>
        <v>Enterprise</v>
      </c>
      <c r="H9" s="133"/>
    </row>
    <row r="10" spans="1:41" ht="20.100000000000001" customHeight="1" x14ac:dyDescent="0.25">
      <c r="A10" s="5" t="str">
        <f>HYPERLINK("#'Input - Site'!A1", "Site")</f>
        <v>Site</v>
      </c>
      <c r="D10" s="88" t="s">
        <v>268</v>
      </c>
      <c r="E10" s="1" t="str" cm="1">
        <f t="array" ref="E10">Scope3_Equations.VEERG_15_1_1_1__1_EmissionsFromPurchasedLivestock_Variable()</f>
        <v>E</v>
      </c>
    </row>
    <row r="11" spans="1:41" ht="20.100000000000001" customHeight="1" x14ac:dyDescent="0.25">
      <c r="A11" s="5" t="str">
        <f>HYPERLINK("#'Input - Crop'!A1", "Crop")</f>
        <v>Crop</v>
      </c>
      <c r="D11" s="88" t="s">
        <v>121</v>
      </c>
      <c r="E11" s="15" t="str" cm="1">
        <f t="array" ref="E11">Scope3_Equations.VEERG_15_1_1_1__1_EmissionsFromPurchasedLivestock_Unit()</f>
        <v>t CO2e</v>
      </c>
    </row>
    <row r="12" spans="1:41" ht="20.100000000000001" customHeight="1" x14ac:dyDescent="0.25">
      <c r="A12" s="5" t="str">
        <f>HYPERLINK("#'Input - Fert Prod System'!A1", "Fert Prod System")</f>
        <v>Fert Prod System</v>
      </c>
    </row>
    <row r="13" spans="1:41" ht="20.100000000000001" customHeight="1" x14ac:dyDescent="0.25">
      <c r="A13" s="5" t="str">
        <f>HYPERLINK("#'Input - Fertiliser'!A1", "Fertiliser")</f>
        <v>Fertiliser</v>
      </c>
      <c r="D13" s="155" t="str" cm="1">
        <f t="array" ref="D13:E17">_xlfn.CHOOSECOLS(Scope3_Equations.VEERG_15_1_1_1__1_EmissionsFromPurchasedLivestock_Arguments(),1,2)</f>
        <v>N_co</v>
      </c>
      <c r="E13" s="163" t="str">
        <v>number of animals purchased in livestock type c from origin o</v>
      </c>
      <c r="F13" s="165"/>
      <c r="G13" s="155" t="str" cm="1">
        <f t="array" ref="G13:H17">_xlfn.CHOOSECOLS(Scope3_Equations.VEERG_15_1_1_1__1_EmissionsFromPurchasedLivestock_Arguments(),3,4)</f>
        <v>head</v>
      </c>
      <c r="H13" s="249" t="str">
        <v>Input</v>
      </c>
    </row>
    <row r="14" spans="1:41" ht="20.100000000000001" customHeight="1" x14ac:dyDescent="0.25">
      <c r="A14" s="5" t="str">
        <f>HYPERLINK("#'Input - Fuel'!A1", "Fuel")</f>
        <v>Fuel</v>
      </c>
      <c r="D14" s="155" t="str">
        <v>W_co</v>
      </c>
      <c r="E14" s="163" t="str">
        <v>average liveweight of purchased livestock at point of purchase</v>
      </c>
      <c r="F14" s="165"/>
      <c r="G14" s="155" t="str">
        <v>kg/head</v>
      </c>
      <c r="H14" s="249" t="str">
        <v>Input</v>
      </c>
    </row>
    <row r="15" spans="1:41" ht="20.100000000000001" customHeight="1" x14ac:dyDescent="0.25">
      <c r="A15" s="5" t="str">
        <f>HYPERLINK("#'Input - Electricity'!A1", "Electricity")</f>
        <v>Electricity</v>
      </c>
      <c r="D15" s="155" t="str">
        <v>EF_co</v>
      </c>
      <c r="E15" s="163" t="str">
        <v>emission factor per livestock type and origin</v>
      </c>
      <c r="F15" s="165"/>
      <c r="G15" s="155" t="str">
        <v>kg CO2e/kg</v>
      </c>
      <c r="H15" s="138" t="str">
        <v>Constant</v>
      </c>
    </row>
    <row r="16" spans="1:41" ht="20.100000000000001" customHeight="1" x14ac:dyDescent="0.25">
      <c r="A16" s="5" t="str">
        <f>HYPERLINK("#'Input - Common farm inputs'!A1", "Common farm inputs")</f>
        <v>Common farm inputs</v>
      </c>
      <c r="D16" s="155" t="str">
        <v>c</v>
      </c>
      <c r="E16" s="163" t="str">
        <v>livestock type</v>
      </c>
      <c r="F16" s="165"/>
      <c r="G16" s="155" t="str">
        <v/>
      </c>
      <c r="H16" s="249" t="str">
        <v>Input</v>
      </c>
    </row>
    <row r="17" spans="1:16" ht="20.100000000000001" customHeight="1" x14ac:dyDescent="0.25">
      <c r="A17" s="5" t="str">
        <f>HYPERLINK("#'Input - Crop pasture farm input'!A1", "Crop pasture farm input")</f>
        <v>Crop pasture farm input</v>
      </c>
      <c r="D17" s="155" t="str">
        <v>o</v>
      </c>
      <c r="E17" s="163" t="str">
        <v>origin</v>
      </c>
      <c r="F17" s="165"/>
      <c r="G17" s="155" t="str">
        <v/>
      </c>
      <c r="H17" s="249" t="str">
        <v>Input</v>
      </c>
    </row>
    <row r="18" spans="1:16" ht="20.100000000000001" customHeight="1" x14ac:dyDescent="0.25">
      <c r="A18" s="5" t="str">
        <f>HYPERLINK("#'Input - Freight'!A1", "Freight")</f>
        <v>Freight</v>
      </c>
    </row>
    <row r="19" spans="1:16" ht="20.100000000000001" customHeight="1" x14ac:dyDescent="0.25">
      <c r="A19" s="5" t="str">
        <f>HYPERLINK("#'Input - Manure sent off-site'!A1", "Manure sent off-site")</f>
        <v>Manure sent off-site</v>
      </c>
      <c r="D19" s="46" t="s">
        <v>761</v>
      </c>
      <c r="E19" s="48"/>
      <c r="F19" s="49"/>
    </row>
    <row r="20" spans="1:16" ht="20.100000000000001" customHeight="1" x14ac:dyDescent="0.25">
      <c r="A20" s="5" t="str">
        <f>HYPERLINK("#'Input - Solid waste'!A1", "Solid waste")</f>
        <v>Solid waste</v>
      </c>
    </row>
    <row r="21" spans="1:16" ht="20.100000000000001" customHeight="1" x14ac:dyDescent="0.25">
      <c r="A21" s="5" t="str">
        <f>HYPERLINK("#'Input - Data quality'!A1", "Data quality")</f>
        <v>Data quality</v>
      </c>
      <c r="D21" s="244" t="s">
        <v>762</v>
      </c>
    </row>
    <row r="22" spans="1:16" ht="20.100000000000001" customHeight="1" x14ac:dyDescent="0.25">
      <c r="A22"/>
      <c r="D22" s="92" t="s">
        <v>763</v>
      </c>
      <c r="E22" s="250" t="s">
        <v>764</v>
      </c>
      <c r="F22" s="250" t="s">
        <v>765</v>
      </c>
      <c r="G22" s="250" t="s">
        <v>766</v>
      </c>
      <c r="H22" s="250" t="s">
        <v>767</v>
      </c>
      <c r="I22" s="146" t="s">
        <v>768</v>
      </c>
      <c r="J22" s="146" t="s">
        <v>769</v>
      </c>
      <c r="K22" s="250" t="s">
        <v>770</v>
      </c>
      <c r="L22" s="92" t="s">
        <v>771</v>
      </c>
      <c r="M22" s="146" t="s">
        <v>772</v>
      </c>
      <c r="N22" s="92" t="s">
        <v>773</v>
      </c>
      <c r="O22" s="92" t="s">
        <v>774</v>
      </c>
      <c r="P22" s="92" t="s">
        <v>775</v>
      </c>
    </row>
    <row r="23" spans="1:16" ht="20.100000000000001" customHeight="1" x14ac:dyDescent="0.25">
      <c r="A23"/>
      <c r="D23" s="25"/>
      <c r="E23" s="25"/>
      <c r="F23" s="25"/>
      <c r="G23" s="25"/>
      <c r="H23" s="25"/>
      <c r="I23" s="25" cm="1">
        <f t="array" ref="I23">Common_InputFunctions.Utility_LookupValueInTableTwoColumns(E23,F23,Table_SourceData_Scope3_Animals[Product],Table_SourceData_Scope3_Animals[Region of origin],Table_SourceData_Scope3_Animals[AusLCI Emissions intensity], 0)</f>
        <v>0</v>
      </c>
      <c r="J23" s="251" cm="1">
        <f t="array" ref="J23">Scope3_Equations.VEERG_15_1_1_1__1_EmissionsFromPurchasedLivestock(G23,H23,I23)</f>
        <v>0</v>
      </c>
      <c r="K23" s="25"/>
      <c r="L23" s="86">
        <v>20</v>
      </c>
      <c r="M23" s="251" cm="1">
        <f t="array" ref="M23">Scope3_Equations.VEERG_15_1_1_1__1_EmissionsFromPurchasedLivestock(G23,K23,IF(L23, L23, I23))</f>
        <v>0</v>
      </c>
      <c r="N23" s="44" t="s">
        <v>776</v>
      </c>
      <c r="O23" s="23" t="s">
        <v>777</v>
      </c>
      <c r="P23" s="239" t="s">
        <v>778</v>
      </c>
    </row>
    <row r="24" spans="1:16" ht="20.100000000000001" customHeight="1" x14ac:dyDescent="0.25">
      <c r="A24" s="6" t="s">
        <v>2</v>
      </c>
      <c r="D24" s="25"/>
      <c r="E24" s="25"/>
      <c r="F24" s="25"/>
      <c r="G24" s="25"/>
      <c r="H24" s="25"/>
      <c r="I24" s="25" cm="1">
        <f t="array" ref="I24">Common_InputFunctions.Utility_LookupValueInTableTwoColumns(E24,F24,Table_SourceData_Scope3_Animals[Product],Table_SourceData_Scope3_Animals[Region of origin],Table_SourceData_Scope3_Animals[AusLCI Emissions intensity], 0)</f>
        <v>0</v>
      </c>
      <c r="J24" s="251" cm="1">
        <f t="array" ref="J24">Scope3_Equations.VEERG_15_1_1_1__1_EmissionsFromPurchasedLivestock(G24,H24,I24)</f>
        <v>0</v>
      </c>
      <c r="K24" s="25"/>
      <c r="L24" s="86">
        <v>13</v>
      </c>
      <c r="M24" s="251" cm="1">
        <f t="array" ref="M24">Scope3_Equations.VEERG_15_1_1_1__1_EmissionsFromPurchasedLivestock(G24,K24,IF(L24, L24, I24))</f>
        <v>0</v>
      </c>
      <c r="N24" s="44"/>
      <c r="O24" s="23"/>
      <c r="P24" s="44"/>
    </row>
    <row r="25" spans="1:16" ht="20.100000000000001" customHeight="1" x14ac:dyDescent="0.25">
      <c r="A25" s="5" t="str">
        <f>HYPERLINK("#'5.1.1.1-2 Inorganic fert N2O'!A1", "5.1.1.1-2 Inorganic fert N2O")</f>
        <v>5.1.1.1-2 Inorganic fert N2O</v>
      </c>
      <c r="D25" s="25"/>
      <c r="E25" s="25"/>
      <c r="F25" s="25"/>
      <c r="G25" s="25"/>
      <c r="H25" s="25"/>
      <c r="I25" s="25" cm="1">
        <f t="array" ref="I25">Common_InputFunctions.Utility_LookupValueInTableTwoColumns(E25,F25,Table_SourceData_Scope3_Animals[Product],Table_SourceData_Scope3_Animals[Region of origin],Table_SourceData_Scope3_Animals[AusLCI Emissions intensity], 0)</f>
        <v>0</v>
      </c>
      <c r="J25" s="251" cm="1">
        <f t="array" ref="J25">Scope3_Equations.VEERG_15_1_1_1__1_EmissionsFromPurchasedLivestock(G25,H25,I25)</f>
        <v>0</v>
      </c>
      <c r="K25" s="25"/>
      <c r="L25" s="86"/>
      <c r="M25" s="251" cm="1">
        <f t="array" ref="M25">Scope3_Equations.VEERG_15_1_1_1__1_EmissionsFromPurchasedLivestock(G25,K25,IF(L25, L25, I25))</f>
        <v>0</v>
      </c>
      <c r="N25" s="44"/>
      <c r="O25" s="23"/>
      <c r="P25" s="44"/>
    </row>
    <row r="26" spans="1:16" ht="20.100000000000001" customHeight="1" x14ac:dyDescent="0.25">
      <c r="A26" s="5" t="str">
        <f>HYPERLINK("#'5.1.1.3-4 Inorganic fert CO2'!A1", "5.1.1.3-4 Inorganic fert CO2")</f>
        <v>5.1.1.3-4 Inorganic fert CO2</v>
      </c>
      <c r="D26" s="25"/>
      <c r="E26" s="25"/>
      <c r="F26" s="25"/>
      <c r="G26" s="25"/>
      <c r="H26" s="25"/>
      <c r="I26" s="25" cm="1">
        <f t="array" ref="I26">Common_InputFunctions.Utility_LookupValueInTableTwoColumns(E26,F26,Table_SourceData_Scope3_Animals[Product],Table_SourceData_Scope3_Animals[Region of origin],Table_SourceData_Scope3_Animals[AusLCI Emissions intensity], 0)</f>
        <v>0</v>
      </c>
      <c r="J26" s="251" cm="1">
        <f t="array" ref="J26">Scope3_Equations.VEERG_15_1_1_1__1_EmissionsFromPurchasedLivestock(G26,H26,I26)</f>
        <v>0</v>
      </c>
      <c r="K26" s="25"/>
      <c r="L26" s="86"/>
      <c r="M26" s="251" cm="1">
        <f t="array" ref="M26">Scope3_Equations.VEERG_15_1_1_1__1_EmissionsFromPurchasedLivestock(G26,K26,IF(L26, L26, I26))</f>
        <v>0</v>
      </c>
      <c r="N26" s="44"/>
      <c r="O26" s="23"/>
      <c r="P26" s="44"/>
    </row>
    <row r="27" spans="1:16" ht="20.100000000000001" customHeight="1" x14ac:dyDescent="0.25">
      <c r="A27" s="5" t="str">
        <f>HYPERLINK("#'5.2.1.1-2 Organic Fert N2O'!A1", "5.2.1.1-2 Organic fert N2O")</f>
        <v>5.2.1.1-2 Organic fert N2O</v>
      </c>
      <c r="D27" s="25"/>
      <c r="E27" s="25"/>
      <c r="F27" s="25"/>
      <c r="G27" s="25"/>
      <c r="H27" s="25"/>
      <c r="I27" s="25" cm="1">
        <f t="array" ref="I27">Common_InputFunctions.Utility_LookupValueInTableTwoColumns(E27,F27,Table_SourceData_Scope3_Animals[Product],Table_SourceData_Scope3_Animals[Region of origin],Table_SourceData_Scope3_Animals[AusLCI Emissions intensity], 0)</f>
        <v>0</v>
      </c>
      <c r="J27" s="251" cm="1">
        <f t="array" ref="J27">Scope3_Equations.VEERG_15_1_1_1__1_EmissionsFromPurchasedLivestock(G27,H27,I27)</f>
        <v>0</v>
      </c>
      <c r="K27" s="25"/>
      <c r="L27" s="86"/>
      <c r="M27" s="251" cm="1">
        <f t="array" ref="M27">Scope3_Equations.VEERG_15_1_1_1__1_EmissionsFromPurchasedLivestock(G27,K27,IF(L27, L27, I27))</f>
        <v>0</v>
      </c>
      <c r="N27" s="44"/>
      <c r="O27" s="23"/>
      <c r="P27" s="44"/>
    </row>
    <row r="28" spans="1:16" ht="20.100000000000001" customHeight="1" x14ac:dyDescent="0.25">
      <c r="A28" s="5" t="str">
        <f>HYPERLINK("#'5.3.1.1-2 Lime CO2'!A1", "5.3.1.1-2 Lime CO2")</f>
        <v>5.3.1.1-2 Lime CO2</v>
      </c>
      <c r="D28" s="25"/>
      <c r="E28" s="25"/>
      <c r="F28" s="25"/>
      <c r="G28" s="25"/>
      <c r="H28" s="25"/>
      <c r="I28" s="25" cm="1">
        <f t="array" ref="I28">Common_InputFunctions.Utility_LookupValueInTableTwoColumns(E28,F28,Table_SourceData_Scope3_Animals[Product],Table_SourceData_Scope3_Animals[Region of origin],Table_SourceData_Scope3_Animals[AusLCI Emissions intensity], 0)</f>
        <v>0</v>
      </c>
      <c r="J28" s="251" cm="1">
        <f t="array" ref="J28">Scope3_Equations.VEERG_15_1_1_1__1_EmissionsFromPurchasedLivestock(G28,H28,I28)</f>
        <v>0</v>
      </c>
      <c r="K28" s="25"/>
      <c r="L28" s="86"/>
      <c r="M28" s="251" cm="1">
        <f t="array" ref="M28">Scope3_Equations.VEERG_15_1_1_1__1_EmissionsFromPurchasedLivestock(G28,K28,IF(L28, L28, I28))</f>
        <v>0</v>
      </c>
      <c r="N28" s="44"/>
      <c r="O28" s="23"/>
      <c r="P28" s="44"/>
    </row>
    <row r="29" spans="1:16" ht="20.100000000000001" customHeight="1" x14ac:dyDescent="0.25">
      <c r="A29" s="5" t="str">
        <f>HYPERLINK("#'5.4.1.1-4 Atmos deposition'!A1", "5.4.1.1-4 Atmos. deposition")</f>
        <v>5.4.1.1-4 Atmos. deposition</v>
      </c>
      <c r="D29" s="25"/>
      <c r="E29" s="25"/>
      <c r="F29" s="25"/>
      <c r="G29" s="25"/>
      <c r="H29" s="25"/>
      <c r="I29" s="25" cm="1">
        <f t="array" ref="I29">Common_InputFunctions.Utility_LookupValueInTableTwoColumns(E29,F29,Table_SourceData_Scope3_Animals[Product],Table_SourceData_Scope3_Animals[Region of origin],Table_SourceData_Scope3_Animals[AusLCI Emissions intensity], 0)</f>
        <v>0</v>
      </c>
      <c r="J29" s="251" cm="1">
        <f t="array" ref="J29">Scope3_Equations.VEERG_15_1_1_1__1_EmissionsFromPurchasedLivestock(G29,H29,I29)</f>
        <v>0</v>
      </c>
      <c r="K29" s="25"/>
      <c r="L29" s="86"/>
      <c r="M29" s="251" cm="1">
        <f t="array" ref="M29">Scope3_Equations.VEERG_15_1_1_1__1_EmissionsFromPurchasedLivestock(G29,K29,IF(L29, L29, I29))</f>
        <v>0</v>
      </c>
      <c r="N29" s="44"/>
      <c r="O29" s="23"/>
      <c r="P29" s="44"/>
    </row>
    <row r="30" spans="1:16" ht="20.100000000000001" customHeight="1" x14ac:dyDescent="0.25">
      <c r="A30" s="5" t="str">
        <f>HYPERLINK("#'5.5.1.1-2 Leaching and runoff'!A1", "5.5.1.1-2 Leaching &amp; runoff")</f>
        <v>5.5.1.1-2 Leaching &amp; runoff</v>
      </c>
      <c r="D30" s="25"/>
      <c r="E30" s="25"/>
      <c r="F30" s="25"/>
      <c r="G30" s="25"/>
      <c r="H30" s="25"/>
      <c r="I30" s="25" cm="1">
        <f t="array" ref="I30">Common_InputFunctions.Utility_LookupValueInTableTwoColumns(E30,F30,Table_SourceData_Scope3_Animals[Product],Table_SourceData_Scope3_Animals[Region of origin],Table_SourceData_Scope3_Animals[AusLCI Emissions intensity], 0)</f>
        <v>0</v>
      </c>
      <c r="J30" s="251" cm="1">
        <f t="array" ref="J30">Scope3_Equations.VEERG_15_1_1_1__1_EmissionsFromPurchasedLivestock(G30,H30,I30)</f>
        <v>0</v>
      </c>
      <c r="K30" s="25"/>
      <c r="L30" s="86"/>
      <c r="M30" s="251" cm="1">
        <f t="array" ref="M30">Scope3_Equations.VEERG_15_1_1_1__1_EmissionsFromPurchasedLivestock(G30,K30,IF(L30, L30, I30))</f>
        <v>0</v>
      </c>
      <c r="N30" s="44"/>
      <c r="O30" s="23"/>
      <c r="P30" s="44"/>
    </row>
    <row r="31" spans="1:16" ht="20.100000000000001" customHeight="1" x14ac:dyDescent="0.25">
      <c r="A31" s="5" t="str">
        <f>HYPERLINK("#'6.1.1.1-2 Crop residue N2O'!A1", "6.1.1.1-2 Crop residue N2O")</f>
        <v>6.1.1.1-2 Crop residue N2O</v>
      </c>
      <c r="D31" s="25"/>
      <c r="E31" s="25"/>
      <c r="F31" s="25"/>
      <c r="G31" s="25"/>
      <c r="H31" s="25"/>
      <c r="I31" s="25" cm="1">
        <f t="array" ref="I31">Common_InputFunctions.Utility_LookupValueInTableTwoColumns(E31,F31,Table_SourceData_Scope3_Animals[Product],Table_SourceData_Scope3_Animals[Region of origin],Table_SourceData_Scope3_Animals[AusLCI Emissions intensity], 0)</f>
        <v>0</v>
      </c>
      <c r="J31" s="251" cm="1">
        <f t="array" ref="J31">Scope3_Equations.VEERG_15_1_1_1__1_EmissionsFromPurchasedLivestock(G31,H31,I31)</f>
        <v>0</v>
      </c>
      <c r="K31" s="25"/>
      <c r="L31" s="86"/>
      <c r="M31" s="251" cm="1">
        <f t="array" ref="M31">Scope3_Equations.VEERG_15_1_1_1__1_EmissionsFromPurchasedLivestock(G31,K31,IF(L31, L31, I31))</f>
        <v>0</v>
      </c>
      <c r="N31" s="44"/>
      <c r="O31" s="23"/>
      <c r="P31" s="44"/>
    </row>
    <row r="32" spans="1:16" ht="20.100000000000001" customHeight="1" x14ac:dyDescent="0.25">
      <c r="A32" s="5" t="str">
        <f>HYPERLINK("#'6.3.1.1-2 Leach runoff crop'!A1", "6.3.1.1-2 Leach &amp; runoff (crop)")</f>
        <v>6.3.1.1-2 Leach &amp; runoff (crop)</v>
      </c>
      <c r="D32" s="25"/>
      <c r="E32" s="25"/>
      <c r="F32" s="25"/>
      <c r="G32" s="25"/>
      <c r="H32" s="25"/>
      <c r="I32" s="25" cm="1">
        <f t="array" ref="I32">Common_InputFunctions.Utility_LookupValueInTableTwoColumns(E32,F32,Table_SourceData_Scope3_Animals[Product],Table_SourceData_Scope3_Animals[Region of origin],Table_SourceData_Scope3_Animals[AusLCI Emissions intensity], 0)</f>
        <v>0</v>
      </c>
      <c r="J32" s="251" cm="1">
        <f t="array" ref="J32">Scope3_Equations.VEERG_15_1_1_1__1_EmissionsFromPurchasedLivestock(G32,H32,I32)</f>
        <v>0</v>
      </c>
      <c r="K32" s="25"/>
      <c r="L32" s="86"/>
      <c r="M32" s="251" cm="1">
        <f t="array" ref="M32">Scope3_Equations.VEERG_15_1_1_1__1_EmissionsFromPurchasedLivestock(G32,K32,IF(L32, L32, I32))</f>
        <v>0</v>
      </c>
      <c r="N32" s="44"/>
      <c r="O32" s="23"/>
      <c r="P32" s="44"/>
    </row>
    <row r="33" spans="1:13" ht="20.100000000000001" customHeight="1" x14ac:dyDescent="0.25">
      <c r="A33" s="5" t="str">
        <f>HYPERLINK("#'6.4.1.1-2 Residue burning'!A1", "6.4.1.1-2 Residue burning")</f>
        <v>6.4.1.1-2 Residue burning</v>
      </c>
    </row>
    <row r="34" spans="1:13" ht="20.100000000000001" customHeight="1" x14ac:dyDescent="0.25">
      <c r="A34" s="5" t="str">
        <f>HYPERLINK("#'8.1.1.1-2 Transport fuel'!A1", "8.1.1.1-2 Transport fuel")</f>
        <v>8.1.1.1-2 Transport fuel</v>
      </c>
      <c r="D34" s="160" t="s">
        <v>779</v>
      </c>
      <c r="E34" s="147">
        <f>SUM(J23:J32)</f>
        <v>0</v>
      </c>
      <c r="F34" s="154" t="str">
        <f>$E$11</f>
        <v>t CO2e</v>
      </c>
    </row>
    <row r="35" spans="1:13" ht="20.100000000000001" customHeight="1" x14ac:dyDescent="0.25">
      <c r="A35" s="5" t="str">
        <f>HYPERLINK("#'8.2.1.1-2 Stationary fuel'!A1", "8.2.1.1-2 Stationary fuel")</f>
        <v>8.2.1.1-2 Stationary fuel</v>
      </c>
      <c r="D35" s="160" t="s">
        <v>780</v>
      </c>
      <c r="E35" s="147">
        <f>SUM(M23:M32)</f>
        <v>0</v>
      </c>
      <c r="F35" s="154" t="str">
        <f>$E$11</f>
        <v>t CO2e</v>
      </c>
    </row>
    <row r="36" spans="1:13" ht="20.100000000000001" customHeight="1" x14ac:dyDescent="0.25">
      <c r="A36" s="5" t="str">
        <f>HYPERLINK("#'14.1.1-2 Purchased electricity'!A1", "14.1.1-2 Purchased electricity")</f>
        <v>14.1.1-2 Purchased electricity</v>
      </c>
    </row>
    <row r="37" spans="1:13" ht="20.100000000000001" customHeight="1" x14ac:dyDescent="0.25">
      <c r="A37" s="142" t="str">
        <f>HYPERLINK("#'15 Scope 3'!A1", "15 Scope 3")</f>
        <v>15 Scope 3</v>
      </c>
    </row>
    <row r="38" spans="1:13" ht="20.100000000000001" customHeight="1" x14ac:dyDescent="0.25">
      <c r="A38" s="5" t="str">
        <f>HYPERLINK("#'Calcs - Manure sent off-site'!A1", "Calcs - Manure sent off-site")</f>
        <v>Calcs - Manure sent off-site</v>
      </c>
      <c r="D38" s="244" t="s">
        <v>781</v>
      </c>
    </row>
    <row r="39" spans="1:13" ht="20.100000000000001" customHeight="1" x14ac:dyDescent="0.25">
      <c r="A39" s="5" t="str">
        <f>HYPERLINK("#'10.1.1-2 Solid waste treatment'!A1", "10.1.1-2 Solid waste treatment")</f>
        <v>10.1.1-2 Solid waste treatment</v>
      </c>
      <c r="D39" s="155" t="s">
        <v>782</v>
      </c>
      <c r="E39" s="25" cm="1">
        <f t="array" ref="E39">Common_InputFunctions.Utility_LookupValueInTableNumber("Dairy cows", Table_SourceData_Scope3_Animals[Product],Table_SourceData_Scope3_Animals[AusLCI Emissions intensity])</f>
        <v>4.41</v>
      </c>
    </row>
    <row r="40" spans="1:13" ht="20.100000000000001" customHeight="1" x14ac:dyDescent="0.25">
      <c r="A40"/>
    </row>
    <row r="41" spans="1:13" ht="20.100000000000001" customHeight="1" x14ac:dyDescent="0.25">
      <c r="A41"/>
      <c r="D41" s="92" t="s">
        <v>763</v>
      </c>
      <c r="E41" s="250" t="s">
        <v>766</v>
      </c>
      <c r="F41" s="250" t="s">
        <v>767</v>
      </c>
      <c r="G41" s="146" t="s">
        <v>769</v>
      </c>
      <c r="H41" s="250" t="s">
        <v>770</v>
      </c>
      <c r="I41" s="92" t="s">
        <v>771</v>
      </c>
      <c r="J41" s="146" t="s">
        <v>772</v>
      </c>
      <c r="K41" s="92" t="s">
        <v>773</v>
      </c>
      <c r="L41" s="92" t="s">
        <v>774</v>
      </c>
      <c r="M41" s="92" t="s">
        <v>775</v>
      </c>
    </row>
    <row r="42" spans="1:13" ht="20.100000000000001" customHeight="1" x14ac:dyDescent="0.25">
      <c r="A42" s="108" t="s">
        <v>1</v>
      </c>
      <c r="D42" s="25"/>
      <c r="E42" s="25"/>
      <c r="F42" s="25"/>
      <c r="G42" s="251" cm="1">
        <f t="array" ref="G42">Scope3_Equations.VEERG_15_1_1_1__1_EmissionsFromPurchasedLivestock(E42,F42,$E$39)</f>
        <v>0</v>
      </c>
      <c r="H42" s="25"/>
      <c r="I42" s="86">
        <v>4</v>
      </c>
      <c r="J42" s="251" cm="1">
        <f t="array" ref="J42">Scope3_Equations.VEERG_15_1_1_1__1_EmissionsFromPurchasedLivestock(E42,H42,IF(I42,I42,$E$39))</f>
        <v>0</v>
      </c>
      <c r="K42" s="44" t="s">
        <v>776</v>
      </c>
      <c r="L42" s="23" t="s">
        <v>777</v>
      </c>
      <c r="M42" s="239" t="s">
        <v>778</v>
      </c>
    </row>
    <row r="43" spans="1:13" ht="20.100000000000001" customHeight="1" x14ac:dyDescent="0.25">
      <c r="A43" s="5" t="str">
        <f>HYPERLINK("#'Constants - Ag Residue'!A1", "Constants - Ag residue")</f>
        <v>Constants - Ag residue</v>
      </c>
      <c r="D43" s="25"/>
      <c r="E43" s="25"/>
      <c r="F43" s="25"/>
      <c r="G43" s="251" cm="1">
        <f t="array" ref="G43">Scope3_Equations.VEERG_15_1_1_1__1_EmissionsFromPurchasedLivestock(E43,F43,$E$39)</f>
        <v>0</v>
      </c>
      <c r="H43" s="25"/>
      <c r="I43" s="86"/>
      <c r="J43" s="251" cm="1">
        <f t="array" ref="J43">Scope3_Equations.VEERG_15_1_1_1__1_EmissionsFromPurchasedLivestock(E43,H43,IF(I43,I43,$E$39))</f>
        <v>0</v>
      </c>
      <c r="K43" s="44"/>
      <c r="L43" s="23"/>
      <c r="M43" s="44"/>
    </row>
    <row r="44" spans="1:13" ht="20.100000000000001" customHeight="1" x14ac:dyDescent="0.25">
      <c r="A44" s="5" t="str">
        <f>HYPERLINK("#'Constants - Common Livestock'!A1", "Constants - Common Livestock")</f>
        <v>Constants - Common Livestock</v>
      </c>
      <c r="D44" s="25"/>
      <c r="E44" s="25"/>
      <c r="F44" s="25"/>
      <c r="G44" s="251" cm="1">
        <f t="array" ref="G44">Scope3_Equations.VEERG_15_1_1_1__1_EmissionsFromPurchasedLivestock(E44,F44,$E$39)</f>
        <v>0</v>
      </c>
      <c r="H44" s="25"/>
      <c r="I44" s="86"/>
      <c r="J44" s="251" cm="1">
        <f t="array" ref="J44">Scope3_Equations.VEERG_15_1_1_1__1_EmissionsFromPurchasedLivestock(E44,H44,IF(I44,I44,$E$39))</f>
        <v>0</v>
      </c>
      <c r="K44" s="44"/>
      <c r="L44" s="23"/>
      <c r="M44" s="44"/>
    </row>
    <row r="45" spans="1:13" ht="20.100000000000001" customHeight="1" x14ac:dyDescent="0.25">
      <c r="A45" s="5" t="str">
        <f>HYPERLINK("#'Constants - Electricity'!A1", "Constants - Electricity")</f>
        <v>Constants - Electricity</v>
      </c>
      <c r="D45" s="25"/>
      <c r="E45" s="25"/>
      <c r="F45" s="25"/>
      <c r="G45" s="251" cm="1">
        <f t="array" ref="G45">Scope3_Equations.VEERG_15_1_1_1__1_EmissionsFromPurchasedLivestock(E45,F45,$E$39)</f>
        <v>0</v>
      </c>
      <c r="H45" s="25"/>
      <c r="I45" s="86"/>
      <c r="J45" s="251" cm="1">
        <f t="array" ref="J45">Scope3_Equations.VEERG_15_1_1_1__1_EmissionsFromPurchasedLivestock(E45,H45,IF(I45,I45,$E$39))</f>
        <v>0</v>
      </c>
      <c r="K45" s="44"/>
      <c r="L45" s="23"/>
      <c r="M45" s="44"/>
    </row>
    <row r="46" spans="1:13" ht="20.100000000000001" customHeight="1" x14ac:dyDescent="0.25">
      <c r="A46" s="5" t="str">
        <f>HYPERLINK("#'Constants - Fertiliser'!A1", "Constants - Fertiliser")</f>
        <v>Constants - Fertiliser</v>
      </c>
      <c r="D46" s="25"/>
      <c r="E46" s="25"/>
      <c r="F46" s="25"/>
      <c r="G46" s="251" cm="1">
        <f t="array" ref="G46">Scope3_Equations.VEERG_15_1_1_1__1_EmissionsFromPurchasedLivestock(E46,F46,$E$39)</f>
        <v>0</v>
      </c>
      <c r="H46" s="25"/>
      <c r="I46" s="86"/>
      <c r="J46" s="251" cm="1">
        <f t="array" ref="J46">Scope3_Equations.VEERG_15_1_1_1__1_EmissionsFromPurchasedLivestock(E46,H46,IF(I46,I46,$E$39))</f>
        <v>0</v>
      </c>
      <c r="K46" s="44"/>
      <c r="L46" s="23"/>
      <c r="M46" s="44"/>
    </row>
    <row r="47" spans="1:13" ht="20.100000000000001" customHeight="1" x14ac:dyDescent="0.25">
      <c r="A47" s="5" t="str">
        <f>HYPERLINK("#'Constants - Fuel'!A1", "Constants - Fuel")</f>
        <v>Constants - Fuel</v>
      </c>
      <c r="D47" s="25"/>
      <c r="E47" s="25"/>
      <c r="F47" s="25"/>
      <c r="G47" s="251" cm="1">
        <f t="array" ref="G47">Scope3_Equations.VEERG_15_1_1_1__1_EmissionsFromPurchasedLivestock(E47,F47,$E$39)</f>
        <v>0</v>
      </c>
      <c r="H47" s="25"/>
      <c r="I47" s="86"/>
      <c r="J47" s="251" cm="1">
        <f t="array" ref="J47">Scope3_Equations.VEERG_15_1_1_1__1_EmissionsFromPurchasedLivestock(E47,H47,IF(I47,I47,$E$39))</f>
        <v>0</v>
      </c>
      <c r="K47" s="44"/>
      <c r="L47" s="23"/>
      <c r="M47" s="44"/>
    </row>
    <row r="48" spans="1:13" ht="20.100000000000001" customHeight="1" x14ac:dyDescent="0.25">
      <c r="A48" s="5" t="str">
        <f>HYPERLINK("#'Constants - Scope 3'!A1", "Constants - Scope 3")</f>
        <v>Constants - Scope 3</v>
      </c>
      <c r="D48" s="25"/>
      <c r="E48" s="25"/>
      <c r="F48" s="25"/>
      <c r="G48" s="251" cm="1">
        <f t="array" ref="G48">Scope3_Equations.VEERG_15_1_1_1__1_EmissionsFromPurchasedLivestock(E48,F48,$E$39)</f>
        <v>0</v>
      </c>
      <c r="H48" s="25"/>
      <c r="I48" s="86"/>
      <c r="J48" s="251" cm="1">
        <f t="array" ref="J48">Scope3_Equations.VEERG_15_1_1_1__1_EmissionsFromPurchasedLivestock(E48,H48,IF(I48,I48,$E$39))</f>
        <v>0</v>
      </c>
      <c r="K48" s="44"/>
      <c r="L48" s="23"/>
      <c r="M48" s="44"/>
    </row>
    <row r="49" spans="1:13" ht="20.100000000000001" customHeight="1" x14ac:dyDescent="0.25">
      <c r="A49" s="5" t="str">
        <f>HYPERLINK("#'Constants - Common'!A1", "Constants - Common")</f>
        <v>Constants - Common</v>
      </c>
      <c r="D49" s="25"/>
      <c r="E49" s="25"/>
      <c r="F49" s="25"/>
      <c r="G49" s="251" cm="1">
        <f t="array" ref="G49">Scope3_Equations.VEERG_15_1_1_1__1_EmissionsFromPurchasedLivestock(E49,F49,$E$39)</f>
        <v>0</v>
      </c>
      <c r="H49" s="25"/>
      <c r="I49" s="86"/>
      <c r="J49" s="251" cm="1">
        <f t="array" ref="J49">Scope3_Equations.VEERG_15_1_1_1__1_EmissionsFromPurchasedLivestock(E49,H49,IF(I49,I49,$E$39))</f>
        <v>0</v>
      </c>
      <c r="K49" s="44"/>
      <c r="L49" s="23"/>
      <c r="M49" s="44"/>
    </row>
    <row r="50" spans="1:13" ht="20.100000000000001" customHeight="1" x14ac:dyDescent="0.25">
      <c r="A50" s="5" t="str">
        <f>HYPERLINK("#'Constants - Solid Waste'!A1", "Constants - Solid Waste")</f>
        <v>Constants - Solid Waste</v>
      </c>
      <c r="D50" s="25"/>
      <c r="E50" s="25"/>
      <c r="F50" s="25"/>
      <c r="G50" s="251" cm="1">
        <f t="array" ref="G50">Scope3_Equations.VEERG_15_1_1_1__1_EmissionsFromPurchasedLivestock(E50,F50,$E$39)</f>
        <v>0</v>
      </c>
      <c r="H50" s="25"/>
      <c r="I50" s="86"/>
      <c r="J50" s="251" cm="1">
        <f t="array" ref="J50">Scope3_Equations.VEERG_15_1_1_1__1_EmissionsFromPurchasedLivestock(E50,H50,IF(I50,I50,$E$39))</f>
        <v>0</v>
      </c>
      <c r="K50" s="44"/>
      <c r="L50" s="23"/>
      <c r="M50" s="44"/>
    </row>
    <row r="51" spans="1:13" ht="20.100000000000001" customHeight="1" x14ac:dyDescent="0.25">
      <c r="A51"/>
      <c r="D51" s="25"/>
      <c r="E51" s="25"/>
      <c r="F51" s="25"/>
      <c r="G51" s="251" cm="1">
        <f t="array" ref="G51">Scope3_Equations.VEERG_15_1_1_1__1_EmissionsFromPurchasedLivestock(E51,F51,$E$39)</f>
        <v>0</v>
      </c>
      <c r="H51" s="25"/>
      <c r="I51" s="86"/>
      <c r="J51" s="251" cm="1">
        <f t="array" ref="J51">Scope3_Equations.VEERG_15_1_1_1__1_EmissionsFromPurchasedLivestock(E51,H51,IF(I51,I51,$E$39))</f>
        <v>0</v>
      </c>
      <c r="K51" s="44"/>
      <c r="L51" s="23"/>
      <c r="M51" s="44"/>
    </row>
    <row r="52" spans="1:13" ht="20.100000000000001" customHeight="1" x14ac:dyDescent="0.25">
      <c r="A52"/>
    </row>
    <row r="53" spans="1:13" ht="20.100000000000001" customHeight="1" x14ac:dyDescent="0.25">
      <c r="A53"/>
      <c r="D53" s="160" t="s">
        <v>783</v>
      </c>
      <c r="E53" s="147">
        <f>SUM(G42:G51)</f>
        <v>0</v>
      </c>
      <c r="F53" s="154" t="str">
        <f>$E$11</f>
        <v>t CO2e</v>
      </c>
    </row>
    <row r="54" spans="1:13" ht="20.100000000000001" customHeight="1" x14ac:dyDescent="0.25">
      <c r="A54"/>
      <c r="D54" s="160" t="s">
        <v>784</v>
      </c>
      <c r="E54" s="147">
        <f>SUM(J42:J51)</f>
        <v>0</v>
      </c>
      <c r="F54" s="154" t="str">
        <f>$E$11</f>
        <v>t CO2e</v>
      </c>
    </row>
    <row r="55" spans="1:13" ht="20.100000000000001" customHeight="1" x14ac:dyDescent="0.25">
      <c r="A55"/>
    </row>
    <row r="56" spans="1:13" ht="20.100000000000001" customHeight="1" x14ac:dyDescent="0.25">
      <c r="A56"/>
    </row>
    <row r="57" spans="1:13" ht="20.100000000000001" customHeight="1" x14ac:dyDescent="0.25">
      <c r="A57"/>
      <c r="D57" s="244" t="s">
        <v>785</v>
      </c>
    </row>
    <row r="58" spans="1:13" ht="20.100000000000001" customHeight="1" x14ac:dyDescent="0.25">
      <c r="A58"/>
      <c r="D58" s="155" t="s">
        <v>782</v>
      </c>
      <c r="E58" s="25" cm="1">
        <f t="array" ref="E58">Common_InputFunctions.Utility_LookupValueInTableNumber("Pigs", Table_SourceData_Scope3_Animals[Product],Table_SourceData_Scope3_Animals[AusLCI Emissions intensity])</f>
        <v>3.38</v>
      </c>
    </row>
    <row r="59" spans="1:13" ht="20.100000000000001" customHeight="1" x14ac:dyDescent="0.25">
      <c r="A59"/>
    </row>
    <row r="60" spans="1:13" ht="20.100000000000001" customHeight="1" x14ac:dyDescent="0.25">
      <c r="A60"/>
      <c r="D60" s="92" t="s">
        <v>763</v>
      </c>
      <c r="E60" s="250" t="s">
        <v>766</v>
      </c>
      <c r="F60" s="250" t="s">
        <v>767</v>
      </c>
      <c r="G60" s="146" t="s">
        <v>769</v>
      </c>
      <c r="H60" s="250" t="s">
        <v>770</v>
      </c>
      <c r="I60" s="92" t="s">
        <v>771</v>
      </c>
      <c r="J60" s="146" t="s">
        <v>772</v>
      </c>
      <c r="K60" s="92" t="s">
        <v>773</v>
      </c>
      <c r="L60" s="92" t="s">
        <v>774</v>
      </c>
      <c r="M60" s="92" t="s">
        <v>775</v>
      </c>
    </row>
    <row r="61" spans="1:13" ht="20.100000000000001" customHeight="1" x14ac:dyDescent="0.25">
      <c r="A61"/>
      <c r="D61" s="25"/>
      <c r="E61" s="25"/>
      <c r="F61" s="25"/>
      <c r="G61" s="251" cm="1">
        <f t="array" ref="G61">Scope3_Equations.VEERG_15_1_1_1__1_EmissionsFromPurchasedLivestock(E61,F61,$E$58)</f>
        <v>0</v>
      </c>
      <c r="H61" s="25"/>
      <c r="I61" s="86">
        <v>3.38</v>
      </c>
      <c r="J61" s="251" cm="1">
        <f t="array" ref="J61">Scope3_Equations.VEERG_15_1_1_1__1_EmissionsFromPurchasedLivestock(E61,H61,IF(I61, I61,$E$58))</f>
        <v>0</v>
      </c>
      <c r="K61" s="44"/>
      <c r="L61" s="23"/>
      <c r="M61" s="239"/>
    </row>
    <row r="62" spans="1:13" ht="20.100000000000001" customHeight="1" x14ac:dyDescent="0.25">
      <c r="A62"/>
      <c r="D62" s="25"/>
      <c r="E62" s="25"/>
      <c r="F62" s="25"/>
      <c r="G62" s="251" cm="1">
        <f t="array" ref="G62">Scope3_Equations.VEERG_15_1_1_1__1_EmissionsFromPurchasedLivestock(E62,F62,$E$58)</f>
        <v>0</v>
      </c>
      <c r="H62" s="25"/>
      <c r="I62" s="86">
        <v>3.3</v>
      </c>
      <c r="J62" s="251" cm="1">
        <f t="array" ref="J62">Scope3_Equations.VEERG_15_1_1_1__1_EmissionsFromPurchasedLivestock(E62,H62,IF(I62, I62,$E$58))</f>
        <v>0</v>
      </c>
      <c r="K62" s="44"/>
      <c r="L62" s="23"/>
      <c r="M62" s="44"/>
    </row>
    <row r="63" spans="1:13" ht="20.100000000000001" customHeight="1" x14ac:dyDescent="0.25">
      <c r="A63"/>
      <c r="D63" s="25"/>
      <c r="E63" s="25"/>
      <c r="F63" s="25"/>
      <c r="G63" s="251" cm="1">
        <f t="array" ref="G63">Scope3_Equations.VEERG_15_1_1_1__1_EmissionsFromPurchasedLivestock(E63,F63,$E$58)</f>
        <v>0</v>
      </c>
      <c r="H63" s="25"/>
      <c r="I63" s="86"/>
      <c r="J63" s="251" cm="1">
        <f t="array" ref="J63">Scope3_Equations.VEERG_15_1_1_1__1_EmissionsFromPurchasedLivestock(E63,H63,IF(I63, I63,$E$58))</f>
        <v>0</v>
      </c>
      <c r="K63" s="44"/>
      <c r="L63" s="23"/>
      <c r="M63" s="44"/>
    </row>
    <row r="64" spans="1:13" ht="20.100000000000001" customHeight="1" x14ac:dyDescent="0.25">
      <c r="A64"/>
      <c r="D64" s="25"/>
      <c r="E64" s="25"/>
      <c r="F64" s="25"/>
      <c r="G64" s="251" cm="1">
        <f t="array" ref="G64">Scope3_Equations.VEERG_15_1_1_1__1_EmissionsFromPurchasedLivestock(E64,F64,$E$58)</f>
        <v>0</v>
      </c>
      <c r="H64" s="25"/>
      <c r="I64" s="86"/>
      <c r="J64" s="251" cm="1">
        <f t="array" ref="J64">Scope3_Equations.VEERG_15_1_1_1__1_EmissionsFromPurchasedLivestock(E64,H64,IF(I64, I64,$E$58))</f>
        <v>0</v>
      </c>
      <c r="K64" s="44"/>
      <c r="L64" s="23"/>
      <c r="M64" s="44"/>
    </row>
    <row r="65" spans="1:13" ht="20.100000000000001" customHeight="1" x14ac:dyDescent="0.25">
      <c r="A65"/>
      <c r="D65" s="25"/>
      <c r="E65" s="25"/>
      <c r="F65" s="25"/>
      <c r="G65" s="251" cm="1">
        <f t="array" ref="G65">Scope3_Equations.VEERG_15_1_1_1__1_EmissionsFromPurchasedLivestock(E65,F65,$E$58)</f>
        <v>0</v>
      </c>
      <c r="H65" s="25"/>
      <c r="I65" s="86"/>
      <c r="J65" s="251" cm="1">
        <f t="array" ref="J65">Scope3_Equations.VEERG_15_1_1_1__1_EmissionsFromPurchasedLivestock(E65,H65,IF(I65, I65,$E$58))</f>
        <v>0</v>
      </c>
      <c r="K65" s="44"/>
      <c r="L65" s="23"/>
      <c r="M65" s="44"/>
    </row>
    <row r="66" spans="1:13" ht="20.100000000000001" customHeight="1" x14ac:dyDescent="0.25">
      <c r="A66"/>
      <c r="D66" s="25"/>
      <c r="E66" s="25"/>
      <c r="F66" s="25"/>
      <c r="G66" s="251" cm="1">
        <f t="array" ref="G66">Scope3_Equations.VEERG_15_1_1_1__1_EmissionsFromPurchasedLivestock(E66,F66,$E$58)</f>
        <v>0</v>
      </c>
      <c r="H66" s="25"/>
      <c r="I66" s="86"/>
      <c r="J66" s="251" cm="1">
        <f t="array" ref="J66">Scope3_Equations.VEERG_15_1_1_1__1_EmissionsFromPurchasedLivestock(E66,H66,IF(I66, I66,$E$58))</f>
        <v>0</v>
      </c>
      <c r="K66" s="44"/>
      <c r="L66" s="23"/>
      <c r="M66" s="44"/>
    </row>
    <row r="67" spans="1:13" ht="20.100000000000001" customHeight="1" x14ac:dyDescent="0.25">
      <c r="A67"/>
      <c r="D67" s="25"/>
      <c r="E67" s="25"/>
      <c r="F67" s="25"/>
      <c r="G67" s="251" cm="1">
        <f t="array" ref="G67">Scope3_Equations.VEERG_15_1_1_1__1_EmissionsFromPurchasedLivestock(E67,F67,$E$58)</f>
        <v>0</v>
      </c>
      <c r="H67" s="25"/>
      <c r="I67" s="86"/>
      <c r="J67" s="251" cm="1">
        <f t="array" ref="J67">Scope3_Equations.VEERG_15_1_1_1__1_EmissionsFromPurchasedLivestock(E67,H67,IF(I67, I67,$E$58))</f>
        <v>0</v>
      </c>
      <c r="K67" s="44"/>
      <c r="L67" s="23"/>
      <c r="M67" s="44"/>
    </row>
    <row r="68" spans="1:13" ht="20.100000000000001" customHeight="1" x14ac:dyDescent="0.25">
      <c r="A68"/>
      <c r="D68" s="25"/>
      <c r="E68" s="25"/>
      <c r="F68" s="25"/>
      <c r="G68" s="251" cm="1">
        <f t="array" ref="G68">Scope3_Equations.VEERG_15_1_1_1__1_EmissionsFromPurchasedLivestock(E68,F68,$E$58)</f>
        <v>0</v>
      </c>
      <c r="H68" s="25"/>
      <c r="I68" s="86"/>
      <c r="J68" s="251" cm="1">
        <f t="array" ref="J68">Scope3_Equations.VEERG_15_1_1_1__1_EmissionsFromPurchasedLivestock(E68,H68,IF(I68, I68,$E$58))</f>
        <v>0</v>
      </c>
      <c r="K68" s="44"/>
      <c r="L68" s="23"/>
      <c r="M68" s="44"/>
    </row>
    <row r="69" spans="1:13" ht="20.100000000000001" customHeight="1" x14ac:dyDescent="0.25">
      <c r="A69"/>
      <c r="D69" s="25"/>
      <c r="E69" s="25"/>
      <c r="F69" s="25"/>
      <c r="G69" s="251" cm="1">
        <f t="array" ref="G69">Scope3_Equations.VEERG_15_1_1_1__1_EmissionsFromPurchasedLivestock(E69,F69,$E$58)</f>
        <v>0</v>
      </c>
      <c r="H69" s="25"/>
      <c r="I69" s="86"/>
      <c r="J69" s="251" cm="1">
        <f t="array" ref="J69">Scope3_Equations.VEERG_15_1_1_1__1_EmissionsFromPurchasedLivestock(E69,H69,IF(I69, I69,$E$58))</f>
        <v>0</v>
      </c>
      <c r="K69" s="44"/>
      <c r="L69" s="23"/>
      <c r="M69" s="44"/>
    </row>
    <row r="70" spans="1:13" ht="20.100000000000001" customHeight="1" x14ac:dyDescent="0.25">
      <c r="A70"/>
      <c r="D70" s="25"/>
      <c r="E70" s="25"/>
      <c r="F70" s="25"/>
      <c r="G70" s="251" cm="1">
        <f t="array" ref="G70">Scope3_Equations.VEERG_15_1_1_1__1_EmissionsFromPurchasedLivestock(E70,F70,$E$58)</f>
        <v>0</v>
      </c>
      <c r="H70" s="25"/>
      <c r="I70" s="86"/>
      <c r="J70" s="251" cm="1">
        <f t="array" ref="J70">Scope3_Equations.VEERG_15_1_1_1__1_EmissionsFromPurchasedLivestock(E70,H70,IF(I70, I70,$E$58))</f>
        <v>0</v>
      </c>
      <c r="K70" s="44"/>
      <c r="L70" s="23"/>
      <c r="M70" s="44"/>
    </row>
    <row r="71" spans="1:13" ht="20.100000000000001" customHeight="1" x14ac:dyDescent="0.25">
      <c r="A71"/>
    </row>
    <row r="72" spans="1:13" ht="20.100000000000001" customHeight="1" x14ac:dyDescent="0.25">
      <c r="A72"/>
      <c r="D72" s="160" t="s">
        <v>786</v>
      </c>
      <c r="E72" s="147">
        <f>SUM(G61:G70)</f>
        <v>0</v>
      </c>
      <c r="F72" s="154" t="str">
        <f>$E$11</f>
        <v>t CO2e</v>
      </c>
    </row>
    <row r="73" spans="1:13" ht="20.100000000000001" customHeight="1" x14ac:dyDescent="0.25">
      <c r="A73"/>
      <c r="D73" s="160" t="s">
        <v>787</v>
      </c>
      <c r="E73" s="147">
        <f>SUM(J61:J70)</f>
        <v>0</v>
      </c>
      <c r="F73" s="154" t="str">
        <f>$E$11</f>
        <v>t CO2e</v>
      </c>
    </row>
    <row r="74" spans="1:13" ht="20.100000000000001" customHeight="1" x14ac:dyDescent="0.25">
      <c r="A74"/>
    </row>
    <row r="75" spans="1:13" ht="20.100000000000001" customHeight="1" x14ac:dyDescent="0.25">
      <c r="A75"/>
      <c r="D75" s="244" t="s">
        <v>788</v>
      </c>
    </row>
    <row r="76" spans="1:13" ht="20.100000000000001" customHeight="1" x14ac:dyDescent="0.25">
      <c r="A76"/>
      <c r="D76" s="155" t="s">
        <v>782</v>
      </c>
      <c r="E76" s="25" cm="1">
        <f t="array" ref="E76">Common_InputFunctions.Utility_LookupValueInTableNumber("Chickens", Table_SourceData_Scope3_Animals[Product],Table_SourceData_Scope3_Animals[AusLCI Emissions intensity])</f>
        <v>1.36</v>
      </c>
    </row>
    <row r="77" spans="1:13" ht="20.100000000000001" customHeight="1" x14ac:dyDescent="0.25">
      <c r="A77"/>
    </row>
    <row r="78" spans="1:13" ht="20.100000000000001" customHeight="1" x14ac:dyDescent="0.25">
      <c r="A78"/>
      <c r="D78" s="92" t="s">
        <v>763</v>
      </c>
      <c r="E78" s="250" t="s">
        <v>766</v>
      </c>
      <c r="F78" s="250" t="s">
        <v>767</v>
      </c>
      <c r="G78" s="146" t="s">
        <v>769</v>
      </c>
      <c r="H78" s="250" t="s">
        <v>770</v>
      </c>
      <c r="I78" s="92" t="s">
        <v>771</v>
      </c>
      <c r="J78" s="146" t="s">
        <v>772</v>
      </c>
      <c r="K78" s="92" t="s">
        <v>773</v>
      </c>
      <c r="L78" s="92" t="s">
        <v>774</v>
      </c>
      <c r="M78" s="92" t="s">
        <v>775</v>
      </c>
    </row>
    <row r="79" spans="1:13" ht="20.100000000000001" customHeight="1" x14ac:dyDescent="0.25">
      <c r="A79"/>
      <c r="D79" s="25"/>
      <c r="E79" s="25"/>
      <c r="F79" s="25"/>
      <c r="G79" s="251" cm="1">
        <f t="array" ref="G79">Scope3_Equations.VEERG_15_1_1_1__1_EmissionsFromPurchasedLivestock(E79,F79,$E$76)</f>
        <v>0</v>
      </c>
      <c r="H79" s="25"/>
      <c r="I79" s="86">
        <v>1.3</v>
      </c>
      <c r="J79" s="251" cm="1">
        <f t="array" ref="J79">Scope3_Equations.VEERG_15_1_1_1__1_EmissionsFromPurchasedLivestock(E79,H79,IF(I79, I79,$E$76))</f>
        <v>0</v>
      </c>
      <c r="K79" s="44"/>
      <c r="L79" s="23"/>
      <c r="M79" s="239"/>
    </row>
    <row r="80" spans="1:13" ht="20.100000000000001" customHeight="1" x14ac:dyDescent="0.25">
      <c r="A80"/>
      <c r="D80" s="25"/>
      <c r="E80" s="25"/>
      <c r="F80" s="25"/>
      <c r="G80" s="251" cm="1">
        <f t="array" ref="G80">Scope3_Equations.VEERG_15_1_1_1__1_EmissionsFromPurchasedLivestock(E80,F80,$E$76)</f>
        <v>0</v>
      </c>
      <c r="H80" s="25"/>
      <c r="I80" s="86"/>
      <c r="J80" s="251" cm="1">
        <f t="array" ref="J80">Scope3_Equations.VEERG_15_1_1_1__1_EmissionsFromPurchasedLivestock(E80,H80,IF(I80, I80,$E$76))</f>
        <v>0</v>
      </c>
      <c r="K80" s="44"/>
      <c r="L80" s="23"/>
      <c r="M80" s="44"/>
    </row>
    <row r="81" spans="1:13" ht="20.100000000000001" customHeight="1" x14ac:dyDescent="0.25">
      <c r="A81"/>
      <c r="D81" s="25"/>
      <c r="E81" s="25"/>
      <c r="F81" s="25"/>
      <c r="G81" s="251" cm="1">
        <f t="array" ref="G81">Scope3_Equations.VEERG_15_1_1_1__1_EmissionsFromPurchasedLivestock(E81,F81,$E$76)</f>
        <v>0</v>
      </c>
      <c r="H81" s="25"/>
      <c r="I81" s="86"/>
      <c r="J81" s="251" cm="1">
        <f t="array" ref="J81">Scope3_Equations.VEERG_15_1_1_1__1_EmissionsFromPurchasedLivestock(E81,H81,IF(I81, I81,$E$76))</f>
        <v>0</v>
      </c>
      <c r="K81" s="44"/>
      <c r="L81" s="23"/>
      <c r="M81" s="44"/>
    </row>
    <row r="82" spans="1:13" ht="20.100000000000001" customHeight="1" x14ac:dyDescent="0.25">
      <c r="A82"/>
      <c r="D82" s="25"/>
      <c r="E82" s="25"/>
      <c r="F82" s="25"/>
      <c r="G82" s="251" cm="1">
        <f t="array" ref="G82">Scope3_Equations.VEERG_15_1_1_1__1_EmissionsFromPurchasedLivestock(E82,F82,$E$76)</f>
        <v>0</v>
      </c>
      <c r="H82" s="25"/>
      <c r="I82" s="86"/>
      <c r="J82" s="251" cm="1">
        <f t="array" ref="J82">Scope3_Equations.VEERG_15_1_1_1__1_EmissionsFromPurchasedLivestock(E82,H82,IF(I82, I82,$E$76))</f>
        <v>0</v>
      </c>
      <c r="K82" s="44"/>
      <c r="L82" s="23"/>
      <c r="M82" s="44"/>
    </row>
    <row r="83" spans="1:13" ht="20.100000000000001" customHeight="1" x14ac:dyDescent="0.25">
      <c r="A83"/>
      <c r="D83" s="25"/>
      <c r="E83" s="25"/>
      <c r="F83" s="25"/>
      <c r="G83" s="251" cm="1">
        <f t="array" ref="G83">Scope3_Equations.VEERG_15_1_1_1__1_EmissionsFromPurchasedLivestock(E83,F83,$E$76)</f>
        <v>0</v>
      </c>
      <c r="H83" s="25"/>
      <c r="I83" s="86"/>
      <c r="J83" s="251" cm="1">
        <f t="array" ref="J83">Scope3_Equations.VEERG_15_1_1_1__1_EmissionsFromPurchasedLivestock(E83,H83,IF(I83, I83,$E$76))</f>
        <v>0</v>
      </c>
      <c r="K83" s="44"/>
      <c r="L83" s="23"/>
      <c r="M83" s="44"/>
    </row>
    <row r="84" spans="1:13" ht="20.100000000000001" customHeight="1" x14ac:dyDescent="0.25">
      <c r="A84"/>
      <c r="D84" s="25"/>
      <c r="E84" s="25"/>
      <c r="F84" s="25"/>
      <c r="G84" s="251" cm="1">
        <f t="array" ref="G84">Scope3_Equations.VEERG_15_1_1_1__1_EmissionsFromPurchasedLivestock(E84,F84,$E$76)</f>
        <v>0</v>
      </c>
      <c r="H84" s="25"/>
      <c r="I84" s="86"/>
      <c r="J84" s="251" cm="1">
        <f t="array" ref="J84">Scope3_Equations.VEERG_15_1_1_1__1_EmissionsFromPurchasedLivestock(E84,H84,IF(I84, I84,$E$76))</f>
        <v>0</v>
      </c>
      <c r="K84" s="44"/>
      <c r="L84" s="23"/>
      <c r="M84" s="44"/>
    </row>
    <row r="85" spans="1:13" ht="20.100000000000001" customHeight="1" x14ac:dyDescent="0.25">
      <c r="A85"/>
      <c r="D85" s="25"/>
      <c r="E85" s="25"/>
      <c r="F85" s="25"/>
      <c r="G85" s="251" cm="1">
        <f t="array" ref="G85">Scope3_Equations.VEERG_15_1_1_1__1_EmissionsFromPurchasedLivestock(E85,F85,$E$76)</f>
        <v>0</v>
      </c>
      <c r="H85" s="25"/>
      <c r="I85" s="86"/>
      <c r="J85" s="251" cm="1">
        <f t="array" ref="J85">Scope3_Equations.VEERG_15_1_1_1__1_EmissionsFromPurchasedLivestock(E85,H85,IF(I85, I85,$E$76))</f>
        <v>0</v>
      </c>
      <c r="K85" s="44"/>
      <c r="L85" s="23"/>
      <c r="M85" s="44"/>
    </row>
    <row r="86" spans="1:13" ht="20.100000000000001" customHeight="1" x14ac:dyDescent="0.25">
      <c r="A86"/>
      <c r="D86" s="25"/>
      <c r="E86" s="25"/>
      <c r="F86" s="25"/>
      <c r="G86" s="251" cm="1">
        <f t="array" ref="G86">Scope3_Equations.VEERG_15_1_1_1__1_EmissionsFromPurchasedLivestock(E86,F86,$E$76)</f>
        <v>0</v>
      </c>
      <c r="H86" s="25"/>
      <c r="I86" s="86"/>
      <c r="J86" s="251" cm="1">
        <f t="array" ref="J86">Scope3_Equations.VEERG_15_1_1_1__1_EmissionsFromPurchasedLivestock(E86,H86,IF(I86, I86,$E$76))</f>
        <v>0</v>
      </c>
      <c r="K86" s="44"/>
      <c r="L86" s="23"/>
      <c r="M86" s="44"/>
    </row>
    <row r="87" spans="1:13" ht="20.100000000000001" customHeight="1" x14ac:dyDescent="0.25">
      <c r="A87"/>
      <c r="D87" s="25"/>
      <c r="E87" s="25"/>
      <c r="F87" s="25"/>
      <c r="G87" s="251" cm="1">
        <f t="array" ref="G87">Scope3_Equations.VEERG_15_1_1_1__1_EmissionsFromPurchasedLivestock(E87,F87,$E$76)</f>
        <v>0</v>
      </c>
      <c r="H87" s="25"/>
      <c r="I87" s="86"/>
      <c r="J87" s="251" cm="1">
        <f t="array" ref="J87">Scope3_Equations.VEERG_15_1_1_1__1_EmissionsFromPurchasedLivestock(E87,H87,IF(I87, I87,$E$76))</f>
        <v>0</v>
      </c>
      <c r="K87" s="44"/>
      <c r="L87" s="23"/>
      <c r="M87" s="44"/>
    </row>
    <row r="88" spans="1:13" ht="20.100000000000001" customHeight="1" x14ac:dyDescent="0.25">
      <c r="A88"/>
      <c r="D88" s="25"/>
      <c r="E88" s="25"/>
      <c r="F88" s="25"/>
      <c r="G88" s="251" cm="1">
        <f t="array" ref="G88">Scope3_Equations.VEERG_15_1_1_1__1_EmissionsFromPurchasedLivestock(E88,F88,$E$76)</f>
        <v>0</v>
      </c>
      <c r="H88" s="25"/>
      <c r="I88" s="86"/>
      <c r="J88" s="251" cm="1">
        <f t="array" ref="J88">Scope3_Equations.VEERG_15_1_1_1__1_EmissionsFromPurchasedLivestock(E88,H88,IF(I88, I88,$E$76))</f>
        <v>0</v>
      </c>
      <c r="K88" s="44"/>
      <c r="L88" s="23"/>
      <c r="M88" s="44"/>
    </row>
    <row r="89" spans="1:13" ht="20.100000000000001" customHeight="1" x14ac:dyDescent="0.25">
      <c r="A89"/>
    </row>
    <row r="90" spans="1:13" ht="20.100000000000001" customHeight="1" x14ac:dyDescent="0.25">
      <c r="A90"/>
      <c r="D90" s="160" t="s">
        <v>789</v>
      </c>
      <c r="E90" s="147">
        <f>SUM(G79:G88)</f>
        <v>0</v>
      </c>
      <c r="F90" s="154" t="str">
        <f>$E$11</f>
        <v>t CO2e</v>
      </c>
    </row>
    <row r="91" spans="1:13" ht="20.100000000000001" customHeight="1" x14ac:dyDescent="0.25">
      <c r="A91"/>
      <c r="D91" s="160" t="s">
        <v>790</v>
      </c>
      <c r="E91" s="147">
        <f>SUM(J79:J88)</f>
        <v>0</v>
      </c>
      <c r="F91" s="154" t="str">
        <f>$E$11</f>
        <v>t CO2e</v>
      </c>
    </row>
    <row r="92" spans="1:13" ht="20.100000000000001" customHeight="1" x14ac:dyDescent="0.25">
      <c r="A92"/>
    </row>
    <row r="93" spans="1:13" ht="20.100000000000001" customHeight="1" x14ac:dyDescent="0.25">
      <c r="A93"/>
      <c r="D93" s="150" t="s">
        <v>769</v>
      </c>
      <c r="E93" s="151">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0</v>
      </c>
      <c r="F93" s="152" t="str">
        <f>$E$11</f>
        <v>t CO2e</v>
      </c>
    </row>
    <row r="94" spans="1:13" ht="20.100000000000001" customHeight="1" x14ac:dyDescent="0.25">
      <c r="A94"/>
      <c r="D94" s="150" t="s">
        <v>772</v>
      </c>
      <c r="E94" s="151">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0</v>
      </c>
      <c r="F94" s="152" t="str">
        <f>$E$11</f>
        <v>t CO2e</v>
      </c>
    </row>
    <row r="95" spans="1:13" ht="20.100000000000001" customHeight="1" x14ac:dyDescent="0.25">
      <c r="A95"/>
    </row>
    <row r="96" spans="1:13" ht="20.100000000000001" customHeight="1" x14ac:dyDescent="0.25">
      <c r="A96"/>
    </row>
    <row r="97" spans="1:41" ht="20.100000000000001" customHeight="1" x14ac:dyDescent="0.25">
      <c r="A97"/>
      <c r="C97" s="147"/>
      <c r="D97" s="147"/>
      <c r="E97" s="147"/>
      <c r="F97" s="147"/>
      <c r="G97" s="147"/>
      <c r="H97" s="147"/>
      <c r="I97" s="147"/>
      <c r="J97" s="147"/>
      <c r="K97" s="147"/>
      <c r="L97" s="147"/>
      <c r="M97" s="147"/>
      <c r="N97" s="147"/>
      <c r="O97" s="147"/>
      <c r="P97" s="147"/>
      <c r="Q97" s="147"/>
      <c r="R97" s="147"/>
      <c r="S97" s="147"/>
      <c r="T97" s="147"/>
      <c r="U97" s="147"/>
      <c r="V97" s="147"/>
      <c r="W97" s="147"/>
      <c r="X97" s="147"/>
      <c r="Y97" s="147"/>
      <c r="Z97" s="147"/>
      <c r="AA97" s="147"/>
      <c r="AB97" s="147"/>
      <c r="AC97" s="147"/>
      <c r="AD97" s="147"/>
      <c r="AE97" s="147"/>
      <c r="AF97" s="147"/>
      <c r="AG97" s="147"/>
      <c r="AH97" s="147"/>
      <c r="AI97" s="147"/>
      <c r="AJ97" s="147"/>
      <c r="AK97" s="147"/>
      <c r="AL97" s="147"/>
      <c r="AM97" s="147"/>
      <c r="AN97" s="147"/>
      <c r="AO97" s="147"/>
    </row>
    <row r="98" spans="1:41" ht="20.100000000000001" customHeight="1" x14ac:dyDescent="0.25">
      <c r="A98"/>
      <c r="D98" s="2" t="str" cm="1">
        <f t="array" ref="D98">Scope3_Equations.VEERG_15_2_1_1__1_EmissionsFromPurchasedFeed_Title()</f>
        <v>Emissions from purchased feed</v>
      </c>
    </row>
    <row r="99" spans="1:41" ht="20.100000000000001" customHeight="1" x14ac:dyDescent="0.25">
      <c r="A99"/>
      <c r="D99" s="27" t="str" cm="1">
        <f t="array" ref="D99">Scope3_Equations.VEERG_15_2_1_1__1_EmissionsFromPurchasedFeed_Source()</f>
        <v>VEERG 2026: 15.2.1.1, Equation (1)</v>
      </c>
    </row>
    <row r="100" spans="1:41" ht="20.100000000000001" customHeight="1" x14ac:dyDescent="0.25">
      <c r="A100"/>
      <c r="D100" s="133" t="s">
        <v>267</v>
      </c>
      <c r="E100" s="133" t="str" cm="1">
        <f t="array" aca="1" ref="E100" ca="1">Common_InputFunctions.Utility_DisplayFunctionName(G119)</f>
        <v>=Scope3_Equations.VEERG_15_2_1_1__1_EmissionsFromPurchasedFeed</v>
      </c>
    </row>
    <row r="101" spans="1:41" ht="20.100000000000001" customHeight="1" x14ac:dyDescent="0.25">
      <c r="A101"/>
    </row>
    <row r="102" spans="1:41" ht="20.100000000000001" customHeight="1" x14ac:dyDescent="0.25">
      <c r="A102"/>
      <c r="H102" s="133"/>
    </row>
    <row r="103" spans="1:41" ht="20.100000000000001" customHeight="1" x14ac:dyDescent="0.25">
      <c r="A103"/>
      <c r="D103" s="88" t="s">
        <v>268</v>
      </c>
      <c r="E103" s="1" t="str" cm="1">
        <f t="array" ref="E103">Scope3_Equations.VEERG_15_2_1_1__1_EmissionsFromPurchasedFeed_Variable()</f>
        <v>E</v>
      </c>
    </row>
    <row r="104" spans="1:41" ht="20.100000000000001" customHeight="1" x14ac:dyDescent="0.25">
      <c r="A104"/>
      <c r="D104" s="88" t="s">
        <v>121</v>
      </c>
      <c r="E104" s="15" t="str" cm="1">
        <f t="array" ref="E104">Scope3_Equations.VEERG_15_2_1_1__1_EmissionsFromPurchasedFeed_Unit()</f>
        <v>t CO2e</v>
      </c>
    </row>
    <row r="105" spans="1:41" ht="20.100000000000001" customHeight="1" x14ac:dyDescent="0.25">
      <c r="A105"/>
    </row>
    <row r="106" spans="1:41" ht="20.100000000000001" customHeight="1" x14ac:dyDescent="0.25">
      <c r="A106"/>
      <c r="D106" s="155" t="str" cm="1">
        <f t="array" ref="D106:E108">_xlfn.CHOOSECOLS(Scope3_Equations.VEERG_15_2_1_1__1_EmissionsFromPurchasedFeed_Arguments(),1,2)</f>
        <v>Q_j</v>
      </c>
      <c r="E106" s="163" t="str">
        <v>quantity of feed type j purchased</v>
      </c>
      <c r="F106" s="165"/>
      <c r="G106" s="155" t="str" cm="1">
        <f t="array" ref="G106:H108">_xlfn.CHOOSECOLS(Scope3_Equations.VEERG_15_2_1_1__1_EmissionsFromPurchasedFeed_Arguments(),3,4)</f>
        <v>t</v>
      </c>
      <c r="H106" s="249" t="str">
        <v>Input</v>
      </c>
    </row>
    <row r="107" spans="1:41" ht="20.100000000000001" customHeight="1" x14ac:dyDescent="0.25">
      <c r="A107"/>
      <c r="D107" s="155" t="str">
        <v>EF_j</v>
      </c>
      <c r="E107" s="163" t="str">
        <v>emission factor of purchased feed</v>
      </c>
      <c r="F107" s="165"/>
      <c r="G107" s="155" t="str">
        <v>kg CO2e/kg</v>
      </c>
      <c r="H107" s="249" t="str">
        <v>Constant</v>
      </c>
    </row>
    <row r="108" spans="1:41" ht="20.100000000000001" customHeight="1" x14ac:dyDescent="0.25">
      <c r="A108"/>
      <c r="D108" s="155" t="str">
        <v>j</v>
      </c>
      <c r="E108" s="163" t="str">
        <v>feed type</v>
      </c>
      <c r="F108" s="165"/>
      <c r="G108" s="155" t="str">
        <v/>
      </c>
      <c r="H108" s="138" t="str">
        <v>Input</v>
      </c>
    </row>
    <row r="109" spans="1:41" ht="20.100000000000001" customHeight="1" x14ac:dyDescent="0.25">
      <c r="A109"/>
    </row>
    <row r="110" spans="1:41" ht="20.100000000000001" customHeight="1" x14ac:dyDescent="0.25">
      <c r="A110"/>
      <c r="D110" s="244" t="s">
        <v>791</v>
      </c>
    </row>
    <row r="111" spans="1:41" ht="20.100000000000001" customHeight="1" x14ac:dyDescent="0.25">
      <c r="A111"/>
    </row>
    <row r="112" spans="1:41" ht="20.100000000000001" customHeight="1" x14ac:dyDescent="0.25">
      <c r="A112"/>
      <c r="D112" s="94" t="s">
        <v>792</v>
      </c>
      <c r="E112" s="55"/>
      <c r="F112" s="94"/>
      <c r="G112" s="54"/>
      <c r="H112" s="55"/>
    </row>
    <row r="113" spans="1:28" ht="20.100000000000001" customHeight="1" x14ac:dyDescent="0.25">
      <c r="A113"/>
      <c r="D113" s="123" t="s">
        <v>793</v>
      </c>
      <c r="E113" s="125"/>
      <c r="F113" s="123"/>
      <c r="G113" s="124"/>
      <c r="H113" s="125"/>
    </row>
    <row r="114" spans="1:28" ht="20.100000000000001" customHeight="1" x14ac:dyDescent="0.25">
      <c r="A114"/>
      <c r="D114" s="56" t="s">
        <v>794</v>
      </c>
      <c r="E114" s="58"/>
      <c r="F114" s="56"/>
      <c r="G114" s="57"/>
      <c r="H114" s="58"/>
    </row>
    <row r="115" spans="1:28" ht="20.100000000000001" customHeight="1" x14ac:dyDescent="0.25">
      <c r="A115"/>
    </row>
    <row r="116" spans="1:28" ht="20.100000000000001" customHeight="1" x14ac:dyDescent="0.25">
      <c r="A116"/>
      <c r="D116" s="46" t="s">
        <v>795</v>
      </c>
      <c r="E116" s="48"/>
      <c r="F116" s="49"/>
    </row>
    <row r="117" spans="1:28" ht="20.100000000000001" customHeight="1" x14ac:dyDescent="0.25">
      <c r="A117"/>
    </row>
    <row r="118" spans="1:28" ht="20.100000000000001" customHeight="1" x14ac:dyDescent="0.25">
      <c r="A118"/>
      <c r="D118" s="92" t="s">
        <v>796</v>
      </c>
      <c r="E118" s="92" t="s">
        <v>797</v>
      </c>
      <c r="F118" s="146" t="s">
        <v>798</v>
      </c>
      <c r="G118" s="146" t="s">
        <v>769</v>
      </c>
      <c r="H118" s="92" t="s">
        <v>799</v>
      </c>
      <c r="I118" s="146" t="s">
        <v>772</v>
      </c>
      <c r="J118" s="92" t="s">
        <v>773</v>
      </c>
      <c r="K118" s="92" t="s">
        <v>774</v>
      </c>
      <c r="L118" s="92" t="s">
        <v>775</v>
      </c>
      <c r="M118" s="146" t="s">
        <v>211</v>
      </c>
      <c r="N118" s="146" t="s">
        <v>800</v>
      </c>
      <c r="O118" s="146" t="s">
        <v>212</v>
      </c>
      <c r="P118" s="146" t="s">
        <v>801</v>
      </c>
      <c r="Q118" s="146" t="s">
        <v>213</v>
      </c>
      <c r="R118" s="146" t="s">
        <v>802</v>
      </c>
      <c r="S118" s="146" t="s">
        <v>214</v>
      </c>
      <c r="T118" s="146" t="s">
        <v>803</v>
      </c>
      <c r="U118" s="146" t="s">
        <v>215</v>
      </c>
      <c r="V118" s="146" t="s">
        <v>804</v>
      </c>
      <c r="W118" s="146" t="s">
        <v>216</v>
      </c>
      <c r="X118" s="146" t="s">
        <v>805</v>
      </c>
      <c r="Y118" s="146" t="s">
        <v>217</v>
      </c>
      <c r="Z118" s="146" t="s">
        <v>806</v>
      </c>
      <c r="AA118" s="146" t="s">
        <v>218</v>
      </c>
      <c r="AB118" s="146" t="s">
        <v>807</v>
      </c>
    </row>
    <row r="119" spans="1:28" ht="20.100000000000001" customHeight="1" x14ac:dyDescent="0.25">
      <c r="A119"/>
      <c r="D119" s="25"/>
      <c r="E119" s="25"/>
      <c r="F119" s="25">
        <f t="shared" ref="F119:F128" si="0">IFERROR((O119*P119)+(S119*T119)+(W119*X119)+(AA119*AB119), 0)</f>
        <v>0</v>
      </c>
      <c r="G119" s="251" cm="1">
        <f t="array" ref="G119">Scope3_Equations.VEERG_15_2_1_1__1_EmissionsFromPurchasedFeed(E119,F119)</f>
        <v>0</v>
      </c>
      <c r="H119" s="86">
        <v>0.04</v>
      </c>
      <c r="I119" s="251" cm="1">
        <f t="array" ref="I119">Scope3_Equations.VEERG_15_2_1_1__1_EmissionsFromPurchasedFeed(E119,IF(H119,H119, F119))</f>
        <v>0</v>
      </c>
      <c r="J119" s="44"/>
      <c r="K119" s="23"/>
      <c r="L119" s="239"/>
      <c r="M119" s="25"/>
      <c r="N119" s="25"/>
      <c r="O119" s="25"/>
      <c r="P119" s="25" cm="1">
        <f t="array" ref="P119">_xlfn.LET(_xlpm.result, Common_InputFunctions.Utility_LookupValueInTableTwoColumns(M119, N119, Table_SourceData_Scope3_Feed[Product], Table_SourceData_Scope3_Feed[Region of origin], Table_SourceData_Scope3_Feed[AusLCI Emissions intensity]), IF(_xlpm.result="", 0, _xlpm.result))</f>
        <v>0</v>
      </c>
      <c r="Q119" s="25"/>
      <c r="R119" s="25"/>
      <c r="S119" s="25"/>
      <c r="T119" s="25" cm="1">
        <f t="array" ref="T119">_xlfn.LET(_xlpm.result, Common_InputFunctions.Utility_LookupValueInTableTwoColumns(Q119, R119, Table_SourceData_Scope3_Feed[Product], Table_SourceData_Scope3_Feed[Region of origin], Table_SourceData_Scope3_Feed[AusLCI Emissions intensity]), IF(_xlpm.result="", 0, _xlpm.result))</f>
        <v>0</v>
      </c>
      <c r="U119" s="25"/>
      <c r="V119" s="25"/>
      <c r="W119" s="25"/>
      <c r="X119" s="25" cm="1">
        <f t="array" ref="X119">_xlfn.LET(_xlpm.result, Common_InputFunctions.Utility_LookupValueInTableTwoColumns(U119, V119, Table_SourceData_Scope3_Feed[Product], Table_SourceData_Scope3_Feed[Region of origin], Table_SourceData_Scope3_Feed[AusLCI Emissions intensity]), IF(_xlpm.result="", 0, _xlpm.result))</f>
        <v>0</v>
      </c>
      <c r="Y119" s="25"/>
      <c r="Z119" s="25"/>
      <c r="AA119" s="25"/>
      <c r="AB119" s="25" cm="1">
        <f t="array" ref="AB119">_xlfn.LET(_xlpm.result, Common_InputFunctions.Utility_LookupValueInTableTwoColumns(Y119, Z119, Table_SourceData_Scope3_Feed[Product], Table_SourceData_Scope3_Feed[Region of origin], Table_SourceData_Scope3_Feed[AusLCI Emissions intensity]), IF(_xlpm.result="", 0, _xlpm.result))</f>
        <v>0</v>
      </c>
    </row>
    <row r="120" spans="1:28" ht="20.100000000000001" customHeight="1" x14ac:dyDescent="0.25">
      <c r="A120"/>
      <c r="D120" s="25"/>
      <c r="E120" s="25"/>
      <c r="F120" s="25">
        <f t="shared" si="0"/>
        <v>0</v>
      </c>
      <c r="G120" s="251" cm="1">
        <f t="array" ref="G120">Scope3_Equations.VEERG_15_2_1_1__1_EmissionsFromPurchasedFeed(E120,F120)</f>
        <v>0</v>
      </c>
      <c r="H120" s="86">
        <v>0.03</v>
      </c>
      <c r="I120" s="251" cm="1">
        <f t="array" ref="I120">Scope3_Equations.VEERG_15_2_1_1__1_EmissionsFromPurchasedFeed(E120,IF(H120,H120, F120))</f>
        <v>0</v>
      </c>
      <c r="J120" s="44"/>
      <c r="K120" s="23"/>
      <c r="L120" s="44"/>
      <c r="M120" s="25"/>
      <c r="N120" s="25"/>
      <c r="O120" s="25"/>
      <c r="P120" s="25"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25"/>
      <c r="R120" s="25"/>
      <c r="S120" s="25"/>
      <c r="T120" s="25" cm="1">
        <f t="array" ref="T120">_xlfn.LET(_xlpm.result, Common_InputFunctions.Utility_LookupValueInTableTwoColumns(Q120, R120, Table_SourceData_Scope3_Feed[Product], Table_SourceData_Scope3_Feed[Region of origin], Table_SourceData_Scope3_Feed[AusLCI Emissions intensity]), IF(_xlpm.result="", 0, _xlpm.result))</f>
        <v>0</v>
      </c>
      <c r="U120" s="25"/>
      <c r="V120" s="25"/>
      <c r="W120" s="25"/>
      <c r="X120" s="25" cm="1">
        <f t="array" ref="X120">_xlfn.LET(_xlpm.result, Common_InputFunctions.Utility_LookupValueInTableTwoColumns(U120, V120, Table_SourceData_Scope3_Feed[Product], Table_SourceData_Scope3_Feed[Region of origin], Table_SourceData_Scope3_Feed[AusLCI Emissions intensity]), IF(_xlpm.result="", 0, _xlpm.result))</f>
        <v>0</v>
      </c>
      <c r="Y120" s="25"/>
      <c r="Z120" s="25"/>
      <c r="AA120" s="25"/>
      <c r="AB120" s="25" cm="1">
        <f t="array" ref="AB120">_xlfn.LET(_xlpm.result, Common_InputFunctions.Utility_LookupValueInTableTwoColumns(Y120, Z120, Table_SourceData_Scope3_Feed[Product], Table_SourceData_Scope3_Feed[Region of origin], Table_SourceData_Scope3_Feed[AusLCI Emissions intensity]), IF(_xlpm.result="", 0, _xlpm.result))</f>
        <v>0</v>
      </c>
    </row>
    <row r="121" spans="1:28" ht="20.100000000000001" customHeight="1" x14ac:dyDescent="0.25">
      <c r="A121"/>
      <c r="D121" s="25"/>
      <c r="E121" s="25"/>
      <c r="F121" s="25">
        <f t="shared" si="0"/>
        <v>0</v>
      </c>
      <c r="G121" s="251" cm="1">
        <f t="array" ref="G121">Scope3_Equations.VEERG_15_2_1_1__1_EmissionsFromPurchasedFeed(E121,F121)</f>
        <v>0</v>
      </c>
      <c r="H121" s="86">
        <v>0.14000000000000001</v>
      </c>
      <c r="I121" s="251" cm="1">
        <f t="array" ref="I121">Scope3_Equations.VEERG_15_2_1_1__1_EmissionsFromPurchasedFeed(E121,IF(H121,H121, F121))</f>
        <v>0</v>
      </c>
      <c r="J121" s="44"/>
      <c r="K121" s="23"/>
      <c r="L121" s="44"/>
      <c r="M121" s="25"/>
      <c r="N121" s="25"/>
      <c r="O121" s="25"/>
      <c r="P121" s="25"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25"/>
      <c r="R121" s="25"/>
      <c r="S121" s="25"/>
      <c r="T121" s="25" cm="1">
        <f t="array" ref="T121">_xlfn.LET(_xlpm.result, Common_InputFunctions.Utility_LookupValueInTableTwoColumns(Q121, R121, Table_SourceData_Scope3_Feed[Product], Table_SourceData_Scope3_Feed[Region of origin], Table_SourceData_Scope3_Feed[AusLCI Emissions intensity]), IF(_xlpm.result="", 0, _xlpm.result))</f>
        <v>0</v>
      </c>
      <c r="U121" s="25"/>
      <c r="V121" s="25"/>
      <c r="W121" s="25"/>
      <c r="X121" s="25" cm="1">
        <f t="array" ref="X121">_xlfn.LET(_xlpm.result, Common_InputFunctions.Utility_LookupValueInTableTwoColumns(U121, V121, Table_SourceData_Scope3_Feed[Product], Table_SourceData_Scope3_Feed[Region of origin], Table_SourceData_Scope3_Feed[AusLCI Emissions intensity]), IF(_xlpm.result="", 0, _xlpm.result))</f>
        <v>0</v>
      </c>
      <c r="Y121" s="25"/>
      <c r="Z121" s="25"/>
      <c r="AA121" s="25"/>
      <c r="AB121" s="25" cm="1">
        <f t="array" ref="AB121">_xlfn.LET(_xlpm.result, Common_InputFunctions.Utility_LookupValueInTableTwoColumns(Y121, Z121, Table_SourceData_Scope3_Feed[Product], Table_SourceData_Scope3_Feed[Region of origin], Table_SourceData_Scope3_Feed[AusLCI Emissions intensity]), IF(_xlpm.result="", 0, _xlpm.result))</f>
        <v>0</v>
      </c>
    </row>
    <row r="122" spans="1:28" ht="20.100000000000001" customHeight="1" x14ac:dyDescent="0.25">
      <c r="A122"/>
      <c r="D122" s="25"/>
      <c r="E122" s="25"/>
      <c r="F122" s="25">
        <f t="shared" si="0"/>
        <v>0</v>
      </c>
      <c r="G122" s="251" cm="1">
        <f t="array" ref="G122">Scope3_Equations.VEERG_15_2_1_1__1_EmissionsFromPurchasedFeed(E122,F122)</f>
        <v>0</v>
      </c>
      <c r="H122" s="86"/>
      <c r="I122" s="251" cm="1">
        <f t="array" ref="I122">Scope3_Equations.VEERG_15_2_1_1__1_EmissionsFromPurchasedFeed(E122,IF(H122,H122, F122))</f>
        <v>0</v>
      </c>
      <c r="J122" s="44"/>
      <c r="K122" s="23"/>
      <c r="L122" s="44"/>
      <c r="M122" s="25"/>
      <c r="N122" s="25"/>
      <c r="O122" s="25"/>
      <c r="P122" s="25" cm="1">
        <f t="array" ref="P122">_xlfn.LET(_xlpm.result, Common_InputFunctions.Utility_LookupValueInTableTwoColumns(M122, N122, Table_SourceData_Scope3_Feed[Product], Table_SourceData_Scope3_Feed[Region of origin], Table_SourceData_Scope3_Feed[AusLCI Emissions intensity]), IF(_xlpm.result="", 0, _xlpm.result))</f>
        <v>0</v>
      </c>
      <c r="Q122" s="25"/>
      <c r="R122" s="25"/>
      <c r="S122" s="25"/>
      <c r="T122" s="25" cm="1">
        <f t="array" ref="T122">_xlfn.LET(_xlpm.result, Common_InputFunctions.Utility_LookupValueInTableTwoColumns(Q122, R122, Table_SourceData_Scope3_Feed[Product], Table_SourceData_Scope3_Feed[Region of origin], Table_SourceData_Scope3_Feed[AusLCI Emissions intensity]), IF(_xlpm.result="", 0, _xlpm.result))</f>
        <v>0</v>
      </c>
      <c r="U122" s="25"/>
      <c r="V122" s="25"/>
      <c r="W122" s="25"/>
      <c r="X122" s="25" cm="1">
        <f t="array" ref="X122">_xlfn.LET(_xlpm.result, Common_InputFunctions.Utility_LookupValueInTableTwoColumns(U122, V122, Table_SourceData_Scope3_Feed[Product], Table_SourceData_Scope3_Feed[Region of origin], Table_SourceData_Scope3_Feed[AusLCI Emissions intensity]), IF(_xlpm.result="", 0, _xlpm.result))</f>
        <v>0</v>
      </c>
      <c r="Y122" s="25"/>
      <c r="Z122" s="25"/>
      <c r="AA122" s="25"/>
      <c r="AB122" s="25" cm="1">
        <f t="array" ref="AB122">_xlfn.LET(_xlpm.result, Common_InputFunctions.Utility_LookupValueInTableTwoColumns(Y122, Z122, Table_SourceData_Scope3_Feed[Product], Table_SourceData_Scope3_Feed[Region of origin], Table_SourceData_Scope3_Feed[AusLCI Emissions intensity]), IF(_xlpm.result="", 0, _xlpm.result))</f>
        <v>0</v>
      </c>
    </row>
    <row r="123" spans="1:28" ht="20.100000000000001" customHeight="1" x14ac:dyDescent="0.25">
      <c r="A123"/>
      <c r="D123" s="25"/>
      <c r="E123" s="25"/>
      <c r="F123" s="25">
        <f t="shared" si="0"/>
        <v>0</v>
      </c>
      <c r="G123" s="251" cm="1">
        <f t="array" ref="G123">Scope3_Equations.VEERG_15_2_1_1__1_EmissionsFromPurchasedFeed(E123,F123)</f>
        <v>0</v>
      </c>
      <c r="H123" s="86"/>
      <c r="I123" s="251" cm="1">
        <f t="array" ref="I123">Scope3_Equations.VEERG_15_2_1_1__1_EmissionsFromPurchasedFeed(E123,IF(H123,H123, F123))</f>
        <v>0</v>
      </c>
      <c r="J123" s="44"/>
      <c r="K123" s="23"/>
      <c r="L123" s="44"/>
      <c r="M123" s="25"/>
      <c r="N123" s="25"/>
      <c r="O123" s="25"/>
      <c r="P123" s="25"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25"/>
      <c r="R123" s="25"/>
      <c r="S123" s="25"/>
      <c r="T123" s="25" cm="1">
        <f t="array" ref="T123">_xlfn.LET(_xlpm.result, Common_InputFunctions.Utility_LookupValueInTableTwoColumns(Q123, R123, Table_SourceData_Scope3_Feed[Product], Table_SourceData_Scope3_Feed[Region of origin], Table_SourceData_Scope3_Feed[AusLCI Emissions intensity]), IF(_xlpm.result="", 0, _xlpm.result))</f>
        <v>0</v>
      </c>
      <c r="U123" s="25"/>
      <c r="V123" s="25"/>
      <c r="W123" s="25"/>
      <c r="X123" s="25" cm="1">
        <f t="array" ref="X123">_xlfn.LET(_xlpm.result, Common_InputFunctions.Utility_LookupValueInTableTwoColumns(U123, V123, Table_SourceData_Scope3_Feed[Product], Table_SourceData_Scope3_Feed[Region of origin], Table_SourceData_Scope3_Feed[AusLCI Emissions intensity]), IF(_xlpm.result="", 0, _xlpm.result))</f>
        <v>0</v>
      </c>
      <c r="Y123" s="25"/>
      <c r="Z123" s="25"/>
      <c r="AA123" s="25"/>
      <c r="AB123" s="25" cm="1">
        <f t="array" ref="AB123">_xlfn.LET(_xlpm.result, Common_InputFunctions.Utility_LookupValueInTableTwoColumns(Y123, Z123, Table_SourceData_Scope3_Feed[Product], Table_SourceData_Scope3_Feed[Region of origin], Table_SourceData_Scope3_Feed[AusLCI Emissions intensity]), IF(_xlpm.result="", 0, _xlpm.result))</f>
        <v>0</v>
      </c>
    </row>
    <row r="124" spans="1:28" ht="20.100000000000001" customHeight="1" x14ac:dyDescent="0.25">
      <c r="A124"/>
      <c r="D124" s="25"/>
      <c r="E124" s="25"/>
      <c r="F124" s="25">
        <f t="shared" si="0"/>
        <v>0</v>
      </c>
      <c r="G124" s="251" cm="1">
        <f t="array" ref="G124">Scope3_Equations.VEERG_15_2_1_1__1_EmissionsFromPurchasedFeed(E124,F124)</f>
        <v>0</v>
      </c>
      <c r="H124" s="86"/>
      <c r="I124" s="251" cm="1">
        <f t="array" ref="I124">Scope3_Equations.VEERG_15_2_1_1__1_EmissionsFromPurchasedFeed(E124,IF(H124,H124, F124))</f>
        <v>0</v>
      </c>
      <c r="J124" s="44"/>
      <c r="K124" s="23"/>
      <c r="L124" s="44"/>
      <c r="M124" s="25"/>
      <c r="N124" s="25"/>
      <c r="O124" s="25"/>
      <c r="P124" s="25"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25"/>
      <c r="R124" s="25"/>
      <c r="S124" s="25"/>
      <c r="T124" s="25" cm="1">
        <f t="array" ref="T124">_xlfn.LET(_xlpm.result, Common_InputFunctions.Utility_LookupValueInTableTwoColumns(Q124, R124, Table_SourceData_Scope3_Feed[Product], Table_SourceData_Scope3_Feed[Region of origin], Table_SourceData_Scope3_Feed[AusLCI Emissions intensity]), IF(_xlpm.result="", 0, _xlpm.result))</f>
        <v>0</v>
      </c>
      <c r="U124" s="25"/>
      <c r="V124" s="25"/>
      <c r="W124" s="25"/>
      <c r="X124" s="25" cm="1">
        <f t="array" ref="X124">_xlfn.LET(_xlpm.result, Common_InputFunctions.Utility_LookupValueInTableTwoColumns(U124, V124, Table_SourceData_Scope3_Feed[Product], Table_SourceData_Scope3_Feed[Region of origin], Table_SourceData_Scope3_Feed[AusLCI Emissions intensity]), IF(_xlpm.result="", 0, _xlpm.result))</f>
        <v>0</v>
      </c>
      <c r="Y124" s="25"/>
      <c r="Z124" s="25"/>
      <c r="AA124" s="25"/>
      <c r="AB124" s="25" cm="1">
        <f t="array" ref="AB124">_xlfn.LET(_xlpm.result, Common_InputFunctions.Utility_LookupValueInTableTwoColumns(Y124, Z124, Table_SourceData_Scope3_Feed[Product], Table_SourceData_Scope3_Feed[Region of origin], Table_SourceData_Scope3_Feed[AusLCI Emissions intensity]), IF(_xlpm.result="", 0, _xlpm.result))</f>
        <v>0</v>
      </c>
    </row>
    <row r="125" spans="1:28" ht="20.100000000000001" customHeight="1" x14ac:dyDescent="0.25">
      <c r="A125"/>
      <c r="D125" s="25"/>
      <c r="E125" s="25"/>
      <c r="F125" s="25">
        <f t="shared" si="0"/>
        <v>0</v>
      </c>
      <c r="G125" s="251" cm="1">
        <f t="array" ref="G125">Scope3_Equations.VEERG_15_2_1_1__1_EmissionsFromPurchasedFeed(E125,F125)</f>
        <v>0</v>
      </c>
      <c r="H125" s="86"/>
      <c r="I125" s="251" cm="1">
        <f t="array" ref="I125">Scope3_Equations.VEERG_15_2_1_1__1_EmissionsFromPurchasedFeed(E125,IF(H125,H125, F125))</f>
        <v>0</v>
      </c>
      <c r="J125" s="44"/>
      <c r="K125" s="23"/>
      <c r="L125" s="44"/>
      <c r="M125" s="25"/>
      <c r="N125" s="25"/>
      <c r="O125" s="25"/>
      <c r="P125" s="25"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25"/>
      <c r="R125" s="25"/>
      <c r="S125" s="25"/>
      <c r="T125" s="25" cm="1">
        <f t="array" ref="T125">_xlfn.LET(_xlpm.result, Common_InputFunctions.Utility_LookupValueInTableTwoColumns(Q125, R125, Table_SourceData_Scope3_Feed[Product], Table_SourceData_Scope3_Feed[Region of origin], Table_SourceData_Scope3_Feed[AusLCI Emissions intensity]), IF(_xlpm.result="", 0, _xlpm.result))</f>
        <v>0</v>
      </c>
      <c r="U125" s="25"/>
      <c r="V125" s="25"/>
      <c r="W125" s="25"/>
      <c r="X125" s="25" cm="1">
        <f t="array" ref="X125">_xlfn.LET(_xlpm.result, Common_InputFunctions.Utility_LookupValueInTableTwoColumns(U125, V125, Table_SourceData_Scope3_Feed[Product], Table_SourceData_Scope3_Feed[Region of origin], Table_SourceData_Scope3_Feed[AusLCI Emissions intensity]), IF(_xlpm.result="", 0, _xlpm.result))</f>
        <v>0</v>
      </c>
      <c r="Y125" s="25"/>
      <c r="Z125" s="25"/>
      <c r="AA125" s="25"/>
      <c r="AB125" s="25" cm="1">
        <f t="array" ref="AB125">_xlfn.LET(_xlpm.result, Common_InputFunctions.Utility_LookupValueInTableTwoColumns(Y125, Z125, Table_SourceData_Scope3_Feed[Product], Table_SourceData_Scope3_Feed[Region of origin], Table_SourceData_Scope3_Feed[AusLCI Emissions intensity]), IF(_xlpm.result="", 0, _xlpm.result))</f>
        <v>0</v>
      </c>
    </row>
    <row r="126" spans="1:28" ht="20.100000000000001" customHeight="1" x14ac:dyDescent="0.25">
      <c r="A126"/>
      <c r="D126" s="25"/>
      <c r="E126" s="25"/>
      <c r="F126" s="25">
        <f t="shared" si="0"/>
        <v>0</v>
      </c>
      <c r="G126" s="251" cm="1">
        <f t="array" ref="G126">Scope3_Equations.VEERG_15_2_1_1__1_EmissionsFromPurchasedFeed(E126,F126)</f>
        <v>0</v>
      </c>
      <c r="H126" s="86"/>
      <c r="I126" s="251" cm="1">
        <f t="array" ref="I126">Scope3_Equations.VEERG_15_2_1_1__1_EmissionsFromPurchasedFeed(E126,IF(H126,H126, F126))</f>
        <v>0</v>
      </c>
      <c r="J126" s="44"/>
      <c r="K126" s="23"/>
      <c r="L126" s="44"/>
      <c r="M126" s="25"/>
      <c r="N126" s="25"/>
      <c r="O126" s="25"/>
      <c r="P126" s="25"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25"/>
      <c r="R126" s="25"/>
      <c r="S126" s="25"/>
      <c r="T126" s="25" cm="1">
        <f t="array" ref="T126">_xlfn.LET(_xlpm.result, Common_InputFunctions.Utility_LookupValueInTableTwoColumns(Q126, R126, Table_SourceData_Scope3_Feed[Product], Table_SourceData_Scope3_Feed[Region of origin], Table_SourceData_Scope3_Feed[AusLCI Emissions intensity]), IF(_xlpm.result="", 0, _xlpm.result))</f>
        <v>0</v>
      </c>
      <c r="U126" s="25"/>
      <c r="V126" s="25"/>
      <c r="W126" s="25"/>
      <c r="X126" s="25" cm="1">
        <f t="array" ref="X126">_xlfn.LET(_xlpm.result, Common_InputFunctions.Utility_LookupValueInTableTwoColumns(U126, V126, Table_SourceData_Scope3_Feed[Product], Table_SourceData_Scope3_Feed[Region of origin], Table_SourceData_Scope3_Feed[AusLCI Emissions intensity]), IF(_xlpm.result="", 0, _xlpm.result))</f>
        <v>0</v>
      </c>
      <c r="Y126" s="25"/>
      <c r="Z126" s="25"/>
      <c r="AA126" s="25"/>
      <c r="AB126" s="25" cm="1">
        <f t="array" ref="AB126">_xlfn.LET(_xlpm.result, Common_InputFunctions.Utility_LookupValueInTableTwoColumns(Y126, Z126, Table_SourceData_Scope3_Feed[Product], Table_SourceData_Scope3_Feed[Region of origin], Table_SourceData_Scope3_Feed[AusLCI Emissions intensity]), IF(_xlpm.result="", 0, _xlpm.result))</f>
        <v>0</v>
      </c>
    </row>
    <row r="127" spans="1:28" ht="20.100000000000001" customHeight="1" x14ac:dyDescent="0.25">
      <c r="A127"/>
      <c r="D127" s="25"/>
      <c r="E127" s="25"/>
      <c r="F127" s="25">
        <f t="shared" si="0"/>
        <v>0</v>
      </c>
      <c r="G127" s="251" cm="1">
        <f t="array" ref="G127">Scope3_Equations.VEERG_15_2_1_1__1_EmissionsFromPurchasedFeed(E127,F127)</f>
        <v>0</v>
      </c>
      <c r="H127" s="86"/>
      <c r="I127" s="251" cm="1">
        <f t="array" ref="I127">Scope3_Equations.VEERG_15_2_1_1__1_EmissionsFromPurchasedFeed(E127,IF(H127,H127, F127))</f>
        <v>0</v>
      </c>
      <c r="J127" s="44"/>
      <c r="K127" s="23"/>
      <c r="L127" s="44"/>
      <c r="M127" s="25"/>
      <c r="N127" s="25"/>
      <c r="O127" s="25"/>
      <c r="P127" s="25"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25"/>
      <c r="R127" s="25"/>
      <c r="S127" s="25"/>
      <c r="T127" s="25" cm="1">
        <f t="array" ref="T127">_xlfn.LET(_xlpm.result, Common_InputFunctions.Utility_LookupValueInTableTwoColumns(Q127, R127, Table_SourceData_Scope3_Feed[Product], Table_SourceData_Scope3_Feed[Region of origin], Table_SourceData_Scope3_Feed[AusLCI Emissions intensity]), IF(_xlpm.result="", 0, _xlpm.result))</f>
        <v>0</v>
      </c>
      <c r="U127" s="25"/>
      <c r="V127" s="25"/>
      <c r="W127" s="25"/>
      <c r="X127" s="25" cm="1">
        <f t="array" ref="X127">_xlfn.LET(_xlpm.result, Common_InputFunctions.Utility_LookupValueInTableTwoColumns(U127, V127, Table_SourceData_Scope3_Feed[Product], Table_SourceData_Scope3_Feed[Region of origin], Table_SourceData_Scope3_Feed[AusLCI Emissions intensity]), IF(_xlpm.result="", 0, _xlpm.result))</f>
        <v>0</v>
      </c>
      <c r="Y127" s="25"/>
      <c r="Z127" s="25"/>
      <c r="AA127" s="25"/>
      <c r="AB127" s="25" cm="1">
        <f t="array" ref="AB127">_xlfn.LET(_xlpm.result, Common_InputFunctions.Utility_LookupValueInTableTwoColumns(Y127, Z127, Table_SourceData_Scope3_Feed[Product], Table_SourceData_Scope3_Feed[Region of origin], Table_SourceData_Scope3_Feed[AusLCI Emissions intensity]), IF(_xlpm.result="", 0, _xlpm.result))</f>
        <v>0</v>
      </c>
    </row>
    <row r="128" spans="1:28" ht="20.100000000000001" customHeight="1" x14ac:dyDescent="0.25">
      <c r="A128"/>
      <c r="D128" s="25"/>
      <c r="E128" s="25"/>
      <c r="F128" s="25">
        <f t="shared" si="0"/>
        <v>0</v>
      </c>
      <c r="G128" s="251" cm="1">
        <f t="array" ref="G128">Scope3_Equations.VEERG_15_2_1_1__1_EmissionsFromPurchasedFeed(E128,F128)</f>
        <v>0</v>
      </c>
      <c r="H128" s="86"/>
      <c r="I128" s="251" cm="1">
        <f t="array" ref="I128">Scope3_Equations.VEERG_15_2_1_1__1_EmissionsFromPurchasedFeed(E128,IF(H128,H128, F128))</f>
        <v>0</v>
      </c>
      <c r="J128" s="44"/>
      <c r="K128" s="23"/>
      <c r="L128" s="44"/>
      <c r="M128" s="25"/>
      <c r="N128" s="25"/>
      <c r="O128" s="25"/>
      <c r="P128" s="25"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25"/>
      <c r="R128" s="25"/>
      <c r="S128" s="25"/>
      <c r="T128" s="25" cm="1">
        <f t="array" ref="T128">_xlfn.LET(_xlpm.result, Common_InputFunctions.Utility_LookupValueInTableTwoColumns(Q128, R128, Table_SourceData_Scope3_Feed[Product], Table_SourceData_Scope3_Feed[Region of origin], Table_SourceData_Scope3_Feed[AusLCI Emissions intensity]), IF(_xlpm.result="", 0, _xlpm.result))</f>
        <v>0</v>
      </c>
      <c r="U128" s="25"/>
      <c r="V128" s="25"/>
      <c r="W128" s="25"/>
      <c r="X128" s="25" cm="1">
        <f t="array" ref="X128">_xlfn.LET(_xlpm.result, Common_InputFunctions.Utility_LookupValueInTableTwoColumns(U128, V128, Table_SourceData_Scope3_Feed[Product], Table_SourceData_Scope3_Feed[Region of origin], Table_SourceData_Scope3_Feed[AusLCI Emissions intensity]), IF(_xlpm.result="", 0, _xlpm.result))</f>
        <v>0</v>
      </c>
      <c r="Y128" s="25"/>
      <c r="Z128" s="25"/>
      <c r="AA128" s="25"/>
      <c r="AB128" s="25" cm="1">
        <f t="array" ref="AB128">_xlfn.LET(_xlpm.result, Common_InputFunctions.Utility_LookupValueInTableTwoColumns(Y128, Z128, Table_SourceData_Scope3_Feed[Product], Table_SourceData_Scope3_Feed[Region of origin], Table_SourceData_Scope3_Feed[AusLCI Emissions intensity]), IF(_xlpm.result="", 0, _xlpm.result))</f>
        <v>0</v>
      </c>
    </row>
    <row r="129" spans="1:12" ht="20.100000000000001" customHeight="1" x14ac:dyDescent="0.25">
      <c r="A129"/>
    </row>
    <row r="130" spans="1:12" ht="20.100000000000001" customHeight="1" x14ac:dyDescent="0.25">
      <c r="A130"/>
      <c r="D130" s="160" t="s">
        <v>769</v>
      </c>
      <c r="E130" s="147">
        <f>SUM(G119:G128)</f>
        <v>0</v>
      </c>
      <c r="F130" s="154" t="str">
        <f>$E$104</f>
        <v>t CO2e</v>
      </c>
    </row>
    <row r="131" spans="1:12" ht="20.100000000000001" customHeight="1" x14ac:dyDescent="0.25">
      <c r="A131"/>
      <c r="D131" s="160" t="s">
        <v>772</v>
      </c>
      <c r="E131" s="147">
        <f>SUM(I119:I128)</f>
        <v>0</v>
      </c>
      <c r="F131" s="154" t="str">
        <f>$E$104</f>
        <v>t CO2e</v>
      </c>
    </row>
    <row r="132" spans="1:12" ht="20.100000000000001" customHeight="1" x14ac:dyDescent="0.25">
      <c r="A132"/>
    </row>
    <row r="133" spans="1:12" ht="20.100000000000001" customHeight="1" x14ac:dyDescent="0.25">
      <c r="A133"/>
    </row>
    <row r="134" spans="1:12" ht="20.100000000000001" customHeight="1" x14ac:dyDescent="0.25">
      <c r="A134"/>
      <c r="D134" s="244" t="s">
        <v>808</v>
      </c>
    </row>
    <row r="135" spans="1:12" ht="20.100000000000001" customHeight="1" x14ac:dyDescent="0.25">
      <c r="A135"/>
      <c r="D135" s="92" t="s">
        <v>137</v>
      </c>
      <c r="E135" s="92" t="s">
        <v>797</v>
      </c>
      <c r="F135" s="146" t="s">
        <v>798</v>
      </c>
      <c r="G135" s="146" t="s">
        <v>769</v>
      </c>
      <c r="H135" s="92" t="s">
        <v>799</v>
      </c>
      <c r="I135" s="146" t="s">
        <v>772</v>
      </c>
      <c r="J135" s="92" t="s">
        <v>773</v>
      </c>
      <c r="K135" s="92" t="s">
        <v>774</v>
      </c>
      <c r="L135" s="92" t="s">
        <v>775</v>
      </c>
    </row>
    <row r="136" spans="1:12" ht="20.100000000000001" customHeight="1" x14ac:dyDescent="0.25">
      <c r="A136"/>
      <c r="D136" s="25"/>
      <c r="E136" s="25" t="e">
        <f>X_Cell_FarmInputs_FeedRations_Chickens</f>
        <v>#REF!</v>
      </c>
      <c r="F136" s="25" cm="1">
        <f t="array" ref="F136">Common_InputFunctions.Utility_LookupValueInTableNumber(D136,Table_SourceData_Scope3_MixedRations[Product],Table_SourceData_Scope3_MixedRations[AusLCI Emissions intensity])</f>
        <v>0</v>
      </c>
      <c r="G136" s="251" t="e" cm="1">
        <f t="array" ref="G136">Scope3_Equations.VEERG_15_2_1_1__1_EmissionsFromPurchasedFeed(E136,F136)</f>
        <v>#REF!</v>
      </c>
      <c r="H136" s="86">
        <v>0.5</v>
      </c>
      <c r="I136" s="251" t="e" cm="1">
        <f t="array" ref="I136">Scope3_Equations.VEERG_15_2_1_1__1_EmissionsFromPurchasedFeed(E136,IF(H136,H136, F136))</f>
        <v>#REF!</v>
      </c>
      <c r="J136" s="44"/>
      <c r="K136" s="23"/>
      <c r="L136" s="239"/>
    </row>
    <row r="137" spans="1:12" ht="20.100000000000001" customHeight="1" x14ac:dyDescent="0.25">
      <c r="A137"/>
      <c r="D137" s="25"/>
      <c r="E137" s="25" t="e">
        <f>X_Cell_FarmInputs_FeedRations_DairyCalves</f>
        <v>#REF!</v>
      </c>
      <c r="F137" s="25" cm="1">
        <f t="array" ref="F137">Common_InputFunctions.Utility_LookupValueInTableNumber(D137,Table_SourceData_Scope3_MixedRations[Product],Table_SourceData_Scope3_MixedRations[AusLCI Emissions intensity])</f>
        <v>0</v>
      </c>
      <c r="G137" s="251" t="e" cm="1">
        <f t="array" ref="G137">Scope3_Equations.VEERG_15_2_1_1__1_EmissionsFromPurchasedFeed(E137,F137)</f>
        <v>#REF!</v>
      </c>
      <c r="H137" s="86">
        <v>0.4</v>
      </c>
      <c r="I137" s="251" t="e" cm="1">
        <f t="array" ref="I137">Scope3_Equations.VEERG_15_2_1_1__1_EmissionsFromPurchasedFeed(E137,IF(H137,H137, F137))</f>
        <v>#REF!</v>
      </c>
      <c r="J137" s="44"/>
      <c r="K137" s="23"/>
      <c r="L137" s="44"/>
    </row>
    <row r="138" spans="1:12" ht="20.100000000000001" customHeight="1" x14ac:dyDescent="0.25">
      <c r="A138"/>
      <c r="D138" s="25"/>
      <c r="E138" s="25" t="e">
        <f>X_Cell_FarmInputs_FeedRations_DairyCows</f>
        <v>#REF!</v>
      </c>
      <c r="F138" s="25" cm="1">
        <f t="array" ref="F138">Common_InputFunctions.Utility_LookupValueInTableNumber(D138,Table_SourceData_Scope3_MixedRations[Product],Table_SourceData_Scope3_MixedRations[AusLCI Emissions intensity])</f>
        <v>0</v>
      </c>
      <c r="G138" s="251" t="e" cm="1">
        <f t="array" ref="G138">Scope3_Equations.VEERG_15_2_1_1__1_EmissionsFromPurchasedFeed(E138,F138)</f>
        <v>#REF!</v>
      </c>
      <c r="H138" s="86">
        <v>0</v>
      </c>
      <c r="I138" s="251" t="e" cm="1">
        <f t="array" ref="I138">Scope3_Equations.VEERG_15_2_1_1__1_EmissionsFromPurchasedFeed(E138,IF(H138,H138, F138))</f>
        <v>#REF!</v>
      </c>
      <c r="J138" s="44"/>
      <c r="K138" s="23"/>
      <c r="L138" s="44"/>
    </row>
    <row r="139" spans="1:12" ht="20.100000000000001" customHeight="1" x14ac:dyDescent="0.25">
      <c r="A139"/>
      <c r="D139" s="25"/>
      <c r="E139" s="25" t="e">
        <f>X_Cell_FarmInputs_FeedRations_Pigs</f>
        <v>#REF!</v>
      </c>
      <c r="F139" s="25" cm="1">
        <f t="array" ref="F139">Common_InputFunctions.Utility_LookupValueInTableNumber(D139,Table_SourceData_Scope3_MixedRations[Product],Table_SourceData_Scope3_MixedRations[AusLCI Emissions intensity])</f>
        <v>0</v>
      </c>
      <c r="G139" s="251" t="e" cm="1">
        <f t="array" ref="G139">Scope3_Equations.VEERG_15_2_1_1__1_EmissionsFromPurchasedFeed(E139,F139)</f>
        <v>#REF!</v>
      </c>
      <c r="H139" s="86">
        <v>0</v>
      </c>
      <c r="I139" s="251" t="e" cm="1">
        <f t="array" ref="I139">Scope3_Equations.VEERG_15_2_1_1__1_EmissionsFromPurchasedFeed(E139,IF(H139,H139, F139))</f>
        <v>#REF!</v>
      </c>
      <c r="J139" s="44"/>
      <c r="K139" s="23"/>
      <c r="L139" s="44"/>
    </row>
    <row r="140" spans="1:12" ht="20.100000000000001" customHeight="1" x14ac:dyDescent="0.25">
      <c r="A140"/>
    </row>
    <row r="141" spans="1:12" ht="20.100000000000001" customHeight="1" x14ac:dyDescent="0.25">
      <c r="A141"/>
      <c r="D141" s="160" t="s">
        <v>769</v>
      </c>
      <c r="E141" s="147" t="e">
        <f>SUM(G136:G139)</f>
        <v>#REF!</v>
      </c>
      <c r="F141" s="154" t="str">
        <f>$E$104</f>
        <v>t CO2e</v>
      </c>
    </row>
    <row r="142" spans="1:12" ht="20.100000000000001" customHeight="1" x14ac:dyDescent="0.25">
      <c r="A142"/>
      <c r="D142" s="160" t="s">
        <v>772</v>
      </c>
      <c r="E142" s="147" t="e">
        <f>SUM(I136:I139)</f>
        <v>#REF!</v>
      </c>
      <c r="F142" s="154" t="str">
        <f>$E$104</f>
        <v>t CO2e</v>
      </c>
    </row>
    <row r="143" spans="1:12" ht="20.100000000000001" customHeight="1" x14ac:dyDescent="0.25">
      <c r="A143"/>
    </row>
    <row r="144" spans="1:12" ht="20.100000000000001" customHeight="1" x14ac:dyDescent="0.25">
      <c r="A144"/>
      <c r="D144" s="150" t="s">
        <v>769</v>
      </c>
      <c r="E144" s="151" t="e">
        <f>E130+E141</f>
        <v>#REF!</v>
      </c>
      <c r="F144" s="152" t="str">
        <f>$E$104</f>
        <v>t CO2e</v>
      </c>
    </row>
    <row r="145" spans="1:41" ht="20.100000000000001" customHeight="1" x14ac:dyDescent="0.25">
      <c r="A145"/>
      <c r="D145" s="150" t="s">
        <v>772</v>
      </c>
      <c r="E145" s="151" t="e">
        <f>E131+E142</f>
        <v>#REF!</v>
      </c>
      <c r="F145" s="152" t="str">
        <f>$E$104</f>
        <v>t CO2e</v>
      </c>
    </row>
    <row r="146" spans="1:41" ht="20.100000000000001" customHeight="1" x14ac:dyDescent="0.25">
      <c r="A146"/>
    </row>
    <row r="147" spans="1:41" ht="20.100000000000001" customHeight="1" x14ac:dyDescent="0.25">
      <c r="A147"/>
    </row>
    <row r="148" spans="1:41" ht="20.100000000000001" customHeight="1" x14ac:dyDescent="0.25">
      <c r="A148"/>
      <c r="C148" s="147"/>
      <c r="D148" s="147"/>
      <c r="E148" s="147"/>
      <c r="F148" s="147"/>
      <c r="G148" s="147"/>
      <c r="H148" s="147"/>
      <c r="I148" s="147"/>
      <c r="J148" s="147"/>
      <c r="K148" s="147"/>
      <c r="L148" s="147"/>
      <c r="M148" s="147"/>
      <c r="N148" s="147"/>
      <c r="O148" s="147"/>
      <c r="P148" s="147"/>
      <c r="Q148" s="147"/>
      <c r="R148" s="147"/>
      <c r="S148" s="147"/>
      <c r="T148" s="147"/>
      <c r="U148" s="147"/>
      <c r="V148" s="147"/>
      <c r="W148" s="147"/>
      <c r="X148" s="147"/>
      <c r="Y148" s="147"/>
      <c r="Z148" s="147"/>
      <c r="AA148" s="147"/>
      <c r="AB148" s="147"/>
      <c r="AC148" s="147"/>
      <c r="AD148" s="147"/>
      <c r="AE148" s="147"/>
      <c r="AF148" s="147"/>
      <c r="AG148" s="147"/>
      <c r="AH148" s="147"/>
      <c r="AI148" s="147"/>
      <c r="AJ148" s="147"/>
      <c r="AK148" s="147"/>
      <c r="AL148" s="147"/>
      <c r="AM148" s="147"/>
      <c r="AN148" s="147"/>
      <c r="AO148" s="147"/>
    </row>
    <row r="149" spans="1:41" ht="20.100000000000001" customHeight="1" x14ac:dyDescent="0.25">
      <c r="A149"/>
      <c r="D149" s="2" t="str" cm="1">
        <f t="array" ref="D149">Scope3_Equations.VEERG_15_3_1_1__1_EmissionsFromPurchasedMineralSupplements_Title()</f>
        <v>Total emissions from purchased mineral supplements</v>
      </c>
    </row>
    <row r="150" spans="1:41" ht="20.100000000000001" customHeight="1" x14ac:dyDescent="0.25">
      <c r="A150"/>
      <c r="D150" s="27" t="str" cm="1">
        <f t="array" ref="D150">Scope3_Equations.VEERG_15_3_1_1__1_EmissionsFromPurchasedMineralSupplements_Source()</f>
        <v>VEERG 2026: 15.3.1.1, Equation (1)</v>
      </c>
    </row>
    <row r="151" spans="1:41" ht="20.100000000000001" customHeight="1" x14ac:dyDescent="0.25">
      <c r="A151"/>
      <c r="D151" s="133" t="s">
        <v>267</v>
      </c>
      <c r="E151" s="133" t="str" cm="1">
        <f t="array" aca="1" ref="E151" ca="1">Common_InputFunctions.Utility_DisplayFunctionName(G162)</f>
        <v>=Scope3_Equations.VEERG_15_3_1_1__1_EmissionsFromPurchasedMineralSupplements</v>
      </c>
    </row>
    <row r="152" spans="1:41" ht="20.100000000000001" customHeight="1" x14ac:dyDescent="0.25">
      <c r="A152"/>
    </row>
    <row r="153" spans="1:41" ht="20.100000000000001" customHeight="1" x14ac:dyDescent="0.25">
      <c r="A153"/>
      <c r="H153" s="133"/>
    </row>
    <row r="154" spans="1:41" ht="20.100000000000001" customHeight="1" x14ac:dyDescent="0.25">
      <c r="A154"/>
      <c r="D154" s="88" t="s">
        <v>268</v>
      </c>
      <c r="E154" s="1" t="str" cm="1">
        <f t="array" ref="E154">Scope3_Equations.VEERG_15_3_1_1__1_EmissionsFromPurchasedMineralSupplements_Variable()</f>
        <v>E</v>
      </c>
    </row>
    <row r="155" spans="1:41" ht="20.100000000000001" customHeight="1" x14ac:dyDescent="0.25">
      <c r="A155"/>
      <c r="D155" s="88" t="s">
        <v>121</v>
      </c>
      <c r="E155" s="15" t="str" cm="1">
        <f t="array" ref="E155">Scope3_Equations.VEERG_15_3_1_1__1_EmissionsFromPurchasedMineralSupplements_Unit()</f>
        <v>t CO2e</v>
      </c>
    </row>
    <row r="156" spans="1:41" ht="20.100000000000001" customHeight="1" x14ac:dyDescent="0.25">
      <c r="A156"/>
    </row>
    <row r="157" spans="1:41" ht="20.100000000000001" customHeight="1" x14ac:dyDescent="0.25">
      <c r="A157"/>
      <c r="D157" s="155" t="str" cm="1">
        <f t="array" ref="D157:E159">_xlfn.CHOOSECOLS(Scope3_Equations.VEERG_15_3_1_1__1_EmissionsFromPurchasedMineralSupplements_Arguments(),1,2)</f>
        <v>Q_m</v>
      </c>
      <c r="E157" s="163" t="str">
        <v>total quantity of mineral supplement type m used</v>
      </c>
      <c r="F157" s="165"/>
      <c r="G157" s="155" t="str" cm="1">
        <f t="array" ref="G157:H159">_xlfn.CHOOSECOLS(Scope3_Equations.VEERG_15_3_1_1__1_EmissionsFromPurchasedMineralSupplements_Arguments(),3,4)</f>
        <v>t</v>
      </c>
      <c r="H157" s="249" t="str">
        <v>Input</v>
      </c>
    </row>
    <row r="158" spans="1:41" ht="20.100000000000001" customHeight="1" x14ac:dyDescent="0.25">
      <c r="A158"/>
      <c r="D158" s="155" t="str">
        <v>EF_m</v>
      </c>
      <c r="E158" s="163" t="str">
        <v>emission factor of purchased mineral supplement</v>
      </c>
      <c r="F158" s="165"/>
      <c r="G158" s="155" t="str">
        <v>kg CO2e/kg</v>
      </c>
      <c r="H158" s="249" t="str">
        <v>Constant</v>
      </c>
    </row>
    <row r="159" spans="1:41" ht="20.100000000000001" customHeight="1" x14ac:dyDescent="0.25">
      <c r="A159"/>
      <c r="D159" s="155" t="str">
        <v>m</v>
      </c>
      <c r="E159" s="163" t="str">
        <v>mineral supplement type</v>
      </c>
      <c r="F159" s="165"/>
      <c r="G159" s="155" t="str">
        <v/>
      </c>
      <c r="H159" s="138" t="str">
        <v>Input</v>
      </c>
    </row>
    <row r="160" spans="1:41" ht="20.100000000000001" customHeight="1" x14ac:dyDescent="0.25">
      <c r="A160"/>
    </row>
    <row r="161" spans="3:41" ht="20.100000000000001" customHeight="1" x14ac:dyDescent="0.25">
      <c r="D161" s="92" t="s">
        <v>137</v>
      </c>
      <c r="E161" s="92" t="s">
        <v>809</v>
      </c>
      <c r="F161" s="146" t="s">
        <v>810</v>
      </c>
      <c r="G161" s="146" t="s">
        <v>769</v>
      </c>
      <c r="H161" s="92" t="s">
        <v>811</v>
      </c>
      <c r="I161" s="146" t="s">
        <v>772</v>
      </c>
      <c r="J161" s="92" t="s">
        <v>773</v>
      </c>
      <c r="K161" s="92" t="s">
        <v>774</v>
      </c>
      <c r="L161" s="92" t="s">
        <v>775</v>
      </c>
    </row>
    <row r="162" spans="3:41" ht="20.100000000000001" customHeight="1" x14ac:dyDescent="0.25">
      <c r="D162" s="25"/>
      <c r="E162" s="25" t="e">
        <f>X_Cell_FarmInputs_LickBlocks_DrySeasonMix</f>
        <v>#REF!</v>
      </c>
      <c r="F162" s="25" cm="1">
        <f t="array" ref="F162">Common_InputFunctions.Utility_LookupValueInTableNumber(D162,Table_SourceData_Scope3_LickBlocks[Product],Table_SourceData_Scope3_LickBlocks[AusLCI Emissions intensity])</f>
        <v>0</v>
      </c>
      <c r="G162" s="251" t="e" cm="1">
        <f t="array" ref="G162">Scope3_Equations.VEERG_15_3_1_1__1_EmissionsFromPurchasedMineralSupplements(E162,F162)</f>
        <v>#REF!</v>
      </c>
      <c r="H162" s="86">
        <v>0.8</v>
      </c>
      <c r="I162" s="251" t="e" cm="1">
        <f t="array" ref="I162">Scope3_Equations.VEERG_15_3_1_1__1_EmissionsFromPurchasedMineralSupplements(E162,IF(H162, H162, F162))</f>
        <v>#REF!</v>
      </c>
      <c r="J162" s="44"/>
      <c r="K162" s="23"/>
      <c r="L162" s="239"/>
    </row>
    <row r="163" spans="3:41" ht="20.100000000000001" customHeight="1" x14ac:dyDescent="0.25">
      <c r="D163" s="25"/>
      <c r="E163" s="25" t="e">
        <f>X_Cell_FarmInputs_LickBlocks_Mineral</f>
        <v>#REF!</v>
      </c>
      <c r="F163" s="25" cm="1">
        <f t="array" ref="F163">Common_InputFunctions.Utility_LookupValueInTableNumber(D163,Table_SourceData_Scope3_LickBlocks[Product],Table_SourceData_Scope3_LickBlocks[AusLCI Emissions intensity])</f>
        <v>0</v>
      </c>
      <c r="G163" s="251" t="e" cm="1">
        <f t="array" ref="G163">Scope3_Equations.VEERG_15_3_1_1__1_EmissionsFromPurchasedMineralSupplements(E163,F163)</f>
        <v>#REF!</v>
      </c>
      <c r="H163" s="86">
        <v>0.6</v>
      </c>
      <c r="I163" s="251" t="e" cm="1">
        <f t="array" ref="I163">Scope3_Equations.VEERG_15_3_1_1__1_EmissionsFromPurchasedMineralSupplements(E163,IF(H163, H163, F163))</f>
        <v>#REF!</v>
      </c>
      <c r="J163" s="44"/>
      <c r="K163" s="23"/>
      <c r="L163" s="44"/>
    </row>
    <row r="164" spans="3:41" ht="20.100000000000001" customHeight="1" x14ac:dyDescent="0.25">
      <c r="D164" s="25"/>
      <c r="E164" s="25" t="e">
        <f>X_Cell_FarmInputs_LickBlocks_Weaner</f>
        <v>#REF!</v>
      </c>
      <c r="F164" s="25" cm="1">
        <f t="array" ref="F164">Common_InputFunctions.Utility_LookupValueInTableNumber(D164,Table_SourceData_Scope3_LickBlocks[Product],Table_SourceData_Scope3_LickBlocks[AusLCI Emissions intensity])</f>
        <v>0</v>
      </c>
      <c r="G164" s="251" t="e" cm="1">
        <f t="array" ref="G164">Scope3_Equations.VEERG_15_3_1_1__1_EmissionsFromPurchasedMineralSupplements(E164,F164)</f>
        <v>#REF!</v>
      </c>
      <c r="H164" s="86">
        <v>0.2</v>
      </c>
      <c r="I164" s="251" t="e" cm="1">
        <f t="array" ref="I164">Scope3_Equations.VEERG_15_3_1_1__1_EmissionsFromPurchasedMineralSupplements(E164,IF(H164, H164, F164))</f>
        <v>#REF!</v>
      </c>
      <c r="J164" s="44"/>
      <c r="K164" s="23"/>
      <c r="L164" s="44"/>
    </row>
    <row r="165" spans="3:41" ht="20.100000000000001" customHeight="1" x14ac:dyDescent="0.25"/>
    <row r="166" spans="3:41" ht="20.100000000000001" customHeight="1" x14ac:dyDescent="0.25">
      <c r="D166" s="150" t="s">
        <v>769</v>
      </c>
      <c r="E166" s="151" t="e">
        <f>SUM(G162:G164)</f>
        <v>#REF!</v>
      </c>
      <c r="F166" s="152" t="str">
        <f>$E$155</f>
        <v>t CO2e</v>
      </c>
    </row>
    <row r="167" spans="3:41" ht="20.100000000000001" customHeight="1" x14ac:dyDescent="0.25">
      <c r="D167" s="150" t="s">
        <v>772</v>
      </c>
      <c r="E167" s="151" t="e">
        <f>SUM(I162:I164)</f>
        <v>#REF!</v>
      </c>
      <c r="F167" s="152" t="str">
        <f>$E$155</f>
        <v>t CO2e</v>
      </c>
    </row>
    <row r="168" spans="3:41" ht="20.100000000000001" customHeight="1" x14ac:dyDescent="0.25"/>
    <row r="169" spans="3:41" ht="20.100000000000001" customHeight="1" x14ac:dyDescent="0.25"/>
    <row r="170" spans="3:41" ht="20.100000000000001" customHeight="1" x14ac:dyDescent="0.25">
      <c r="C170" s="147"/>
      <c r="D170" s="147"/>
      <c r="E170" s="147"/>
      <c r="F170" s="147"/>
      <c r="G170" s="147"/>
      <c r="H170" s="147"/>
      <c r="I170" s="147"/>
      <c r="J170" s="147"/>
      <c r="K170" s="147"/>
      <c r="L170" s="147"/>
      <c r="M170" s="147"/>
      <c r="N170" s="147"/>
      <c r="O170" s="147"/>
      <c r="P170" s="147"/>
      <c r="Q170" s="147"/>
      <c r="R170" s="147"/>
      <c r="S170" s="147"/>
      <c r="T170" s="147"/>
      <c r="U170" s="147"/>
      <c r="V170" s="147"/>
      <c r="W170" s="147"/>
      <c r="X170" s="147"/>
      <c r="Y170" s="147"/>
      <c r="Z170" s="147"/>
      <c r="AA170" s="147"/>
      <c r="AB170" s="147"/>
      <c r="AC170" s="147"/>
      <c r="AD170" s="147"/>
      <c r="AE170" s="147"/>
      <c r="AF170" s="147"/>
      <c r="AG170" s="147"/>
      <c r="AH170" s="147"/>
      <c r="AI170" s="147"/>
      <c r="AJ170" s="147"/>
      <c r="AK170" s="147"/>
      <c r="AL170" s="147"/>
      <c r="AM170" s="147"/>
      <c r="AN170" s="147"/>
      <c r="AO170" s="147"/>
    </row>
    <row r="171" spans="3:41" ht="20.100000000000001" customHeight="1" x14ac:dyDescent="0.25">
      <c r="D171" s="2" t="str" cm="1">
        <f t="array" ref="D171">Scope3_Equations.VEERG_15_4_1_1__X_EmissionFactorFromPurchasedFertiliserComponents_Title()</f>
        <v>Emission factor for fertiliser product derived from components</v>
      </c>
    </row>
    <row r="172" spans="3:41" ht="20.100000000000001" customHeight="1" x14ac:dyDescent="0.25">
      <c r="D172" s="27" t="str" cm="1">
        <f t="array" ref="D172">Scope3_Equations.VEERG_15_4_1_1__X_EmissionFactorFromPurchasedFertiliserComponents_Source()</f>
        <v>GAF</v>
      </c>
    </row>
    <row r="173" spans="3:41" ht="20.100000000000001" customHeight="1" x14ac:dyDescent="0.25">
      <c r="D173" s="36"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33" t="s">
        <v>267</v>
      </c>
      <c r="E174" s="133"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88" t="s">
        <v>268</v>
      </c>
      <c r="E177" s="1" t="str" cm="1">
        <f t="array" ref="E177">Scope3_Equations.VEERG_15_4_1_1__X_EmissionFactorFromPurchasedFertiliserComponents_Variable()</f>
        <v>EF_f</v>
      </c>
    </row>
    <row r="178" spans="4:8" ht="20.100000000000001" customHeight="1" x14ac:dyDescent="0.25">
      <c r="D178" s="88" t="s">
        <v>121</v>
      </c>
      <c r="E178" s="15"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55" t="str" cm="1">
        <f t="array" ref="D180:E183">_xlfn.CHOOSECOLS(Scope3_Equations.VEERG_15_4_1_1__X_EmissionFactorFromPurchasedFertiliserComponents_Arguments(),1,2)</f>
        <v>F_cf</v>
      </c>
      <c r="E180" s="163" t="str">
        <v>fraction of component c contained within the inorganic fertiliser f</v>
      </c>
      <c r="F180" s="165"/>
      <c r="G180" s="155" t="str" cm="1">
        <f t="array" ref="G180:H183">_xlfn.CHOOSECOLS(Scope3_Equations.VEERG_15_4_1_1__X_EmissionFactorFromPurchasedFertiliserComponents_Arguments(),3,4)</f>
        <v>wt%</v>
      </c>
      <c r="H180" s="249" t="str">
        <v>Input</v>
      </c>
    </row>
    <row r="181" spans="4:8" ht="20.100000000000001" customHeight="1" x14ac:dyDescent="0.25">
      <c r="D181" s="155" t="str">
        <v>EF_c</v>
      </c>
      <c r="E181" s="163" t="str">
        <v>emission factor for the production of component c</v>
      </c>
      <c r="F181" s="165"/>
      <c r="G181" s="155" t="str">
        <v>kg CO2e/kg component</v>
      </c>
      <c r="H181" s="138" t="str">
        <v>Constant</v>
      </c>
    </row>
    <row r="182" spans="4:8" ht="20.100000000000001" customHeight="1" x14ac:dyDescent="0.25">
      <c r="D182" s="155" t="str">
        <v>c</v>
      </c>
      <c r="E182" s="163" t="str">
        <v>fertiliser component</v>
      </c>
      <c r="F182" s="165"/>
      <c r="G182" s="155" t="str">
        <v/>
      </c>
      <c r="H182" s="249" t="str">
        <v>Input</v>
      </c>
    </row>
    <row r="183" spans="4:8" ht="20.100000000000001" customHeight="1" x14ac:dyDescent="0.25">
      <c r="D183" s="155" t="str">
        <v>f</v>
      </c>
      <c r="E183" s="163" t="str">
        <v>inorganic fertiliser type</v>
      </c>
      <c r="F183" s="165"/>
      <c r="G183" s="155" t="str">
        <v/>
      </c>
      <c r="H183" s="249" t="str">
        <v>Input</v>
      </c>
    </row>
    <row r="184" spans="4:8" ht="20.100000000000001" customHeight="1" x14ac:dyDescent="0.25"/>
    <row r="185" spans="4:8" ht="20.100000000000001" customHeight="1" x14ac:dyDescent="0.25"/>
    <row r="186" spans="4:8" ht="20.100000000000001" customHeight="1" x14ac:dyDescent="0.25">
      <c r="D186" s="2" t="str" cm="1">
        <f t="array" ref="D186">Scope3_Equations.VEERG_15_4_1_1__1_EmissionsFromPurchasedFertiliser_Title()</f>
        <v>Emissions from purchased fertiliser</v>
      </c>
    </row>
    <row r="187" spans="4:8" ht="20.100000000000001" customHeight="1" x14ac:dyDescent="0.25">
      <c r="D187" s="27" t="str" cm="1">
        <f t="array" ref="D187">Scope3_Equations.VEERG_15_4_1_1__1_EmissionsFromPurchasedFertiliser_Source()</f>
        <v>VEERG 2026: 15.4.1.1, Equation (1)</v>
      </c>
    </row>
    <row r="188" spans="4:8" ht="20.100000000000001" customHeight="1" x14ac:dyDescent="0.25">
      <c r="D188" s="133" t="s">
        <v>267</v>
      </c>
      <c r="E188" s="133"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88" t="s">
        <v>268</v>
      </c>
      <c r="E191" s="1" t="str" cm="1">
        <f t="array" ref="E191">Scope3_Equations.VEERG_15_4_1_1__1_EmissionsFromPurchasedFertiliser_Variable()</f>
        <v>E</v>
      </c>
    </row>
    <row r="192" spans="4:8" ht="20.100000000000001" customHeight="1" x14ac:dyDescent="0.25">
      <c r="D192" s="88" t="s">
        <v>121</v>
      </c>
      <c r="E192" s="15" t="str" cm="1">
        <f t="array" ref="E192">Scope3_Equations.VEERG_15_4_1_1__1_EmissionsFromPurchasedFertiliser_Unit()</f>
        <v>t CO2e</v>
      </c>
    </row>
    <row r="193" spans="4:8" ht="20.100000000000001" customHeight="1" x14ac:dyDescent="0.25"/>
    <row r="194" spans="4:8" ht="20.100000000000001" customHeight="1" x14ac:dyDescent="0.25">
      <c r="D194" s="155" t="str" cm="1">
        <f t="array" ref="D194:E197">_xlfn.CHOOSECOLS(Scope3_Equations.VEERG_15_4_1_1__1_EmissionsFromPurchasedFertiliser_Arguments(),1,2)</f>
        <v>TM_jf</v>
      </c>
      <c r="E194" s="155" t="str">
        <v>quantity of inorganic fertiliser type f purchased and applied to production system j</v>
      </c>
      <c r="F194" s="155"/>
      <c r="G194" s="155" t="str" cm="1">
        <f t="array" ref="G194:H197">_xlfn.CHOOSECOLS(Scope3_Equations.VEERG_15_4_1_1__1_EmissionsFromPurchasedFertiliser_Arguments(),3,4)</f>
        <v>kg</v>
      </c>
      <c r="H194" s="249" t="str">
        <v>Input</v>
      </c>
    </row>
    <row r="195" spans="4:8" ht="20.100000000000001" customHeight="1" x14ac:dyDescent="0.25">
      <c r="D195" s="155" t="str">
        <v>EF_f</v>
      </c>
      <c r="E195" s="155" t="str">
        <v>emission factor of purchased inorganic fertiliser</v>
      </c>
      <c r="F195" s="155"/>
      <c r="G195" s="155" t="str">
        <v>kg CO2e/kg</v>
      </c>
      <c r="H195" s="138" t="str">
        <v>Constant</v>
      </c>
    </row>
    <row r="196" spans="4:8" ht="20.100000000000001" customHeight="1" x14ac:dyDescent="0.25">
      <c r="D196" s="155" t="str">
        <v>j</v>
      </c>
      <c r="E196" s="155" t="str">
        <v>production system</v>
      </c>
      <c r="F196" s="155"/>
      <c r="G196" s="155" t="str">
        <v/>
      </c>
      <c r="H196" s="249" t="str">
        <v>Input</v>
      </c>
    </row>
    <row r="197" spans="4:8" ht="20.100000000000001" customHeight="1" x14ac:dyDescent="0.25">
      <c r="D197" s="155" t="str">
        <v>f</v>
      </c>
      <c r="E197" s="155" t="str">
        <v>inorganic fertiliser type</v>
      </c>
      <c r="F197" s="155"/>
      <c r="G197" s="155" t="str">
        <v/>
      </c>
      <c r="H197" s="249" t="str">
        <v>Input</v>
      </c>
    </row>
    <row r="198" spans="4:8" ht="20.100000000000001" customHeight="1" x14ac:dyDescent="0.25"/>
    <row r="199" spans="4:8" ht="20.100000000000001" customHeight="1" x14ac:dyDescent="0.25"/>
    <row r="200" spans="4:8" ht="20.100000000000001" customHeight="1" x14ac:dyDescent="0.25">
      <c r="D200" s="2" t="str" cm="1">
        <f t="array" ref="D200">Scope3_Equations.VEERG_15_4_1_1__2_EmissionsFromPurchasedFertiliserComponents_Title()</f>
        <v>Emissions from purchased fertiliser components</v>
      </c>
    </row>
    <row r="201" spans="4:8" ht="20.100000000000001" customHeight="1" x14ac:dyDescent="0.25">
      <c r="D201" s="27" t="str" cm="1">
        <f t="array" ref="D201">Scope3_Equations.VEERG_15_4_1_1__2_EmissionsFromPurchasedFertiliserComponents_Source()</f>
        <v>VEERG 2026: 15.4.1.1, Equation (2)</v>
      </c>
    </row>
    <row r="202" spans="4:8" ht="20.100000000000001" customHeight="1" x14ac:dyDescent="0.25">
      <c r="D202" s="36"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33" t="s">
        <v>267</v>
      </c>
      <c r="E203" s="133"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88" t="s">
        <v>268</v>
      </c>
      <c r="E206" s="1" t="str" cm="1">
        <f t="array" ref="E206">Scope3_Equations.VEERG_15_4_1_1__2_EmissionsFromPurchasedFertiliserComponents_Variable()</f>
        <v>E</v>
      </c>
    </row>
    <row r="207" spans="4:8" ht="20.100000000000001" customHeight="1" x14ac:dyDescent="0.25">
      <c r="D207" s="88" t="s">
        <v>121</v>
      </c>
      <c r="E207" s="15" t="str" cm="1">
        <f t="array" ref="E207">Scope3_Equations.VEERG_15_4_1_1__2_EmissionsFromPurchasedFertiliserComponents_Unit()</f>
        <v>t CO2e</v>
      </c>
    </row>
    <row r="208" spans="4:8" ht="20.100000000000001" customHeight="1" x14ac:dyDescent="0.25"/>
    <row r="209" spans="4:40" ht="20.100000000000001" customHeight="1" x14ac:dyDescent="0.25">
      <c r="D209" s="155" t="str" cm="1">
        <f t="array" ref="D209:E214">_xlfn.CHOOSECOLS(Scope3_Equations.VEERG_15_4_1_1__2_EmissionsFromPurchasedFertiliserComponents_Arguments(),1,2)</f>
        <v>F_cf</v>
      </c>
      <c r="E209" s="163" t="str">
        <v>fraction of component c contained within the inorganic fertiliser f</v>
      </c>
      <c r="F209" s="165"/>
      <c r="G209" s="155" t="str" cm="1">
        <f t="array" ref="G209:H214">_xlfn.CHOOSECOLS(Scope3_Equations.VEERG_15_4_1_1__2_EmissionsFromPurchasedFertiliserComponents_Arguments(),3,4)</f>
        <v>wt%</v>
      </c>
      <c r="H209" s="249" t="str">
        <v>Input</v>
      </c>
    </row>
    <row r="210" spans="4:40" ht="20.100000000000001" customHeight="1" x14ac:dyDescent="0.25">
      <c r="D210" s="155" t="str">
        <v>TM_jf</v>
      </c>
      <c r="E210" s="163" t="str">
        <v>quantity of inorganic fertiliser type f purchased and applied to production system j</v>
      </c>
      <c r="F210" s="165"/>
      <c r="G210" s="155" t="str">
        <v>kg</v>
      </c>
      <c r="H210" s="138" t="str">
        <v>Input</v>
      </c>
    </row>
    <row r="211" spans="4:40" ht="20.100000000000001" customHeight="1" x14ac:dyDescent="0.25">
      <c r="D211" s="155" t="str">
        <v>EF_c</v>
      </c>
      <c r="E211" s="163" t="str">
        <v>emission factor for the production of component c</v>
      </c>
      <c r="F211" s="165"/>
      <c r="G211" s="155" t="str">
        <v>kg CO2e/kg component</v>
      </c>
      <c r="H211" s="138" t="str">
        <v>Constant</v>
      </c>
    </row>
    <row r="212" spans="4:40" ht="20.100000000000001" customHeight="1" x14ac:dyDescent="0.25">
      <c r="D212" s="155" t="str">
        <v>c</v>
      </c>
      <c r="E212" s="163" t="str">
        <v>fertiliser component</v>
      </c>
      <c r="F212" s="165"/>
      <c r="G212" s="155" t="str">
        <v/>
      </c>
      <c r="H212" s="249" t="str">
        <v>Input</v>
      </c>
    </row>
    <row r="213" spans="4:40" ht="20.100000000000001" customHeight="1" x14ac:dyDescent="0.25">
      <c r="D213" s="155" t="str">
        <v>f</v>
      </c>
      <c r="E213" s="163" t="str">
        <v>inorganic fertiliser type</v>
      </c>
      <c r="F213" s="165"/>
      <c r="G213" s="155" t="str">
        <v/>
      </c>
      <c r="H213" s="249" t="str">
        <v>Input</v>
      </c>
    </row>
    <row r="214" spans="4:40" ht="20.100000000000001" customHeight="1" x14ac:dyDescent="0.25">
      <c r="D214" s="155" t="str">
        <v>j</v>
      </c>
      <c r="E214" s="163" t="str">
        <v>production system</v>
      </c>
      <c r="F214" s="165"/>
      <c r="G214" s="155" t="str">
        <v/>
      </c>
      <c r="H214" s="249" t="str">
        <v>Input</v>
      </c>
    </row>
    <row r="215" spans="4:40" ht="20.100000000000001" customHeight="1" x14ac:dyDescent="0.25"/>
    <row r="216" spans="4:40" ht="20.100000000000001" customHeight="1" x14ac:dyDescent="0.25">
      <c r="D216" s="244" t="s">
        <v>812</v>
      </c>
    </row>
    <row r="217" spans="4:40" ht="20.100000000000001" customHeight="1" x14ac:dyDescent="0.25"/>
    <row r="218" spans="4:40" ht="20.100000000000001" customHeight="1" x14ac:dyDescent="0.25">
      <c r="D218" s="46" t="s">
        <v>813</v>
      </c>
      <c r="E218" s="48"/>
      <c r="F218" s="49"/>
    </row>
    <row r="219" spans="4:40" ht="20.100000000000001" customHeight="1" x14ac:dyDescent="0.25"/>
    <row r="220" spans="4:40" ht="20.100000000000001" customHeight="1" x14ac:dyDescent="0.25">
      <c r="D220" s="92" t="s">
        <v>137</v>
      </c>
      <c r="E220" s="92" t="s">
        <v>814</v>
      </c>
      <c r="F220" s="146" t="s">
        <v>815</v>
      </c>
      <c r="G220" s="146" t="s">
        <v>816</v>
      </c>
      <c r="H220" s="146" t="s">
        <v>817</v>
      </c>
      <c r="I220" s="92" t="s">
        <v>818</v>
      </c>
      <c r="J220" s="146" t="s">
        <v>819</v>
      </c>
      <c r="K220" s="146" t="s">
        <v>820</v>
      </c>
      <c r="L220" s="92" t="s">
        <v>773</v>
      </c>
      <c r="M220" s="92" t="s">
        <v>774</v>
      </c>
      <c r="N220" s="92" t="s">
        <v>775</v>
      </c>
      <c r="O220" s="146" t="s">
        <v>226</v>
      </c>
      <c r="P220" s="146" t="s">
        <v>227</v>
      </c>
      <c r="Q220" s="146" t="s">
        <v>211</v>
      </c>
      <c r="R220" s="146" t="s">
        <v>212</v>
      </c>
      <c r="S220" s="146" t="s">
        <v>821</v>
      </c>
      <c r="T220" s="92" t="s">
        <v>822</v>
      </c>
      <c r="U220" s="146" t="s">
        <v>213</v>
      </c>
      <c r="V220" s="146" t="s">
        <v>214</v>
      </c>
      <c r="W220" s="146" t="s">
        <v>823</v>
      </c>
      <c r="X220" s="92" t="s">
        <v>824</v>
      </c>
      <c r="Y220" s="146" t="s">
        <v>215</v>
      </c>
      <c r="Z220" s="146" t="s">
        <v>216</v>
      </c>
      <c r="AA220" s="146" t="s">
        <v>825</v>
      </c>
      <c r="AB220" s="92" t="s">
        <v>826</v>
      </c>
      <c r="AC220" s="146" t="s">
        <v>217</v>
      </c>
      <c r="AD220" s="146" t="s">
        <v>218</v>
      </c>
      <c r="AE220" s="146" t="s">
        <v>827</v>
      </c>
      <c r="AF220" s="92" t="s">
        <v>828</v>
      </c>
      <c r="AG220" s="146" t="s">
        <v>219</v>
      </c>
      <c r="AH220" s="146" t="s">
        <v>220</v>
      </c>
      <c r="AI220" s="146" t="s">
        <v>829</v>
      </c>
      <c r="AJ220" s="92" t="s">
        <v>830</v>
      </c>
      <c r="AK220" s="146" t="s">
        <v>221</v>
      </c>
      <c r="AL220" s="146" t="s">
        <v>222</v>
      </c>
      <c r="AM220" s="146" t="s">
        <v>831</v>
      </c>
      <c r="AN220" s="92" t="s">
        <v>832</v>
      </c>
    </row>
    <row r="221" spans="4:40" ht="20.100000000000001" customHeight="1" x14ac:dyDescent="0.25">
      <c r="D221" s="25" t="str" cm="1">
        <f t="array" ref="D221:D230">IFERROR(INDEX(Table_Input_InorganicFertiliser_Brands[Product (select)], _xlfn.SEQUENCE(10)), "")</f>
        <v>Urea</v>
      </c>
      <c r="E221" s="25" cm="1">
        <f t="array" ref="E221:E230">IFERROR(INDEX(Table_Input_InorganicFertiliser_Brands[Total applied (kg)], _xlfn.SEQUENCE(10)), 0)</f>
        <v>100000</v>
      </c>
      <c r="F221" s="25"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0.96799999999999997</v>
      </c>
      <c r="G221" s="251" cm="1">
        <f t="array" ref="G221">Scope3_Equations.VEERG_15_4_1_1__1_EmissionsFromPurchasedFertiliser(E221,F221)</f>
        <v>96.8</v>
      </c>
      <c r="H221" s="25"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96.8</v>
      </c>
      <c r="I221" s="86">
        <v>0.4</v>
      </c>
      <c r="J221" s="251" cm="1">
        <f t="array" ref="J221">Scope3_Equations.VEERG_15_4_1_1__1_EmissionsFromPurchasedFertiliser(E221,I221)</f>
        <v>40</v>
      </c>
      <c r="K221" s="251"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90</v>
      </c>
      <c r="L221" s="44"/>
      <c r="M221" s="23"/>
      <c r="N221" s="239"/>
      <c r="O221" s="25" t="str" cm="1">
        <f t="array" ref="O221:O230">IFERROR(INDEX(Table_Input_InorganicFertiliser_Brands[Urea source], _xlfn.SEQUENCE(10)), "")</f>
        <v/>
      </c>
      <c r="P221" s="25" t="str" cm="1">
        <f t="array" ref="P221:P230">IFERROR(INDEX(Table_Input_InorganicFertiliser_Brands[Ammonia source], _xlfn.SEQUENCE(10)), "")</f>
        <v/>
      </c>
      <c r="Q221" s="25" t="str" cm="1">
        <f t="array" ref="Q221:Q230">IFERROR(INDEX(Table_Input_InorganicFertiliser_Brands[Ingredient 1], _xlfn.SEQUENCE(10)), "")</f>
        <v>Urea</v>
      </c>
      <c r="R221" s="25" cm="1">
        <f t="array" ref="R221:R230">IFERROR(INDEX(_xlfn.LET(_xlpm.result, Table_Input_InorganicFertiliser_Brands[Ingredient 1 percent], IF(_xlpm.result="", 0, _xlpm.result)), _xlfn.SEQUENCE(10)), 0)</f>
        <v>1</v>
      </c>
      <c r="S221" s="25"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0.96799999999999997</v>
      </c>
      <c r="T221" s="86">
        <v>0.9</v>
      </c>
      <c r="U221" s="25" t="str" cm="1">
        <f t="array" ref="U221:U230">IFERROR(INDEX(Table_Input_InorganicFertiliser_Brands[Ingredient 2], _xlfn.SEQUENCE(10)), "")</f>
        <v/>
      </c>
      <c r="V221" s="25" cm="1">
        <f t="array" ref="V221:V230">IFERROR(INDEX(_xlfn.LET(_xlpm.result, Table_Input_InorganicFertiliser_Brands[Ingredient 2 percent], IF(_xlpm.result="", 0, _xlpm.result)), _xlfn.SEQUENCE(10)), 0)</f>
        <v>0</v>
      </c>
      <c r="W221" s="25"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0</v>
      </c>
      <c r="X221" s="86">
        <v>0.9</v>
      </c>
      <c r="Y221" s="25" t="str" cm="1">
        <f t="array" ref="Y221:Y230">IFERROR(INDEX(Table_Input_InorganicFertiliser_Brands[Ingredient 3], _xlfn.SEQUENCE(10)), "")</f>
        <v/>
      </c>
      <c r="Z221" s="25" cm="1">
        <f t="array" ref="Z221:Z230">IFERROR(INDEX(_xlfn.LET(_xlpm.result, Table_Input_InorganicFertiliser_Brands[Ingredient 3 percent], IF(_xlpm.result="", 0, _xlpm.result)), _xlfn.SEQUENCE(10)), 0)</f>
        <v>0</v>
      </c>
      <c r="AA221" s="25"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0</v>
      </c>
      <c r="AB221" s="86">
        <v>4</v>
      </c>
      <c r="AC221" s="25" t="str" cm="1">
        <f t="array" ref="AC221:AC230">IFERROR(INDEX(Table_Input_InorganicFertiliser_Brands[Ingredient 4], _xlfn.SEQUENCE(10)), "")</f>
        <v/>
      </c>
      <c r="AD221" s="25" cm="1">
        <f t="array" ref="AD221:AD230">IFERROR(INDEX(_xlfn.LET(_xlpm.result, Table_Input_InorganicFertiliser_Brands[Ingredient 4 percent], IF(_xlpm.result="", 0, _xlpm.result)), _xlfn.SEQUENCE(10)), 0)</f>
        <v>0</v>
      </c>
      <c r="AE221" s="25"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86">
        <v>0</v>
      </c>
      <c r="AG221" s="25" t="str" cm="1">
        <f t="array" ref="AG221:AG230">IFERROR(INDEX(Table_Input_InorganicFertiliser_Brands[Ingredient 5], _xlfn.SEQUENCE(10)), "")</f>
        <v/>
      </c>
      <c r="AH221" s="25" cm="1">
        <f t="array" ref="AH221:AH230">IFERROR(INDEX(_xlfn.LET(_xlpm.result, Table_Input_InorganicFertiliser_Brands[Ingredient 5 percent], IF(_xlpm.result="", 0, _xlpm.result)), _xlfn.SEQUENCE(10)), 0)</f>
        <v>0</v>
      </c>
      <c r="AI221" s="25"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86">
        <v>0</v>
      </c>
      <c r="AK221" s="25" t="str" cm="1">
        <f t="array" ref="AK221:AK230">IFERROR(INDEX(Table_Input_InorganicFertiliser_Brands[Ingredient 6], _xlfn.SEQUENCE(10)), "")</f>
        <v/>
      </c>
      <c r="AL221" s="25" cm="1">
        <f t="array" ref="AL221:AL230">IFERROR(INDEX(_xlfn.LET(_xlpm.result, Table_Input_InorganicFertiliser_Brands[Ingredient 6 percent], IF(_xlpm.result="", 0, _xlpm.result)), _xlfn.SEQUENCE(10)), 0)</f>
        <v>0</v>
      </c>
      <c r="AM221" s="25"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86"/>
    </row>
    <row r="222" spans="4:40" ht="20.100000000000001" customHeight="1" x14ac:dyDescent="0.25">
      <c r="D222" s="25" t="str">
        <v>Boost-It</v>
      </c>
      <c r="E222" s="25">
        <v>100000</v>
      </c>
      <c r="F222" s="25"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0.9161833519999999</v>
      </c>
      <c r="G222" s="251" cm="1">
        <f t="array" ref="G222">Scope3_Equations.VEERG_15_4_1_1__1_EmissionsFromPurchasedFertiliser(E222,F222)</f>
        <v>91.61833519999999</v>
      </c>
      <c r="H222" s="25"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91.61833519999999</v>
      </c>
      <c r="I222" s="86">
        <v>0.9</v>
      </c>
      <c r="J222" s="251" cm="1">
        <f t="array" ref="J222">Scope3_Equations.VEERG_15_4_1_1__1_EmissionsFromPurchasedFertiliser(E222,I222)</f>
        <v>90</v>
      </c>
      <c r="K222" s="251"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91.61833519999999</v>
      </c>
      <c r="L222" s="44"/>
      <c r="M222" s="23"/>
      <c r="N222" s="44"/>
      <c r="O222" s="25" t="str">
        <v/>
      </c>
      <c r="P222" s="25" t="str">
        <v/>
      </c>
      <c r="Q222" s="25" t="str">
        <v>Urea</v>
      </c>
      <c r="R222" s="25">
        <v>0.52173899999999995</v>
      </c>
      <c r="S222" s="25"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0.96799999999999997</v>
      </c>
      <c r="T222" s="86"/>
      <c r="U222" s="25" t="str">
        <v>Potassium - Generic</v>
      </c>
      <c r="V222" s="25">
        <v>0.08</v>
      </c>
      <c r="W222" s="25"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0.90900000000000003</v>
      </c>
      <c r="X222" s="86"/>
      <c r="Y222" s="25" t="str">
        <v>Sulfur - Generic</v>
      </c>
      <c r="Z222" s="25">
        <v>5.2999999999999999E-2</v>
      </c>
      <c r="AA222" s="25"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2.5</v>
      </c>
      <c r="AB222" s="86"/>
      <c r="AC222" s="25" t="str">
        <v>Phosphorus - Generic</v>
      </c>
      <c r="AD222" s="25">
        <v>5.1999999999999998E-2</v>
      </c>
      <c r="AE222" s="25"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3.96</v>
      </c>
      <c r="AF222" s="86"/>
      <c r="AG222" s="25" t="str">
        <v>Magnesium</v>
      </c>
      <c r="AH222" s="25">
        <v>1.2999999999999999E-2</v>
      </c>
      <c r="AI222" s="25"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86"/>
      <c r="AK222" s="25" t="str">
        <v>Zinc</v>
      </c>
      <c r="AL222" s="25">
        <v>2E-3</v>
      </c>
      <c r="AM222" s="25"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86"/>
    </row>
    <row r="223" spans="4:40" ht="20.100000000000001" customHeight="1" x14ac:dyDescent="0.25">
      <c r="D223" s="25" t="str">
        <v>Cal-Gran 50/50</v>
      </c>
      <c r="E223" s="25">
        <v>100000</v>
      </c>
      <c r="F223" s="25"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0.8781199999999999</v>
      </c>
      <c r="G223" s="251" cm="1">
        <f t="array" ref="G223">Scope3_Equations.VEERG_15_4_1_1__1_EmissionsFromPurchasedFertiliser(E223,F223)</f>
        <v>87.811999999999983</v>
      </c>
      <c r="H223" s="25"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87.811999999999998</v>
      </c>
      <c r="I223" s="86">
        <v>0.4</v>
      </c>
      <c r="J223" s="251" cm="1">
        <f t="array" ref="J223">Scope3_Equations.VEERG_15_4_1_1__1_EmissionsFromPurchasedFertiliser(E223,I223)</f>
        <v>40</v>
      </c>
      <c r="K223" s="251"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87.811999999999998</v>
      </c>
      <c r="L223" s="44"/>
      <c r="M223" s="23"/>
      <c r="N223" s="44"/>
      <c r="O223" s="25" t="str">
        <v/>
      </c>
      <c r="P223" s="25" t="str">
        <v/>
      </c>
      <c r="Q223" s="25" t="str">
        <v>Nitrogen - Nitrate</v>
      </c>
      <c r="R223" s="25">
        <v>5.5E-2</v>
      </c>
      <c r="S223" s="25"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5.47</v>
      </c>
      <c r="T223" s="86"/>
      <c r="U223" s="25" t="str">
        <v>Nitrogen - Ammoniacal</v>
      </c>
      <c r="V223" s="25">
        <v>0.124</v>
      </c>
      <c r="W223" s="25"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2.83</v>
      </c>
      <c r="X223" s="86"/>
      <c r="Y223" s="25" t="str">
        <v>Potassium - Generic</v>
      </c>
      <c r="Z223" s="25">
        <v>0.15</v>
      </c>
      <c r="AA223" s="25"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0.90900000000000003</v>
      </c>
      <c r="AB223" s="86"/>
      <c r="AC223" s="25" t="str">
        <v>Sulfur - Generic</v>
      </c>
      <c r="AD223" s="25">
        <v>3.5999999999999997E-2</v>
      </c>
      <c r="AE223" s="25"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2.5</v>
      </c>
      <c r="AF223" s="86"/>
      <c r="AG223" s="25" t="str">
        <v>Calcium</v>
      </c>
      <c r="AH223" s="25">
        <v>4.3999999999999997E-2</v>
      </c>
      <c r="AI223" s="25"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86"/>
      <c r="AK223" s="25" t="str">
        <v/>
      </c>
      <c r="AL223" s="25">
        <v>0</v>
      </c>
      <c r="AM223" s="25"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86"/>
    </row>
    <row r="224" spans="4:40" ht="20.100000000000001" customHeight="1" x14ac:dyDescent="0.25">
      <c r="D224" s="25">
        <v>0</v>
      </c>
      <c r="E224" s="25">
        <v>0</v>
      </c>
      <c r="F224" s="25"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v>
      </c>
      <c r="G224" s="251" cm="1">
        <f t="array" ref="G224">Scope3_Equations.VEERG_15_4_1_1__1_EmissionsFromPurchasedFertiliser(E224,F224)</f>
        <v>0</v>
      </c>
      <c r="H224" s="25"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0</v>
      </c>
      <c r="I224" s="86"/>
      <c r="J224" s="251" cm="1">
        <f t="array" ref="J224">Scope3_Equations.VEERG_15_4_1_1__1_EmissionsFromPurchasedFertiliser(E224,I224)</f>
        <v>0</v>
      </c>
      <c r="K224" s="251"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0</v>
      </c>
      <c r="L224" s="44"/>
      <c r="M224" s="23"/>
      <c r="N224" s="44"/>
      <c r="O224" s="25" t="str">
        <v/>
      </c>
      <c r="P224" s="25" t="str">
        <v/>
      </c>
      <c r="Q224" s="25" t="str">
        <v/>
      </c>
      <c r="R224" s="25">
        <v>0</v>
      </c>
      <c r="S224" s="25"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v>
      </c>
      <c r="T224" s="86"/>
      <c r="U224" s="25" t="str">
        <v/>
      </c>
      <c r="V224" s="25">
        <v>0</v>
      </c>
      <c r="W224" s="25"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0</v>
      </c>
      <c r="X224" s="86"/>
      <c r="Y224" s="25" t="str">
        <v/>
      </c>
      <c r="Z224" s="25">
        <v>0</v>
      </c>
      <c r="AA224" s="25"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0</v>
      </c>
      <c r="AB224" s="86"/>
      <c r="AC224" s="25" t="str">
        <v/>
      </c>
      <c r="AD224" s="25">
        <v>0</v>
      </c>
      <c r="AE224" s="25"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86"/>
      <c r="AG224" s="25" t="str">
        <v/>
      </c>
      <c r="AH224" s="25">
        <v>0</v>
      </c>
      <c r="AI224" s="25"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86"/>
      <c r="AK224" s="25" t="str">
        <v/>
      </c>
      <c r="AL224" s="25">
        <v>0</v>
      </c>
      <c r="AM224" s="25"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86"/>
    </row>
    <row r="225" spans="4:40" ht="20.100000000000001" customHeight="1" x14ac:dyDescent="0.25">
      <c r="D225" s="25">
        <v>0</v>
      </c>
      <c r="E225" s="25">
        <v>0</v>
      </c>
      <c r="F225" s="25"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v>
      </c>
      <c r="G225" s="251" cm="1">
        <f t="array" ref="G225">Scope3_Equations.VEERG_15_4_1_1__1_EmissionsFromPurchasedFertiliser(E225,F225)</f>
        <v>0</v>
      </c>
      <c r="H225" s="25"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0</v>
      </c>
      <c r="I225" s="86"/>
      <c r="J225" s="251" cm="1">
        <f t="array" ref="J225">Scope3_Equations.VEERG_15_4_1_1__1_EmissionsFromPurchasedFertiliser(E225,I225)</f>
        <v>0</v>
      </c>
      <c r="K225" s="251"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0</v>
      </c>
      <c r="L225" s="44"/>
      <c r="M225" s="23"/>
      <c r="N225" s="44"/>
      <c r="O225" s="25" t="str">
        <v/>
      </c>
      <c r="P225" s="25" t="str">
        <v/>
      </c>
      <c r="Q225" s="25" t="str">
        <v/>
      </c>
      <c r="R225" s="25">
        <v>0</v>
      </c>
      <c r="S225" s="25"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86"/>
      <c r="U225" s="25" t="str">
        <v/>
      </c>
      <c r="V225" s="25">
        <v>0</v>
      </c>
      <c r="W225" s="25"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0</v>
      </c>
      <c r="X225" s="86"/>
      <c r="Y225" s="25" t="str">
        <v/>
      </c>
      <c r="Z225" s="25">
        <v>0</v>
      </c>
      <c r="AA225" s="25"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86"/>
      <c r="AC225" s="25" t="str">
        <v/>
      </c>
      <c r="AD225" s="25">
        <v>0</v>
      </c>
      <c r="AE225" s="25"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86"/>
      <c r="AG225" s="25" t="str">
        <v/>
      </c>
      <c r="AH225" s="25">
        <v>0</v>
      </c>
      <c r="AI225" s="25"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86"/>
      <c r="AK225" s="25" t="str">
        <v/>
      </c>
      <c r="AL225" s="25">
        <v>0</v>
      </c>
      <c r="AM225" s="25"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86"/>
    </row>
    <row r="226" spans="4:40" ht="20.100000000000001" customHeight="1" x14ac:dyDescent="0.25">
      <c r="D226" s="25">
        <v>0</v>
      </c>
      <c r="E226" s="25">
        <v>0</v>
      </c>
      <c r="F226" s="25"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251" cm="1">
        <f t="array" ref="G226">Scope3_Equations.VEERG_15_4_1_1__1_EmissionsFromPurchasedFertiliser(E226,F226)</f>
        <v>0</v>
      </c>
      <c r="H226" s="25"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86"/>
      <c r="J226" s="251" cm="1">
        <f t="array" ref="J226">Scope3_Equations.VEERG_15_4_1_1__1_EmissionsFromPurchasedFertiliser(E226,I226)</f>
        <v>0</v>
      </c>
      <c r="K226" s="251"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44"/>
      <c r="M226" s="23"/>
      <c r="N226" s="44"/>
      <c r="O226" s="25" t="str">
        <v/>
      </c>
      <c r="P226" s="25" t="str">
        <v/>
      </c>
      <c r="Q226" s="25" t="str">
        <v/>
      </c>
      <c r="R226" s="25">
        <v>0</v>
      </c>
      <c r="S226" s="25"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86"/>
      <c r="U226" s="25" t="str">
        <v/>
      </c>
      <c r="V226" s="25">
        <v>0</v>
      </c>
      <c r="W226" s="25"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86"/>
      <c r="Y226" s="25" t="str">
        <v/>
      </c>
      <c r="Z226" s="25">
        <v>0</v>
      </c>
      <c r="AA226" s="25"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86"/>
      <c r="AC226" s="25" t="str">
        <v/>
      </c>
      <c r="AD226" s="25">
        <v>0</v>
      </c>
      <c r="AE226" s="25"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86"/>
      <c r="AG226" s="25" t="str">
        <v/>
      </c>
      <c r="AH226" s="25">
        <v>0</v>
      </c>
      <c r="AI226" s="25"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86"/>
      <c r="AK226" s="25" t="str">
        <v/>
      </c>
      <c r="AL226" s="25">
        <v>0</v>
      </c>
      <c r="AM226" s="25"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86"/>
    </row>
    <row r="227" spans="4:40" ht="20.100000000000001" customHeight="1" x14ac:dyDescent="0.25">
      <c r="D227" s="25">
        <v>0</v>
      </c>
      <c r="E227" s="25">
        <v>0</v>
      </c>
      <c r="F227" s="25"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251" cm="1">
        <f t="array" ref="G227">Scope3_Equations.VEERG_15_4_1_1__1_EmissionsFromPurchasedFertiliser(E227,F227)</f>
        <v>0</v>
      </c>
      <c r="H227" s="25"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86"/>
      <c r="J227" s="251" cm="1">
        <f t="array" ref="J227">Scope3_Equations.VEERG_15_4_1_1__1_EmissionsFromPurchasedFertiliser(E227,I227)</f>
        <v>0</v>
      </c>
      <c r="K227" s="251"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44"/>
      <c r="M227" s="23"/>
      <c r="N227" s="44"/>
      <c r="O227" s="25" t="str">
        <v/>
      </c>
      <c r="P227" s="25" t="str">
        <v/>
      </c>
      <c r="Q227" s="25" t="str">
        <v/>
      </c>
      <c r="R227" s="25">
        <v>0</v>
      </c>
      <c r="S227" s="25"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86"/>
      <c r="U227" s="25" t="str">
        <v/>
      </c>
      <c r="V227" s="25">
        <v>0</v>
      </c>
      <c r="W227" s="25"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86"/>
      <c r="Y227" s="25" t="str">
        <v/>
      </c>
      <c r="Z227" s="25">
        <v>0</v>
      </c>
      <c r="AA227" s="25"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86"/>
      <c r="AC227" s="25" t="str">
        <v/>
      </c>
      <c r="AD227" s="25">
        <v>0</v>
      </c>
      <c r="AE227" s="25"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86"/>
      <c r="AG227" s="25" t="str">
        <v/>
      </c>
      <c r="AH227" s="25">
        <v>0</v>
      </c>
      <c r="AI227" s="25"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86"/>
      <c r="AK227" s="25" t="str">
        <v/>
      </c>
      <c r="AL227" s="25">
        <v>0</v>
      </c>
      <c r="AM227" s="25"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86"/>
    </row>
    <row r="228" spans="4:40" ht="20.100000000000001" customHeight="1" x14ac:dyDescent="0.25">
      <c r="D228" s="25">
        <v>0</v>
      </c>
      <c r="E228" s="25">
        <v>0</v>
      </c>
      <c r="F228" s="25"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251" cm="1">
        <f t="array" ref="G228">Scope3_Equations.VEERG_15_4_1_1__1_EmissionsFromPurchasedFertiliser(E228,F228)</f>
        <v>0</v>
      </c>
      <c r="H228" s="25"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86"/>
      <c r="J228" s="251" cm="1">
        <f t="array" ref="J228">Scope3_Equations.VEERG_15_4_1_1__1_EmissionsFromPurchasedFertiliser(E228,I228)</f>
        <v>0</v>
      </c>
      <c r="K228" s="251"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44"/>
      <c r="M228" s="23"/>
      <c r="N228" s="44"/>
      <c r="O228" s="25" t="str">
        <v/>
      </c>
      <c r="P228" s="25" t="str">
        <v/>
      </c>
      <c r="Q228" s="25" t="str">
        <v/>
      </c>
      <c r="R228" s="25">
        <v>0</v>
      </c>
      <c r="S228" s="25"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86"/>
      <c r="U228" s="25" t="str">
        <v/>
      </c>
      <c r="V228" s="25">
        <v>0</v>
      </c>
      <c r="W228" s="25"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86"/>
      <c r="Y228" s="25" t="str">
        <v/>
      </c>
      <c r="Z228" s="25">
        <v>0</v>
      </c>
      <c r="AA228" s="25"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86"/>
      <c r="AC228" s="25" t="str">
        <v/>
      </c>
      <c r="AD228" s="25">
        <v>0</v>
      </c>
      <c r="AE228" s="25"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86"/>
      <c r="AG228" s="25" t="str">
        <v/>
      </c>
      <c r="AH228" s="25">
        <v>0</v>
      </c>
      <c r="AI228" s="25"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86"/>
      <c r="AK228" s="25" t="str">
        <v/>
      </c>
      <c r="AL228" s="25">
        <v>0</v>
      </c>
      <c r="AM228" s="25"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86"/>
    </row>
    <row r="229" spans="4:40" ht="20.100000000000001" customHeight="1" x14ac:dyDescent="0.25">
      <c r="D229" s="25">
        <v>0</v>
      </c>
      <c r="E229" s="25">
        <v>0</v>
      </c>
      <c r="F229" s="25"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251" cm="1">
        <f t="array" ref="G229">Scope3_Equations.VEERG_15_4_1_1__1_EmissionsFromPurchasedFertiliser(E229,F229)</f>
        <v>0</v>
      </c>
      <c r="H229" s="25"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86"/>
      <c r="J229" s="251" cm="1">
        <f t="array" ref="J229">Scope3_Equations.VEERG_15_4_1_1__1_EmissionsFromPurchasedFertiliser(E229,I229)</f>
        <v>0</v>
      </c>
      <c r="K229" s="251"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44"/>
      <c r="M229" s="23"/>
      <c r="N229" s="44"/>
      <c r="O229" s="25" t="str">
        <v/>
      </c>
      <c r="P229" s="25" t="str">
        <v/>
      </c>
      <c r="Q229" s="25" t="str">
        <v/>
      </c>
      <c r="R229" s="25">
        <v>0</v>
      </c>
      <c r="S229" s="25"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86"/>
      <c r="U229" s="25" t="str">
        <v/>
      </c>
      <c r="V229" s="25">
        <v>0</v>
      </c>
      <c r="W229" s="25"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86"/>
      <c r="Y229" s="25" t="str">
        <v/>
      </c>
      <c r="Z229" s="25">
        <v>0</v>
      </c>
      <c r="AA229" s="25"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86"/>
      <c r="AC229" s="25" t="str">
        <v/>
      </c>
      <c r="AD229" s="25">
        <v>0</v>
      </c>
      <c r="AE229" s="25"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86"/>
      <c r="AG229" s="25" t="str">
        <v/>
      </c>
      <c r="AH229" s="25">
        <v>0</v>
      </c>
      <c r="AI229" s="25"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86"/>
      <c r="AK229" s="25" t="str">
        <v/>
      </c>
      <c r="AL229" s="25">
        <v>0</v>
      </c>
      <c r="AM229" s="25"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86"/>
    </row>
    <row r="230" spans="4:40" ht="20.100000000000001" customHeight="1" x14ac:dyDescent="0.25">
      <c r="D230" s="25">
        <v>0</v>
      </c>
      <c r="E230" s="25">
        <v>0</v>
      </c>
      <c r="F230" s="25"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251" cm="1">
        <f t="array" ref="G230">Scope3_Equations.VEERG_15_4_1_1__1_EmissionsFromPurchasedFertiliser(E230,F230)</f>
        <v>0</v>
      </c>
      <c r="H230" s="25"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86"/>
      <c r="J230" s="251" cm="1">
        <f t="array" ref="J230">Scope3_Equations.VEERG_15_4_1_1__1_EmissionsFromPurchasedFertiliser(E230,I230)</f>
        <v>0</v>
      </c>
      <c r="K230" s="251"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44"/>
      <c r="M230" s="23"/>
      <c r="N230" s="44"/>
      <c r="O230" s="25" t="str">
        <v/>
      </c>
      <c r="P230" s="25" t="str">
        <v/>
      </c>
      <c r="Q230" s="25" t="str">
        <v/>
      </c>
      <c r="R230" s="25">
        <v>0</v>
      </c>
      <c r="S230" s="25"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86"/>
      <c r="U230" s="25" t="str">
        <v/>
      </c>
      <c r="V230" s="25">
        <v>0</v>
      </c>
      <c r="W230" s="25"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86"/>
      <c r="Y230" s="25" t="str">
        <v/>
      </c>
      <c r="Z230" s="25">
        <v>0</v>
      </c>
      <c r="AA230" s="25"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86"/>
      <c r="AC230" s="25" t="str">
        <v/>
      </c>
      <c r="AD230" s="25">
        <v>0</v>
      </c>
      <c r="AE230" s="25"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86"/>
      <c r="AG230" s="25" t="str">
        <v/>
      </c>
      <c r="AH230" s="25">
        <v>0</v>
      </c>
      <c r="AI230" s="25"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86"/>
      <c r="AK230" s="25" t="str">
        <v/>
      </c>
      <c r="AL230" s="25">
        <v>0</v>
      </c>
      <c r="AM230" s="25"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86"/>
    </row>
    <row r="231" spans="4:40" ht="20.100000000000001" customHeight="1" x14ac:dyDescent="0.25"/>
    <row r="232" spans="4:40" ht="20.100000000000001" customHeight="1" x14ac:dyDescent="0.25">
      <c r="D232" s="244" t="s">
        <v>833</v>
      </c>
    </row>
    <row r="233" spans="4:40" ht="20.100000000000001" customHeight="1" x14ac:dyDescent="0.25"/>
    <row r="234" spans="4:40" ht="20.100000000000001" customHeight="1" x14ac:dyDescent="0.25">
      <c r="D234" s="46" t="s">
        <v>834</v>
      </c>
      <c r="E234" s="48"/>
      <c r="F234" s="49"/>
    </row>
    <row r="235" spans="4:40" ht="20.100000000000001" customHeight="1" x14ac:dyDescent="0.25"/>
    <row r="236" spans="4:40" ht="20.100000000000001" customHeight="1" x14ac:dyDescent="0.25">
      <c r="D236" s="92" t="s">
        <v>796</v>
      </c>
      <c r="E236" s="92" t="s">
        <v>814</v>
      </c>
      <c r="F236" s="146" t="s">
        <v>815</v>
      </c>
      <c r="G236" s="146" t="s">
        <v>816</v>
      </c>
      <c r="H236" s="146" t="s">
        <v>817</v>
      </c>
      <c r="I236" s="92" t="s">
        <v>818</v>
      </c>
      <c r="J236" s="146" t="s">
        <v>819</v>
      </c>
      <c r="K236" s="146" t="s">
        <v>820</v>
      </c>
      <c r="L236" s="92" t="s">
        <v>773</v>
      </c>
      <c r="M236" s="92" t="s">
        <v>774</v>
      </c>
      <c r="N236" s="92" t="s">
        <v>775</v>
      </c>
      <c r="O236" s="146" t="s">
        <v>226</v>
      </c>
      <c r="P236" s="146" t="s">
        <v>227</v>
      </c>
      <c r="Q236" s="146" t="s">
        <v>211</v>
      </c>
      <c r="R236" s="146" t="s">
        <v>212</v>
      </c>
      <c r="S236" s="146" t="s">
        <v>821</v>
      </c>
      <c r="T236" s="92" t="s">
        <v>822</v>
      </c>
      <c r="U236" s="146" t="s">
        <v>213</v>
      </c>
      <c r="V236" s="146" t="s">
        <v>214</v>
      </c>
      <c r="W236" s="146" t="s">
        <v>823</v>
      </c>
      <c r="X236" s="92" t="s">
        <v>824</v>
      </c>
      <c r="Y236" s="146" t="s">
        <v>215</v>
      </c>
      <c r="Z236" s="146" t="s">
        <v>216</v>
      </c>
      <c r="AA236" s="146" t="s">
        <v>825</v>
      </c>
      <c r="AB236" s="92" t="s">
        <v>826</v>
      </c>
      <c r="AC236" s="146" t="s">
        <v>217</v>
      </c>
      <c r="AD236" s="146" t="s">
        <v>218</v>
      </c>
      <c r="AE236" s="146" t="s">
        <v>827</v>
      </c>
      <c r="AF236" s="92" t="s">
        <v>828</v>
      </c>
    </row>
    <row r="237" spans="4:40" ht="20.100000000000001" customHeight="1" x14ac:dyDescent="0.25">
      <c r="D237" s="25" t="str" cm="1">
        <f t="array" ref="D237:D246">IFERROR(INDEX(Table_Input_InorganicFertiliser_Custom[Custom blend name], _xlfn.SEQUENCE(10)), "")</f>
        <v>My first custom blend</v>
      </c>
      <c r="E237" s="25" cm="1">
        <f t="array" ref="E237:E246">IFERROR(INDEX(Table_Input_InorganicFertiliser_Custom[Total applied (kg)], _xlfn.SEQUENCE(10)), 0)</f>
        <v>100000</v>
      </c>
      <c r="F237" s="25"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1.7707999999999999</v>
      </c>
      <c r="G237" s="251" cm="1">
        <f t="array" ref="G237">Scope3_Equations.VEERG_15_4_1_1__1_EmissionsFromPurchasedFertiliser(E237,F237)</f>
        <v>177.08</v>
      </c>
      <c r="H237" s="25"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177.08</v>
      </c>
      <c r="I237" s="86">
        <v>0.4</v>
      </c>
      <c r="J237" s="251" cm="1">
        <f t="array" ref="J237">Scope3_Equations.VEERG_15_4_1_1__1_EmissionsFromPurchasedFertiliser(E237,I237)</f>
        <v>40</v>
      </c>
      <c r="K237" s="251"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168</v>
      </c>
      <c r="L237" s="44"/>
      <c r="M237" s="23"/>
      <c r="N237" s="239"/>
      <c r="O237" s="25" cm="1">
        <f t="array" ref="O237:O246">IFERROR(INDEX(Table_Input_InorganicFertiliser_Custom[Urea source (Select)], _xlfn.SEQUENCE(10)), "")</f>
        <v>0</v>
      </c>
      <c r="P237" s="25" cm="1">
        <f t="array" ref="P237:P246">IFERROR(INDEX(Table_Input_InorganicFertiliser_Custom[Ammonia source (select)], _xlfn.SEQUENCE(10)), "")</f>
        <v>0</v>
      </c>
      <c r="Q237" s="25" t="str" cm="1">
        <f t="array" ref="Q237:Q246">IFERROR(INDEX(Table_Input_InorganicFertiliser_Custom[Ingredient 1 (select)], _xlfn.SEQUENCE(10)), "")</f>
        <v>Calcium nitrate</v>
      </c>
      <c r="R237" s="25" cm="1">
        <f t="array" ref="R237:R246">IFERROR(INDEX(_xlfn.LET(_xlpm.result, Table_Input_InorganicFertiliser_Custom[Ingredient 1 percent], IF(_xlpm.result="", 0, _xlpm.result)), _xlfn.SEQUENCE(10)), 0)</f>
        <v>0.5</v>
      </c>
      <c r="S237" s="2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0.75</v>
      </c>
      <c r="T237" s="86">
        <v>0.9</v>
      </c>
      <c r="U237" s="25" t="str" cm="1">
        <f t="array" ref="U237:U246">IFERROR(INDEX(Table_Input_InorganicFertiliser_Custom[Ingredient 2], _xlfn.SEQUENCE(10)), "")</f>
        <v>Zinc - Generic</v>
      </c>
      <c r="V237" s="25" cm="1">
        <f t="array" ref="V237:V246">IFERROR(INDEX(_xlfn.LET(_xlpm.result, Table_Input_InorganicFertiliser_Custom[Ingredient 2 percent], IF(_xlpm.result="", 0, _xlpm.result)), _xlfn.SEQUENCE(10)), 0)</f>
        <v>0.2</v>
      </c>
      <c r="W237" s="2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4.82</v>
      </c>
      <c r="X237" s="86">
        <v>0.9</v>
      </c>
      <c r="Y237" s="25" t="str" cm="1">
        <f t="array" ref="Y237:Y246">IFERROR(INDEX(Table_Input_InorganicFertiliser_Custom[Ingredient 3], _xlfn.SEQUENCE(10)), "")</f>
        <v>Potassium - Generic</v>
      </c>
      <c r="Z237" s="25" cm="1">
        <f t="array" ref="Z237:Z246">IFERROR(INDEX(_xlfn.LET(_xlpm.result, Table_Input_InorganicFertiliser_Custom[Ingredient 3 percent], IF(_xlpm.result="", 0, _xlpm.result)), _xlfn.SEQUENCE(10)), 0)</f>
        <v>0.2</v>
      </c>
      <c r="AA237" s="2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86">
        <v>4</v>
      </c>
      <c r="AC237" s="25" t="str" cm="1">
        <f t="array" ref="AC237:AC246">IFERROR(INDEX(Table_Input_InorganicFertiliser_Custom[Ingredient 4], _xlfn.SEQUENCE(10)), "")</f>
        <v>Sulfur - Generic</v>
      </c>
      <c r="AD237" s="25" cm="1">
        <f t="array" ref="AD237:AD246">IFERROR(INDEX(_xlfn.LET(_xlpm.result, Table_Input_InorganicFertiliser_Custom[Ingredient 4 percent], IF(_xlpm.result="", 0, _xlpm.result)), _xlfn.SEQUENCE(10)), 0)</f>
        <v>0.1</v>
      </c>
      <c r="AE237" s="2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86">
        <v>0</v>
      </c>
    </row>
    <row r="238" spans="4:40" ht="20.100000000000001" customHeight="1" x14ac:dyDescent="0.25">
      <c r="D238" s="25" t="str">
        <v>My second custom blend</v>
      </c>
      <c r="E238" s="25">
        <v>100000</v>
      </c>
      <c r="F238" s="25"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v>
      </c>
      <c r="G238" s="251" cm="1">
        <f t="array" ref="G238">Scope3_Equations.VEERG_15_4_1_1__1_EmissionsFromPurchasedFertiliser(E238,F238)</f>
        <v>0</v>
      </c>
      <c r="H238" s="25"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0</v>
      </c>
      <c r="I238" s="86">
        <v>0.9</v>
      </c>
      <c r="J238" s="251" cm="1">
        <f t="array" ref="J238">Scope3_Equations.VEERG_15_4_1_1__1_EmissionsFromPurchasedFertiliser(E238,I238)</f>
        <v>90</v>
      </c>
      <c r="K238" s="251"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0</v>
      </c>
      <c r="L238" s="44"/>
      <c r="M238" s="23"/>
      <c r="N238" s="44"/>
      <c r="O238" s="25">
        <v>0</v>
      </c>
      <c r="P238" s="25">
        <v>0</v>
      </c>
      <c r="Q238" s="25" t="str">
        <v>Urea</v>
      </c>
      <c r="R238" s="25">
        <v>1</v>
      </c>
      <c r="S238" s="2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v>
      </c>
      <c r="T238" s="86"/>
      <c r="U238" s="25">
        <v>0</v>
      </c>
      <c r="V238" s="25">
        <v>0</v>
      </c>
      <c r="W238" s="2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0</v>
      </c>
      <c r="X238" s="86"/>
      <c r="Y238" s="25">
        <v>0</v>
      </c>
      <c r="Z238" s="25">
        <v>0</v>
      </c>
      <c r="AA238" s="2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86"/>
      <c r="AC238" s="25">
        <v>0</v>
      </c>
      <c r="AD238" s="25">
        <v>0</v>
      </c>
      <c r="AE238" s="2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86"/>
    </row>
    <row r="239" spans="4:40" ht="20.100000000000001" customHeight="1" x14ac:dyDescent="0.25">
      <c r="D239" s="25" t="str">
        <v>My third custom blend</v>
      </c>
      <c r="E239" s="25">
        <v>100000</v>
      </c>
      <c r="F239" s="25"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0</v>
      </c>
      <c r="G239" s="251" cm="1">
        <f t="array" ref="G239">Scope3_Equations.VEERG_15_4_1_1__1_EmissionsFromPurchasedFertiliser(E239,F239)</f>
        <v>0</v>
      </c>
      <c r="H239" s="25"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0</v>
      </c>
      <c r="I239" s="86">
        <v>0.4</v>
      </c>
      <c r="J239" s="251" cm="1">
        <f t="array" ref="J239">Scope3_Equations.VEERG_15_4_1_1__1_EmissionsFromPurchasedFertiliser(E239,I239)</f>
        <v>40</v>
      </c>
      <c r="K239" s="251"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0</v>
      </c>
      <c r="L239" s="44"/>
      <c r="M239" s="23"/>
      <c r="N239" s="44"/>
      <c r="O239" s="25">
        <v>0</v>
      </c>
      <c r="P239" s="25">
        <v>0</v>
      </c>
      <c r="Q239" s="25" t="str">
        <v>Ammonia</v>
      </c>
      <c r="R239" s="25">
        <v>0.5</v>
      </c>
      <c r="S239" s="2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0</v>
      </c>
      <c r="T239" s="86"/>
      <c r="U239" s="25">
        <v>0</v>
      </c>
      <c r="V239" s="25">
        <v>0</v>
      </c>
      <c r="W239" s="2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86"/>
      <c r="Y239" s="25">
        <v>0</v>
      </c>
      <c r="Z239" s="25">
        <v>0</v>
      </c>
      <c r="AA239" s="2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86"/>
      <c r="AC239" s="25">
        <v>0</v>
      </c>
      <c r="AD239" s="25">
        <v>0</v>
      </c>
      <c r="AE239" s="2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86"/>
    </row>
    <row r="240" spans="4:40" ht="20.100000000000001" customHeight="1" x14ac:dyDescent="0.25">
      <c r="D240" s="25">
        <v>0</v>
      </c>
      <c r="E240" s="25">
        <v>0</v>
      </c>
      <c r="F240" s="25"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251" cm="1">
        <f t="array" ref="G240">Scope3_Equations.VEERG_15_4_1_1__1_EmissionsFromPurchasedFertiliser(E240,F240)</f>
        <v>0</v>
      </c>
      <c r="H240" s="25"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86"/>
      <c r="J240" s="251" cm="1">
        <f t="array" ref="J240">Scope3_Equations.VEERG_15_4_1_1__1_EmissionsFromPurchasedFertiliser(E240,I240)</f>
        <v>0</v>
      </c>
      <c r="K240" s="251"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44"/>
      <c r="M240" s="23"/>
      <c r="N240" s="44"/>
      <c r="O240" s="25">
        <v>0</v>
      </c>
      <c r="P240" s="25">
        <v>0</v>
      </c>
      <c r="Q240" s="25">
        <v>0</v>
      </c>
      <c r="R240" s="25">
        <v>0</v>
      </c>
      <c r="S240" s="2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86"/>
      <c r="U240" s="25">
        <v>0</v>
      </c>
      <c r="V240" s="25">
        <v>0</v>
      </c>
      <c r="W240" s="2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86"/>
      <c r="Y240" s="25">
        <v>0</v>
      </c>
      <c r="Z240" s="25">
        <v>0</v>
      </c>
      <c r="AA240" s="2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86"/>
      <c r="AC240" s="25">
        <v>0</v>
      </c>
      <c r="AD240" s="25">
        <v>0</v>
      </c>
      <c r="AE240" s="2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86"/>
    </row>
    <row r="241" spans="3:41" ht="20.100000000000001" customHeight="1" x14ac:dyDescent="0.25">
      <c r="D241" s="25">
        <v>0</v>
      </c>
      <c r="E241" s="25">
        <v>0</v>
      </c>
      <c r="F241" s="25"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251" cm="1">
        <f t="array" ref="G241">Scope3_Equations.VEERG_15_4_1_1__1_EmissionsFromPurchasedFertiliser(E241,F241)</f>
        <v>0</v>
      </c>
      <c r="H241" s="25"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86"/>
      <c r="J241" s="251" cm="1">
        <f t="array" ref="J241">Scope3_Equations.VEERG_15_4_1_1__1_EmissionsFromPurchasedFertiliser(E241,I241)</f>
        <v>0</v>
      </c>
      <c r="K241" s="251"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44"/>
      <c r="M241" s="23"/>
      <c r="N241" s="44"/>
      <c r="O241" s="25">
        <v>0</v>
      </c>
      <c r="P241" s="25">
        <v>0</v>
      </c>
      <c r="Q241" s="25">
        <v>0</v>
      </c>
      <c r="R241" s="25">
        <v>0</v>
      </c>
      <c r="S241" s="2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86"/>
      <c r="U241" s="25">
        <v>0</v>
      </c>
      <c r="V241" s="25">
        <v>0</v>
      </c>
      <c r="W241" s="2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86"/>
      <c r="Y241" s="25">
        <v>0</v>
      </c>
      <c r="Z241" s="25">
        <v>0</v>
      </c>
      <c r="AA241" s="2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86"/>
      <c r="AC241" s="25">
        <v>0</v>
      </c>
      <c r="AD241" s="25">
        <v>0</v>
      </c>
      <c r="AE241" s="2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86"/>
    </row>
    <row r="242" spans="3:41" ht="20.100000000000001" customHeight="1" x14ac:dyDescent="0.25">
      <c r="D242" s="25">
        <v>0</v>
      </c>
      <c r="E242" s="25">
        <v>0</v>
      </c>
      <c r="F242" s="25"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251" cm="1">
        <f t="array" ref="G242">Scope3_Equations.VEERG_15_4_1_1__1_EmissionsFromPurchasedFertiliser(E242,F242)</f>
        <v>0</v>
      </c>
      <c r="H242" s="25"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86"/>
      <c r="J242" s="251" cm="1">
        <f t="array" ref="J242">Scope3_Equations.VEERG_15_4_1_1__1_EmissionsFromPurchasedFertiliser(E242,I242)</f>
        <v>0</v>
      </c>
      <c r="K242" s="251"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44"/>
      <c r="M242" s="23"/>
      <c r="N242" s="44"/>
      <c r="O242" s="25">
        <v>0</v>
      </c>
      <c r="P242" s="25">
        <v>0</v>
      </c>
      <c r="Q242" s="25">
        <v>0</v>
      </c>
      <c r="R242" s="25">
        <v>0</v>
      </c>
      <c r="S242" s="2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86"/>
      <c r="U242" s="25">
        <v>0</v>
      </c>
      <c r="V242" s="25">
        <v>0</v>
      </c>
      <c r="W242" s="2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86"/>
      <c r="Y242" s="25">
        <v>0</v>
      </c>
      <c r="Z242" s="25">
        <v>0</v>
      </c>
      <c r="AA242" s="2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86"/>
      <c r="AC242" s="25">
        <v>0</v>
      </c>
      <c r="AD242" s="25">
        <v>0</v>
      </c>
      <c r="AE242" s="2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86"/>
    </row>
    <row r="243" spans="3:41" ht="20.100000000000001" customHeight="1" x14ac:dyDescent="0.25">
      <c r="D243" s="25">
        <v>0</v>
      </c>
      <c r="E243" s="25">
        <v>0</v>
      </c>
      <c r="F243" s="25"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251" cm="1">
        <f t="array" ref="G243">Scope3_Equations.VEERG_15_4_1_1__1_EmissionsFromPurchasedFertiliser(E243,F243)</f>
        <v>0</v>
      </c>
      <c r="H243" s="25"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86"/>
      <c r="J243" s="251" cm="1">
        <f t="array" ref="J243">Scope3_Equations.VEERG_15_4_1_1__1_EmissionsFromPurchasedFertiliser(E243,I243)</f>
        <v>0</v>
      </c>
      <c r="K243" s="251"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44"/>
      <c r="M243" s="23"/>
      <c r="N243" s="44"/>
      <c r="O243" s="25">
        <v>0</v>
      </c>
      <c r="P243" s="25">
        <v>0</v>
      </c>
      <c r="Q243" s="25">
        <v>0</v>
      </c>
      <c r="R243" s="25">
        <v>0</v>
      </c>
      <c r="S243" s="2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86"/>
      <c r="U243" s="25">
        <v>0</v>
      </c>
      <c r="V243" s="25">
        <v>0</v>
      </c>
      <c r="W243" s="2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86"/>
      <c r="Y243" s="25">
        <v>0</v>
      </c>
      <c r="Z243" s="25">
        <v>0</v>
      </c>
      <c r="AA243" s="2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86"/>
      <c r="AC243" s="25">
        <v>0</v>
      </c>
      <c r="AD243" s="25">
        <v>0</v>
      </c>
      <c r="AE243" s="2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86"/>
    </row>
    <row r="244" spans="3:41" ht="20.100000000000001" customHeight="1" x14ac:dyDescent="0.25">
      <c r="D244" s="25">
        <v>0</v>
      </c>
      <c r="E244" s="25">
        <v>0</v>
      </c>
      <c r="F244" s="25"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251" cm="1">
        <f t="array" ref="G244">Scope3_Equations.VEERG_15_4_1_1__1_EmissionsFromPurchasedFertiliser(E244,F244)</f>
        <v>0</v>
      </c>
      <c r="H244" s="25"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86"/>
      <c r="J244" s="251" cm="1">
        <f t="array" ref="J244">Scope3_Equations.VEERG_15_4_1_1__1_EmissionsFromPurchasedFertiliser(E244,I244)</f>
        <v>0</v>
      </c>
      <c r="K244" s="251"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44"/>
      <c r="M244" s="23"/>
      <c r="N244" s="44"/>
      <c r="O244" s="25">
        <v>0</v>
      </c>
      <c r="P244" s="25">
        <v>0</v>
      </c>
      <c r="Q244" s="25">
        <v>0</v>
      </c>
      <c r="R244" s="25">
        <v>0</v>
      </c>
      <c r="S244" s="2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86"/>
      <c r="U244" s="25">
        <v>0</v>
      </c>
      <c r="V244" s="25">
        <v>0</v>
      </c>
      <c r="W244" s="2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86"/>
      <c r="Y244" s="25">
        <v>0</v>
      </c>
      <c r="Z244" s="25">
        <v>0</v>
      </c>
      <c r="AA244" s="2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86"/>
      <c r="AC244" s="25">
        <v>0</v>
      </c>
      <c r="AD244" s="25">
        <v>0</v>
      </c>
      <c r="AE244" s="2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86"/>
    </row>
    <row r="245" spans="3:41" ht="20.100000000000001" customHeight="1" x14ac:dyDescent="0.25">
      <c r="D245" s="25">
        <v>0</v>
      </c>
      <c r="E245" s="25">
        <v>0</v>
      </c>
      <c r="F245" s="25"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251" cm="1">
        <f t="array" ref="G245">Scope3_Equations.VEERG_15_4_1_1__1_EmissionsFromPurchasedFertiliser(E245,F245)</f>
        <v>0</v>
      </c>
      <c r="H245" s="25"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86"/>
      <c r="J245" s="251" cm="1">
        <f t="array" ref="J245">Scope3_Equations.VEERG_15_4_1_1__1_EmissionsFromPurchasedFertiliser(E245,I245)</f>
        <v>0</v>
      </c>
      <c r="K245" s="251"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44"/>
      <c r="M245" s="23"/>
      <c r="N245" s="44"/>
      <c r="O245" s="25">
        <v>0</v>
      </c>
      <c r="P245" s="25">
        <v>0</v>
      </c>
      <c r="Q245" s="25">
        <v>0</v>
      </c>
      <c r="R245" s="25">
        <v>0</v>
      </c>
      <c r="S245" s="2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86"/>
      <c r="U245" s="25">
        <v>0</v>
      </c>
      <c r="V245" s="25">
        <v>0</v>
      </c>
      <c r="W245" s="2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86"/>
      <c r="Y245" s="25">
        <v>0</v>
      </c>
      <c r="Z245" s="25">
        <v>0</v>
      </c>
      <c r="AA245" s="2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86"/>
      <c r="AC245" s="25">
        <v>0</v>
      </c>
      <c r="AD245" s="25">
        <v>0</v>
      </c>
      <c r="AE245" s="2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86"/>
    </row>
    <row r="246" spans="3:41" ht="20.100000000000001" customHeight="1" x14ac:dyDescent="0.25">
      <c r="D246" s="25">
        <v>0</v>
      </c>
      <c r="E246" s="25">
        <v>0</v>
      </c>
      <c r="F246" s="25"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251" cm="1">
        <f t="array" ref="G246">Scope3_Equations.VEERG_15_4_1_1__1_EmissionsFromPurchasedFertiliser(E246,F246)</f>
        <v>0</v>
      </c>
      <c r="H246" s="25"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86"/>
      <c r="J246" s="251" cm="1">
        <f t="array" ref="J246">Scope3_Equations.VEERG_15_4_1_1__1_EmissionsFromPurchasedFertiliser(E246,I246)</f>
        <v>0</v>
      </c>
      <c r="K246" s="251"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44"/>
      <c r="M246" s="23"/>
      <c r="N246" s="44"/>
      <c r="O246" s="25">
        <v>0</v>
      </c>
      <c r="P246" s="25">
        <v>0</v>
      </c>
      <c r="Q246" s="25">
        <v>0</v>
      </c>
      <c r="R246" s="25">
        <v>0</v>
      </c>
      <c r="S246" s="25"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86"/>
      <c r="U246" s="25">
        <v>0</v>
      </c>
      <c r="V246" s="25">
        <v>0</v>
      </c>
      <c r="W246" s="25"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86"/>
      <c r="Y246" s="25">
        <v>0</v>
      </c>
      <c r="Z246" s="25">
        <v>0</v>
      </c>
      <c r="AA246" s="25"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86"/>
      <c r="AC246" s="25">
        <v>0</v>
      </c>
      <c r="AD246" s="25">
        <v>0</v>
      </c>
      <c r="AE246" s="25"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86"/>
    </row>
    <row r="247" spans="3:41" ht="20.100000000000001" customHeight="1" x14ac:dyDescent="0.25"/>
    <row r="248" spans="3:41" ht="20.100000000000001" customHeight="1" x14ac:dyDescent="0.25">
      <c r="D248" s="252" t="s">
        <v>835</v>
      </c>
      <c r="E248" s="151">
        <f>SUM(G221:G230)+SUM(G237:G246)</f>
        <v>453.31033520000005</v>
      </c>
      <c r="F248" s="152" t="str">
        <f>$E$155</f>
        <v>t CO2e</v>
      </c>
    </row>
    <row r="249" spans="3:41" ht="20.100000000000001" customHeight="1" x14ac:dyDescent="0.25">
      <c r="D249" s="252" t="s">
        <v>836</v>
      </c>
      <c r="E249" s="151">
        <f>SUM(J221:J230)+SUM(J237:J246)</f>
        <v>340</v>
      </c>
      <c r="F249" s="152" t="str">
        <f>$E$155</f>
        <v>t CO2e</v>
      </c>
    </row>
    <row r="250" spans="3:41" ht="20.100000000000001" customHeight="1" x14ac:dyDescent="0.25"/>
    <row r="251" spans="3:41" ht="20.100000000000001" customHeight="1" x14ac:dyDescent="0.25">
      <c r="D251" s="252" t="s">
        <v>837</v>
      </c>
      <c r="E251" s="151">
        <f>SUM(H221:H230)+SUM(H237:H246)</f>
        <v>453.31033520000005</v>
      </c>
      <c r="F251" s="152" t="str">
        <f>$E$155</f>
        <v>t CO2e</v>
      </c>
    </row>
    <row r="252" spans="3:41" ht="20.100000000000001" customHeight="1" x14ac:dyDescent="0.25">
      <c r="D252" s="252" t="s">
        <v>838</v>
      </c>
      <c r="E252" s="151">
        <f>SUM(K221:K230)+SUM(K237:K246)</f>
        <v>437.4303352</v>
      </c>
      <c r="F252" s="152" t="str">
        <f>$E$155</f>
        <v>t CO2e</v>
      </c>
    </row>
    <row r="253" spans="3:41" ht="20.100000000000001" customHeight="1" x14ac:dyDescent="0.25"/>
    <row r="254" spans="3:41" ht="20.100000000000001" customHeight="1" x14ac:dyDescent="0.25"/>
    <row r="255" spans="3:41" ht="20.100000000000001" customHeight="1" x14ac:dyDescent="0.25">
      <c r="C255" s="147"/>
      <c r="D255" s="147"/>
      <c r="E255" s="147"/>
      <c r="F255" s="147"/>
      <c r="G255" s="147"/>
      <c r="H255" s="147"/>
      <c r="I255" s="147"/>
      <c r="J255" s="147"/>
      <c r="K255" s="147"/>
      <c r="L255" s="147"/>
      <c r="M255" s="147"/>
      <c r="N255" s="147"/>
      <c r="O255" s="147"/>
      <c r="P255" s="147"/>
      <c r="Q255" s="147"/>
      <c r="R255" s="147"/>
      <c r="S255" s="147"/>
      <c r="T255" s="147"/>
      <c r="U255" s="147"/>
      <c r="V255" s="147"/>
      <c r="W255" s="147"/>
      <c r="X255" s="147"/>
      <c r="Y255" s="147"/>
      <c r="Z255" s="147"/>
      <c r="AA255" s="147"/>
      <c r="AB255" s="147"/>
      <c r="AC255" s="147"/>
      <c r="AD255" s="147"/>
      <c r="AE255" s="147"/>
      <c r="AF255" s="147"/>
      <c r="AG255" s="147"/>
      <c r="AH255" s="147"/>
      <c r="AI255" s="147"/>
      <c r="AJ255" s="147"/>
      <c r="AK255" s="147"/>
      <c r="AL255" s="147"/>
      <c r="AM255" s="147"/>
      <c r="AN255" s="147"/>
      <c r="AO255" s="147"/>
    </row>
    <row r="256" spans="3:41" ht="20.100000000000001" customHeight="1" x14ac:dyDescent="0.25">
      <c r="D256" s="2" t="str" cm="1">
        <f t="array" ref="D256">Scope3_Equations.VEERG_15_5_1_1__1_EmissionsFromPurchasedAgrichemicals_Title()</f>
        <v>Total emissions from purchased agrichemicals</v>
      </c>
    </row>
    <row r="257" spans="4:9" ht="20.100000000000001" customHeight="1" x14ac:dyDescent="0.25">
      <c r="D257" s="27" t="str" cm="1">
        <f t="array" ref="D257">Scope3_Equations.VEERG_15_5_1_1__1_EmissionsFromPurchasedAgrichemicals_Source()</f>
        <v>VEERG 2026: 15.5.1.1, Equation (1)</v>
      </c>
    </row>
    <row r="258" spans="4:9" ht="20.100000000000001" customHeight="1" x14ac:dyDescent="0.25">
      <c r="D258" s="133" t="s">
        <v>267</v>
      </c>
      <c r="E258" s="133"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88" t="s">
        <v>268</v>
      </c>
      <c r="E262" s="1" t="str" cm="1">
        <f t="array" ref="E262">Scope3_Equations.VEERG_15_5_1_1__1_EmissionsFromPurchasedAgrichemicals_Variable()</f>
        <v>E</v>
      </c>
    </row>
    <row r="263" spans="4:9" ht="20.100000000000001" customHeight="1" x14ac:dyDescent="0.25">
      <c r="D263" s="88" t="s">
        <v>121</v>
      </c>
      <c r="E263" s="15" t="str" cm="1">
        <f t="array" ref="E263">Scope3_Equations.VEERG_15_5_1_1__1_EmissionsFromPurchasedAgrichemicals_Unit()</f>
        <v>t CO2e</v>
      </c>
    </row>
    <row r="264" spans="4:9" ht="20.100000000000001" customHeight="1" x14ac:dyDescent="0.25"/>
    <row r="265" spans="4:9" x14ac:dyDescent="0.25">
      <c r="D265" s="155" t="str" cm="1">
        <f t="array" ref="D265:E267">_xlfn.CHOOSECOLS(Scope3_Equations.VEERG_15_5_1_1__1_EmissionsFromPurchasedAgrichemicals_Arguments(),1,2)</f>
        <v>Q_h</v>
      </c>
      <c r="E265" s="163" t="str">
        <v>quantity of active ingredients in agrichemical type h purchased and applied to soils</v>
      </c>
      <c r="F265" s="165"/>
      <c r="G265" s="155" t="str" cm="1">
        <f t="array" ref="G265:H267">_xlfn.CHOOSECOLS(Scope3_Equations.VEERG_15_5_1_1__1_EmissionsFromPurchasedAgrichemicals_Arguments(),3,4)</f>
        <v>kg ai</v>
      </c>
      <c r="H265" s="249" t="str">
        <v>Input</v>
      </c>
    </row>
    <row r="266" spans="4:9" x14ac:dyDescent="0.25">
      <c r="D266" s="155" t="str">
        <v>EF_h</v>
      </c>
      <c r="E266" s="163" t="str">
        <v>emission factor for purchased agrichemical active ingredient</v>
      </c>
      <c r="F266" s="165"/>
      <c r="G266" s="155" t="str">
        <v>kg CO2e/kg ai</v>
      </c>
      <c r="H266" s="138" t="str">
        <v>Constant</v>
      </c>
    </row>
    <row r="267" spans="4:9" x14ac:dyDescent="0.25">
      <c r="D267" s="155" t="str">
        <v>h</v>
      </c>
      <c r="E267" s="163" t="str">
        <v>agrichemical type</v>
      </c>
      <c r="F267" s="165"/>
      <c r="G267" s="155" t="str">
        <v/>
      </c>
      <c r="H267" s="249" t="str">
        <v>Input</v>
      </c>
    </row>
    <row r="269" spans="4:9" ht="17.25" x14ac:dyDescent="0.25">
      <c r="D269" s="92" t="s">
        <v>839</v>
      </c>
      <c r="E269" s="92" t="s">
        <v>210</v>
      </c>
      <c r="F269" s="146" t="s">
        <v>840</v>
      </c>
      <c r="G269" s="146" t="s">
        <v>769</v>
      </c>
      <c r="H269" s="92" t="s">
        <v>841</v>
      </c>
      <c r="I269" s="146" t="s">
        <v>772</v>
      </c>
    </row>
    <row r="270" spans="4:9" x14ac:dyDescent="0.25">
      <c r="D270" s="25" t="str" cm="1">
        <f t="array" ref="D270:D281">Table_SourceData_Scope3_Pesticides[Product]</f>
        <v>2,4-D</v>
      </c>
      <c r="E270" s="25">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25" cm="1">
        <f t="array" ref="F270">Common_InputFunctions.Utility_LookupValueInTableNumber(D270,Table_SourceData_Scope3_Pesticides[Product],Table_SourceData_Scope3_Pesticides[AusLCI Emissions intensity])</f>
        <v>5.2</v>
      </c>
      <c r="G270" s="25" cm="1">
        <f t="array" ref="G270">Scope3_Equations.VEERG_15_5_1_1__1_EmissionsFromPurchasedAgrichemicals($E270,F270)</f>
        <v>0.52</v>
      </c>
      <c r="H270" s="86">
        <v>5</v>
      </c>
      <c r="I270" s="25" cm="1">
        <f t="array" ref="I270">Scope3_Equations.VEERG_15_5_1_1__1_EmissionsFromPurchasedAgrichemicals($E270,IF(H270,H270,F270))</f>
        <v>0.5</v>
      </c>
    </row>
    <row r="271" spans="4:9" x14ac:dyDescent="0.25">
      <c r="D271" s="25" t="str">
        <v>Atrazine</v>
      </c>
      <c r="E271" s="25">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25" cm="1">
        <f t="array" ref="F271">Common_InputFunctions.Utility_LookupValueInTableNumber(D271,Table_SourceData_Scope3_Pesticides[Product],Table_SourceData_Scope3_Pesticides[AusLCI Emissions intensity])</f>
        <v>8.3800000000000008</v>
      </c>
      <c r="G271" s="25" cm="1">
        <f t="array" ref="G271">Scope3_Equations.VEERG_15_5_1_1__1_EmissionsFromPurchasedAgrichemicals($E271,F271)</f>
        <v>0</v>
      </c>
      <c r="H271" s="86">
        <v>8</v>
      </c>
      <c r="I271" s="25" cm="1">
        <f t="array" ref="I271">Scope3_Equations.VEERG_15_5_1_1__1_EmissionsFromPurchasedAgrichemicals($E271,IF(H271,H271,F271))</f>
        <v>0</v>
      </c>
    </row>
    <row r="272" spans="4:9" x14ac:dyDescent="0.25">
      <c r="D272" s="25" t="str">
        <v>Diuron</v>
      </c>
      <c r="E272" s="25">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25" cm="1">
        <f t="array" ref="F272">Common_InputFunctions.Utility_LookupValueInTableNumber(D272,Table_SourceData_Scope3_Pesticides[Product],Table_SourceData_Scope3_Pesticides[AusLCI Emissions intensity])</f>
        <v>8.8000000000000007</v>
      </c>
      <c r="G272" s="25" cm="1">
        <f t="array" ref="G272">Scope3_Equations.VEERG_15_5_1_1__1_EmissionsFromPurchasedAgrichemicals($E272,F272)</f>
        <v>0</v>
      </c>
      <c r="H272" s="86"/>
      <c r="I272" s="25" cm="1">
        <f t="array" ref="I272">Scope3_Equations.VEERG_15_5_1_1__1_EmissionsFromPurchasedAgrichemicals($E272,IF(H272,H272,F272))</f>
        <v>0</v>
      </c>
    </row>
    <row r="273" spans="3:41" x14ac:dyDescent="0.25">
      <c r="D273" s="25" t="str">
        <v>Glyphosate</v>
      </c>
      <c r="E273" s="25">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25" cm="1">
        <f t="array" ref="F273">Common_InputFunctions.Utility_LookupValueInTableNumber(D273,Table_SourceData_Scope3_Pesticides[Product],Table_SourceData_Scope3_Pesticides[AusLCI Emissions intensity])</f>
        <v>10.3</v>
      </c>
      <c r="G273" s="25" cm="1">
        <f t="array" ref="G273">Scope3_Equations.VEERG_15_5_1_1__1_EmissionsFromPurchasedAgrichemicals($E273,F273)</f>
        <v>1.03</v>
      </c>
      <c r="H273" s="86"/>
      <c r="I273" s="25" cm="1">
        <f t="array" ref="I273">Scope3_Equations.VEERG_15_5_1_1__1_EmissionsFromPurchasedAgrichemicals($E273,IF(H273,H273,F273))</f>
        <v>1.03</v>
      </c>
    </row>
    <row r="274" spans="3:41" x14ac:dyDescent="0.25">
      <c r="D274" s="25" t="str">
        <v>Mancozeb</v>
      </c>
      <c r="E274" s="25">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25" cm="1">
        <f t="array" ref="F274">Common_InputFunctions.Utility_LookupValueInTableNumber(D274,Table_SourceData_Scope3_Pesticides[Product],Table_SourceData_Scope3_Pesticides[AusLCI Emissions intensity])</f>
        <v>4.55</v>
      </c>
      <c r="G274" s="25" cm="1">
        <f t="array" ref="G274">Scope3_Equations.VEERG_15_5_1_1__1_EmissionsFromPurchasedAgrichemicals($E274,F274)</f>
        <v>0</v>
      </c>
      <c r="H274" s="86"/>
      <c r="I274" s="25" cm="1">
        <f t="array" ref="I274">Scope3_Equations.VEERG_15_5_1_1__1_EmissionsFromPurchasedAgrichemicals($E274,IF(H274,H274,F274))</f>
        <v>0</v>
      </c>
    </row>
    <row r="275" spans="3:41" x14ac:dyDescent="0.25">
      <c r="D275" s="25" t="str">
        <v>MCPA</v>
      </c>
      <c r="E275" s="25">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25" cm="1">
        <f t="array" ref="F275">Common_InputFunctions.Utility_LookupValueInTableNumber(D275,Table_SourceData_Scope3_Pesticides[Product],Table_SourceData_Scope3_Pesticides[AusLCI Emissions intensity])</f>
        <v>5.6</v>
      </c>
      <c r="G275" s="25" cm="1">
        <f t="array" ref="G275">Scope3_Equations.VEERG_15_5_1_1__1_EmissionsFromPurchasedAgrichemicals($E275,F275)</f>
        <v>0</v>
      </c>
      <c r="H275" s="86"/>
      <c r="I275" s="25" cm="1">
        <f t="array" ref="I275">Scope3_Equations.VEERG_15_5_1_1__1_EmissionsFromPurchasedAgrichemicals($E275,IF(H275,H275,F275))</f>
        <v>0</v>
      </c>
    </row>
    <row r="276" spans="3:41" x14ac:dyDescent="0.25">
      <c r="D276" s="25" t="str">
        <v>Metolachlor</v>
      </c>
      <c r="E276" s="25">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25" cm="1">
        <f t="array" ref="F276">Common_InputFunctions.Utility_LookupValueInTableNumber(D276,Table_SourceData_Scope3_Pesticides[Product],Table_SourceData_Scope3_Pesticides[AusLCI Emissions intensity])</f>
        <v>8.06</v>
      </c>
      <c r="G276" s="25" cm="1">
        <f t="array" ref="G276">Scope3_Equations.VEERG_15_5_1_1__1_EmissionsFromPurchasedAgrichemicals($E276,F276)</f>
        <v>0.80600000000000005</v>
      </c>
      <c r="H276" s="86"/>
      <c r="I276" s="25" cm="1">
        <f t="array" ref="I276">Scope3_Equations.VEERG_15_5_1_1__1_EmissionsFromPurchasedAgrichemicals($E276,IF(H276,H276,F276))</f>
        <v>0.80600000000000005</v>
      </c>
    </row>
    <row r="277" spans="3:41" x14ac:dyDescent="0.25">
      <c r="D277" s="25" t="str">
        <v>Metsulfuron-methyl</v>
      </c>
      <c r="E277" s="25">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25" cm="1">
        <f t="array" ref="F277">Common_InputFunctions.Utility_LookupValueInTableNumber(D277,Table_SourceData_Scope3_Pesticides[Product],Table_SourceData_Scope3_Pesticides[AusLCI Emissions intensity])</f>
        <v>8.8000000000000007</v>
      </c>
      <c r="G277" s="25" cm="1">
        <f t="array" ref="G277">Scope3_Equations.VEERG_15_5_1_1__1_EmissionsFromPurchasedAgrichemicals($E277,F277)</f>
        <v>0</v>
      </c>
      <c r="H277" s="86"/>
      <c r="I277" s="25" cm="1">
        <f t="array" ref="I277">Scope3_Equations.VEERG_15_5_1_1__1_EmissionsFromPurchasedAgrichemicals($E277,IF(H277,H277,F277))</f>
        <v>0</v>
      </c>
    </row>
    <row r="278" spans="3:41" x14ac:dyDescent="0.25">
      <c r="D278" s="25" t="str">
        <v>Pesticides (generic)</v>
      </c>
      <c r="E278" s="25">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25" cm="1">
        <f t="array" ref="F278">Common_InputFunctions.Utility_LookupValueInTableNumber(D278,Table_SourceData_Scope3_Pesticides[Product],Table_SourceData_Scope3_Pesticides[AusLCI Emissions intensity])</f>
        <v>9.16</v>
      </c>
      <c r="G278" s="25" cm="1">
        <f t="array" ref="G278">Scope3_Equations.VEERG_15_5_1_1__1_EmissionsFromPurchasedAgrichemicals($E278,F278)</f>
        <v>3.6640000000000001</v>
      </c>
      <c r="H278" s="86"/>
      <c r="I278" s="25" cm="1">
        <f t="array" ref="I278">Scope3_Equations.VEERG_15_5_1_1__1_EmissionsFromPurchasedAgrichemicals($E278,IF(H278,H278,F278))</f>
        <v>3.6640000000000001</v>
      </c>
    </row>
    <row r="279" spans="3:41" x14ac:dyDescent="0.25">
      <c r="D279" s="25" t="str">
        <v>Tri-allate</v>
      </c>
      <c r="E279" s="25">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25" cm="1">
        <f t="array" ref="F279">Common_InputFunctions.Utility_LookupValueInTableNumber(D279,Table_SourceData_Scope3_Pesticides[Product],Table_SourceData_Scope3_Pesticides[AusLCI Emissions intensity])</f>
        <v>8.57</v>
      </c>
      <c r="G279" s="25" cm="1">
        <f t="array" ref="G279">Scope3_Equations.VEERG_15_5_1_1__1_EmissionsFromPurchasedAgrichemicals($E279,F279)</f>
        <v>0</v>
      </c>
      <c r="H279" s="86"/>
      <c r="I279" s="25" cm="1">
        <f t="array" ref="I279">Scope3_Equations.VEERG_15_5_1_1__1_EmissionsFromPurchasedAgrichemicals($E279,IF(H279,H279,F279))</f>
        <v>0</v>
      </c>
    </row>
    <row r="280" spans="3:41" x14ac:dyDescent="0.25">
      <c r="D280" s="25" t="str">
        <v>Tribenuron methyl</v>
      </c>
      <c r="E280" s="25">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25" cm="1">
        <f t="array" ref="F280">Common_InputFunctions.Utility_LookupValueInTableNumber(D280,Table_SourceData_Scope3_Pesticides[Product],Table_SourceData_Scope3_Pesticides[AusLCI Emissions intensity])</f>
        <v>8.8000000000000007</v>
      </c>
      <c r="G280" s="25" cm="1">
        <f t="array" ref="G280">Scope3_Equations.VEERG_15_5_1_1__1_EmissionsFromPurchasedAgrichemicals($E280,F280)</f>
        <v>0.88000000000000012</v>
      </c>
      <c r="H280" s="86"/>
      <c r="I280" s="25" cm="1">
        <f t="array" ref="I280">Scope3_Equations.VEERG_15_5_1_1__1_EmissionsFromPurchasedAgrichemicals($E280,IF(H280,H280,F280))</f>
        <v>0.88000000000000012</v>
      </c>
    </row>
    <row r="281" spans="3:41" x14ac:dyDescent="0.25">
      <c r="D281" s="25" t="str">
        <v>Trifluralin</v>
      </c>
      <c r="E281" s="25">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25" cm="1">
        <f t="array" ref="F281">Common_InputFunctions.Utility_LookupValueInTableNumber(D281,Table_SourceData_Scope3_Pesticides[Product],Table_SourceData_Scope3_Pesticides[AusLCI Emissions intensity])</f>
        <v>6.16</v>
      </c>
      <c r="G281" s="25" cm="1">
        <f t="array" ref="G281">Scope3_Equations.VEERG_15_5_1_1__1_EmissionsFromPurchasedAgrichemicals($E281,F281)</f>
        <v>0.61599999999999999</v>
      </c>
      <c r="H281" s="86"/>
      <c r="I281" s="25" cm="1">
        <f t="array" ref="I281">Scope3_Equations.VEERG_15_5_1_1__1_EmissionsFromPurchasedAgrichemicals($E281,IF(H281,H281,F281))</f>
        <v>0.61599999999999999</v>
      </c>
    </row>
    <row r="283" spans="3:41" ht="20.25" x14ac:dyDescent="0.25">
      <c r="D283" s="252" t="s">
        <v>769</v>
      </c>
      <c r="E283" s="151">
        <f>SUM(G270:G281)</f>
        <v>7.5159999999999991</v>
      </c>
      <c r="F283" s="152" t="str">
        <f>$E$155</f>
        <v>t CO2e</v>
      </c>
    </row>
    <row r="284" spans="3:41" ht="20.25" x14ac:dyDescent="0.25">
      <c r="D284" s="252" t="s">
        <v>772</v>
      </c>
      <c r="E284" s="151">
        <f>SUM(I270:I281)</f>
        <v>7.4959999999999996</v>
      </c>
      <c r="F284" s="152" t="str">
        <f>$E$155</f>
        <v>t CO2e</v>
      </c>
    </row>
    <row r="287" spans="3:41" x14ac:dyDescent="0.25">
      <c r="C287" s="147"/>
      <c r="D287" s="147"/>
      <c r="E287" s="147"/>
      <c r="F287" s="147"/>
      <c r="G287" s="147"/>
      <c r="H287" s="147"/>
      <c r="I287" s="147"/>
      <c r="J287" s="147"/>
      <c r="K287" s="147"/>
      <c r="L287" s="147"/>
      <c r="M287" s="147"/>
      <c r="N287" s="147"/>
      <c r="O287" s="147"/>
      <c r="P287" s="147"/>
      <c r="Q287" s="147"/>
      <c r="R287" s="147"/>
      <c r="S287" s="147"/>
      <c r="T287" s="147"/>
      <c r="U287" s="147"/>
      <c r="V287" s="147"/>
      <c r="W287" s="147"/>
      <c r="X287" s="147"/>
      <c r="Y287" s="147"/>
      <c r="Z287" s="147"/>
      <c r="AA287" s="147"/>
      <c r="AB287" s="147"/>
      <c r="AC287" s="147"/>
      <c r="AD287" s="147"/>
      <c r="AE287" s="147"/>
      <c r="AF287" s="147"/>
      <c r="AG287" s="147"/>
      <c r="AH287" s="147"/>
      <c r="AI287" s="147"/>
      <c r="AJ287" s="147"/>
      <c r="AK287" s="147"/>
      <c r="AL287" s="147"/>
      <c r="AM287" s="147"/>
      <c r="AN287" s="147"/>
      <c r="AO287" s="147"/>
    </row>
    <row r="288" spans="3:41" ht="23.25" x14ac:dyDescent="0.25">
      <c r="D288" s="2" t="str" cm="1">
        <f t="array" ref="D288">Scope3_Equations.VEERG_15_6_1_1__1_EmissionsFromPurchasedLime_Title()</f>
        <v>Embedded emissions for purchased lime</v>
      </c>
    </row>
    <row r="289" spans="4:13" x14ac:dyDescent="0.25">
      <c r="D289" s="27" t="str" cm="1">
        <f t="array" ref="D289">Scope3_Equations.VEERG_15_6_1_1__1_EmissionsFromPurchasedLime_Source()</f>
        <v>VEERG 2026: 15.6.1.1, Equation (1)</v>
      </c>
    </row>
    <row r="290" spans="4:13" x14ac:dyDescent="0.25">
      <c r="D290" s="133" t="s">
        <v>267</v>
      </c>
      <c r="E290" s="133" t="str" cm="1">
        <f t="array" aca="1" ref="E290" ca="1">Common_InputFunctions.Utility_DisplayFunctionName(I305)</f>
        <v>=Scope3_Equations.VEERG_15_6_1_1__1_EmissionsFromPurchasedLime</v>
      </c>
    </row>
    <row r="293" spans="4:13" x14ac:dyDescent="0.25">
      <c r="D293" s="88" t="s">
        <v>268</v>
      </c>
      <c r="E293" s="1" t="str" cm="1">
        <f t="array" ref="E293">Scope3_Equations.VEERG_15_6_1_1__1_EmissionsFromPurchasedLime_Variable()</f>
        <v>E</v>
      </c>
    </row>
    <row r="294" spans="4:13" x14ac:dyDescent="0.25">
      <c r="D294" s="88" t="s">
        <v>121</v>
      </c>
      <c r="E294" s="1" t="str" cm="1">
        <f t="array" ref="E294">Scope3_Equations.VEERG_15_6_1_1__1_EmissionsFromPurchasedLime_Unit()</f>
        <v>t CO2e</v>
      </c>
    </row>
    <row r="296" spans="4:13" x14ac:dyDescent="0.25">
      <c r="D296" s="155" t="str" cm="1">
        <f t="array" ref="D296:E297">_xlfn.CHOOSECOLS(Scope3_Equations.VEERG_15_6_1_1__1_EmissionsFromPurchasedLime_Arguments(),1,2)</f>
        <v>M_lime</v>
      </c>
      <c r="E296" s="155" t="str">
        <v>total quantity of lime applied to soils</v>
      </c>
      <c r="F296" s="155" t="str" cm="1">
        <f t="array" ref="F296:G297">_xlfn.CHOOSECOLS(Scope3_Equations.VEERG_15_6_1_1__1_EmissionsFromPurchasedLime_Arguments(),3,4)</f>
        <v>t</v>
      </c>
      <c r="G296" s="249" t="str">
        <v>Input</v>
      </c>
    </row>
    <row r="297" spans="4:13" x14ac:dyDescent="0.25">
      <c r="D297" s="155" t="str">
        <v>EF_l</v>
      </c>
      <c r="E297" s="155" t="str">
        <v>emission factor for purchased lime</v>
      </c>
      <c r="F297" s="155" t="str">
        <v>t CO2e/t</v>
      </c>
      <c r="G297" s="138" t="str">
        <v>Constant</v>
      </c>
    </row>
    <row r="299" spans="4:13" x14ac:dyDescent="0.25">
      <c r="E299" s="146" t="s">
        <v>135</v>
      </c>
      <c r="F299" s="92" t="s">
        <v>136</v>
      </c>
    </row>
    <row r="300" spans="4:13" ht="18.75" x14ac:dyDescent="0.25">
      <c r="D300" s="1" t="s">
        <v>842</v>
      </c>
      <c r="E300" s="25" cm="1">
        <f t="array" ref="E300">Common_InputFunctions.Utility_LookupValueInTableNumber("Limestone (crushed)", Table_SourceData_Scope3_SoilAmeliorants[Product],Table_SourceData_Scope3_SoilAmeliorants[AusLCI Emissions intensity])*10^-3</f>
        <v>4.85E-5</v>
      </c>
      <c r="F300" s="86">
        <v>4.0000000000000003E-5</v>
      </c>
      <c r="G300" s="26" t="str">
        <f>$F$297</f>
        <v>t CO2e/t</v>
      </c>
    </row>
    <row r="301" spans="4:13" ht="18.75" x14ac:dyDescent="0.25">
      <c r="D301" s="1" t="s">
        <v>843</v>
      </c>
      <c r="E301" s="25" cm="1">
        <f t="array" ref="E301">Common_InputFunctions.Utility_LookupValueInTableNumber("Dolomite", Table_SourceData_Scope3_SoilAmeliorants[Product],Table_SourceData_Scope3_SoilAmeliorants[AusLCI Emissions intensity])*10^-3</f>
        <v>6.5199999999999999E-5</v>
      </c>
      <c r="F301" s="86">
        <v>6.0000000000000002E-5</v>
      </c>
      <c r="G301" s="26"/>
    </row>
    <row r="302" spans="4:13" ht="18.75" x14ac:dyDescent="0.25">
      <c r="D302" s="1" t="s">
        <v>844</v>
      </c>
      <c r="E302" s="25" cm="1">
        <f t="array" ref="E302">Common_InputFunctions.Utility_LookupValueInTableNumber("Gypsum", Table_SourceData_Scope3_SoilAmeliorants[Product],Table_SourceData_Scope3_SoilAmeliorants[AusLCI Emissions intensity])*10^-3</f>
        <v>6.5199999999999999E-5</v>
      </c>
      <c r="F302" s="86">
        <v>6.0000000000000002E-5</v>
      </c>
      <c r="G302" s="26"/>
    </row>
    <row r="304" spans="4:13" ht="17.25" x14ac:dyDescent="0.25">
      <c r="D304" s="92" t="s">
        <v>687</v>
      </c>
      <c r="E304" s="250" t="s">
        <v>845</v>
      </c>
      <c r="F304" s="92" t="s">
        <v>846</v>
      </c>
      <c r="G304" s="92" t="s">
        <v>847</v>
      </c>
      <c r="H304" s="92" t="s">
        <v>848</v>
      </c>
      <c r="I304" s="146" t="s">
        <v>769</v>
      </c>
      <c r="J304" s="146" t="s">
        <v>849</v>
      </c>
      <c r="K304" s="92" t="s">
        <v>773</v>
      </c>
      <c r="L304" s="92" t="s">
        <v>774</v>
      </c>
      <c r="M304" s="92" t="s">
        <v>775</v>
      </c>
    </row>
    <row r="305" spans="3:41" x14ac:dyDescent="0.25">
      <c r="D305" s="25" t="str" cm="1">
        <f t="array" ref="D305:D314">IFERROR(INDEX(Table_Input_Lime[Product], _xlfn.SEQUENCE(10)), "")</f>
        <v>Lime product 1</v>
      </c>
      <c r="E305" s="25" cm="1">
        <f t="array" ref="E305:E314">IFERROR(INDEX(Table_Input_Lime[Total amount applied (t)], _xlfn.SEQUENCE(10)), 0)</f>
        <v>1000</v>
      </c>
      <c r="F305" s="25" cm="1">
        <f t="array" ref="F305:F314">IFERROR(INDEX(Table_Input_Lime[Percent Lime CaCO3], _xlfn.SEQUENCE(10)), 0)*E305</f>
        <v>800</v>
      </c>
      <c r="G305" s="25" cm="1">
        <f t="array" ref="G305:G314">IFERROR(INDEX(Table_Input_Lime[Percent Dolomite CaMg(CO3)2], _xlfn.SEQUENCE(10)), 0)*E305</f>
        <v>100</v>
      </c>
      <c r="H305" s="25" cm="1">
        <f t="array" ref="H305:H314">IFERROR(INDEX(Table_Input_Lime[Percent Gypsum], _xlfn.SEQUENCE(10)), 0)*E305</f>
        <v>100</v>
      </c>
      <c r="I305" s="251" cm="1">
        <f t="array" ref="I305">Scope3_Equations.VEERG_15_6_1_1__1_EmissionsFromPurchasedLime(F305,$E$300)+
Scope3_Equations.VEERG_15_6_1_1__1_EmissionsFromPurchasedLime(G305,$E$301)+
Scope3_Equations.VEERG_15_6_1_1__1_EmissionsFromPurchasedLime(H305,$E$302)</f>
        <v>5.1839999999999997E-2</v>
      </c>
      <c r="J305" s="251" cm="1">
        <f t="array" ref="J305">Scope3_Equations.VEERG_15_6_1_1__1_EmissionsFromPurchasedLime(F305,IF($F$300,$F$300,$E$300))+
Scope3_Equations.VEERG_15_6_1_1__1_EmissionsFromPurchasedLime(G305,IF($F$301,$F$301,$E$301))+
Scope3_Equations.VEERG_15_6_1_1__1_EmissionsFromPurchasedLime(H305,IF($F$302,$F$302,$E$302))</f>
        <v>4.3999999999999997E-2</v>
      </c>
      <c r="K305" s="44"/>
      <c r="L305" s="23"/>
      <c r="M305" s="44"/>
    </row>
    <row r="306" spans="3:41" x14ac:dyDescent="0.25">
      <c r="D306" s="25" t="str">
        <v>Lime product 2</v>
      </c>
      <c r="E306" s="25">
        <v>1000</v>
      </c>
      <c r="F306" s="25">
        <v>1000</v>
      </c>
      <c r="G306" s="25">
        <v>0</v>
      </c>
      <c r="H306" s="25">
        <v>0</v>
      </c>
      <c r="I306" s="251" cm="1">
        <f t="array" ref="I306">Scope3_Equations.VEERG_15_6_1_1__1_EmissionsFromPurchasedLime(F306,$E$300)+
Scope3_Equations.VEERG_15_6_1_1__1_EmissionsFromPurchasedLime(G306,$E$301)+
Scope3_Equations.VEERG_15_6_1_1__1_EmissionsFromPurchasedLime(H306,$E$302)</f>
        <v>4.8500000000000001E-2</v>
      </c>
      <c r="J306" s="251" cm="1">
        <f t="array" ref="J306">Scope3_Equations.VEERG_15_6_1_1__1_EmissionsFromPurchasedLime(F306,IF($F$300,$F$300,$E$300))+
Scope3_Equations.VEERG_15_6_1_1__1_EmissionsFromPurchasedLime(G306,IF($F$301,$F$301,$E$301))+
Scope3_Equations.VEERG_15_6_1_1__1_EmissionsFromPurchasedLime(H306,IF($F$302,$F$302,$E$302))</f>
        <v>0.04</v>
      </c>
      <c r="K306" s="44"/>
      <c r="L306" s="23"/>
      <c r="M306" s="44"/>
    </row>
    <row r="307" spans="3:41" x14ac:dyDescent="0.25">
      <c r="D307" s="25" t="str">
        <v>Lime product 3</v>
      </c>
      <c r="E307" s="25">
        <v>1000</v>
      </c>
      <c r="F307" s="25">
        <v>0</v>
      </c>
      <c r="G307" s="25">
        <v>0</v>
      </c>
      <c r="H307" s="25">
        <v>1000</v>
      </c>
      <c r="I307" s="251" cm="1">
        <f t="array" ref="I307">Scope3_Equations.VEERG_15_6_1_1__1_EmissionsFromPurchasedLime(F307,$E$300)+
Scope3_Equations.VEERG_15_6_1_1__1_EmissionsFromPurchasedLime(G307,$E$301)+
Scope3_Equations.VEERG_15_6_1_1__1_EmissionsFromPurchasedLime(H307,$E$302)</f>
        <v>6.5199999999999994E-2</v>
      </c>
      <c r="J307" s="251" cm="1">
        <f t="array" ref="J307">Scope3_Equations.VEERG_15_6_1_1__1_EmissionsFromPurchasedLime(F307,IF($F$300,$F$300,$E$300))+
Scope3_Equations.VEERG_15_6_1_1__1_EmissionsFromPurchasedLime(G307,IF($F$301,$F$301,$E$301))+
Scope3_Equations.VEERG_15_6_1_1__1_EmissionsFromPurchasedLime(H307,IF($F$302,$F$302,$E$302))</f>
        <v>6.0000000000000005E-2</v>
      </c>
      <c r="K307" s="44"/>
      <c r="L307" s="23"/>
      <c r="M307" s="44"/>
    </row>
    <row r="308" spans="3:41" x14ac:dyDescent="0.25">
      <c r="D308" s="25" t="str">
        <v/>
      </c>
      <c r="E308" s="25">
        <v>0</v>
      </c>
      <c r="F308" s="25">
        <v>0</v>
      </c>
      <c r="G308" s="25">
        <v>0</v>
      </c>
      <c r="H308" s="25">
        <v>0</v>
      </c>
      <c r="I308" s="251" cm="1">
        <f t="array" ref="I308">Scope3_Equations.VEERG_15_6_1_1__1_EmissionsFromPurchasedLime(F308,$E$300)+
Scope3_Equations.VEERG_15_6_1_1__1_EmissionsFromPurchasedLime(G308,$E$301)+
Scope3_Equations.VEERG_15_6_1_1__1_EmissionsFromPurchasedLime(H308,$E$302)</f>
        <v>0</v>
      </c>
      <c r="J308" s="251" cm="1">
        <f t="array" ref="J308">Scope3_Equations.VEERG_15_6_1_1__1_EmissionsFromPurchasedLime(F308,IF($F$300,$F$300,$E$300))+
Scope3_Equations.VEERG_15_6_1_1__1_EmissionsFromPurchasedLime(G308,IF($F$301,$F$301,$E$301))+
Scope3_Equations.VEERG_15_6_1_1__1_EmissionsFromPurchasedLime(H308,IF($F$302,$F$302,$E$302))</f>
        <v>0</v>
      </c>
      <c r="K308" s="44"/>
      <c r="L308" s="23"/>
      <c r="M308" s="44"/>
    </row>
    <row r="309" spans="3:41" x14ac:dyDescent="0.25">
      <c r="D309" s="25" t="str">
        <v/>
      </c>
      <c r="E309" s="25">
        <v>0</v>
      </c>
      <c r="F309" s="25">
        <v>0</v>
      </c>
      <c r="G309" s="25">
        <v>0</v>
      </c>
      <c r="H309" s="25">
        <v>0</v>
      </c>
      <c r="I309" s="251" cm="1">
        <f t="array" ref="I309">Scope3_Equations.VEERG_15_6_1_1__1_EmissionsFromPurchasedLime(F309,$E$300)+
Scope3_Equations.VEERG_15_6_1_1__1_EmissionsFromPurchasedLime(G309,$E$301)+
Scope3_Equations.VEERG_15_6_1_1__1_EmissionsFromPurchasedLime(H309,$E$302)</f>
        <v>0</v>
      </c>
      <c r="J309" s="251" cm="1">
        <f t="array" ref="J309">Scope3_Equations.VEERG_15_6_1_1__1_EmissionsFromPurchasedLime(F309,IF($F$300,$F$300,$E$300))+
Scope3_Equations.VEERG_15_6_1_1__1_EmissionsFromPurchasedLime(G309,IF($F$301,$F$301,$E$301))+
Scope3_Equations.VEERG_15_6_1_1__1_EmissionsFromPurchasedLime(H309,IF($F$302,$F$302,$E$302))</f>
        <v>0</v>
      </c>
      <c r="K309" s="44"/>
      <c r="L309" s="23"/>
      <c r="M309" s="44"/>
    </row>
    <row r="310" spans="3:41" x14ac:dyDescent="0.25">
      <c r="D310" s="25" t="str">
        <v/>
      </c>
      <c r="E310" s="25">
        <v>0</v>
      </c>
      <c r="F310" s="25">
        <v>0</v>
      </c>
      <c r="G310" s="25">
        <v>0</v>
      </c>
      <c r="H310" s="25">
        <v>0</v>
      </c>
      <c r="I310" s="251" cm="1">
        <f t="array" ref="I310">Scope3_Equations.VEERG_15_6_1_1__1_EmissionsFromPurchasedLime(F310,$E$300)+
Scope3_Equations.VEERG_15_6_1_1__1_EmissionsFromPurchasedLime(G310,$E$301)+
Scope3_Equations.VEERG_15_6_1_1__1_EmissionsFromPurchasedLime(H310,$E$302)</f>
        <v>0</v>
      </c>
      <c r="J310" s="251" cm="1">
        <f t="array" ref="J310">Scope3_Equations.VEERG_15_6_1_1__1_EmissionsFromPurchasedLime(F310,IF($F$300,$F$300,$E$300))+
Scope3_Equations.VEERG_15_6_1_1__1_EmissionsFromPurchasedLime(G310,IF($F$301,$F$301,$E$301))+
Scope3_Equations.VEERG_15_6_1_1__1_EmissionsFromPurchasedLime(H310,IF($F$302,$F$302,$E$302))</f>
        <v>0</v>
      </c>
      <c r="K310" s="44"/>
      <c r="L310" s="23"/>
      <c r="M310" s="44"/>
    </row>
    <row r="311" spans="3:41" x14ac:dyDescent="0.25">
      <c r="D311" s="25" t="str">
        <v/>
      </c>
      <c r="E311" s="25">
        <v>0</v>
      </c>
      <c r="F311" s="25">
        <v>0</v>
      </c>
      <c r="G311" s="25">
        <v>0</v>
      </c>
      <c r="H311" s="25">
        <v>0</v>
      </c>
      <c r="I311" s="251" cm="1">
        <f t="array" ref="I311">Scope3_Equations.VEERG_15_6_1_1__1_EmissionsFromPurchasedLime(F311,$E$300)+
Scope3_Equations.VEERG_15_6_1_1__1_EmissionsFromPurchasedLime(G311,$E$301)+
Scope3_Equations.VEERG_15_6_1_1__1_EmissionsFromPurchasedLime(H311,$E$302)</f>
        <v>0</v>
      </c>
      <c r="J311" s="251" cm="1">
        <f t="array" ref="J311">Scope3_Equations.VEERG_15_6_1_1__1_EmissionsFromPurchasedLime(F311,IF($F$300,$F$300,$E$300))+
Scope3_Equations.VEERG_15_6_1_1__1_EmissionsFromPurchasedLime(G311,IF($F$301,$F$301,$E$301))+
Scope3_Equations.VEERG_15_6_1_1__1_EmissionsFromPurchasedLime(H311,IF($F$302,$F$302,$E$302))</f>
        <v>0</v>
      </c>
      <c r="K311" s="44"/>
      <c r="L311" s="23"/>
      <c r="M311" s="44"/>
    </row>
    <row r="312" spans="3:41" x14ac:dyDescent="0.25">
      <c r="D312" s="25" t="str">
        <v/>
      </c>
      <c r="E312" s="25">
        <v>0</v>
      </c>
      <c r="F312" s="25">
        <v>0</v>
      </c>
      <c r="G312" s="25">
        <v>0</v>
      </c>
      <c r="H312" s="25">
        <v>0</v>
      </c>
      <c r="I312" s="251" cm="1">
        <f t="array" ref="I312">Scope3_Equations.VEERG_15_6_1_1__1_EmissionsFromPurchasedLime(F312,$E$300)+
Scope3_Equations.VEERG_15_6_1_1__1_EmissionsFromPurchasedLime(G312,$E$301)+
Scope3_Equations.VEERG_15_6_1_1__1_EmissionsFromPurchasedLime(H312,$E$302)</f>
        <v>0</v>
      </c>
      <c r="J312" s="251" cm="1">
        <f t="array" ref="J312">Scope3_Equations.VEERG_15_6_1_1__1_EmissionsFromPurchasedLime(F312,IF($F$300,$F$300,$E$300))+
Scope3_Equations.VEERG_15_6_1_1__1_EmissionsFromPurchasedLime(G312,IF($F$301,$F$301,$E$301))+
Scope3_Equations.VEERG_15_6_1_1__1_EmissionsFromPurchasedLime(H312,IF($F$302,$F$302,$E$302))</f>
        <v>0</v>
      </c>
      <c r="K312" s="44"/>
      <c r="L312" s="23"/>
      <c r="M312" s="44"/>
    </row>
    <row r="313" spans="3:41" x14ac:dyDescent="0.25">
      <c r="D313" s="25" t="str">
        <v/>
      </c>
      <c r="E313" s="25">
        <v>0</v>
      </c>
      <c r="F313" s="25">
        <v>0</v>
      </c>
      <c r="G313" s="25">
        <v>0</v>
      </c>
      <c r="H313" s="25">
        <v>0</v>
      </c>
      <c r="I313" s="251" cm="1">
        <f t="array" ref="I313">Scope3_Equations.VEERG_15_6_1_1__1_EmissionsFromPurchasedLime(F313,$E$300)+
Scope3_Equations.VEERG_15_6_1_1__1_EmissionsFromPurchasedLime(G313,$E$301)+
Scope3_Equations.VEERG_15_6_1_1__1_EmissionsFromPurchasedLime(H313,$E$302)</f>
        <v>0</v>
      </c>
      <c r="J313" s="251" cm="1">
        <f t="array" ref="J313">Scope3_Equations.VEERG_15_6_1_1__1_EmissionsFromPurchasedLime(F313,IF($F$300,$F$300,$E$300))+
Scope3_Equations.VEERG_15_6_1_1__1_EmissionsFromPurchasedLime(G313,IF($F$301,$F$301,$E$301))+
Scope3_Equations.VEERG_15_6_1_1__1_EmissionsFromPurchasedLime(H313,IF($F$302,$F$302,$E$302))</f>
        <v>0</v>
      </c>
      <c r="K313" s="44"/>
      <c r="L313" s="23"/>
      <c r="M313" s="44"/>
    </row>
    <row r="314" spans="3:41" x14ac:dyDescent="0.25">
      <c r="D314" s="25" t="str">
        <v/>
      </c>
      <c r="E314" s="25">
        <v>0</v>
      </c>
      <c r="F314" s="25">
        <v>0</v>
      </c>
      <c r="G314" s="25">
        <v>0</v>
      </c>
      <c r="H314" s="25">
        <v>0</v>
      </c>
      <c r="I314" s="251" cm="1">
        <f t="array" ref="I314">Scope3_Equations.VEERG_15_6_1_1__1_EmissionsFromPurchasedLime(F314,$E$300)+
Scope3_Equations.VEERG_15_6_1_1__1_EmissionsFromPurchasedLime(G314,$E$301)+
Scope3_Equations.VEERG_15_6_1_1__1_EmissionsFromPurchasedLime(H314,$E$302)</f>
        <v>0</v>
      </c>
      <c r="J314" s="251" cm="1">
        <f t="array" ref="J314">Scope3_Equations.VEERG_15_6_1_1__1_EmissionsFromPurchasedLime(F314,IF($F$300,$F$300,$E$300))+
Scope3_Equations.VEERG_15_6_1_1__1_EmissionsFromPurchasedLime(G314,IF($F$301,$F$301,$E$301))+
Scope3_Equations.VEERG_15_6_1_1__1_EmissionsFromPurchasedLime(H314,IF($F$302,$F$302,$E$302))</f>
        <v>0</v>
      </c>
      <c r="K314" s="44"/>
      <c r="L314" s="23"/>
      <c r="M314" s="44"/>
    </row>
    <row r="316" spans="3:41" ht="20.25" x14ac:dyDescent="0.25">
      <c r="D316" s="252" t="s">
        <v>769</v>
      </c>
      <c r="E316" s="151">
        <f>SUM(I305:I314)</f>
        <v>0.16553999999999999</v>
      </c>
      <c r="F316" s="152" t="str">
        <f>$E$155</f>
        <v>t CO2e</v>
      </c>
    </row>
    <row r="317" spans="3:41" ht="20.25" x14ac:dyDescent="0.25">
      <c r="D317" s="252" t="s">
        <v>772</v>
      </c>
      <c r="E317" s="151">
        <f>SUM(J305:J314)</f>
        <v>0.14399999999999999</v>
      </c>
      <c r="F317" s="152" t="str">
        <f>$E$155</f>
        <v>t CO2e</v>
      </c>
    </row>
    <row r="320" spans="3:41" x14ac:dyDescent="0.25">
      <c r="C320" s="147"/>
      <c r="D320" s="147"/>
      <c r="E320" s="147"/>
      <c r="F320" s="147"/>
      <c r="G320" s="147"/>
      <c r="H320" s="147"/>
      <c r="I320" s="147"/>
      <c r="J320" s="147"/>
      <c r="K320" s="147"/>
      <c r="L320" s="147"/>
      <c r="M320" s="147"/>
      <c r="N320" s="147"/>
      <c r="O320" s="147"/>
      <c r="P320" s="147"/>
      <c r="Q320" s="147"/>
      <c r="R320" s="147"/>
      <c r="S320" s="147"/>
      <c r="T320" s="147"/>
      <c r="U320" s="147"/>
      <c r="V320" s="147"/>
      <c r="W320" s="147"/>
      <c r="X320" s="147"/>
      <c r="Y320" s="147"/>
      <c r="Z320" s="147"/>
      <c r="AA320" s="147"/>
      <c r="AB320" s="147"/>
      <c r="AC320" s="147"/>
      <c r="AD320" s="147"/>
      <c r="AE320" s="147"/>
      <c r="AF320" s="147"/>
      <c r="AG320" s="147"/>
      <c r="AH320" s="147"/>
      <c r="AI320" s="147"/>
      <c r="AJ320" s="147"/>
      <c r="AK320" s="147"/>
      <c r="AL320" s="147"/>
      <c r="AM320" s="147"/>
      <c r="AN320" s="147"/>
      <c r="AO320" s="147"/>
    </row>
    <row r="321" spans="4:15" ht="23.25" x14ac:dyDescent="0.25">
      <c r="D321" s="2" t="str" cm="1">
        <f t="array" ref="D321">Scope3_Equations.VEERG_15_7_1_1__1_EmissionsFromPurchasedServices_Title()</f>
        <v>Emissions of purchased services and contractor operations</v>
      </c>
    </row>
    <row r="322" spans="4:15" x14ac:dyDescent="0.25">
      <c r="D322" s="27" t="str" cm="1">
        <f t="array" ref="D322">Scope3_Equations.VEERG_15_7_1_1__1_EmissionsFromPurchasedServices_Source()</f>
        <v>VEERG 2026: 15.7.1.1, Equation (1)</v>
      </c>
    </row>
    <row r="323" spans="4:15" x14ac:dyDescent="0.25">
      <c r="D323" s="133" t="s">
        <v>267</v>
      </c>
      <c r="E323" s="133" t="str" cm="1">
        <f t="array" aca="1" ref="E323" ca="1">Common_InputFunctions.Utility_DisplayFunctionName(K336)</f>
        <v>=Scope3_Equations.VEERG_15_7_1_1__1_EmissionsFromPurchasedServices</v>
      </c>
    </row>
    <row r="325" spans="4:15" x14ac:dyDescent="0.25">
      <c r="H325" s="1" t="s">
        <v>850</v>
      </c>
    </row>
    <row r="326" spans="4:15" x14ac:dyDescent="0.25">
      <c r="D326" s="88" t="s">
        <v>268</v>
      </c>
      <c r="E326" s="1" t="str" cm="1">
        <f t="array" ref="E326">Scope3_Equations.VEERG_15_7_1_1__1_EmissionsFromPurchasedServices_Variable()</f>
        <v>E</v>
      </c>
    </row>
    <row r="327" spans="4:15" x14ac:dyDescent="0.25">
      <c r="D327" s="88" t="s">
        <v>121</v>
      </c>
      <c r="E327" s="1" t="str" cm="1">
        <f t="array" ref="E327">Scope3_Equations.VEERG_15_7_1_1__1_EmissionsFromPurchasedServices_Unit()</f>
        <v>t CO2e</v>
      </c>
    </row>
    <row r="329" spans="4:15" x14ac:dyDescent="0.25">
      <c r="D329" s="155" t="str" cm="1">
        <f t="array" ref="D329:E331">_xlfn.CHOOSECOLS(Scope3_Equations.VEERG_15_7_1_1__1_EmissionsFromPurchasedServices_Arguments(),1,2)</f>
        <v>A_p</v>
      </c>
      <c r="E329" s="163" t="str">
        <v>activity data of the service that was purchased</v>
      </c>
      <c r="F329" s="165"/>
      <c r="G329" s="155" t="str" cm="1">
        <f t="array" ref="G329:H331">_xlfn.CHOOSECOLS(Scope3_Equations.VEERG_15_7_1_1__1_EmissionsFromPurchasedServices_Arguments(),3,4)</f>
        <v>ha or h</v>
      </c>
      <c r="H329" s="249" t="str">
        <v>Input</v>
      </c>
    </row>
    <row r="330" spans="4:15" x14ac:dyDescent="0.25">
      <c r="D330" s="155" t="str">
        <v>EF_p</v>
      </c>
      <c r="E330" s="163" t="str">
        <v>life cycle emission factor for the purchased service</v>
      </c>
      <c r="F330" s="165"/>
      <c r="G330" s="155" t="str">
        <v>kg CO2e/ha or kg CO2e/h</v>
      </c>
      <c r="H330" s="138" t="str">
        <v>Constant</v>
      </c>
    </row>
    <row r="331" spans="4:15" x14ac:dyDescent="0.25">
      <c r="D331" s="155" t="str">
        <v>p</v>
      </c>
      <c r="E331" s="163" t="str">
        <v>service type</v>
      </c>
      <c r="F331" s="165"/>
      <c r="G331" s="155" t="str">
        <v/>
      </c>
      <c r="H331" s="249" t="str">
        <v>Input</v>
      </c>
    </row>
    <row r="333" spans="4:15" x14ac:dyDescent="0.25">
      <c r="D333" s="36" t="s">
        <v>851</v>
      </c>
    </row>
    <row r="335" spans="4:15" x14ac:dyDescent="0.25">
      <c r="D335" s="92" t="s">
        <v>697</v>
      </c>
      <c r="E335" s="92" t="s">
        <v>698</v>
      </c>
      <c r="F335" s="92" t="s">
        <v>699</v>
      </c>
      <c r="G335" s="92" t="s">
        <v>453</v>
      </c>
      <c r="H335" s="146" t="s">
        <v>852</v>
      </c>
      <c r="I335" s="146" t="s">
        <v>853</v>
      </c>
      <c r="J335" s="92" t="s">
        <v>854</v>
      </c>
      <c r="K335" s="146" t="s">
        <v>855</v>
      </c>
      <c r="L335" s="146" t="s">
        <v>856</v>
      </c>
      <c r="M335" s="92" t="s">
        <v>773</v>
      </c>
      <c r="N335" s="92" t="s">
        <v>774</v>
      </c>
      <c r="O335" s="92" t="s">
        <v>775</v>
      </c>
    </row>
    <row r="336" spans="4:15" x14ac:dyDescent="0.25">
      <c r="D336" s="25" t="str" cm="1">
        <f t="array" ref="D336:D345">IFERROR(INDEX(Table_Input_ServicesAndContractors[Service provider / contractor], _xlfn.SEQUENCE(10)), "")</f>
        <v>Pete's Pickers</v>
      </c>
      <c r="E336" s="25" t="str" cm="1">
        <f t="array" ref="E336:E345">IFERROR(INDEX(Table_Input_ServicesAndContractors[Activity], _xlfn.SEQUENCE(10)), "")</f>
        <v>Fruit picking</v>
      </c>
      <c r="F336" s="25" cm="1">
        <f t="array" ref="F336:F345">IFERROR(INDEX(Table_Input_ServicesAndContractors[Total amount], _xlfn.SEQUENCE(10)), "")</f>
        <v>10000</v>
      </c>
      <c r="G336" s="25" t="str" cm="1">
        <f t="array" ref="G336:G345">IFERROR(INDEX(Table_Input_ServicesAndContractors[Amount unit], _xlfn.SEQUENCE(10)), "")</f>
        <v>Hour</v>
      </c>
      <c r="H336" s="25" t="s">
        <v>857</v>
      </c>
      <c r="I336" s="25" t="s">
        <v>857</v>
      </c>
      <c r="J336" s="86">
        <v>4</v>
      </c>
      <c r="K336" s="251" cm="1">
        <f t="array" ref="K336">Scope3_Equations.VEERG_15_7_1_1__1_EmissionsFromPurchasedServices(F336,J336)</f>
        <v>40</v>
      </c>
      <c r="L336" s="25" t="str">
        <f>"t CO2e / " &amp; G336</f>
        <v>t CO2e / Hour</v>
      </c>
      <c r="M336" s="44"/>
      <c r="N336" s="23"/>
      <c r="O336" s="44"/>
    </row>
    <row r="337" spans="3:41" x14ac:dyDescent="0.25">
      <c r="D337" s="25" t="str">
        <v>Harini's Harvesting Services Pty Ltd</v>
      </c>
      <c r="E337" s="25" t="str">
        <v>Wheat harvesting</v>
      </c>
      <c r="F337" s="25">
        <v>1000</v>
      </c>
      <c r="G337" s="25" t="str">
        <v>Hectare</v>
      </c>
      <c r="H337" s="25" t="s">
        <v>857</v>
      </c>
      <c r="I337" s="25" t="s">
        <v>857</v>
      </c>
      <c r="J337" s="86">
        <v>2</v>
      </c>
      <c r="K337" s="251" cm="1">
        <f t="array" ref="K337">Scope3_Equations.VEERG_15_7_1_1__1_EmissionsFromPurchasedServices(F337,J337)</f>
        <v>2</v>
      </c>
      <c r="L337" s="25" t="str">
        <f t="shared" ref="L337:L345" si="1">"t CO2e / " &amp; G337</f>
        <v>t CO2e / Hectare</v>
      </c>
      <c r="M337" s="44"/>
      <c r="N337" s="23"/>
      <c r="O337" s="44"/>
    </row>
    <row r="338" spans="3:41" x14ac:dyDescent="0.25">
      <c r="D338" s="25">
        <v>0</v>
      </c>
      <c r="E338" s="25">
        <v>0</v>
      </c>
      <c r="F338" s="25">
        <v>0</v>
      </c>
      <c r="G338" s="25">
        <v>0</v>
      </c>
      <c r="H338" s="25" t="s">
        <v>857</v>
      </c>
      <c r="I338" s="25" t="s">
        <v>857</v>
      </c>
      <c r="J338" s="86"/>
      <c r="K338" s="251" cm="1">
        <f t="array" ref="K338">Scope3_Equations.VEERG_15_7_1_1__1_EmissionsFromPurchasedServices(F338,J338)</f>
        <v>0</v>
      </c>
      <c r="L338" s="25" t="str">
        <f t="shared" si="1"/>
        <v>t CO2e / 0</v>
      </c>
      <c r="M338" s="44"/>
      <c r="N338" s="23"/>
      <c r="O338" s="44"/>
    </row>
    <row r="339" spans="3:41" x14ac:dyDescent="0.25">
      <c r="D339" s="25">
        <v>0</v>
      </c>
      <c r="E339" s="25">
        <v>0</v>
      </c>
      <c r="F339" s="25">
        <v>0</v>
      </c>
      <c r="G339" s="25">
        <v>0</v>
      </c>
      <c r="H339" s="25" t="s">
        <v>857</v>
      </c>
      <c r="I339" s="25" t="s">
        <v>857</v>
      </c>
      <c r="J339" s="86"/>
      <c r="K339" s="251" cm="1">
        <f t="array" ref="K339">Scope3_Equations.VEERG_15_7_1_1__1_EmissionsFromPurchasedServices(F339,J339)</f>
        <v>0</v>
      </c>
      <c r="L339" s="25" t="str">
        <f t="shared" si="1"/>
        <v>t CO2e / 0</v>
      </c>
      <c r="M339" s="44"/>
      <c r="N339" s="23"/>
      <c r="O339" s="44"/>
    </row>
    <row r="340" spans="3:41" x14ac:dyDescent="0.25">
      <c r="D340" s="25">
        <v>0</v>
      </c>
      <c r="E340" s="25">
        <v>0</v>
      </c>
      <c r="F340" s="25">
        <v>0</v>
      </c>
      <c r="G340" s="25">
        <v>0</v>
      </c>
      <c r="H340" s="25" t="s">
        <v>857</v>
      </c>
      <c r="I340" s="25" t="s">
        <v>857</v>
      </c>
      <c r="J340" s="86"/>
      <c r="K340" s="251" cm="1">
        <f t="array" ref="K340">Scope3_Equations.VEERG_15_7_1_1__1_EmissionsFromPurchasedServices(F340,J340)</f>
        <v>0</v>
      </c>
      <c r="L340" s="25" t="str">
        <f t="shared" si="1"/>
        <v>t CO2e / 0</v>
      </c>
      <c r="M340" s="44"/>
      <c r="N340" s="23"/>
      <c r="O340" s="44"/>
    </row>
    <row r="341" spans="3:41" x14ac:dyDescent="0.25">
      <c r="D341" s="25">
        <v>0</v>
      </c>
      <c r="E341" s="25">
        <v>0</v>
      </c>
      <c r="F341" s="25">
        <v>0</v>
      </c>
      <c r="G341" s="25">
        <v>0</v>
      </c>
      <c r="H341" s="25" t="s">
        <v>857</v>
      </c>
      <c r="I341" s="25" t="s">
        <v>857</v>
      </c>
      <c r="J341" s="86"/>
      <c r="K341" s="251" cm="1">
        <f t="array" ref="K341">Scope3_Equations.VEERG_15_7_1_1__1_EmissionsFromPurchasedServices(F341,J341)</f>
        <v>0</v>
      </c>
      <c r="L341" s="25" t="str">
        <f t="shared" si="1"/>
        <v>t CO2e / 0</v>
      </c>
      <c r="M341" s="44"/>
      <c r="N341" s="23"/>
      <c r="O341" s="44"/>
    </row>
    <row r="342" spans="3:41" x14ac:dyDescent="0.25">
      <c r="D342" s="25">
        <v>0</v>
      </c>
      <c r="E342" s="25">
        <v>0</v>
      </c>
      <c r="F342" s="25">
        <v>0</v>
      </c>
      <c r="G342" s="25">
        <v>0</v>
      </c>
      <c r="H342" s="25" t="s">
        <v>857</v>
      </c>
      <c r="I342" s="25" t="s">
        <v>857</v>
      </c>
      <c r="J342" s="86"/>
      <c r="K342" s="251" cm="1">
        <f t="array" ref="K342">Scope3_Equations.VEERG_15_7_1_1__1_EmissionsFromPurchasedServices(F342,J342)</f>
        <v>0</v>
      </c>
      <c r="L342" s="25" t="str">
        <f t="shared" si="1"/>
        <v>t CO2e / 0</v>
      </c>
      <c r="M342" s="44"/>
      <c r="N342" s="23"/>
      <c r="O342" s="44"/>
    </row>
    <row r="343" spans="3:41" x14ac:dyDescent="0.25">
      <c r="D343" s="25">
        <v>0</v>
      </c>
      <c r="E343" s="25">
        <v>0</v>
      </c>
      <c r="F343" s="25">
        <v>0</v>
      </c>
      <c r="G343" s="25">
        <v>0</v>
      </c>
      <c r="H343" s="25" t="s">
        <v>857</v>
      </c>
      <c r="I343" s="25" t="s">
        <v>857</v>
      </c>
      <c r="J343" s="86"/>
      <c r="K343" s="251" cm="1">
        <f t="array" ref="K343">Scope3_Equations.VEERG_15_7_1_1__1_EmissionsFromPurchasedServices(F343,J343)</f>
        <v>0</v>
      </c>
      <c r="L343" s="25" t="str">
        <f t="shared" si="1"/>
        <v>t CO2e / 0</v>
      </c>
      <c r="M343" s="44"/>
      <c r="N343" s="23"/>
      <c r="O343" s="44"/>
    </row>
    <row r="344" spans="3:41" x14ac:dyDescent="0.25">
      <c r="D344" s="25">
        <v>0</v>
      </c>
      <c r="E344" s="25">
        <v>0</v>
      </c>
      <c r="F344" s="25">
        <v>0</v>
      </c>
      <c r="G344" s="25">
        <v>0</v>
      </c>
      <c r="H344" s="25" t="s">
        <v>857</v>
      </c>
      <c r="I344" s="25" t="s">
        <v>857</v>
      </c>
      <c r="J344" s="86"/>
      <c r="K344" s="251" cm="1">
        <f t="array" ref="K344">Scope3_Equations.VEERG_15_7_1_1__1_EmissionsFromPurchasedServices(F344,J344)</f>
        <v>0</v>
      </c>
      <c r="L344" s="25" t="str">
        <f t="shared" si="1"/>
        <v>t CO2e / 0</v>
      </c>
      <c r="M344" s="44"/>
      <c r="N344" s="23"/>
      <c r="O344" s="44"/>
    </row>
    <row r="345" spans="3:41" x14ac:dyDescent="0.25">
      <c r="D345" s="25">
        <v>0</v>
      </c>
      <c r="E345" s="25">
        <v>0</v>
      </c>
      <c r="F345" s="25">
        <v>0</v>
      </c>
      <c r="G345" s="25">
        <v>0</v>
      </c>
      <c r="H345" s="25" t="s">
        <v>857</v>
      </c>
      <c r="I345" s="25" t="s">
        <v>857</v>
      </c>
      <c r="J345" s="86"/>
      <c r="K345" s="251" cm="1">
        <f t="array" ref="K345">Scope3_Equations.VEERG_15_7_1_1__1_EmissionsFromPurchasedServices(F345,J345)</f>
        <v>0</v>
      </c>
      <c r="L345" s="25" t="str">
        <f t="shared" si="1"/>
        <v>t CO2e / 0</v>
      </c>
      <c r="M345" s="44"/>
      <c r="N345" s="23"/>
      <c r="O345" s="44"/>
    </row>
    <row r="347" spans="3:41" ht="20.25" x14ac:dyDescent="0.25">
      <c r="D347" s="252" t="s">
        <v>769</v>
      </c>
      <c r="E347" s="151" t="s">
        <v>857</v>
      </c>
      <c r="F347" s="152" t="str">
        <f>$E$155</f>
        <v>t CO2e</v>
      </c>
    </row>
    <row r="348" spans="3:41" ht="20.25" x14ac:dyDescent="0.25">
      <c r="D348" s="252" t="s">
        <v>772</v>
      </c>
      <c r="E348" s="151">
        <f>SUM(K336:K345)</f>
        <v>42</v>
      </c>
      <c r="F348" s="152" t="str">
        <f>$E$155</f>
        <v>t CO2e</v>
      </c>
    </row>
    <row r="351" spans="3:41" x14ac:dyDescent="0.25">
      <c r="C351" s="147"/>
      <c r="D351" s="147"/>
      <c r="E351" s="147"/>
      <c r="F351" s="147"/>
      <c r="G351" s="147"/>
      <c r="H351" s="147"/>
      <c r="I351" s="147"/>
      <c r="J351" s="147"/>
      <c r="K351" s="147"/>
      <c r="L351" s="147"/>
      <c r="M351" s="147"/>
      <c r="N351" s="147"/>
      <c r="O351" s="147"/>
      <c r="P351" s="147"/>
      <c r="Q351" s="147"/>
      <c r="R351" s="147"/>
      <c r="S351" s="147"/>
      <c r="T351" s="147"/>
      <c r="U351" s="147"/>
      <c r="V351" s="147"/>
      <c r="W351" s="147"/>
      <c r="X351" s="147"/>
      <c r="Y351" s="147"/>
      <c r="Z351" s="147"/>
      <c r="AA351" s="147"/>
      <c r="AB351" s="147"/>
      <c r="AC351" s="147"/>
      <c r="AD351" s="147"/>
      <c r="AE351" s="147"/>
      <c r="AF351" s="147"/>
      <c r="AG351" s="147"/>
      <c r="AH351" s="147"/>
      <c r="AI351" s="147"/>
      <c r="AJ351" s="147"/>
      <c r="AK351" s="147"/>
      <c r="AL351" s="147"/>
      <c r="AM351" s="147"/>
      <c r="AN351" s="147"/>
      <c r="AO351" s="147"/>
    </row>
    <row r="352" spans="3:41" ht="23.25" x14ac:dyDescent="0.25">
      <c r="D352" s="2" t="str" cm="1">
        <f t="array" ref="D352">Scope3_Equations.VEERG_15_8_1_1__1_EmissionsFromPurchasedPackaging_Title()</f>
        <v>Embedded emissions from use of packaging materials</v>
      </c>
    </row>
    <row r="353" spans="4:13" x14ac:dyDescent="0.25">
      <c r="D353" s="27" t="str" cm="1">
        <f t="array" ref="D353">Scope3_Equations.VEERG_15_8_1_1__1_EmissionsFromPurchasedPackaging_Source()</f>
        <v>VEERG 2026: 15.8.1.1, Equation (1)</v>
      </c>
    </row>
    <row r="354" spans="4:13" x14ac:dyDescent="0.25">
      <c r="D354" s="36" t="str" cm="1">
        <f t="array" ref="D354">Scope3_Equations.VEERG_15_8_1_1__1_EmissionsFromPurchasedPackaging_Variation()</f>
        <v>VARIATION ON SOURCE: Changed unit of Q from 'units' to 'kg' as EF data is in kg.</v>
      </c>
    </row>
    <row r="355" spans="4:13" x14ac:dyDescent="0.25">
      <c r="D355" s="133" t="s">
        <v>267</v>
      </c>
      <c r="E355" s="133" t="str" cm="1">
        <f t="array" aca="1" ref="E355" ca="1">Common_InputFunctions.Utility_DisplayFunctionName(H367)</f>
        <v>=Scope3_Equations.VEERG_15_8_1_1__1_EmissionsFromPurchasedPackaging</v>
      </c>
    </row>
    <row r="359" spans="4:13" x14ac:dyDescent="0.25">
      <c r="D359" s="88" t="s">
        <v>268</v>
      </c>
      <c r="E359" s="1" t="str" cm="1">
        <f t="array" ref="E359">Scope3_Equations.VEERG_15_8_1_1__1_EmissionsFromPurchasedPackaging_Variable()</f>
        <v>E</v>
      </c>
    </row>
    <row r="360" spans="4:13" x14ac:dyDescent="0.25">
      <c r="D360" s="88" t="s">
        <v>121</v>
      </c>
      <c r="E360" s="15" t="str" cm="1">
        <f t="array" ref="E360">Scope3_Equations.VEERG_15_8_1_1__1_EmissionsFromPurchasedPackaging_Unit()</f>
        <v>t CO2e</v>
      </c>
    </row>
    <row r="362" spans="4:13" x14ac:dyDescent="0.25">
      <c r="D362" s="155" t="str" cm="1">
        <f t="array" ref="D362:E364">_xlfn.CHOOSECOLS(Scope3_Equations.VEERG_15_8_1_1__1_EmissionsFromPurchasedPackaging_Arguments(),1,2)</f>
        <v>Q_p</v>
      </c>
      <c r="E362" s="155" t="str">
        <v>units of packaging type p</v>
      </c>
      <c r="F362" s="155" t="str" cm="1">
        <f t="array" ref="F362:G364">_xlfn.CHOOSECOLS(Scope3_Equations.VEERG_15_8_1_1__1_EmissionsFromPurchasedPackaging_Arguments(),3,4)</f>
        <v>units</v>
      </c>
      <c r="G362" s="249" t="str">
        <v>Input</v>
      </c>
    </row>
    <row r="363" spans="4:13" x14ac:dyDescent="0.25">
      <c r="D363" s="155" t="str">
        <v>EF_p</v>
      </c>
      <c r="E363" s="155" t="str">
        <v>emission factor for packaging type p</v>
      </c>
      <c r="F363" s="155" t="str">
        <v>kg CO2e/unit</v>
      </c>
      <c r="G363" s="138" t="str">
        <v>Constant</v>
      </c>
    </row>
    <row r="364" spans="4:13" x14ac:dyDescent="0.25">
      <c r="D364" s="155" t="str">
        <v>p</v>
      </c>
      <c r="E364" s="155" t="str">
        <v>packaging type</v>
      </c>
      <c r="F364" s="155" t="str">
        <v/>
      </c>
      <c r="G364" s="249" t="str">
        <v>Input</v>
      </c>
    </row>
    <row r="366" spans="4:13" ht="17.25" x14ac:dyDescent="0.25">
      <c r="D366" s="92" t="s">
        <v>763</v>
      </c>
      <c r="E366" s="250" t="s">
        <v>858</v>
      </c>
      <c r="F366" s="250" t="s">
        <v>859</v>
      </c>
      <c r="G366" s="146" t="s">
        <v>860</v>
      </c>
      <c r="H366" s="146" t="s">
        <v>769</v>
      </c>
      <c r="I366" s="92" t="s">
        <v>861</v>
      </c>
      <c r="J366" s="146" t="s">
        <v>772</v>
      </c>
      <c r="K366" s="92" t="s">
        <v>773</v>
      </c>
      <c r="L366" s="92" t="s">
        <v>774</v>
      </c>
      <c r="M366" s="92" t="s">
        <v>775</v>
      </c>
    </row>
    <row r="367" spans="4:13" x14ac:dyDescent="0.25">
      <c r="D367" s="25"/>
      <c r="E367" s="25"/>
      <c r="F367" s="25"/>
      <c r="G367" s="25" cm="1">
        <f t="array" ref="G367">Common_InputFunctions.Utility_LookupValueInTableNumber(E367,Table_SourceData_Scope3_Packaging[Product],Table_SourceData_Scope3_Packaging[AusLCI Emissions intensity])</f>
        <v>0</v>
      </c>
      <c r="H367" s="251" cm="1">
        <f t="array" ref="H367">Scope3_Equations.VEERG_15_8_1_1__1_EmissionsFromPurchasedPackaging(F367,G367)</f>
        <v>0</v>
      </c>
      <c r="I367" s="86">
        <v>3</v>
      </c>
      <c r="J367" s="251" cm="1">
        <f t="array" ref="J367">Scope3_Equations.VEERG_15_8_1_1__1_EmissionsFromPurchasedPackaging(F367,IF(I367,I367,G367))</f>
        <v>0</v>
      </c>
      <c r="K367" s="44"/>
      <c r="L367" s="23"/>
      <c r="M367" s="44"/>
    </row>
    <row r="368" spans="4:13" x14ac:dyDescent="0.25">
      <c r="D368" s="25"/>
      <c r="E368" s="25"/>
      <c r="F368" s="25"/>
      <c r="G368" s="25" cm="1">
        <f t="array" ref="G368">Common_InputFunctions.Utility_LookupValueInTableNumber(E368,Table_SourceData_Scope3_Packaging[Product],Table_SourceData_Scope3_Packaging[AusLCI Emissions intensity])</f>
        <v>0</v>
      </c>
      <c r="H368" s="251" cm="1">
        <f t="array" ref="H368">Scope3_Equations.VEERG_15_8_1_1__1_EmissionsFromPurchasedPackaging(F368,G368)</f>
        <v>0</v>
      </c>
      <c r="I368" s="86"/>
      <c r="J368" s="251" cm="1">
        <f t="array" ref="J368">Scope3_Equations.VEERG_15_8_1_1__1_EmissionsFromPurchasedPackaging(F368,IF(I368,I368,G368))</f>
        <v>0</v>
      </c>
      <c r="K368" s="44"/>
      <c r="L368" s="23"/>
      <c r="M368" s="44"/>
    </row>
    <row r="369" spans="3:41" x14ac:dyDescent="0.25">
      <c r="D369" s="25"/>
      <c r="E369" s="25"/>
      <c r="F369" s="25"/>
      <c r="G369" s="25" cm="1">
        <f t="array" ref="G369">Common_InputFunctions.Utility_LookupValueInTableNumber(E369,Table_SourceData_Scope3_Packaging[Product],Table_SourceData_Scope3_Packaging[AusLCI Emissions intensity])</f>
        <v>0</v>
      </c>
      <c r="H369" s="251" cm="1">
        <f t="array" ref="H369">Scope3_Equations.VEERG_15_8_1_1__1_EmissionsFromPurchasedPackaging(F369,G369)</f>
        <v>0</v>
      </c>
      <c r="I369" s="86"/>
      <c r="J369" s="251" cm="1">
        <f t="array" ref="J369">Scope3_Equations.VEERG_15_8_1_1__1_EmissionsFromPurchasedPackaging(F369,IF(I369,I369,G369))</f>
        <v>0</v>
      </c>
      <c r="K369" s="44"/>
      <c r="L369" s="23"/>
      <c r="M369" s="44"/>
    </row>
    <row r="370" spans="3:41" x14ac:dyDescent="0.25">
      <c r="D370" s="25"/>
      <c r="E370" s="25"/>
      <c r="F370" s="25"/>
      <c r="G370" s="25" cm="1">
        <f t="array" ref="G370">Common_InputFunctions.Utility_LookupValueInTableNumber(E370,Table_SourceData_Scope3_Packaging[Product],Table_SourceData_Scope3_Packaging[AusLCI Emissions intensity])</f>
        <v>0</v>
      </c>
      <c r="H370" s="251" cm="1">
        <f t="array" ref="H370">Scope3_Equations.VEERG_15_8_1_1__1_EmissionsFromPurchasedPackaging(F370,G370)</f>
        <v>0</v>
      </c>
      <c r="I370" s="86"/>
      <c r="J370" s="251" cm="1">
        <f t="array" ref="J370">Scope3_Equations.VEERG_15_8_1_1__1_EmissionsFromPurchasedPackaging(F370,IF(I370,I370,G370))</f>
        <v>0</v>
      </c>
      <c r="K370" s="44"/>
      <c r="L370" s="23"/>
      <c r="M370" s="44"/>
    </row>
    <row r="371" spans="3:41" x14ac:dyDescent="0.25">
      <c r="D371" s="25"/>
      <c r="E371" s="25"/>
      <c r="F371" s="25"/>
      <c r="G371" s="25" cm="1">
        <f t="array" ref="G371">Common_InputFunctions.Utility_LookupValueInTableNumber(E371,Table_SourceData_Scope3_Packaging[Product],Table_SourceData_Scope3_Packaging[AusLCI Emissions intensity])</f>
        <v>0</v>
      </c>
      <c r="H371" s="251" cm="1">
        <f t="array" ref="H371">Scope3_Equations.VEERG_15_8_1_1__1_EmissionsFromPurchasedPackaging(F371,G371)</f>
        <v>0</v>
      </c>
      <c r="I371" s="86"/>
      <c r="J371" s="251" cm="1">
        <f t="array" ref="J371">Scope3_Equations.VEERG_15_8_1_1__1_EmissionsFromPurchasedPackaging(F371,IF(I371,I371,G371))</f>
        <v>0</v>
      </c>
      <c r="K371" s="44"/>
      <c r="L371" s="23"/>
      <c r="M371" s="44"/>
    </row>
    <row r="372" spans="3:41" x14ac:dyDescent="0.25">
      <c r="D372" s="25"/>
      <c r="E372" s="25"/>
      <c r="F372" s="25"/>
      <c r="G372" s="25" cm="1">
        <f t="array" ref="G372">Common_InputFunctions.Utility_LookupValueInTableNumber(E372,Table_SourceData_Scope3_Packaging[Product],Table_SourceData_Scope3_Packaging[AusLCI Emissions intensity])</f>
        <v>0</v>
      </c>
      <c r="H372" s="251" cm="1">
        <f t="array" ref="H372">Scope3_Equations.VEERG_15_8_1_1__1_EmissionsFromPurchasedPackaging(F372,G372)</f>
        <v>0</v>
      </c>
      <c r="I372" s="86"/>
      <c r="J372" s="251" cm="1">
        <f t="array" ref="J372">Scope3_Equations.VEERG_15_8_1_1__1_EmissionsFromPurchasedPackaging(F372,IF(I372,I372,G372))</f>
        <v>0</v>
      </c>
      <c r="K372" s="44"/>
      <c r="L372" s="23"/>
      <c r="M372" s="44"/>
    </row>
    <row r="373" spans="3:41" x14ac:dyDescent="0.25">
      <c r="D373" s="25"/>
      <c r="E373" s="25"/>
      <c r="F373" s="25"/>
      <c r="G373" s="25" cm="1">
        <f t="array" ref="G373">Common_InputFunctions.Utility_LookupValueInTableNumber(E373,Table_SourceData_Scope3_Packaging[Product],Table_SourceData_Scope3_Packaging[AusLCI Emissions intensity])</f>
        <v>0</v>
      </c>
      <c r="H373" s="251" cm="1">
        <f t="array" ref="H373">Scope3_Equations.VEERG_15_8_1_1__1_EmissionsFromPurchasedPackaging(F373,G373)</f>
        <v>0</v>
      </c>
      <c r="I373" s="86"/>
      <c r="J373" s="251" cm="1">
        <f t="array" ref="J373">Scope3_Equations.VEERG_15_8_1_1__1_EmissionsFromPurchasedPackaging(F373,IF(I373,I373,G373))</f>
        <v>0</v>
      </c>
      <c r="K373" s="44"/>
      <c r="L373" s="23"/>
      <c r="M373" s="44"/>
    </row>
    <row r="374" spans="3:41" x14ac:dyDescent="0.25">
      <c r="D374" s="25"/>
      <c r="E374" s="25"/>
      <c r="F374" s="25"/>
      <c r="G374" s="25" cm="1">
        <f t="array" ref="G374">Common_InputFunctions.Utility_LookupValueInTableNumber(E374,Table_SourceData_Scope3_Packaging[Product],Table_SourceData_Scope3_Packaging[AusLCI Emissions intensity])</f>
        <v>0</v>
      </c>
      <c r="H374" s="251" cm="1">
        <f t="array" ref="H374">Scope3_Equations.VEERG_15_8_1_1__1_EmissionsFromPurchasedPackaging(F374,G374)</f>
        <v>0</v>
      </c>
      <c r="I374" s="86"/>
      <c r="J374" s="251" cm="1">
        <f t="array" ref="J374">Scope3_Equations.VEERG_15_8_1_1__1_EmissionsFromPurchasedPackaging(F374,IF(I374,I374,G374))</f>
        <v>0</v>
      </c>
      <c r="K374" s="44"/>
      <c r="L374" s="23"/>
      <c r="M374" s="44"/>
    </row>
    <row r="375" spans="3:41" x14ac:dyDescent="0.25">
      <c r="D375" s="25"/>
      <c r="E375" s="25"/>
      <c r="F375" s="25"/>
      <c r="G375" s="25" cm="1">
        <f t="array" ref="G375">Common_InputFunctions.Utility_LookupValueInTableNumber(E375,Table_SourceData_Scope3_Packaging[Product],Table_SourceData_Scope3_Packaging[AusLCI Emissions intensity])</f>
        <v>0</v>
      </c>
      <c r="H375" s="251" cm="1">
        <f t="array" ref="H375">Scope3_Equations.VEERG_15_8_1_1__1_EmissionsFromPurchasedPackaging(F375,G375)</f>
        <v>0</v>
      </c>
      <c r="I375" s="86"/>
      <c r="J375" s="251" cm="1">
        <f t="array" ref="J375">Scope3_Equations.VEERG_15_8_1_1__1_EmissionsFromPurchasedPackaging(F375,IF(I375,I375,G375))</f>
        <v>0</v>
      </c>
      <c r="K375" s="44"/>
      <c r="L375" s="23"/>
      <c r="M375" s="44"/>
    </row>
    <row r="376" spans="3:41" x14ac:dyDescent="0.25">
      <c r="D376" s="25"/>
      <c r="E376" s="25"/>
      <c r="F376" s="25"/>
      <c r="G376" s="25" cm="1">
        <f t="array" ref="G376">Common_InputFunctions.Utility_LookupValueInTableNumber(E376,Table_SourceData_Scope3_Packaging[Product],Table_SourceData_Scope3_Packaging[AusLCI Emissions intensity])</f>
        <v>0</v>
      </c>
      <c r="H376" s="251" cm="1">
        <f t="array" ref="H376">Scope3_Equations.VEERG_15_8_1_1__1_EmissionsFromPurchasedPackaging(F376,G376)</f>
        <v>0</v>
      </c>
      <c r="I376" s="86"/>
      <c r="J376" s="251" cm="1">
        <f t="array" ref="J376">Scope3_Equations.VEERG_15_8_1_1__1_EmissionsFromPurchasedPackaging(F376,IF(I376,I376,G376))</f>
        <v>0</v>
      </c>
      <c r="K376" s="44"/>
      <c r="L376" s="23"/>
      <c r="M376" s="44"/>
    </row>
    <row r="378" spans="3:41" ht="20.25" x14ac:dyDescent="0.25">
      <c r="D378" s="252" t="s">
        <v>769</v>
      </c>
      <c r="E378" s="151">
        <f>SUM(H367:H376)</f>
        <v>0</v>
      </c>
      <c r="F378" s="152" t="str">
        <f>$E$155</f>
        <v>t CO2e</v>
      </c>
    </row>
    <row r="379" spans="3:41" ht="20.25" x14ac:dyDescent="0.25">
      <c r="D379" s="252" t="s">
        <v>772</v>
      </c>
      <c r="E379" s="151">
        <f>SUM(J367:J376)</f>
        <v>0</v>
      </c>
      <c r="F379" s="152" t="str">
        <f>$E$155</f>
        <v>t CO2e</v>
      </c>
    </row>
    <row r="382" spans="3:41" x14ac:dyDescent="0.25">
      <c r="C382" s="147"/>
      <c r="D382" s="147"/>
      <c r="E382" s="147"/>
      <c r="F382" s="147"/>
      <c r="G382" s="147"/>
      <c r="H382" s="147"/>
      <c r="I382" s="147"/>
      <c r="J382" s="147"/>
      <c r="K382" s="147"/>
      <c r="L382" s="147"/>
      <c r="M382" s="147"/>
      <c r="N382" s="147"/>
      <c r="O382" s="147"/>
      <c r="P382" s="147"/>
      <c r="Q382" s="147"/>
      <c r="R382" s="147"/>
      <c r="S382" s="147"/>
      <c r="T382" s="147"/>
      <c r="U382" s="147"/>
      <c r="V382" s="147"/>
      <c r="W382" s="147"/>
      <c r="X382" s="147"/>
      <c r="Y382" s="147"/>
      <c r="Z382" s="147"/>
      <c r="AA382" s="147"/>
      <c r="AB382" s="147"/>
      <c r="AC382" s="147"/>
      <c r="AD382" s="147"/>
      <c r="AE382" s="147"/>
      <c r="AF382" s="147"/>
      <c r="AG382" s="147"/>
      <c r="AH382" s="147"/>
      <c r="AI382" s="147"/>
      <c r="AJ382" s="147"/>
      <c r="AK382" s="147"/>
      <c r="AL382" s="147"/>
      <c r="AM382" s="147"/>
      <c r="AN382" s="147"/>
      <c r="AO382" s="147"/>
    </row>
    <row r="383" spans="3:41" ht="23.25" x14ac:dyDescent="0.25">
      <c r="D383" s="2" t="str" cm="1">
        <f t="array" ref="D383">Scope3_Equations.VEERG_15_9_1_1__1_EmissionsFromPurchasedGrowMedia_Title()</f>
        <v>Embedded emissions from use of grow media products</v>
      </c>
    </row>
    <row r="384" spans="3:41" x14ac:dyDescent="0.25">
      <c r="D384" s="27" t="str" cm="1">
        <f t="array" ref="D384">Scope3_Equations.VEERG_15_9_1_1__1_EmissionsFromPurchasedGrowMedia_Source()</f>
        <v>VEERG 2026: 15.9.1.1, Equation (1)</v>
      </c>
    </row>
    <row r="385" spans="4:14" x14ac:dyDescent="0.25">
      <c r="D385" s="133" t="s">
        <v>267</v>
      </c>
      <c r="E385" s="133" t="str" cm="1">
        <f t="array" aca="1" ref="E385" ca="1">Common_InputFunctions.Utility_DisplayFunctionName(J399)</f>
        <v>=Scope3_Equations.VEERG_15_9_1_1__1_EmissionsFromPurchasedGrowMedia</v>
      </c>
    </row>
    <row r="388" spans="4:14" x14ac:dyDescent="0.25">
      <c r="G388" s="133"/>
    </row>
    <row r="389" spans="4:14" x14ac:dyDescent="0.25">
      <c r="D389" s="88" t="s">
        <v>268</v>
      </c>
      <c r="E389" s="1" t="str" cm="1">
        <f t="array" ref="E389">Scope3_Equations.VEERG_15_9_1_1__1_EmissionsFromPurchasedGrowMedia_Variable()</f>
        <v>E</v>
      </c>
    </row>
    <row r="390" spans="4:14" x14ac:dyDescent="0.25">
      <c r="D390" s="88" t="s">
        <v>121</v>
      </c>
      <c r="E390" s="1" t="str" cm="1">
        <f t="array" ref="E390">Scope3_Equations.VEERG_15_9_1_1__1_EmissionsFromPurchasedGrowMedia_Unit()</f>
        <v>t CO2e</v>
      </c>
    </row>
    <row r="392" spans="4:14" x14ac:dyDescent="0.25">
      <c r="D392" s="155" t="str" cm="1">
        <f t="array" ref="D392:E394">_xlfn.CHOOSECOLS(Scope3_Equations.VEERG_15_9_1_1__1_EmissionsFromPurchasedGrowMedia_Arguments(),1,2)</f>
        <v>Q_g</v>
      </c>
      <c r="E392" s="155" t="str">
        <v>total quantity of grow media type g</v>
      </c>
      <c r="F392" s="155" t="str" cm="1">
        <f t="array" ref="F392:G394">_xlfn.CHOOSECOLS(Scope3_Equations.VEERG_15_9_1_1__1_EmissionsFromPurchasedGrowMedia_Arguments(),3,4)</f>
        <v>kg or m3</v>
      </c>
      <c r="G392" s="249" t="str">
        <v>Input</v>
      </c>
    </row>
    <row r="393" spans="4:14" x14ac:dyDescent="0.25">
      <c r="D393" s="155" t="str">
        <v>EF_g</v>
      </c>
      <c r="E393" s="155" t="str">
        <v>emission factor for grow media type g</v>
      </c>
      <c r="F393" s="155" t="str">
        <v>kg CO2e/kg or kg CO2e/m3</v>
      </c>
      <c r="G393" s="138" t="str">
        <v>Constant</v>
      </c>
    </row>
    <row r="394" spans="4:14" x14ac:dyDescent="0.25">
      <c r="D394" s="155" t="str">
        <v>g</v>
      </c>
      <c r="E394" s="155" t="str">
        <v>grow media type</v>
      </c>
      <c r="F394" s="155" t="str">
        <v/>
      </c>
      <c r="G394" s="249" t="str">
        <v>Input</v>
      </c>
    </row>
    <row r="396" spans="4:14" x14ac:dyDescent="0.25">
      <c r="D396" s="36" t="s">
        <v>851</v>
      </c>
    </row>
    <row r="398" spans="4:14" x14ac:dyDescent="0.25">
      <c r="D398" s="92" t="s">
        <v>862</v>
      </c>
      <c r="E398" s="92" t="s">
        <v>699</v>
      </c>
      <c r="F398" s="92" t="s">
        <v>453</v>
      </c>
      <c r="G398" s="146" t="s">
        <v>852</v>
      </c>
      <c r="H398" s="146" t="s">
        <v>853</v>
      </c>
      <c r="I398" s="92" t="s">
        <v>854</v>
      </c>
      <c r="J398" s="146" t="s">
        <v>855</v>
      </c>
      <c r="K398" s="146" t="s">
        <v>856</v>
      </c>
      <c r="L398" s="92" t="s">
        <v>773</v>
      </c>
      <c r="M398" s="92" t="s">
        <v>774</v>
      </c>
      <c r="N398" s="92" t="s">
        <v>775</v>
      </c>
    </row>
    <row r="399" spans="4:14" x14ac:dyDescent="0.25">
      <c r="D399" s="25"/>
      <c r="E399" s="25"/>
      <c r="F399" s="25"/>
      <c r="G399" s="25" t="s">
        <v>857</v>
      </c>
      <c r="H399" s="25" t="s">
        <v>857</v>
      </c>
      <c r="I399" s="86">
        <v>4</v>
      </c>
      <c r="J399" s="251" cm="1">
        <f t="array" ref="J399">Scope3_Equations.VEERG_15_9_1_1__1_EmissionsFromPurchasedGrowMedia(E399,I399)</f>
        <v>0</v>
      </c>
      <c r="K399" s="25" t="str">
        <f>"t CO2e / " &amp; F399</f>
        <v xml:space="preserve">t CO2e / </v>
      </c>
      <c r="L399" s="44"/>
      <c r="M399" s="23"/>
      <c r="N399" s="44"/>
    </row>
    <row r="400" spans="4:14" x14ac:dyDescent="0.25">
      <c r="D400" s="25"/>
      <c r="E400" s="25"/>
      <c r="F400" s="25"/>
      <c r="G400" s="25" t="s">
        <v>857</v>
      </c>
      <c r="H400" s="25" t="s">
        <v>857</v>
      </c>
      <c r="I400" s="86">
        <v>2</v>
      </c>
      <c r="J400" s="251" cm="1">
        <f t="array" ref="J400">Scope3_Equations.VEERG_15_9_1_1__1_EmissionsFromPurchasedGrowMedia(E400,I400)</f>
        <v>0</v>
      </c>
      <c r="K400" s="25" t="str">
        <f t="shared" ref="K400:K408" si="2">"t CO2e / " &amp; F400</f>
        <v xml:space="preserve">t CO2e / </v>
      </c>
      <c r="L400" s="44"/>
      <c r="M400" s="23"/>
      <c r="N400" s="44"/>
    </row>
    <row r="401" spans="3:41" x14ac:dyDescent="0.25">
      <c r="D401" s="25"/>
      <c r="E401" s="25"/>
      <c r="F401" s="25"/>
      <c r="G401" s="25" t="s">
        <v>857</v>
      </c>
      <c r="H401" s="25" t="s">
        <v>857</v>
      </c>
      <c r="I401" s="86"/>
      <c r="J401" s="251" cm="1">
        <f t="array" ref="J401">Scope3_Equations.VEERG_15_9_1_1__1_EmissionsFromPurchasedGrowMedia(E401,I401)</f>
        <v>0</v>
      </c>
      <c r="K401" s="25" t="str">
        <f t="shared" si="2"/>
        <v xml:space="preserve">t CO2e / </v>
      </c>
      <c r="L401" s="44"/>
      <c r="M401" s="23"/>
      <c r="N401" s="44"/>
    </row>
    <row r="402" spans="3:41" x14ac:dyDescent="0.25">
      <c r="D402" s="25"/>
      <c r="E402" s="25"/>
      <c r="F402" s="25"/>
      <c r="G402" s="25" t="s">
        <v>857</v>
      </c>
      <c r="H402" s="25" t="s">
        <v>857</v>
      </c>
      <c r="I402" s="86"/>
      <c r="J402" s="251" cm="1">
        <f t="array" ref="J402">Scope3_Equations.VEERG_15_9_1_1__1_EmissionsFromPurchasedGrowMedia(E402,I402)</f>
        <v>0</v>
      </c>
      <c r="K402" s="25" t="str">
        <f t="shared" si="2"/>
        <v xml:space="preserve">t CO2e / </v>
      </c>
      <c r="L402" s="44"/>
      <c r="M402" s="23"/>
      <c r="N402" s="44"/>
    </row>
    <row r="403" spans="3:41" x14ac:dyDescent="0.25">
      <c r="D403" s="25"/>
      <c r="E403" s="25"/>
      <c r="F403" s="25"/>
      <c r="G403" s="25" t="s">
        <v>857</v>
      </c>
      <c r="H403" s="25" t="s">
        <v>857</v>
      </c>
      <c r="I403" s="86"/>
      <c r="J403" s="251" cm="1">
        <f t="array" ref="J403">Scope3_Equations.VEERG_15_9_1_1__1_EmissionsFromPurchasedGrowMedia(E403,I403)</f>
        <v>0</v>
      </c>
      <c r="K403" s="25" t="str">
        <f t="shared" si="2"/>
        <v xml:space="preserve">t CO2e / </v>
      </c>
      <c r="L403" s="44"/>
      <c r="M403" s="23"/>
      <c r="N403" s="44"/>
    </row>
    <row r="404" spans="3:41" x14ac:dyDescent="0.25">
      <c r="D404" s="25"/>
      <c r="E404" s="25"/>
      <c r="F404" s="25"/>
      <c r="G404" s="25" t="s">
        <v>857</v>
      </c>
      <c r="H404" s="25" t="s">
        <v>857</v>
      </c>
      <c r="I404" s="86"/>
      <c r="J404" s="251" cm="1">
        <f t="array" ref="J404">Scope3_Equations.VEERG_15_9_1_1__1_EmissionsFromPurchasedGrowMedia(E404,I404)</f>
        <v>0</v>
      </c>
      <c r="K404" s="25" t="str">
        <f t="shared" si="2"/>
        <v xml:space="preserve">t CO2e / </v>
      </c>
      <c r="L404" s="44"/>
      <c r="M404" s="23"/>
      <c r="N404" s="44"/>
    </row>
    <row r="405" spans="3:41" x14ac:dyDescent="0.25">
      <c r="D405" s="25"/>
      <c r="E405" s="25"/>
      <c r="F405" s="25"/>
      <c r="G405" s="25" t="s">
        <v>857</v>
      </c>
      <c r="H405" s="25" t="s">
        <v>857</v>
      </c>
      <c r="I405" s="86"/>
      <c r="J405" s="251" cm="1">
        <f t="array" ref="J405">Scope3_Equations.VEERG_15_9_1_1__1_EmissionsFromPurchasedGrowMedia(E405,I405)</f>
        <v>0</v>
      </c>
      <c r="K405" s="25" t="str">
        <f t="shared" si="2"/>
        <v xml:space="preserve">t CO2e / </v>
      </c>
      <c r="L405" s="44"/>
      <c r="M405" s="23"/>
      <c r="N405" s="44"/>
    </row>
    <row r="406" spans="3:41" x14ac:dyDescent="0.25">
      <c r="D406" s="25"/>
      <c r="E406" s="25"/>
      <c r="F406" s="25"/>
      <c r="G406" s="25" t="s">
        <v>857</v>
      </c>
      <c r="H406" s="25" t="s">
        <v>857</v>
      </c>
      <c r="I406" s="86"/>
      <c r="J406" s="251" cm="1">
        <f t="array" ref="J406">Scope3_Equations.VEERG_15_9_1_1__1_EmissionsFromPurchasedGrowMedia(E406,I406)</f>
        <v>0</v>
      </c>
      <c r="K406" s="25" t="str">
        <f t="shared" si="2"/>
        <v xml:space="preserve">t CO2e / </v>
      </c>
      <c r="L406" s="44"/>
      <c r="M406" s="23"/>
      <c r="N406" s="44"/>
    </row>
    <row r="407" spans="3:41" x14ac:dyDescent="0.25">
      <c r="D407" s="25"/>
      <c r="E407" s="25"/>
      <c r="F407" s="25"/>
      <c r="G407" s="25" t="s">
        <v>857</v>
      </c>
      <c r="H407" s="25" t="s">
        <v>857</v>
      </c>
      <c r="I407" s="86"/>
      <c r="J407" s="251" cm="1">
        <f t="array" ref="J407">Scope3_Equations.VEERG_15_9_1_1__1_EmissionsFromPurchasedGrowMedia(E407,I407)</f>
        <v>0</v>
      </c>
      <c r="K407" s="25" t="str">
        <f t="shared" si="2"/>
        <v xml:space="preserve">t CO2e / </v>
      </c>
      <c r="L407" s="44"/>
      <c r="M407" s="23"/>
      <c r="N407" s="44"/>
    </row>
    <row r="408" spans="3:41" x14ac:dyDescent="0.25">
      <c r="D408" s="25"/>
      <c r="E408" s="25"/>
      <c r="F408" s="25"/>
      <c r="G408" s="25" t="s">
        <v>857</v>
      </c>
      <c r="H408" s="25" t="s">
        <v>857</v>
      </c>
      <c r="I408" s="86"/>
      <c r="J408" s="251" cm="1">
        <f t="array" ref="J408">Scope3_Equations.VEERG_15_9_1_1__1_EmissionsFromPurchasedGrowMedia(E408,I408)</f>
        <v>0</v>
      </c>
      <c r="K408" s="25" t="str">
        <f t="shared" si="2"/>
        <v xml:space="preserve">t CO2e / </v>
      </c>
      <c r="L408" s="44"/>
      <c r="M408" s="23"/>
      <c r="N408" s="44"/>
    </row>
    <row r="410" spans="3:41" ht="20.25" x14ac:dyDescent="0.25">
      <c r="D410" s="252" t="s">
        <v>769</v>
      </c>
      <c r="E410" s="151" t="s">
        <v>857</v>
      </c>
      <c r="F410" s="152" t="str">
        <f>$E$155</f>
        <v>t CO2e</v>
      </c>
    </row>
    <row r="411" spans="3:41" ht="20.25" x14ac:dyDescent="0.25">
      <c r="D411" s="252" t="s">
        <v>772</v>
      </c>
      <c r="E411" s="151">
        <f>SUM(J399:J408)</f>
        <v>0</v>
      </c>
      <c r="F411" s="152" t="str">
        <f>$E$155</f>
        <v>t CO2e</v>
      </c>
    </row>
    <row r="414" spans="3:41" x14ac:dyDescent="0.25">
      <c r="C414" s="147"/>
      <c r="D414" s="147"/>
      <c r="E414" s="147"/>
      <c r="F414" s="147"/>
      <c r="G414" s="147"/>
      <c r="H414" s="147"/>
      <c r="I414" s="147"/>
      <c r="J414" s="147"/>
      <c r="K414" s="147"/>
      <c r="L414" s="147"/>
      <c r="M414" s="147"/>
      <c r="N414" s="147"/>
      <c r="O414" s="147"/>
      <c r="P414" s="147"/>
      <c r="Q414" s="147"/>
      <c r="R414" s="147"/>
      <c r="S414" s="147"/>
      <c r="T414" s="147"/>
      <c r="U414" s="147"/>
      <c r="V414" s="147"/>
      <c r="W414" s="147"/>
      <c r="X414" s="147"/>
      <c r="Y414" s="147"/>
      <c r="Z414" s="147"/>
      <c r="AA414" s="147"/>
      <c r="AB414" s="147"/>
      <c r="AC414" s="147"/>
      <c r="AD414" s="147"/>
      <c r="AE414" s="147"/>
      <c r="AF414" s="147"/>
      <c r="AG414" s="147"/>
      <c r="AH414" s="147"/>
      <c r="AI414" s="147"/>
      <c r="AJ414" s="147"/>
      <c r="AK414" s="147"/>
      <c r="AL414" s="147"/>
      <c r="AM414" s="147"/>
      <c r="AN414" s="147"/>
      <c r="AO414" s="147"/>
    </row>
    <row r="415" spans="3:41" ht="23.25" x14ac:dyDescent="0.25">
      <c r="D415" s="2" t="str" cm="1">
        <f t="array" ref="D415">Scope3_Equations.VEERG_15_10_1_1__1_OtherPurchasedGoodsAndServices_Title()</f>
        <v>Other purchased goods and services generic estimate</v>
      </c>
    </row>
    <row r="416" spans="3:41" x14ac:dyDescent="0.25">
      <c r="D416" s="27" t="str" cm="1">
        <f t="array" ref="D416">Scope3_Equations.VEERG_15_10_1_1__1_OtherPurchasedGoodsAndServices_Source()</f>
        <v>VEERG 2026: 15.10, generic placeholder equation</v>
      </c>
    </row>
    <row r="417" spans="4:13" x14ac:dyDescent="0.25">
      <c r="D417" s="36" t="s">
        <v>863</v>
      </c>
    </row>
    <row r="418" spans="4:13" x14ac:dyDescent="0.25">
      <c r="D418" s="133" t="s">
        <v>267</v>
      </c>
      <c r="E418" s="133" t="str" cm="1">
        <f t="array" aca="1" ref="E418" ca="1">Common_InputFunctions.Utility_DisplayFunctionName(H430)</f>
        <v>=Scope3_Equations.VEERG_15_10_1_1__1_OtherPurchasedGoodsAndServices</v>
      </c>
    </row>
    <row r="421" spans="4:13" x14ac:dyDescent="0.25">
      <c r="D421" s="88" t="s">
        <v>268</v>
      </c>
      <c r="E421" s="1" t="str" cm="1">
        <f t="array" ref="E421">Scope3_Equations.VEERG_15_10_1_1__1_OtherPurchasedGoodsAndServices_Variable()</f>
        <v>emissions</v>
      </c>
    </row>
    <row r="422" spans="4:13" x14ac:dyDescent="0.25">
      <c r="D422" s="88" t="s">
        <v>121</v>
      </c>
      <c r="E422" s="15" t="str" cm="1">
        <f t="array" ref="E422">Scope3_Equations.VEERG_15_10_1_1__1_OtherPurchasedGoodsAndServices_Unit()</f>
        <v>t CO2e</v>
      </c>
    </row>
    <row r="424" spans="4:13" x14ac:dyDescent="0.25">
      <c r="D424" s="155" t="str" cm="1">
        <f t="array" ref="D424:E425">_xlfn.CHOOSECOLS(Scope3_Equations.VEERG_15_10_1_1__1_OtherPurchasedGoodsAndServices_Arguments(),1,2)</f>
        <v>activity_data</v>
      </c>
      <c r="E424" s="163" t="str">
        <v>measured activity for the purchased good or service</v>
      </c>
      <c r="F424" s="165"/>
      <c r="G424" s="155" t="str" cm="1">
        <f t="array" ref="G424:H425">_xlfn.CHOOSECOLS(Scope3_Equations.VEERG_15_10_1_1__1_OtherPurchasedGoodsAndServices_Arguments(),3,4)</f>
        <v>varies</v>
      </c>
      <c r="H424" s="249" t="str">
        <v>Input</v>
      </c>
    </row>
    <row r="425" spans="4:13" x14ac:dyDescent="0.25">
      <c r="D425" s="155" t="str">
        <v>emission_factor</v>
      </c>
      <c r="E425" s="163" t="str">
        <v>lifecycle emissions per unit of activity</v>
      </c>
      <c r="F425" s="165"/>
      <c r="G425" s="155" t="str">
        <v>varies</v>
      </c>
      <c r="H425" s="138" t="str">
        <v>Constant</v>
      </c>
    </row>
    <row r="427" spans="4:13" ht="18.75" x14ac:dyDescent="0.25">
      <c r="D427" s="244" t="s">
        <v>864</v>
      </c>
    </row>
    <row r="429" spans="4:13" x14ac:dyDescent="0.25">
      <c r="D429" s="92" t="s">
        <v>763</v>
      </c>
      <c r="E429" s="250" t="s">
        <v>865</v>
      </c>
      <c r="F429" s="250" t="s">
        <v>866</v>
      </c>
      <c r="G429" s="146" t="s">
        <v>122</v>
      </c>
      <c r="H429" s="146" t="s">
        <v>769</v>
      </c>
      <c r="I429" s="92" t="s">
        <v>123</v>
      </c>
      <c r="J429" s="146" t="s">
        <v>772</v>
      </c>
      <c r="K429" s="92" t="s">
        <v>773</v>
      </c>
      <c r="L429" s="92" t="s">
        <v>774</v>
      </c>
      <c r="M429" s="92" t="s">
        <v>775</v>
      </c>
    </row>
    <row r="430" spans="4:13" x14ac:dyDescent="0.25">
      <c r="D430" s="25" t="str" cm="1">
        <f t="array" ref="D430:D439">IFERROR(INDEX(Table_Input_ChemicalsCleaning[Product name], _xlfn.SEQUENCE(10)), "")</f>
        <v>Acid kleen</v>
      </c>
      <c r="E430" s="25" t="str" cm="1">
        <f t="array" ref="E430:E439">IFERROR(INDEX(Table_Input_ChemicalsCleaning[Type (select)], _xlfn.SEQUENCE(10)), "")</f>
        <v>Phosphoric acid</v>
      </c>
      <c r="F430" s="25" cm="1">
        <f t="array" ref="F430:F439">IFERROR(INDEX(Table_Input_ChemicalsCleaning[Quantity purchased (kg)], _xlfn.SEQUENCE(10)), "")</f>
        <v>100</v>
      </c>
      <c r="G430" s="25" cm="1">
        <f t="array" ref="G430">Common_InputFunctions.Utility_LookupValueInTableNumber(E430,Table_SourceData_Scope3_ChemicalsCleaning[Product],Table_SourceData_Scope3_ChemicalsCleaning[AusLCI Emissions intensity])</f>
        <v>0.90700000000000003</v>
      </c>
      <c r="H430" s="251" cm="1">
        <f t="array" ref="H430">Scope3_Equations.VEERG_15_10_1_1__1_OtherPurchasedGoodsAndServices(F430,G430*10^-3)</f>
        <v>9.0700000000000003E-2</v>
      </c>
      <c r="I430" s="86">
        <v>1.3</v>
      </c>
      <c r="J430" s="251" cm="1">
        <f t="array" ref="J430">Scope3_Equations.VEERG_15_10_1_1__1_OtherPurchasedGoodsAndServices(F430,IF(I430,I430,G430)*10^-3)</f>
        <v>0.13</v>
      </c>
      <c r="K430" s="44"/>
      <c r="L430" s="23"/>
      <c r="M430" s="44"/>
    </row>
    <row r="431" spans="4:13" x14ac:dyDescent="0.25">
      <c r="D431" s="25" t="str">
        <v>Kleen alk</v>
      </c>
      <c r="E431" s="25" t="str">
        <v>Alkaline cleaner</v>
      </c>
      <c r="F431" s="25">
        <v>100</v>
      </c>
      <c r="G431" s="25" cm="1">
        <f t="array" ref="G431">Common_InputFunctions.Utility_LookupValueInTableNumber(E431,Table_SourceData_Scope3_ChemicalsCleaning[Product],Table_SourceData_Scope3_ChemicalsCleaning[AusLCI Emissions intensity])</f>
        <v>0.72199999999999998</v>
      </c>
      <c r="H431" s="251" cm="1">
        <f t="array" ref="H431">Scope3_Equations.VEERG_15_10_1_1__1_OtherPurchasedGoodsAndServices(F431,G431*10^-3)</f>
        <v>7.22E-2</v>
      </c>
      <c r="I431" s="86">
        <v>8</v>
      </c>
      <c r="J431" s="251" cm="1">
        <f t="array" ref="J431">Scope3_Equations.VEERG_15_10_1_1__1_OtherPurchasedGoodsAndServices(F431,IF(I431,I431,G431)*10^-3)</f>
        <v>0.8</v>
      </c>
      <c r="K431" s="44"/>
      <c r="L431" s="23"/>
      <c r="M431" s="44"/>
    </row>
    <row r="432" spans="4:13" x14ac:dyDescent="0.25">
      <c r="D432" s="25" t="str">
        <v>White king</v>
      </c>
      <c r="E432" s="25" t="str">
        <v>Bleach</v>
      </c>
      <c r="F432" s="25">
        <v>100</v>
      </c>
      <c r="G432" s="25" cm="1">
        <f t="array" ref="G432">Common_InputFunctions.Utility_LookupValueInTableNumber(E432,Table_SourceData_Scope3_ChemicalsCleaning[Product],Table_SourceData_Scope3_ChemicalsCleaning[AusLCI Emissions intensity])</f>
        <v>0.80400000000000005</v>
      </c>
      <c r="H432" s="251" cm="1">
        <f t="array" ref="H432">Scope3_Equations.VEERG_15_10_1_1__1_OtherPurchasedGoodsAndServices(F432,G432*10^-3)</f>
        <v>8.0399999999999999E-2</v>
      </c>
      <c r="I432" s="86">
        <v>4</v>
      </c>
      <c r="J432" s="251" cm="1">
        <f t="array" ref="J432">Scope3_Equations.VEERG_15_10_1_1__1_OtherPurchasedGoodsAndServices(F432,IF(I432,I432,G432)*10^-3)</f>
        <v>0.4</v>
      </c>
      <c r="K432" s="44"/>
      <c r="L432" s="23"/>
      <c r="M432" s="44"/>
    </row>
    <row r="433" spans="4:13" x14ac:dyDescent="0.25">
      <c r="D433" s="25" t="str">
        <v>White king</v>
      </c>
      <c r="E433" s="25" t="str">
        <v>Bleach</v>
      </c>
      <c r="F433" s="25">
        <v>100</v>
      </c>
      <c r="G433" s="25" cm="1">
        <f t="array" ref="G433">Common_InputFunctions.Utility_LookupValueInTableNumber(E433,Table_SourceData_Scope3_ChemicalsCleaning[Product],Table_SourceData_Scope3_ChemicalsCleaning[AusLCI Emissions intensity])</f>
        <v>0.80400000000000005</v>
      </c>
      <c r="H433" s="251" cm="1">
        <f t="array" ref="H433">Scope3_Equations.VEERG_15_10_1_1__1_OtherPurchasedGoodsAndServices(F433,G433*10^-3)</f>
        <v>8.0399999999999999E-2</v>
      </c>
      <c r="I433" s="86">
        <v>3</v>
      </c>
      <c r="J433" s="251" cm="1">
        <f t="array" ref="J433">Scope3_Equations.VEERG_15_10_1_1__1_OtherPurchasedGoodsAndServices(F433,IF(I433,I433,G433)*10^-3)</f>
        <v>0.3</v>
      </c>
      <c r="K433" s="44"/>
      <c r="L433" s="23"/>
      <c r="M433" s="44"/>
    </row>
    <row r="434" spans="4:13" x14ac:dyDescent="0.25">
      <c r="D434" s="25" t="str">
        <v>Acid kleen</v>
      </c>
      <c r="E434" s="25" t="str">
        <v>Phosphoric acid</v>
      </c>
      <c r="F434" s="25">
        <v>100</v>
      </c>
      <c r="G434" s="25" cm="1">
        <f t="array" ref="G434">Common_InputFunctions.Utility_LookupValueInTableNumber(E434,Table_SourceData_Scope3_ChemicalsCleaning[Product],Table_SourceData_Scope3_ChemicalsCleaning[AusLCI Emissions intensity])</f>
        <v>0.90700000000000003</v>
      </c>
      <c r="H434" s="251" cm="1">
        <f t="array" ref="H434">Scope3_Equations.VEERG_15_10_1_1__1_OtherPurchasedGoodsAndServices(F434,G434*10^-3)</f>
        <v>9.0700000000000003E-2</v>
      </c>
      <c r="I434" s="86">
        <v>6</v>
      </c>
      <c r="J434" s="251" cm="1">
        <f t="array" ref="J434">Scope3_Equations.VEERG_15_10_1_1__1_OtherPurchasedGoodsAndServices(F434,IF(I434,I434,G434)*10^-3)</f>
        <v>0.6</v>
      </c>
      <c r="K434" s="44"/>
      <c r="L434" s="23"/>
      <c r="M434" s="44"/>
    </row>
    <row r="435" spans="4:13" x14ac:dyDescent="0.25">
      <c r="D435" s="25" t="str">
        <v>Acid kleen</v>
      </c>
      <c r="E435" s="25" t="str">
        <v>Phosphoric acid</v>
      </c>
      <c r="F435" s="25">
        <v>100</v>
      </c>
      <c r="G435" s="25" cm="1">
        <f t="array" ref="G435">Common_InputFunctions.Utility_LookupValueInTableNumber(E435,Table_SourceData_Scope3_ChemicalsCleaning[Product],Table_SourceData_Scope3_ChemicalsCleaning[AusLCI Emissions intensity])</f>
        <v>0.90700000000000003</v>
      </c>
      <c r="H435" s="251" cm="1">
        <f t="array" ref="H435">Scope3_Equations.VEERG_15_10_1_1__1_OtherPurchasedGoodsAndServices(F435,G435*10^-3)</f>
        <v>9.0700000000000003E-2</v>
      </c>
      <c r="I435" s="86">
        <v>5</v>
      </c>
      <c r="J435" s="251" cm="1">
        <f t="array" ref="J435">Scope3_Equations.VEERG_15_10_1_1__1_OtherPurchasedGoodsAndServices(F435,IF(I435,I435,G435)*10^-3)</f>
        <v>0.5</v>
      </c>
      <c r="K435" s="44"/>
      <c r="L435" s="23"/>
      <c r="M435" s="44"/>
    </row>
    <row r="436" spans="4:13" x14ac:dyDescent="0.25">
      <c r="D436" s="25">
        <v>0</v>
      </c>
      <c r="E436" s="25">
        <v>0</v>
      </c>
      <c r="F436" s="25">
        <v>0</v>
      </c>
      <c r="G436" s="25" cm="1">
        <f t="array" ref="G436">Common_InputFunctions.Utility_LookupValueInTableNumber(E436,Table_SourceData_Scope3_ChemicalsCleaning[Product],Table_SourceData_Scope3_ChemicalsCleaning[AusLCI Emissions intensity])</f>
        <v>0</v>
      </c>
      <c r="H436" s="251" cm="1">
        <f t="array" ref="H436">Scope3_Equations.VEERG_15_10_1_1__1_OtherPurchasedGoodsAndServices(F436,G436*10^-3)</f>
        <v>0</v>
      </c>
      <c r="I436" s="86"/>
      <c r="J436" s="251" cm="1">
        <f t="array" ref="J436">Scope3_Equations.VEERG_15_10_1_1__1_OtherPurchasedGoodsAndServices(F436,IF(I436,I436,G436)*10^-3)</f>
        <v>0</v>
      </c>
      <c r="K436" s="44"/>
      <c r="L436" s="23"/>
      <c r="M436" s="44"/>
    </row>
    <row r="437" spans="4:13" x14ac:dyDescent="0.25">
      <c r="D437" s="25">
        <v>0</v>
      </c>
      <c r="E437" s="25">
        <v>0</v>
      </c>
      <c r="F437" s="25">
        <v>0</v>
      </c>
      <c r="G437" s="25" cm="1">
        <f t="array" ref="G437">Common_InputFunctions.Utility_LookupValueInTableNumber(E437,Table_SourceData_Scope3_ChemicalsCleaning[Product],Table_SourceData_Scope3_ChemicalsCleaning[AusLCI Emissions intensity])</f>
        <v>0</v>
      </c>
      <c r="H437" s="251" cm="1">
        <f t="array" ref="H437">Scope3_Equations.VEERG_15_10_1_1__1_OtherPurchasedGoodsAndServices(F437,G437*10^-3)</f>
        <v>0</v>
      </c>
      <c r="I437" s="86"/>
      <c r="J437" s="251" cm="1">
        <f t="array" ref="J437">Scope3_Equations.VEERG_15_10_1_1__1_OtherPurchasedGoodsAndServices(F437,IF(I437,I437,G437)*10^-3)</f>
        <v>0</v>
      </c>
      <c r="K437" s="44"/>
      <c r="L437" s="23"/>
      <c r="M437" s="44"/>
    </row>
    <row r="438" spans="4:13" x14ac:dyDescent="0.25">
      <c r="D438" s="25">
        <v>0</v>
      </c>
      <c r="E438" s="25">
        <v>0</v>
      </c>
      <c r="F438" s="25">
        <v>0</v>
      </c>
      <c r="G438" s="25" cm="1">
        <f t="array" ref="G438">Common_InputFunctions.Utility_LookupValueInTableNumber(E438,Table_SourceData_Scope3_ChemicalsCleaning[Product],Table_SourceData_Scope3_ChemicalsCleaning[AusLCI Emissions intensity])</f>
        <v>0</v>
      </c>
      <c r="H438" s="251" cm="1">
        <f t="array" ref="H438">Scope3_Equations.VEERG_15_10_1_1__1_OtherPurchasedGoodsAndServices(F438,G438*10^-3)</f>
        <v>0</v>
      </c>
      <c r="I438" s="86"/>
      <c r="J438" s="251" cm="1">
        <f t="array" ref="J438">Scope3_Equations.VEERG_15_10_1_1__1_OtherPurchasedGoodsAndServices(F438,IF(I438,I438,G438)*10^-3)</f>
        <v>0</v>
      </c>
      <c r="K438" s="44"/>
      <c r="L438" s="23"/>
      <c r="M438" s="44"/>
    </row>
    <row r="439" spans="4:13" x14ac:dyDescent="0.25">
      <c r="D439" s="25">
        <v>0</v>
      </c>
      <c r="E439" s="25">
        <v>0</v>
      </c>
      <c r="F439" s="25">
        <v>0</v>
      </c>
      <c r="G439" s="25" cm="1">
        <f t="array" ref="G439">Common_InputFunctions.Utility_LookupValueInTableNumber(E439,Table_SourceData_Scope3_ChemicalsCleaning[Product],Table_SourceData_Scope3_ChemicalsCleaning[AusLCI Emissions intensity])</f>
        <v>0</v>
      </c>
      <c r="H439" s="251" cm="1">
        <f t="array" ref="H439">Scope3_Equations.VEERG_15_10_1_1__1_OtherPurchasedGoodsAndServices(F439,G439*10^-3)</f>
        <v>0</v>
      </c>
      <c r="I439" s="86"/>
      <c r="J439" s="251" cm="1">
        <f t="array" ref="J439">Scope3_Equations.VEERG_15_10_1_1__1_OtherPurchasedGoodsAndServices(F439,IF(I439,I439,G439)*10^-3)</f>
        <v>0</v>
      </c>
      <c r="K439" s="44"/>
      <c r="L439" s="23"/>
      <c r="M439" s="44"/>
    </row>
    <row r="441" spans="4:13" ht="20.25" x14ac:dyDescent="0.25">
      <c r="D441" s="252" t="s">
        <v>769</v>
      </c>
      <c r="E441" s="151">
        <f>SUM(H430:H439)</f>
        <v>0.50509999999999999</v>
      </c>
      <c r="F441" s="152" t="str">
        <f>$E$155</f>
        <v>t CO2e</v>
      </c>
    </row>
    <row r="442" spans="4:13" ht="20.25" x14ac:dyDescent="0.25">
      <c r="D442" s="252" t="s">
        <v>772</v>
      </c>
      <c r="E442" s="151">
        <f>SUM(J430:J439)</f>
        <v>2.73</v>
      </c>
      <c r="F442" s="152" t="str">
        <f>$E$155</f>
        <v>t CO2e</v>
      </c>
    </row>
    <row r="445" spans="4:13" ht="18.75" x14ac:dyDescent="0.25">
      <c r="D445" s="244" t="s">
        <v>867</v>
      </c>
    </row>
    <row r="447" spans="4:13" x14ac:dyDescent="0.25">
      <c r="D447" s="92" t="s">
        <v>763</v>
      </c>
      <c r="E447" s="250" t="s">
        <v>865</v>
      </c>
      <c r="F447" s="250" t="s">
        <v>868</v>
      </c>
      <c r="G447" s="146" t="s">
        <v>869</v>
      </c>
      <c r="H447" s="146" t="s">
        <v>769</v>
      </c>
      <c r="I447" s="92" t="s">
        <v>870</v>
      </c>
      <c r="J447" s="146" t="s">
        <v>772</v>
      </c>
      <c r="K447" s="92" t="s">
        <v>773</v>
      </c>
      <c r="L447" s="92" t="s">
        <v>774</v>
      </c>
      <c r="M447" s="92" t="s">
        <v>775</v>
      </c>
    </row>
    <row r="448" spans="4:13" x14ac:dyDescent="0.25">
      <c r="D448" s="25"/>
      <c r="E448" s="25"/>
      <c r="F448" s="25" cm="1">
        <f t="array" ref="F448:F457">IFERROR(INDEX(Table_Input_ChemicalsCleaning[Quantity purchased (kg)], _xlfn.SEQUENCE(10)), "")</f>
        <v>100</v>
      </c>
      <c r="G448" s="25" cm="1">
        <f t="array" ref="G448">Common_InputFunctions.Utility_LookupValueInTableNumber(E448,Table_SourceData_Scope3_ChemicalsPharmacy[Product],Table_SourceData_Scope3_ChemicalsPharmacy[AusLCI Emissions intensity])</f>
        <v>0</v>
      </c>
      <c r="H448" s="251" cm="1">
        <f t="array" ref="H448">Scope3_Equations.VEERG_15_10_1_1__1_OtherPurchasedGoodsAndServices(F448,G448*10^-3)</f>
        <v>0</v>
      </c>
      <c r="I448" s="86">
        <v>0.05</v>
      </c>
      <c r="J448" s="251" cm="1">
        <f t="array" ref="J448">Scope3_Equations.VEERG_15_10_1_1__1_OtherPurchasedGoodsAndServices(F448,IF(I448,I448,G448)*10^-3)</f>
        <v>5.0000000000000001E-3</v>
      </c>
      <c r="K448" s="44"/>
      <c r="L448" s="23"/>
      <c r="M448" s="44"/>
    </row>
    <row r="449" spans="4:13" x14ac:dyDescent="0.25">
      <c r="D449" s="25"/>
      <c r="E449" s="25"/>
      <c r="F449" s="25">
        <v>100</v>
      </c>
      <c r="G449" s="25" cm="1">
        <f t="array" ref="G449">Common_InputFunctions.Utility_LookupValueInTableNumber(E449,Table_SourceData_Scope3_ChemicalsPharmacy[Product],Table_SourceData_Scope3_ChemicalsPharmacy[AusLCI Emissions intensity])</f>
        <v>0</v>
      </c>
      <c r="H449" s="251" cm="1">
        <f t="array" ref="H449">Scope3_Equations.VEERG_15_10_1_1__1_OtherPurchasedGoodsAndServices(F449,G449*10^-3)</f>
        <v>0</v>
      </c>
      <c r="I449" s="86">
        <v>0.01</v>
      </c>
      <c r="J449" s="251" cm="1">
        <f t="array" ref="J449">Scope3_Equations.VEERG_15_10_1_1__1_OtherPurchasedGoodsAndServices(F449,IF(I449,I449,G449)*10^-3)</f>
        <v>1E-3</v>
      </c>
      <c r="K449" s="44"/>
      <c r="L449" s="23"/>
      <c r="M449" s="44"/>
    </row>
    <row r="450" spans="4:13" x14ac:dyDescent="0.25">
      <c r="D450" s="25"/>
      <c r="E450" s="25"/>
      <c r="F450" s="25">
        <v>100</v>
      </c>
      <c r="G450" s="25" cm="1">
        <f t="array" ref="G450">Common_InputFunctions.Utility_LookupValueInTableNumber(E450,Table_SourceData_Scope3_ChemicalsPharmacy[Product],Table_SourceData_Scope3_ChemicalsPharmacy[AusLCI Emissions intensity])</f>
        <v>0</v>
      </c>
      <c r="H450" s="251" cm="1">
        <f t="array" ref="H450">Scope3_Equations.VEERG_15_10_1_1__1_OtherPurchasedGoodsAndServices(F450,G450*10^-3)</f>
        <v>0</v>
      </c>
      <c r="I450" s="86">
        <v>0.01</v>
      </c>
      <c r="J450" s="251" cm="1">
        <f t="array" ref="J450">Scope3_Equations.VEERG_15_10_1_1__1_OtherPurchasedGoodsAndServices(F450,IF(I450,I450,G450)*10^-3)</f>
        <v>1E-3</v>
      </c>
      <c r="K450" s="44"/>
      <c r="L450" s="23"/>
      <c r="M450" s="44"/>
    </row>
    <row r="451" spans="4:13" x14ac:dyDescent="0.25">
      <c r="D451" s="25"/>
      <c r="E451" s="25"/>
      <c r="F451" s="25">
        <v>100</v>
      </c>
      <c r="G451" s="25" cm="1">
        <f t="array" ref="G451">Common_InputFunctions.Utility_LookupValueInTableNumber(E451,Table_SourceData_Scope3_ChemicalsPharmacy[Product],Table_SourceData_Scope3_ChemicalsPharmacy[AusLCI Emissions intensity])</f>
        <v>0</v>
      </c>
      <c r="H451" s="251" cm="1">
        <f t="array" ref="H451">Scope3_Equations.VEERG_15_10_1_1__1_OtherPurchasedGoodsAndServices(F451,G451*10^-3)</f>
        <v>0</v>
      </c>
      <c r="I451" s="86">
        <v>4.0000000000000001E-3</v>
      </c>
      <c r="J451" s="251" cm="1">
        <f t="array" ref="J451">Scope3_Equations.VEERG_15_10_1_1__1_OtherPurchasedGoodsAndServices(F451,IF(I451,I451,G451)*10^-3)</f>
        <v>3.9999999999999996E-4</v>
      </c>
      <c r="K451" s="44"/>
      <c r="L451" s="23"/>
      <c r="M451" s="44"/>
    </row>
    <row r="452" spans="4:13" x14ac:dyDescent="0.25">
      <c r="D452" s="25"/>
      <c r="E452" s="25"/>
      <c r="F452" s="25">
        <v>100</v>
      </c>
      <c r="G452" s="25" cm="1">
        <f t="array" ref="G452">Common_InputFunctions.Utility_LookupValueInTableNumber(E452,Table_SourceData_Scope3_ChemicalsPharmacy[Product],Table_SourceData_Scope3_ChemicalsPharmacy[AusLCI Emissions intensity])</f>
        <v>0</v>
      </c>
      <c r="H452" s="251" cm="1">
        <f t="array" ref="H452">Scope3_Equations.VEERG_15_10_1_1__1_OtherPurchasedGoodsAndServices(F452,G452*10^-3)</f>
        <v>0</v>
      </c>
      <c r="I452" s="86">
        <v>0.05</v>
      </c>
      <c r="J452" s="251" cm="1">
        <f t="array" ref="J452">Scope3_Equations.VEERG_15_10_1_1__1_OtherPurchasedGoodsAndServices(F452,IF(I452,I452,G452)*10^-3)</f>
        <v>5.0000000000000001E-3</v>
      </c>
      <c r="K452" s="44"/>
      <c r="L452" s="23"/>
      <c r="M452" s="44"/>
    </row>
    <row r="453" spans="4:13" x14ac:dyDescent="0.25">
      <c r="D453" s="25"/>
      <c r="E453" s="25"/>
      <c r="F453" s="25">
        <v>100</v>
      </c>
      <c r="G453" s="25" cm="1">
        <f t="array" ref="G453">Common_InputFunctions.Utility_LookupValueInTableNumber(E453,Table_SourceData_Scope3_ChemicalsPharmacy[Product],Table_SourceData_Scope3_ChemicalsPharmacy[AusLCI Emissions intensity])</f>
        <v>0</v>
      </c>
      <c r="H453" s="251" cm="1">
        <f t="array" ref="H453">Scope3_Equations.VEERG_15_10_1_1__1_OtherPurchasedGoodsAndServices(F453,G453*10^-3)</f>
        <v>0</v>
      </c>
      <c r="I453" s="86">
        <v>0.01</v>
      </c>
      <c r="J453" s="251" cm="1">
        <f t="array" ref="J453">Scope3_Equations.VEERG_15_10_1_1__1_OtherPurchasedGoodsAndServices(F453,IF(I453,I453,G453)*10^-3)</f>
        <v>1E-3</v>
      </c>
      <c r="K453" s="44"/>
      <c r="L453" s="23"/>
      <c r="M453" s="44"/>
    </row>
    <row r="454" spans="4:13" x14ac:dyDescent="0.25">
      <c r="D454" s="25"/>
      <c r="E454" s="25"/>
      <c r="F454" s="25">
        <v>0</v>
      </c>
      <c r="G454" s="25" cm="1">
        <f t="array" ref="G454">Common_InputFunctions.Utility_LookupValueInTableNumber(E454,Table_SourceData_Scope3_ChemicalsPharmacy[Product],Table_SourceData_Scope3_ChemicalsPharmacy[AusLCI Emissions intensity])</f>
        <v>0</v>
      </c>
      <c r="H454" s="251" cm="1">
        <f t="array" ref="H454">Scope3_Equations.VEERG_15_10_1_1__1_OtherPurchasedGoodsAndServices(F454,G454*10^-3)</f>
        <v>0</v>
      </c>
      <c r="I454" s="86"/>
      <c r="J454" s="251" cm="1">
        <f t="array" ref="J454">Scope3_Equations.VEERG_15_10_1_1__1_OtherPurchasedGoodsAndServices(F454,IF(I454,I454,G454)*10^-3)</f>
        <v>0</v>
      </c>
      <c r="K454" s="44"/>
      <c r="L454" s="23"/>
      <c r="M454" s="44"/>
    </row>
    <row r="455" spans="4:13" x14ac:dyDescent="0.25">
      <c r="D455" s="25"/>
      <c r="E455" s="25"/>
      <c r="F455" s="25">
        <v>0</v>
      </c>
      <c r="G455" s="25" cm="1">
        <f t="array" ref="G455">Common_InputFunctions.Utility_LookupValueInTableNumber(E455,Table_SourceData_Scope3_ChemicalsPharmacy[Product],Table_SourceData_Scope3_ChemicalsPharmacy[AusLCI Emissions intensity])</f>
        <v>0</v>
      </c>
      <c r="H455" s="251" cm="1">
        <f t="array" ref="H455">Scope3_Equations.VEERG_15_10_1_1__1_OtherPurchasedGoodsAndServices(F455,G455*10^-3)</f>
        <v>0</v>
      </c>
      <c r="I455" s="86"/>
      <c r="J455" s="251" cm="1">
        <f t="array" ref="J455">Scope3_Equations.VEERG_15_10_1_1__1_OtherPurchasedGoodsAndServices(F455,IF(I455,I455,G455)*10^-3)</f>
        <v>0</v>
      </c>
      <c r="K455" s="44"/>
      <c r="L455" s="23"/>
      <c r="M455" s="44"/>
    </row>
    <row r="456" spans="4:13" x14ac:dyDescent="0.25">
      <c r="D456" s="25"/>
      <c r="E456" s="25"/>
      <c r="F456" s="25">
        <v>0</v>
      </c>
      <c r="G456" s="25" cm="1">
        <f t="array" ref="G456">Common_InputFunctions.Utility_LookupValueInTableNumber(E456,Table_SourceData_Scope3_ChemicalsPharmacy[Product],Table_SourceData_Scope3_ChemicalsPharmacy[AusLCI Emissions intensity])</f>
        <v>0</v>
      </c>
      <c r="H456" s="251" cm="1">
        <f t="array" ref="H456">Scope3_Equations.VEERG_15_10_1_1__1_OtherPurchasedGoodsAndServices(F456,G456*10^-3)</f>
        <v>0</v>
      </c>
      <c r="I456" s="86"/>
      <c r="J456" s="251" cm="1">
        <f t="array" ref="J456">Scope3_Equations.VEERG_15_10_1_1__1_OtherPurchasedGoodsAndServices(F456,IF(I456,I456,G456)*10^-3)</f>
        <v>0</v>
      </c>
      <c r="K456" s="44"/>
      <c r="L456" s="23"/>
      <c r="M456" s="44"/>
    </row>
    <row r="457" spans="4:13" x14ac:dyDescent="0.25">
      <c r="D457" s="25"/>
      <c r="E457" s="25"/>
      <c r="F457" s="25">
        <v>0</v>
      </c>
      <c r="G457" s="25" cm="1">
        <f t="array" ref="G457">Common_InputFunctions.Utility_LookupValueInTableNumber(E457,Table_SourceData_Scope3_ChemicalsPharmacy[Product],Table_SourceData_Scope3_ChemicalsPharmacy[AusLCI Emissions intensity])</f>
        <v>0</v>
      </c>
      <c r="H457" s="251" cm="1">
        <f t="array" ref="H457">Scope3_Equations.VEERG_15_10_1_1__1_OtherPurchasedGoodsAndServices(F457,G457*10^-3)</f>
        <v>0</v>
      </c>
      <c r="I457" s="86"/>
      <c r="J457" s="251" cm="1">
        <f t="array" ref="J457">Scope3_Equations.VEERG_15_10_1_1__1_OtherPurchasedGoodsAndServices(F457,IF(I457,I457,G457)*10^-3)</f>
        <v>0</v>
      </c>
      <c r="K457" s="44"/>
      <c r="L457" s="23"/>
      <c r="M457" s="44"/>
    </row>
    <row r="459" spans="4:13" ht="20.25" x14ac:dyDescent="0.25">
      <c r="D459" s="252" t="s">
        <v>769</v>
      </c>
      <c r="E459" s="151">
        <f>SUM(H448:H457)</f>
        <v>0</v>
      </c>
      <c r="F459" s="152" t="str">
        <f>$E$155</f>
        <v>t CO2e</v>
      </c>
    </row>
    <row r="460" spans="4:13" ht="20.25" x14ac:dyDescent="0.25">
      <c r="D460" s="252" t="s">
        <v>772</v>
      </c>
      <c r="E460" s="151">
        <f>SUM(J448:J457)</f>
        <v>1.3400000000000002E-2</v>
      </c>
      <c r="F460" s="152" t="str">
        <f>$E$155</f>
        <v>t CO2e</v>
      </c>
    </row>
    <row r="463" spans="4:13" ht="18.75" x14ac:dyDescent="0.25">
      <c r="D463" s="244" t="s">
        <v>737</v>
      </c>
    </row>
    <row r="465" spans="4:12" x14ac:dyDescent="0.25">
      <c r="D465" s="92" t="s">
        <v>687</v>
      </c>
      <c r="E465" s="92" t="s">
        <v>871</v>
      </c>
      <c r="F465" s="146" t="s">
        <v>869</v>
      </c>
      <c r="G465" s="146" t="s">
        <v>769</v>
      </c>
      <c r="H465" s="92" t="s">
        <v>870</v>
      </c>
      <c r="I465" s="146" t="s">
        <v>772</v>
      </c>
      <c r="J465" s="92" t="s">
        <v>773</v>
      </c>
      <c r="K465" s="92" t="s">
        <v>774</v>
      </c>
      <c r="L465" s="92" t="s">
        <v>775</v>
      </c>
    </row>
    <row r="466" spans="4:12" x14ac:dyDescent="0.25">
      <c r="D466" s="25" t="str">
        <f>'Input - Crop pasture farm input'!D23</f>
        <v>Barley grain (for seed)</v>
      </c>
      <c r="E466" s="25">
        <f>X_Cell_FarmInputs_Seed_BarleyGrain</f>
        <v>500</v>
      </c>
      <c r="F466" s="25" cm="1">
        <f t="array" ref="F466">Common_InputFunctions.Utility_LookupValueInTableNumber(D466,Table_SourceData_Scope3_Other[Product],Table_SourceData_Scope3_Other[AusLCI Emissions intensity])</f>
        <v>0.23899999999999999</v>
      </c>
      <c r="G466" s="251" cm="1">
        <f t="array" ref="G466">Scope3_Equations.VEERG_15_10_1_1__1_OtherPurchasedGoodsAndServices(E466,F466*10^-3)</f>
        <v>0.1195</v>
      </c>
      <c r="H466" s="86">
        <v>0.2</v>
      </c>
      <c r="I466" s="251" cm="1">
        <f t="array" ref="I466">Scope3_Equations.VEERG_15_10_1_1__1_OtherPurchasedGoodsAndServices(E466,IF(H466,H466,F466)*10^-3)</f>
        <v>0.1</v>
      </c>
      <c r="J466" s="44"/>
      <c r="K466" s="23"/>
      <c r="L466" s="44"/>
    </row>
    <row r="467" spans="4:12" x14ac:dyDescent="0.25">
      <c r="D467" s="25" t="str">
        <f>'Input - Crop pasture farm input'!D24</f>
        <v>Maize grain (for seed)</v>
      </c>
      <c r="E467" s="25">
        <f>X_Cell_FarmInputs_Seed_MaizeGrain</f>
        <v>600</v>
      </c>
      <c r="F467" s="25" cm="1">
        <f t="array" ref="F467">Common_InputFunctions.Utility_LookupValueInTableNumber(D467,Table_SourceData_Scope3_Other[Product],Table_SourceData_Scope3_Other[AusLCI Emissions intensity])</f>
        <v>0.18099999999999999</v>
      </c>
      <c r="G467" s="251" cm="1">
        <f t="array" ref="G467">Scope3_Equations.VEERG_15_10_1_1__1_OtherPurchasedGoodsAndServices(E467,F467*10^-3)</f>
        <v>0.1086</v>
      </c>
      <c r="H467" s="86"/>
      <c r="I467" s="251" cm="1">
        <f t="array" ref="I467">Scope3_Equations.VEERG_15_10_1_1__1_OtherPurchasedGoodsAndServices(E467,IF(H467,H467,F467)*10^-3)</f>
        <v>0.1086</v>
      </c>
      <c r="J467" s="44"/>
      <c r="K467" s="23"/>
      <c r="L467" s="44"/>
    </row>
    <row r="468" spans="4:12" x14ac:dyDescent="0.25">
      <c r="D468" s="25" t="str">
        <f>'Input - Crop pasture farm input'!D25</f>
        <v>Oat grain (for seed)</v>
      </c>
      <c r="E468" s="25">
        <f>X_Cell_FarmInputs_Seed_OatGrain</f>
        <v>700</v>
      </c>
      <c r="F468" s="25" cm="1">
        <f t="array" ref="F468">Common_InputFunctions.Utility_LookupValueInTableNumber(D468,Table_SourceData_Scope3_Other[Product],Table_SourceData_Scope3_Other[AusLCI Emissions intensity])</f>
        <v>0.27</v>
      </c>
      <c r="G468" s="251" cm="1">
        <f t="array" ref="G468">Scope3_Equations.VEERG_15_10_1_1__1_OtherPurchasedGoodsAndServices(E468,F468*10^-3)</f>
        <v>0.189</v>
      </c>
      <c r="H468" s="86">
        <v>0.2</v>
      </c>
      <c r="I468" s="251" cm="1">
        <f t="array" ref="I468">Scope3_Equations.VEERG_15_10_1_1__1_OtherPurchasedGoodsAndServices(E468,IF(H468,H468,F468)*10^-3)</f>
        <v>0.14000000000000001</v>
      </c>
      <c r="J468" s="44"/>
      <c r="K468" s="23"/>
      <c r="L468" s="44"/>
    </row>
    <row r="469" spans="4:12" x14ac:dyDescent="0.25">
      <c r="D469" s="25" t="str">
        <f>'Input - Crop pasture farm input'!D26</f>
        <v>Sorghum grain (for seed)</v>
      </c>
      <c r="E469" s="25">
        <f>X_Cell_FarmInputs_Seed_SorghumGrain</f>
        <v>800</v>
      </c>
      <c r="F469" s="25" cm="1">
        <f t="array" ref="F469">Common_InputFunctions.Utility_LookupValueInTableNumber(D469,Table_SourceData_Scope3_Other[Product],Table_SourceData_Scope3_Other[AusLCI Emissions intensity])</f>
        <v>0.23200000000000001</v>
      </c>
      <c r="G469" s="251" cm="1">
        <f t="array" ref="G469">Scope3_Equations.VEERG_15_10_1_1__1_OtherPurchasedGoodsAndServices(E469,F469*10^-3)</f>
        <v>0.18560000000000001</v>
      </c>
      <c r="H469" s="86"/>
      <c r="I469" s="251" cm="1">
        <f t="array" ref="I469">Scope3_Equations.VEERG_15_10_1_1__1_OtherPurchasedGoodsAndServices(E469,IF(H469,H469,F469)*10^-3)</f>
        <v>0.18560000000000001</v>
      </c>
      <c r="J469" s="44"/>
      <c r="K469" s="23"/>
      <c r="L469" s="44"/>
    </row>
    <row r="470" spans="4:12" x14ac:dyDescent="0.25">
      <c r="D470" s="25" t="str">
        <f>'Input - Crop pasture farm input'!D27</f>
        <v>Wheat grain (for seed)</v>
      </c>
      <c r="E470" s="25">
        <f>X_Cell_FarmInputs_Seed_WheatGrain</f>
        <v>900</v>
      </c>
      <c r="F470" s="25" cm="1">
        <f t="array" ref="F470">Common_InputFunctions.Utility_LookupValueInTableNumber(D470,Table_SourceData_Scope3_Other[Product],Table_SourceData_Scope3_Other[AusLCI Emissions intensity])</f>
        <v>0.26800000000000002</v>
      </c>
      <c r="G470" s="251" cm="1">
        <f t="array" ref="G470">Scope3_Equations.VEERG_15_10_1_1__1_OtherPurchasedGoodsAndServices(E470,F470*10^-3)</f>
        <v>0.2412</v>
      </c>
      <c r="H470" s="86">
        <v>0.2</v>
      </c>
      <c r="I470" s="251" cm="1">
        <f t="array" ref="I470">Scope3_Equations.VEERG_15_10_1_1__1_OtherPurchasedGoodsAndServices(E470,IF(H470,H470,F470)*10^-3)</f>
        <v>0.18000000000000002</v>
      </c>
      <c r="J470" s="44"/>
      <c r="K470" s="23"/>
      <c r="L470" s="44"/>
    </row>
    <row r="472" spans="4:12" ht="20.25" x14ac:dyDescent="0.25">
      <c r="D472" s="252" t="s">
        <v>769</v>
      </c>
      <c r="E472" s="151">
        <f>SUM(G466:G470)</f>
        <v>0.84389999999999998</v>
      </c>
      <c r="F472" s="152" t="str">
        <f>$E$155</f>
        <v>t CO2e</v>
      </c>
    </row>
    <row r="473" spans="4:12" ht="20.25" x14ac:dyDescent="0.25">
      <c r="D473" s="252" t="s">
        <v>772</v>
      </c>
      <c r="E473" s="151">
        <f>SUM(I466:I470)</f>
        <v>0.71420000000000006</v>
      </c>
      <c r="F473" s="152" t="str">
        <f>$E$155</f>
        <v>t CO2e</v>
      </c>
    </row>
    <row r="476" spans="4:12" ht="18.75" x14ac:dyDescent="0.25">
      <c r="D476" s="244" t="s">
        <v>872</v>
      </c>
    </row>
    <row r="478" spans="4:12" x14ac:dyDescent="0.25">
      <c r="D478" s="92" t="s">
        <v>687</v>
      </c>
      <c r="E478" s="92" t="s">
        <v>871</v>
      </c>
      <c r="F478" s="146" t="s">
        <v>869</v>
      </c>
      <c r="G478" s="146" t="s">
        <v>769</v>
      </c>
      <c r="H478" s="92" t="s">
        <v>870</v>
      </c>
      <c r="I478" s="146" t="s">
        <v>772</v>
      </c>
      <c r="J478" s="92" t="s">
        <v>773</v>
      </c>
      <c r="K478" s="92" t="s">
        <v>774</v>
      </c>
      <c r="L478" s="92" t="s">
        <v>775</v>
      </c>
    </row>
    <row r="479" spans="4:12" x14ac:dyDescent="0.25">
      <c r="D479" s="25"/>
      <c r="E479" s="25" t="e">
        <f>X_Cell_FarmInputs_Misc_AnimalEarTagsLarge</f>
        <v>#REF!</v>
      </c>
      <c r="F479" s="25" cm="1">
        <f t="array" ref="F479">Common_InputFunctions.Utility_LookupValueInTableNumber(D479,Table_SourceData_Scope3_Other[Product],Table_SourceData_Scope3_Other[AusLCI Emissions intensity])</f>
        <v>0</v>
      </c>
      <c r="G479" s="251" t="e" cm="1">
        <f t="array" ref="G479">Scope3_Equations.VEERG_15_10_1_1__1_OtherPurchasedGoodsAndServices(E479,F479*10^-3)</f>
        <v>#REF!</v>
      </c>
      <c r="H479" s="86">
        <v>0.2</v>
      </c>
      <c r="I479" s="251" t="e" cm="1">
        <f t="array" ref="I479">Scope3_Equations.VEERG_15_10_1_1__1_OtherPurchasedGoodsAndServices(E479,IF(H479,H479,F479)*10^-3)</f>
        <v>#REF!</v>
      </c>
      <c r="J479" s="44"/>
      <c r="K479" s="23"/>
      <c r="L479" s="44"/>
    </row>
    <row r="480" spans="4:12" x14ac:dyDescent="0.25">
      <c r="D480" s="25"/>
      <c r="E480" s="25" t="e">
        <f>X_Cell_FarmInputs_Misc_AnimalEarTagsSmall</f>
        <v>#REF!</v>
      </c>
      <c r="F480" s="25" cm="1">
        <f t="array" ref="F480">Common_InputFunctions.Utility_LookupValueInTableNumber(D480,Table_SourceData_Scope3_Other[Product],Table_SourceData_Scope3_Other[AusLCI Emissions intensity])</f>
        <v>0</v>
      </c>
      <c r="G480" s="251" t="e" cm="1">
        <f t="array" ref="G480">Scope3_Equations.VEERG_15_10_1_1__1_OtherPurchasedGoodsAndServices(E480,F480*10^-3)</f>
        <v>#REF!</v>
      </c>
      <c r="H480" s="86"/>
      <c r="I480" s="251" t="e" cm="1">
        <f t="array" ref="I480">Scope3_Equations.VEERG_15_10_1_1__1_OtherPurchasedGoodsAndServices(E480,IF(H480,H480,F480)*10^-3)</f>
        <v>#REF!</v>
      </c>
      <c r="J480" s="44"/>
      <c r="K480" s="23"/>
      <c r="L480" s="44"/>
    </row>
    <row r="481" spans="4:14" x14ac:dyDescent="0.25">
      <c r="D481" s="25"/>
      <c r="E481" s="25" t="e">
        <f>X_Cell_FarmInputs_Misc_NylonNetting</f>
        <v>#REF!</v>
      </c>
      <c r="F481" s="25" cm="1">
        <f t="array" ref="F481">Common_InputFunctions.Utility_LookupValueInTableNumber(D481,Table_SourceData_Scope3_Other[Product],Table_SourceData_Scope3_Other[AusLCI Emissions intensity])</f>
        <v>0</v>
      </c>
      <c r="G481" s="251" t="e" cm="1">
        <f t="array" ref="G481">Scope3_Equations.VEERG_15_10_1_1__1_OtherPurchasedGoodsAndServices(E481,F481*10^-3)</f>
        <v>#REF!</v>
      </c>
      <c r="H481" s="86">
        <v>0.2</v>
      </c>
      <c r="I481" s="251" t="e" cm="1">
        <f t="array" ref="I481">Scope3_Equations.VEERG_15_10_1_1__1_OtherPurchasedGoodsAndServices(E481,IF(H481,H481,F481)*10^-3)</f>
        <v>#REF!</v>
      </c>
      <c r="J481" s="44"/>
      <c r="K481" s="23"/>
      <c r="L481" s="44"/>
    </row>
    <row r="483" spans="4:14" ht="20.25" x14ac:dyDescent="0.25">
      <c r="D483" s="252" t="s">
        <v>769</v>
      </c>
      <c r="E483" s="151" t="e">
        <f>SUM(G479:G481)</f>
        <v>#REF!</v>
      </c>
      <c r="F483" s="152" t="str">
        <f>$E$155</f>
        <v>t CO2e</v>
      </c>
    </row>
    <row r="484" spans="4:14" ht="20.25" x14ac:dyDescent="0.25">
      <c r="D484" s="252" t="s">
        <v>772</v>
      </c>
      <c r="E484" s="151" t="e">
        <f>SUM(I479:I481)</f>
        <v>#REF!</v>
      </c>
      <c r="F484" s="152" t="str">
        <f>$E$155</f>
        <v>t CO2e</v>
      </c>
    </row>
    <row r="487" spans="4:14" ht="18.75" x14ac:dyDescent="0.25">
      <c r="D487" s="244" t="s">
        <v>873</v>
      </c>
    </row>
    <row r="489" spans="4:14" x14ac:dyDescent="0.25">
      <c r="D489" s="92" t="s">
        <v>687</v>
      </c>
      <c r="E489" s="92" t="s">
        <v>545</v>
      </c>
      <c r="F489" s="92" t="s">
        <v>453</v>
      </c>
      <c r="G489" s="146" t="s">
        <v>852</v>
      </c>
      <c r="H489" s="146" t="s">
        <v>853</v>
      </c>
      <c r="I489" s="92" t="s">
        <v>854</v>
      </c>
      <c r="J489" s="92" t="s">
        <v>874</v>
      </c>
      <c r="K489" s="146" t="s">
        <v>855</v>
      </c>
      <c r="L489" s="92" t="s">
        <v>773</v>
      </c>
      <c r="M489" s="92" t="s">
        <v>774</v>
      </c>
      <c r="N489" s="92" t="s">
        <v>775</v>
      </c>
    </row>
    <row r="490" spans="4:14" x14ac:dyDescent="0.25">
      <c r="D490" s="25" t="str" cm="1">
        <f t="array" ref="D490:D499">IFERROR(INDEX(Table_Input_UncategorisedProductsServices[Product / service name], _xlfn.SEQUENCE(10)), "")</f>
        <v>Something</v>
      </c>
      <c r="E490" s="25" cm="1">
        <f t="array" ref="E490:E499">IFERROR(INDEX(Table_Input_UncategorisedProductsServices[Amount], _xlfn.SEQUENCE(10)), "")</f>
        <v>1000</v>
      </c>
      <c r="F490" s="25" t="str" cm="1">
        <f t="array" ref="F490:F499">IFERROR(INDEX(Table_Input_UncategorisedProductsServices[Amount unit], _xlfn.SEQUENCE(10)), "")</f>
        <v>kg</v>
      </c>
      <c r="G490" s="25" t="s">
        <v>857</v>
      </c>
      <c r="H490" s="25" t="s">
        <v>857</v>
      </c>
      <c r="I490" s="86">
        <v>4</v>
      </c>
      <c r="J490" s="23" t="s">
        <v>875</v>
      </c>
      <c r="K490" s="251" cm="1">
        <f t="array" ref="K490">Scope3_Equations.VEERG_15_10_1_1__1_OtherPurchasedGoodsAndServices(E490,IF(J490="kg / amount unit", I490*10^-3, I490))</f>
        <v>4000</v>
      </c>
      <c r="L490" s="44"/>
      <c r="M490" s="23"/>
      <c r="N490" s="44"/>
    </row>
    <row r="491" spans="4:14" x14ac:dyDescent="0.25">
      <c r="D491" s="25">
        <v>0</v>
      </c>
      <c r="E491" s="25">
        <v>0</v>
      </c>
      <c r="F491" s="25">
        <v>0</v>
      </c>
      <c r="G491" s="25" t="s">
        <v>857</v>
      </c>
      <c r="H491" s="25" t="s">
        <v>857</v>
      </c>
      <c r="I491" s="86">
        <v>2</v>
      </c>
      <c r="J491" s="23" t="s">
        <v>875</v>
      </c>
      <c r="K491" s="251" cm="1">
        <f t="array" ref="K491">Scope3_Equations.VEERG_15_10_1_1__1_OtherPurchasedGoodsAndServices(E491,IF(J491="kg / amount unit", I491*10^-3, I491))</f>
        <v>0</v>
      </c>
      <c r="L491" s="44"/>
      <c r="M491" s="23"/>
      <c r="N491" s="44"/>
    </row>
    <row r="492" spans="4:14" x14ac:dyDescent="0.25">
      <c r="D492" s="25">
        <v>0</v>
      </c>
      <c r="E492" s="25">
        <v>0</v>
      </c>
      <c r="F492" s="25">
        <v>0</v>
      </c>
      <c r="G492" s="25" t="s">
        <v>857</v>
      </c>
      <c r="H492" s="25" t="s">
        <v>857</v>
      </c>
      <c r="I492" s="86"/>
      <c r="J492" s="23"/>
      <c r="K492" s="251" cm="1">
        <f t="array" ref="K492">Scope3_Equations.VEERG_15_10_1_1__1_OtherPurchasedGoodsAndServices(E492,IF(J492="kg / amount unit", I492*10^-3, I492))</f>
        <v>0</v>
      </c>
      <c r="L492" s="44"/>
      <c r="M492" s="23"/>
      <c r="N492" s="44"/>
    </row>
    <row r="493" spans="4:14" x14ac:dyDescent="0.25">
      <c r="D493" s="25">
        <v>0</v>
      </c>
      <c r="E493" s="25">
        <v>0</v>
      </c>
      <c r="F493" s="25">
        <v>0</v>
      </c>
      <c r="G493" s="25" t="s">
        <v>857</v>
      </c>
      <c r="H493" s="25" t="s">
        <v>857</v>
      </c>
      <c r="I493" s="86"/>
      <c r="J493" s="23"/>
      <c r="K493" s="251" cm="1">
        <f t="array" ref="K493">Scope3_Equations.VEERG_15_10_1_1__1_OtherPurchasedGoodsAndServices(E493,IF(J493="kg / amount unit", I493*10^-3, I493))</f>
        <v>0</v>
      </c>
      <c r="L493" s="44"/>
      <c r="M493" s="23"/>
      <c r="N493" s="44"/>
    </row>
    <row r="494" spans="4:14" x14ac:dyDescent="0.25">
      <c r="D494" s="25">
        <v>0</v>
      </c>
      <c r="E494" s="25">
        <v>0</v>
      </c>
      <c r="F494" s="25">
        <v>0</v>
      </c>
      <c r="G494" s="25" t="s">
        <v>857</v>
      </c>
      <c r="H494" s="25" t="s">
        <v>857</v>
      </c>
      <c r="I494" s="86"/>
      <c r="J494" s="23"/>
      <c r="K494" s="251" cm="1">
        <f t="array" ref="K494">Scope3_Equations.VEERG_15_10_1_1__1_OtherPurchasedGoodsAndServices(E494,IF(J494="kg / amount unit", I494*10^-3, I494))</f>
        <v>0</v>
      </c>
      <c r="L494" s="44"/>
      <c r="M494" s="23"/>
      <c r="N494" s="44"/>
    </row>
    <row r="495" spans="4:14" x14ac:dyDescent="0.25">
      <c r="D495" s="25">
        <v>0</v>
      </c>
      <c r="E495" s="25">
        <v>0</v>
      </c>
      <c r="F495" s="25">
        <v>0</v>
      </c>
      <c r="G495" s="25" t="s">
        <v>857</v>
      </c>
      <c r="H495" s="25" t="s">
        <v>857</v>
      </c>
      <c r="I495" s="86"/>
      <c r="J495" s="23"/>
      <c r="K495" s="251" cm="1">
        <f t="array" ref="K495">Scope3_Equations.VEERG_15_10_1_1__1_OtherPurchasedGoodsAndServices(E495,IF(J495="kg / amount unit", I495*10^-3, I495))</f>
        <v>0</v>
      </c>
      <c r="L495" s="44"/>
      <c r="M495" s="23"/>
      <c r="N495" s="44"/>
    </row>
    <row r="496" spans="4:14" x14ac:dyDescent="0.25">
      <c r="D496" s="25">
        <v>0</v>
      </c>
      <c r="E496" s="25">
        <v>0</v>
      </c>
      <c r="F496" s="25">
        <v>0</v>
      </c>
      <c r="G496" s="25" t="s">
        <v>857</v>
      </c>
      <c r="H496" s="25" t="s">
        <v>857</v>
      </c>
      <c r="I496" s="86"/>
      <c r="J496" s="23"/>
      <c r="K496" s="251" cm="1">
        <f t="array" ref="K496">Scope3_Equations.VEERG_15_10_1_1__1_OtherPurchasedGoodsAndServices(E496,IF(J496="kg / amount unit", I496*10^-3, I496))</f>
        <v>0</v>
      </c>
      <c r="L496" s="44"/>
      <c r="M496" s="23"/>
      <c r="N496" s="44"/>
    </row>
    <row r="497" spans="3:41" x14ac:dyDescent="0.25">
      <c r="D497" s="25">
        <v>0</v>
      </c>
      <c r="E497" s="25">
        <v>0</v>
      </c>
      <c r="F497" s="25">
        <v>0</v>
      </c>
      <c r="G497" s="25" t="s">
        <v>857</v>
      </c>
      <c r="H497" s="25" t="s">
        <v>857</v>
      </c>
      <c r="I497" s="86"/>
      <c r="J497" s="23"/>
      <c r="K497" s="251" cm="1">
        <f t="array" ref="K497">Scope3_Equations.VEERG_15_10_1_1__1_OtherPurchasedGoodsAndServices(E497,IF(J497="kg / amount unit", I497*10^-3, I497))</f>
        <v>0</v>
      </c>
      <c r="L497" s="44"/>
      <c r="M497" s="23"/>
      <c r="N497" s="44"/>
    </row>
    <row r="498" spans="3:41" x14ac:dyDescent="0.25">
      <c r="D498" s="25">
        <v>0</v>
      </c>
      <c r="E498" s="25">
        <v>0</v>
      </c>
      <c r="F498" s="25">
        <v>0</v>
      </c>
      <c r="G498" s="25" t="s">
        <v>857</v>
      </c>
      <c r="H498" s="25" t="s">
        <v>857</v>
      </c>
      <c r="I498" s="86"/>
      <c r="J498" s="23"/>
      <c r="K498" s="251" cm="1">
        <f t="array" ref="K498">Scope3_Equations.VEERG_15_10_1_1__1_OtherPurchasedGoodsAndServices(E498,IF(J498="kg / amount unit", I498*10^-3, I498))</f>
        <v>0</v>
      </c>
      <c r="L498" s="44"/>
      <c r="M498" s="23"/>
      <c r="N498" s="44"/>
    </row>
    <row r="499" spans="3:41" x14ac:dyDescent="0.25">
      <c r="D499" s="25">
        <v>0</v>
      </c>
      <c r="E499" s="25">
        <v>0</v>
      </c>
      <c r="F499" s="25">
        <v>0</v>
      </c>
      <c r="G499" s="25" t="s">
        <v>857</v>
      </c>
      <c r="H499" s="25" t="s">
        <v>857</v>
      </c>
      <c r="I499" s="86"/>
      <c r="J499" s="23"/>
      <c r="K499" s="251" cm="1">
        <f t="array" ref="K499">Scope3_Equations.VEERG_15_10_1_1__1_OtherPurchasedGoodsAndServices(E499,IF(J499="kg / amount unit", I499*10^-3, I499))</f>
        <v>0</v>
      </c>
      <c r="L499" s="44"/>
      <c r="M499" s="23"/>
      <c r="N499" s="44"/>
    </row>
    <row r="501" spans="3:41" ht="20.25" x14ac:dyDescent="0.25">
      <c r="D501" s="252" t="s">
        <v>769</v>
      </c>
      <c r="E501" s="151" t="s">
        <v>857</v>
      </c>
      <c r="F501" s="152" t="str">
        <f>$E$155</f>
        <v>t CO2e</v>
      </c>
    </row>
    <row r="502" spans="3:41" ht="20.25" x14ac:dyDescent="0.25">
      <c r="D502" s="252" t="s">
        <v>772</v>
      </c>
      <c r="E502" s="151">
        <f>SUM(K490:K499)</f>
        <v>4000</v>
      </c>
      <c r="F502" s="152" t="str">
        <f>$E$155</f>
        <v>t CO2e</v>
      </c>
    </row>
    <row r="505" spans="3:41" x14ac:dyDescent="0.25">
      <c r="C505" s="147"/>
      <c r="D505" s="147"/>
      <c r="E505" s="147"/>
      <c r="F505" s="147"/>
      <c r="G505" s="147"/>
      <c r="H505" s="147"/>
      <c r="I505" s="147"/>
      <c r="J505" s="147"/>
      <c r="K505" s="147"/>
      <c r="L505" s="147"/>
      <c r="M505" s="147"/>
      <c r="N505" s="147"/>
      <c r="O505" s="147"/>
      <c r="P505" s="147"/>
      <c r="Q505" s="147"/>
      <c r="R505" s="147"/>
      <c r="S505" s="147"/>
      <c r="T505" s="147"/>
      <c r="U505" s="147"/>
      <c r="V505" s="147"/>
      <c r="W505" s="147"/>
      <c r="X505" s="147"/>
      <c r="Y505" s="147"/>
      <c r="Z505" s="147"/>
      <c r="AA505" s="147"/>
      <c r="AB505" s="147"/>
      <c r="AC505" s="147"/>
      <c r="AD505" s="147"/>
      <c r="AE505" s="147"/>
      <c r="AF505" s="147"/>
      <c r="AG505" s="147"/>
      <c r="AH505" s="147"/>
      <c r="AI505" s="147"/>
      <c r="AJ505" s="147"/>
      <c r="AK505" s="147"/>
      <c r="AL505" s="147"/>
      <c r="AM505" s="147"/>
      <c r="AN505" s="147"/>
      <c r="AO505" s="147"/>
    </row>
    <row r="506" spans="3:41" ht="23.25" x14ac:dyDescent="0.25">
      <c r="D506" s="2" t="str" cm="1">
        <f t="array" ref="D506">Scope3_Equations.VEERG_15_11_1_1__1_TotalUpstreamEmissionsFromFuel_Title()</f>
        <v>Total upstream emissions from scope 1 fuel consumption</v>
      </c>
    </row>
    <row r="507" spans="3:41" x14ac:dyDescent="0.25">
      <c r="D507" s="27" t="str" cm="1">
        <f t="array" ref="D507">Scope3_Equations.VEERG_15_11_1_1__1_TotalUpstreamEmissionsFromFuel_Source()</f>
        <v>VEERG 2026: 15.11.1.1, Equation (1)</v>
      </c>
    </row>
    <row r="508" spans="3:41" x14ac:dyDescent="0.25">
      <c r="D508" s="133" t="s">
        <v>267</v>
      </c>
      <c r="E508" s="133" t="str">
        <f ca="1">Common_InputFunctions.Utility_DisplayFunctionName(VEERG_15_11_1_1__1_TotalUpstreamEmissionsFromFuel_Result)</f>
        <v>=Scope3_Equations.VEERG_15_11_1_1__1_TotalUpstreamEmissionsFromFuel</v>
      </c>
    </row>
    <row r="512" spans="3:41" x14ac:dyDescent="0.25">
      <c r="D512" s="88" t="s">
        <v>268</v>
      </c>
      <c r="E512" s="1" t="str" cm="1">
        <f t="array" ref="E512">Scope3_Equations.VEERG_15_11_1_1__1_TotalUpstreamEmissionsFromFuel_Variable()</f>
        <v>E</v>
      </c>
    </row>
    <row r="513" spans="3:41" x14ac:dyDescent="0.25">
      <c r="D513" s="88" t="s">
        <v>121</v>
      </c>
      <c r="E513" s="15" t="str" cm="1">
        <f t="array" ref="E513">Scope3_Equations.VEERG_15_11_1_1__1_TotalUpstreamEmissionsFromFuel_Unit()</f>
        <v>t CO2e</v>
      </c>
    </row>
    <row r="515" spans="3:41" x14ac:dyDescent="0.25">
      <c r="D515" s="155" t="str" cm="1">
        <f t="array" ref="D515:E516">_xlfn.CHOOSECOLS(Scope3_Equations.VEERG_15_11_1_1__1_TotalUpstreamEmissionsFromFuel_Arguments(),1,2)</f>
        <v>E_WTTtransq</v>
      </c>
      <c r="E515" s="163" t="str">
        <v>upstream emissions from scope 1 transport fuel use</v>
      </c>
      <c r="F515" s="165"/>
      <c r="G515" s="155" t="str" cm="1">
        <f t="array" ref="G515:H516">_xlfn.CHOOSECOLS(Scope3_Equations.VEERG_15_11_1_1__1_TotalUpstreamEmissionsFromFuel_Arguments(),3,4)</f>
        <v>t CO2e</v>
      </c>
      <c r="H515" s="138" t="str">
        <v>Calculated by 15.11.1.1 (2)</v>
      </c>
      <c r="I515" s="155">
        <f>VEERG_8_1_1_1__1_FuelCombustionTransport_Result</f>
        <v>20.5016</v>
      </c>
    </row>
    <row r="516" spans="3:41" x14ac:dyDescent="0.25">
      <c r="D516" s="155" t="str">
        <v>E_WTTSCq</v>
      </c>
      <c r="E516" s="163" t="str">
        <v>upstream emissions from scope 1 stationary combustion fuel use</v>
      </c>
      <c r="F516" s="165"/>
      <c r="G516" s="155" t="str">
        <v>t CO2e</v>
      </c>
      <c r="H516" s="138" t="str">
        <v>Calculated by 15.11.1.1 (3)</v>
      </c>
      <c r="I516" s="155">
        <f>VEERG_8_2_1_1__1_FuelCombustionStationary_Result</f>
        <v>6.2923999999999998</v>
      </c>
    </row>
    <row r="518" spans="3:41" ht="20.25" x14ac:dyDescent="0.25">
      <c r="D518" s="252" t="s">
        <v>876</v>
      </c>
      <c r="E518" s="151" cm="1">
        <f t="array" ref="E518">Scope3_Equations.VEERG_15_11_1_1__1_TotalUpstreamEmissionsFromFuel(I515,I516)</f>
        <v>26.794</v>
      </c>
      <c r="F518" s="152" t="str">
        <f>$E$155</f>
        <v>t CO2e</v>
      </c>
    </row>
    <row r="520" spans="3:41" x14ac:dyDescent="0.25">
      <c r="C520" s="147"/>
      <c r="D520" s="147"/>
      <c r="E520" s="147"/>
      <c r="F520" s="147"/>
      <c r="G520" s="147"/>
      <c r="H520" s="147"/>
      <c r="I520" s="147"/>
      <c r="J520" s="147"/>
      <c r="K520" s="147"/>
      <c r="L520" s="147"/>
      <c r="M520" s="147"/>
      <c r="N520" s="147"/>
      <c r="O520" s="147"/>
      <c r="P520" s="147"/>
      <c r="Q520" s="147"/>
      <c r="R520" s="147"/>
      <c r="S520" s="147"/>
      <c r="T520" s="147"/>
      <c r="U520" s="147"/>
      <c r="V520" s="147"/>
      <c r="W520" s="147"/>
      <c r="X520" s="147"/>
      <c r="Y520" s="147"/>
      <c r="Z520" s="147"/>
      <c r="AA520" s="147"/>
      <c r="AB520" s="147"/>
      <c r="AC520" s="147"/>
      <c r="AD520" s="147"/>
      <c r="AE520" s="147"/>
      <c r="AF520" s="147"/>
      <c r="AG520" s="147"/>
      <c r="AH520" s="147"/>
      <c r="AI520" s="147"/>
      <c r="AJ520" s="147"/>
      <c r="AK520" s="147"/>
      <c r="AL520" s="147"/>
      <c r="AM520" s="147"/>
      <c r="AN520" s="147"/>
      <c r="AO520" s="147"/>
    </row>
    <row r="521" spans="3:41" ht="23.25" x14ac:dyDescent="0.25">
      <c r="D521" s="2" t="str" cm="1">
        <f t="array" ref="D521">Scope3_Equations.VEERG_15_12_1_1__1_UpstreamPurchasedElectricityLocationBased_Title()</f>
        <v>Scope 3 emissions from purchased electricity location based</v>
      </c>
    </row>
    <row r="522" spans="3:41" x14ac:dyDescent="0.25">
      <c r="D522" s="27" t="str" cm="1">
        <f t="array" ref="D522">Scope3_Equations.VEERG_15_12_1_1__1_UpstreamPurchasedElectricityLocationBased_Source()</f>
        <v>VEERG 2026: 15.12.1.1, Equation (1)</v>
      </c>
    </row>
    <row r="523" spans="3:41" x14ac:dyDescent="0.25">
      <c r="D523" s="133" t="s">
        <v>267</v>
      </c>
      <c r="E523" s="133" t="str">
        <f ca="1">Common_InputFunctions.Utility_DisplayFunctionName(VEERG_15_12_1_1__1_UpstreamPurchasedElectricityLocationBased_Result)</f>
        <v>=Scope3_Equations.VEERG_15_12_1_1__1_UpstreamPurchasedElectricityLocationBased</v>
      </c>
    </row>
    <row r="526" spans="3:41" x14ac:dyDescent="0.25">
      <c r="D526" s="88" t="s">
        <v>268</v>
      </c>
      <c r="E526" s="1" t="str" cm="1">
        <f t="array" ref="E526">Scope3_Equations.VEERG_15_12_1_1__1_UpstreamPurchasedElectricityLocationBased_Variable()</f>
        <v>E_3elec</v>
      </c>
    </row>
    <row r="527" spans="3:41" x14ac:dyDescent="0.25">
      <c r="D527" s="88" t="s">
        <v>121</v>
      </c>
      <c r="E527" s="1" t="str" cm="1">
        <f t="array" ref="E527">Scope3_Equations.VEERG_15_12_1_1__1_UpstreamPurchasedElectricityLocationBased_Unit()</f>
        <v>t CO2e</v>
      </c>
    </row>
    <row r="529" spans="3:41" x14ac:dyDescent="0.25">
      <c r="D529" s="155" t="str" cm="1">
        <f t="array" ref="D529:E531">_xlfn.CHOOSECOLS(Scope3_Equations.VEERG_15_12_1_1__1_UpstreamPurchasedElectricityLocationBased_Arguments(),1,2)</f>
        <v>Q_elec</v>
      </c>
      <c r="E529" s="155" t="str">
        <v>amount of electricity purchased from the grid</v>
      </c>
      <c r="F529" s="155"/>
      <c r="G529" s="155" t="str" cm="1">
        <f t="array" ref="G529:H531">_xlfn.CHOOSECOLS(Scope3_Equations.VEERG_15_12_1_1__1_UpstreamPurchasedElectricityLocationBased_Arguments(),3,4)</f>
        <v>kWh</v>
      </c>
      <c r="H529" s="249" t="str">
        <v>Input</v>
      </c>
      <c r="I529" s="163">
        <f>X_Cell_Electricity_Location_AmountPurchasedInkWh</f>
        <v>30000</v>
      </c>
      <c r="J529" s="165"/>
    </row>
    <row r="530" spans="3:41" x14ac:dyDescent="0.25">
      <c r="D530" s="155" t="str">
        <v>EF_3elec</v>
      </c>
      <c r="E530" s="155" t="str">
        <v>scope 3 emission factor for purchased electricity</v>
      </c>
      <c r="F530" s="155"/>
      <c r="G530" s="155" t="str">
        <v>kg CO2e/kWh</v>
      </c>
      <c r="H530" s="138" t="str">
        <v>Constant</v>
      </c>
      <c r="I530" s="163" cm="1">
        <f t="array" ref="I530">Common_InputFunctions.Utility_LookupValueInTableNumber(I531,Table_SourceData_ElectricityEFs[State, Territory or grid description],Table_SourceData_ElectricityEFs[Scope 3 Emission Factors (kg CO2-e/kWh)])</f>
        <v>0.09</v>
      </c>
      <c r="J530" s="165"/>
    </row>
    <row r="531" spans="3:41" x14ac:dyDescent="0.25">
      <c r="D531" s="155" t="str">
        <v>g</v>
      </c>
      <c r="E531" s="163" t="str">
        <v>grid electricity was purchased from</v>
      </c>
      <c r="F531" s="165"/>
      <c r="G531" s="155" t="str">
        <v/>
      </c>
      <c r="H531" s="249" t="str">
        <v>Input</v>
      </c>
      <c r="I531" s="163" t="str">
        <f>X_Cell_Electricity_Location_GridElectricityPurchasedFrom</f>
        <v>Western Australia - North Western Interconnected System (NWIS)</v>
      </c>
      <c r="J531" s="165"/>
    </row>
    <row r="533" spans="3:41" ht="20.25" x14ac:dyDescent="0.25">
      <c r="D533" s="252" t="s">
        <v>877</v>
      </c>
      <c r="E533" s="151" cm="1">
        <f t="array" ref="E533">Scope3_Equations.VEERG_15_12_1_1__1_UpstreamPurchasedElectricityLocationBased(I529,I530)</f>
        <v>2.7</v>
      </c>
      <c r="F533" s="152" t="str">
        <f>$E$155</f>
        <v>t CO2e</v>
      </c>
    </row>
    <row r="536" spans="3:41" x14ac:dyDescent="0.25">
      <c r="C536" s="147"/>
      <c r="D536" s="147"/>
      <c r="E536" s="147"/>
      <c r="F536" s="147"/>
      <c r="G536" s="147"/>
      <c r="H536" s="147"/>
      <c r="I536" s="147"/>
      <c r="J536" s="147"/>
      <c r="K536" s="147"/>
      <c r="L536" s="147"/>
      <c r="M536" s="147"/>
      <c r="N536" s="147"/>
      <c r="O536" s="147"/>
      <c r="P536" s="147"/>
      <c r="Q536" s="147"/>
      <c r="R536" s="147"/>
      <c r="S536" s="147"/>
      <c r="T536" s="147"/>
      <c r="U536" s="147"/>
      <c r="V536" s="147"/>
      <c r="W536" s="147"/>
      <c r="X536" s="147"/>
      <c r="Y536" s="147"/>
      <c r="Z536" s="147"/>
      <c r="AA536" s="147"/>
      <c r="AB536" s="147"/>
      <c r="AC536" s="147"/>
      <c r="AD536" s="147"/>
      <c r="AE536" s="147"/>
      <c r="AF536" s="147"/>
      <c r="AG536" s="147"/>
      <c r="AH536" s="147"/>
      <c r="AI536" s="147"/>
      <c r="AJ536" s="147"/>
      <c r="AK536" s="147"/>
      <c r="AL536" s="147"/>
      <c r="AM536" s="147"/>
      <c r="AN536" s="147"/>
      <c r="AO536" s="147"/>
    </row>
    <row r="537" spans="3:41" ht="23.25" x14ac:dyDescent="0.25">
      <c r="D537" s="2" t="str" cm="1">
        <f t="array" ref="D537">Scope3_Equations.VEERG_15_12_1_2__1_UpstreamPurchasedElectricityMarketBased_Title()</f>
        <v>Scope 3 emissions from purchased electricity market based</v>
      </c>
    </row>
    <row r="538" spans="3:41" x14ac:dyDescent="0.25">
      <c r="D538" s="27" t="str" cm="1">
        <f t="array" ref="D538">Scope3_Equations.VEERG_15_12_1_2__1_UpstreamPurchasedElectricityMarketBased_Source()</f>
        <v>VEERG 2026: 15.12.1.2, Equation (1)</v>
      </c>
    </row>
    <row r="539" spans="3:41" x14ac:dyDescent="0.25">
      <c r="D539" s="36"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33" t="s">
        <v>267</v>
      </c>
      <c r="E540" s="133" t="str">
        <f ca="1">Common_InputFunctions.Utility_DisplayFunctionName(VEERG_15_12_1_2__1_UpstreamPurchasedElectricityMarketBasedVariation_Result)</f>
        <v>=Scope3_Equations.VEERG_15_12_1_2__1_UpstreamPurchasedElectricityMarketBasedVariation</v>
      </c>
    </row>
    <row r="544" spans="3:41" x14ac:dyDescent="0.25">
      <c r="D544" s="88" t="s">
        <v>268</v>
      </c>
      <c r="E544" s="1" t="str" cm="1">
        <f t="array" ref="E544">Scope3_Equations.VEERG_15_12_1_2__1_UpstreamPurchasedElectricityMarketBased_Variable()</f>
        <v>E_3elec</v>
      </c>
    </row>
    <row r="545" spans="3:41" x14ac:dyDescent="0.25">
      <c r="D545" s="88" t="s">
        <v>121</v>
      </c>
      <c r="E545" s="1" t="str" cm="1">
        <f t="array" ref="E545">Scope3_Equations.VEERG_15_12_1_2__1_UpstreamPurchasedElectricityMarketBased_Unit()</f>
        <v>t CO2e</v>
      </c>
    </row>
    <row r="547" spans="3:41" x14ac:dyDescent="0.25">
      <c r="D547" s="155" t="str" cm="1">
        <f t="array" ref="D547:E553">_xlfn.CHOOSECOLS(Scope3_Equations.VEERG_15_12_1_2__1_UpstreamPurchasedElectricityMarketBased_Arguments(),1,2)</f>
        <v>Q_elec</v>
      </c>
      <c r="E547" s="163" t="str">
        <v>amount of electricity purchased from the grid</v>
      </c>
      <c r="F547" s="165"/>
      <c r="G547" s="155" t="str" cm="1">
        <f t="array" ref="G547:H553">_xlfn.CHOOSECOLS(Scope3_Equations.VEERG_15_12_1_2__1_UpstreamPurchasedElectricityMarketBased_Arguments(),3,4)</f>
        <v>kWh</v>
      </c>
      <c r="H547" s="249" t="str">
        <v>Input</v>
      </c>
      <c r="I547" s="253">
        <f>X_Cell_Electricity_Market_AmountPurchasedExcludingGreenPower</f>
        <v>30000</v>
      </c>
    </row>
    <row r="548" spans="3:41" x14ac:dyDescent="0.25">
      <c r="D548" s="155" t="str">
        <v>RPP</v>
      </c>
      <c r="E548" s="163" t="str">
        <v>renewable power percentage under LRET for the applicable period</v>
      </c>
      <c r="F548" s="165"/>
      <c r="G548" s="155" t="str">
        <v>fraction</v>
      </c>
      <c r="H548" s="249" t="str">
        <v>Input</v>
      </c>
      <c r="I548" s="181">
        <f>X_Cell_Electricity_Market_RenewablePowerPercentage</f>
        <v>0.1</v>
      </c>
    </row>
    <row r="549" spans="3:41" x14ac:dyDescent="0.25">
      <c r="D549" s="155" t="str">
        <v>JRPP</v>
      </c>
      <c r="E549" s="163" t="str">
        <v>jurisdictional renewable power percentage for the applicable period</v>
      </c>
      <c r="F549" s="165"/>
      <c r="G549" s="155" t="str">
        <v>fraction</v>
      </c>
      <c r="H549" s="249" t="str">
        <v>Input</v>
      </c>
      <c r="I549" s="181">
        <f>X_Cell_Electricity_Market_JurisdictionalRenewablePowerPercentage</f>
        <v>0.1</v>
      </c>
    </row>
    <row r="550" spans="3:41" x14ac:dyDescent="0.25">
      <c r="D550" s="155" t="str">
        <v>REC_surrendered</v>
      </c>
      <c r="E550" s="163" t="str">
        <v>eligible renewable energy certificates voluntarily surrendered</v>
      </c>
      <c r="F550" s="165"/>
      <c r="G550" s="155" t="str">
        <v>MWh</v>
      </c>
      <c r="H550" s="249" t="str">
        <v>Input</v>
      </c>
      <c r="I550" s="155">
        <f>(X_Cell_Electricity_Market_AmountPurchasedGreenPower*10^-3)+X_Cell_TotalElegibleVoluntarilySurrenderedRECs</f>
        <v>15</v>
      </c>
    </row>
    <row r="551" spans="3:41" x14ac:dyDescent="0.25">
      <c r="D551" s="155" t="str">
        <v>REC_onsite</v>
      </c>
      <c r="E551" s="163" t="str">
        <v>eligible renewable energy certificates issued for onsite generated electricity</v>
      </c>
      <c r="F551" s="165"/>
      <c r="G551" s="155" t="str">
        <v>MWh</v>
      </c>
      <c r="H551" s="249" t="str">
        <v>Input</v>
      </c>
      <c r="I551" s="155">
        <f>X_Cell_TotalElegibleRECsForElectricityProducedOnSite</f>
        <v>0</v>
      </c>
    </row>
    <row r="552" spans="3:41" x14ac:dyDescent="0.25">
      <c r="D552" s="155" t="str">
        <v>EF_RMF3elec</v>
      </c>
      <c r="E552" s="163" t="str">
        <v>scope 3 residual mix emission factor for electricity</v>
      </c>
      <c r="F552" s="165"/>
      <c r="G552" s="155" t="str">
        <v>kg CO2e/kWh</v>
      </c>
      <c r="H552" s="138" t="str">
        <v>Constant</v>
      </c>
      <c r="I552" s="155" cm="1">
        <f t="array" ref="I552">Table_SourceData_ElectricityEFsMarketBased[Scope 3 EF (kg CO2-e/kWh)]</f>
        <v>0.1</v>
      </c>
    </row>
    <row r="553" spans="3:41" x14ac:dyDescent="0.25">
      <c r="D553" s="155" t="str">
        <v>i</v>
      </c>
      <c r="E553" s="163" t="str">
        <v>state</v>
      </c>
      <c r="F553" s="165"/>
      <c r="G553" s="155" t="str">
        <v/>
      </c>
      <c r="H553" s="249" t="str">
        <v>Input</v>
      </c>
      <c r="I553" s="155" t="str">
        <f>X_Cell_Site_State</f>
        <v>Western Australia</v>
      </c>
    </row>
    <row r="555" spans="3:41" ht="20.25" x14ac:dyDescent="0.25">
      <c r="D555" s="252" t="s">
        <v>877</v>
      </c>
      <c r="E555" s="151" cm="1">
        <f t="array" ref="E555">Scope3_Equations.VEERG_15_12_1_2__1_UpstreamPurchasedElectricityMarketBasedVariation(I547,I548,I549,I550,I551,I552)</f>
        <v>0.9</v>
      </c>
      <c r="F555" s="152" t="str">
        <f>$E$155</f>
        <v>t CO2e</v>
      </c>
    </row>
    <row r="558" spans="3:41" x14ac:dyDescent="0.25">
      <c r="C558" s="147"/>
      <c r="D558" s="147"/>
      <c r="E558" s="147"/>
      <c r="F558" s="147"/>
      <c r="G558" s="147"/>
      <c r="H558" s="147"/>
      <c r="I558" s="147"/>
      <c r="J558" s="147"/>
      <c r="K558" s="147"/>
      <c r="L558" s="147"/>
      <c r="M558" s="147"/>
      <c r="N558" s="147"/>
      <c r="O558" s="147"/>
      <c r="P558" s="147"/>
      <c r="Q558" s="147"/>
      <c r="R558" s="147"/>
      <c r="S558" s="147"/>
      <c r="T558" s="147"/>
      <c r="U558" s="147"/>
      <c r="V558" s="147"/>
      <c r="W558" s="147"/>
      <c r="X558" s="147"/>
      <c r="Y558" s="147"/>
      <c r="Z558" s="147"/>
      <c r="AA558" s="147"/>
      <c r="AB558" s="147"/>
      <c r="AC558" s="147"/>
      <c r="AD558" s="147"/>
      <c r="AE558" s="147"/>
      <c r="AF558" s="147"/>
      <c r="AG558" s="147"/>
      <c r="AH558" s="147"/>
      <c r="AI558" s="147"/>
      <c r="AJ558" s="147"/>
      <c r="AK558" s="147"/>
      <c r="AL558" s="147"/>
      <c r="AM558" s="147"/>
      <c r="AN558" s="147"/>
      <c r="AO558" s="147"/>
    </row>
    <row r="559" spans="3:41" ht="23.25" x14ac:dyDescent="0.25">
      <c r="D559" s="2" t="str" cm="1">
        <f t="array" ref="D559">Scope3_Equations.VEERG_15_13_1_1__1_EmissionsFromManureSentOffSite_Title()</f>
        <v>Emissions from manure sent off site applied to soils in another farming system or enterprise</v>
      </c>
    </row>
    <row r="560" spans="3:41" x14ac:dyDescent="0.25">
      <c r="D560" s="27" t="str" cm="1">
        <f t="array" ref="D560">Scope3_Equations.VEERG_15_13_1_1__1_EmissionsFromManureSentOffSite_Source()</f>
        <v>VEERG 2026: 15.13.1.1, Equation (1)</v>
      </c>
    </row>
    <row r="561" spans="4:18" x14ac:dyDescent="0.25">
      <c r="D561" s="133" t="s">
        <v>267</v>
      </c>
      <c r="E561" s="133" t="str" cm="1">
        <f t="array" aca="1" ref="E561" ca="1">Common_InputFunctions.Utility_DisplayFunctionName(E573)</f>
        <v>=Scope3_Equations.VEERG_15_13_1_1__1_EmissionsFromManureSentOffSite</v>
      </c>
    </row>
    <row r="564" spans="4:18" x14ac:dyDescent="0.25">
      <c r="D564" s="88" t="s">
        <v>268</v>
      </c>
      <c r="E564" s="1" t="str" cm="1">
        <f t="array" ref="E564">Scope3_Equations.VEERG_15_13_1_1__1_EmissionsFromManureSentOffSite_Variable()</f>
        <v>E</v>
      </c>
    </row>
    <row r="565" spans="4:18" x14ac:dyDescent="0.25">
      <c r="D565" s="88" t="s">
        <v>121</v>
      </c>
      <c r="E565" s="15" t="str" cm="1">
        <f t="array" ref="E565">Scope3_Equations.VEERG_15_13_1_1__1_EmissionsFromManureSentOffSite_Unit()</f>
        <v>t N2O</v>
      </c>
    </row>
    <row r="567" spans="4:18" x14ac:dyDescent="0.25">
      <c r="D567" s="35" t="s">
        <v>135</v>
      </c>
      <c r="L567" s="35" t="s">
        <v>136</v>
      </c>
    </row>
    <row r="569" spans="4:18" x14ac:dyDescent="0.25">
      <c r="D569" s="155" t="str" cm="1">
        <f t="array" ref="D569:E571">_xlfn.CHOOSECOLS(Scope3_Equations.VEERG_15_13_1_1__1_EmissionsFromManureSentOffSite_Arguments(),1,2)</f>
        <v>E_N2O</v>
      </c>
      <c r="E569" s="163" t="str">
        <v>direct nitrous oxide emissions from application of manure to soils outside of scope 1 boundary</v>
      </c>
      <c r="F569" s="164"/>
      <c r="G569" s="165"/>
      <c r="H569" s="155" t="str" cm="1">
        <f t="array" ref="H569:I571">_xlfn.CHOOSECOLS(Scope3_Equations.VEERG_15_13_1_1__1_EmissionsFromManureSentOffSite_Arguments(),3,4)</f>
        <v>t N2O</v>
      </c>
      <c r="I569" s="138" t="str">
        <v>Calculated</v>
      </c>
      <c r="J569" s="155">
        <f>VEERG_5_2_1_1__1_OrganicFertiliserApplicationN2OEmissions_Result_Method1</f>
        <v>7.8571428571428577E-3</v>
      </c>
      <c r="L569" s="155" t="str" cm="1">
        <f t="array" ref="L569:M571">_xlfn.CHOOSECOLS(Scope3_Equations.VEERG_15_13_1_1__1_EmissionsFromManureSentOffSite_Arguments(),1,2)</f>
        <v>E_N2O</v>
      </c>
      <c r="M569" s="163" t="str">
        <v>direct nitrous oxide emissions from application of manure to soils outside of scope 1 boundary</v>
      </c>
      <c r="N569" s="164"/>
      <c r="O569" s="165"/>
      <c r="P569" s="155" t="str" cm="1">
        <f t="array" ref="P569:Q571">_xlfn.CHOOSECOLS(Scope3_Equations.VEERG_15_13_1_1__1_EmissionsFromManureSentOffSite_Arguments(),3,4)</f>
        <v>t N2O</v>
      </c>
      <c r="Q569" s="138" t="str">
        <v>Calculated</v>
      </c>
      <c r="R569" s="155">
        <f>VEERG_5_2_1_1__1_OrganicFertiliserApplicationN2OEmissions_Result_Method2</f>
        <v>1.5714285714285715E-2</v>
      </c>
    </row>
    <row r="570" spans="4:18" x14ac:dyDescent="0.25">
      <c r="D570" s="155" t="str">
        <v>E_ad</v>
      </c>
      <c r="E570" s="163" t="str">
        <v>nitrous oxide emissions from atmospheric deposition of manure to soils</v>
      </c>
      <c r="F570" s="164"/>
      <c r="G570" s="165"/>
      <c r="H570" s="155" t="str">
        <v>t N2O</v>
      </c>
      <c r="I570" s="138" t="str">
        <v>Calculated</v>
      </c>
      <c r="J570" s="155">
        <f>VEERG_5_4_1_3__1_OrganicFertiliserAtmosphericDepositionN2OEmissions_Result_Method1</f>
        <v>2.31E-3</v>
      </c>
      <c r="L570" s="155" t="str">
        <v>E_ad</v>
      </c>
      <c r="M570" s="163" t="str">
        <v>nitrous oxide emissions from atmospheric deposition of manure to soils</v>
      </c>
      <c r="N570" s="164"/>
      <c r="O570" s="165"/>
      <c r="P570" s="155" t="str">
        <v>t N2O</v>
      </c>
      <c r="Q570" s="138" t="str">
        <v>Calculated</v>
      </c>
      <c r="R570" s="155">
        <f>VEERG_5_4_1_3__1_OrganicFertiliserAtmosphericDepositionN2OEmissions_Result_Method2</f>
        <v>4.62E-3</v>
      </c>
    </row>
    <row r="571" spans="4:18" x14ac:dyDescent="0.25">
      <c r="D571" s="155" t="str">
        <v>E_leach</v>
      </c>
      <c r="E571" s="163" t="str">
        <v>nitrous oxide emissions from nitrogen leaching and runoff of manure to soils</v>
      </c>
      <c r="F571" s="164"/>
      <c r="G571" s="165"/>
      <c r="H571" s="155" t="str">
        <v>t N2O</v>
      </c>
      <c r="I571" s="138" t="str">
        <v>Calculated</v>
      </c>
      <c r="J571" s="155">
        <f>VEERG_5_5_1_1__1_FertiliserLeachingAndRunoffN2OEmissions_Result_Method1</f>
        <v>4.1485714285714277E-3</v>
      </c>
      <c r="L571" s="155" t="str">
        <v>E_leach</v>
      </c>
      <c r="M571" s="163" t="str">
        <v>nitrous oxide emissions from nitrogen leaching and runoff of manure to soils</v>
      </c>
      <c r="N571" s="164"/>
      <c r="O571" s="165"/>
      <c r="P571" s="155" t="str">
        <v>t N2O</v>
      </c>
      <c r="Q571" s="138" t="str">
        <v>Calculated</v>
      </c>
      <c r="R571" s="155">
        <f>VEERG_5_5_1_1__1_FertiliserLeachingAndRunoffN2OEmissions_Result_Method2</f>
        <v>8.2971428571428554E-3</v>
      </c>
    </row>
    <row r="573" spans="4:18" ht="20.25" x14ac:dyDescent="0.25">
      <c r="D573" s="252" t="s">
        <v>877</v>
      </c>
      <c r="E573" s="151" cm="1">
        <f t="array" ref="E573">Scope3_Equations.VEERG_15_13_1_1__1_EmissionsFromManureSentOffSite(J569,J570,J571)</f>
        <v>1.4315714285714286E-2</v>
      </c>
      <c r="F573" s="152" t="str">
        <f>$E$565</f>
        <v>t N2O</v>
      </c>
      <c r="L573" s="252" t="s">
        <v>877</v>
      </c>
      <c r="M573" s="151" cm="1">
        <f t="array" ref="M573">Scope3_Equations.VEERG_15_13_1_1__1_EmissionsFromManureSentOffSite(R569,R570,R571)</f>
        <v>2.8631428571428572E-2</v>
      </c>
      <c r="N573" s="152" t="str">
        <f>$E$565</f>
        <v>t N2O</v>
      </c>
    </row>
    <row r="575" spans="4:18" x14ac:dyDescent="0.25">
      <c r="D575" s="134" t="str" cm="1">
        <f t="array" ref="D575:E576">Common_Equations.Common_ConvertN2OToCO2e_Arguments()</f>
        <v>EN2O</v>
      </c>
      <c r="E575" s="135" t="str">
        <v>Nitrous oxide emissions (t N2O)</v>
      </c>
      <c r="F575" s="153"/>
      <c r="G575" s="25">
        <f>E573</f>
        <v>1.4315714285714286E-2</v>
      </c>
      <c r="L575" s="134" t="str" cm="1">
        <f t="array" ref="L575:M576">Common_Equations.Common_ConvertN2OToCO2e_Arguments()</f>
        <v>EN2O</v>
      </c>
      <c r="M575" s="135" t="str">
        <v>Nitrous oxide emissions (t N2O)</v>
      </c>
      <c r="N575" s="153"/>
      <c r="O575" s="25">
        <f>M573</f>
        <v>2.8631428571428572E-2</v>
      </c>
    </row>
    <row r="576" spans="4:18" x14ac:dyDescent="0.25">
      <c r="D576" s="134" t="str">
        <v>GWPN2O</v>
      </c>
      <c r="E576" s="135" t="str">
        <v>Global warming potential for nitrous oxide (t CO2-e / t N2O)</v>
      </c>
      <c r="F576" s="153"/>
      <c r="G576" s="25">
        <f>Common_InputFunctions.Utility_LookupValueInTableNumber("N2O",Table_GWPData[Gas],Table_GWPData[CO2-e factor])</f>
        <v>265</v>
      </c>
      <c r="L576" s="134" t="str">
        <v>GWPN2O</v>
      </c>
      <c r="M576" s="135" t="str">
        <v>Global warming potential for nitrous oxide (t CO2-e / t N2O)</v>
      </c>
      <c r="N576" s="153"/>
      <c r="O576" s="25">
        <f>Common_InputFunctions.Utility_LookupValueInTableNumber("N2O",Table_GWPData[Gas],Table_GWPData[CO2-e factor])</f>
        <v>265</v>
      </c>
    </row>
    <row r="578" spans="3:41" ht="18.75" x14ac:dyDescent="0.25">
      <c r="D578" s="147" t="s">
        <v>299</v>
      </c>
      <c r="E578" s="147" cm="1">
        <f t="array" ref="E578">Common_Equations.Common_ConvertN2OToCO2e(G575,G576)</f>
        <v>3.7936642857142857</v>
      </c>
      <c r="F578" s="154" t="str" cm="1">
        <f t="array" ref="F578">Common_Equations.Common_ConvertN2OToCO2e_Unit()</f>
        <v>t CO2e</v>
      </c>
      <c r="L578" s="147" t="s">
        <v>299</v>
      </c>
      <c r="M578" s="147" cm="1">
        <f t="array" ref="M578">Common_Equations.Common_ConvertN2OToCO2e(O575,O576)</f>
        <v>7.5873285714285714</v>
      </c>
      <c r="N578" s="154" t="str" cm="1">
        <f t="array" ref="N578">Common_Equations.Common_ConvertN2OToCO2e_Unit()</f>
        <v>t CO2e</v>
      </c>
    </row>
    <row r="581" spans="3:41" x14ac:dyDescent="0.25">
      <c r="C581" s="147"/>
      <c r="D581" s="147"/>
      <c r="E581" s="147"/>
      <c r="F581" s="147"/>
      <c r="G581" s="147"/>
      <c r="H581" s="147"/>
      <c r="I581" s="147"/>
      <c r="J581" s="147"/>
      <c r="K581" s="147"/>
      <c r="L581" s="147"/>
      <c r="M581" s="147"/>
      <c r="N581" s="147"/>
      <c r="O581" s="147"/>
      <c r="P581" s="147"/>
      <c r="Q581" s="147"/>
      <c r="R581" s="147"/>
      <c r="S581" s="147"/>
      <c r="T581" s="147"/>
      <c r="U581" s="147"/>
      <c r="V581" s="147"/>
      <c r="W581" s="147"/>
      <c r="X581" s="147"/>
      <c r="Y581" s="147"/>
      <c r="Z581" s="147"/>
      <c r="AA581" s="147"/>
      <c r="AB581" s="147"/>
      <c r="AC581" s="147"/>
      <c r="AD581" s="147"/>
      <c r="AE581" s="147"/>
      <c r="AF581" s="147"/>
      <c r="AG581" s="147"/>
      <c r="AH581" s="147"/>
      <c r="AI581" s="147"/>
      <c r="AJ581" s="147"/>
      <c r="AK581" s="147"/>
      <c r="AL581" s="147"/>
      <c r="AM581" s="147"/>
      <c r="AN581" s="147"/>
      <c r="AO581" s="147"/>
    </row>
    <row r="582" spans="3:41" ht="23.25" x14ac:dyDescent="0.25">
      <c r="D582" s="2" t="str" cm="1">
        <f t="array" ref="D582">Scope3_Equations.VEERG_15_13_1_3__1_EmissionsFromSolidWasteTreatmentFacility_Title()</f>
        <v>Emissions from solid waste sent to a treatment facility</v>
      </c>
    </row>
    <row r="583" spans="3:41" x14ac:dyDescent="0.25">
      <c r="D583" s="27" t="str" cm="1">
        <f t="array" ref="D583">Scope3_Equations.VEERG_15_13_1_3__1_EmissionsFromSolidWasteTreatmentFacility_Source()</f>
        <v>VEERG 2026: 15.13.1.3</v>
      </c>
    </row>
    <row r="585" spans="3:41" x14ac:dyDescent="0.25">
      <c r="D585" s="88" t="s">
        <v>268</v>
      </c>
      <c r="E585" s="1" t="str" cm="1">
        <f t="array" ref="E585">Scope3_Equations.VEERG_15_13_1_3__1_EmissionsFromSolidWasteTreatmentFacility_Variable()</f>
        <v>E</v>
      </c>
    </row>
    <row r="586" spans="3:41" x14ac:dyDescent="0.25">
      <c r="D586" s="88" t="s">
        <v>121</v>
      </c>
      <c r="E586" s="15" t="str" cm="1">
        <f t="array" ref="E586">Scope3_Equations.VEERG_15_13_1_3__1_EmissionsFromSolidWasteTreatmentFacility_Unit()</f>
        <v>t CO2e</v>
      </c>
    </row>
    <row r="588" spans="3:41" ht="20.25" x14ac:dyDescent="0.25">
      <c r="D588" s="252" t="s">
        <v>877</v>
      </c>
      <c r="E588" s="151">
        <f>VEERG_10_1_1_1__1_EmissionsFromWasteManagement_Scope3_Result_Method1</f>
        <v>441.15000000000003</v>
      </c>
      <c r="F588" s="152" t="str">
        <f>E586</f>
        <v>t CO2e</v>
      </c>
    </row>
    <row r="591" spans="3:41" x14ac:dyDescent="0.25">
      <c r="C591" s="147"/>
      <c r="D591" s="147"/>
      <c r="E591" s="147"/>
      <c r="F591" s="147"/>
      <c r="G591" s="147"/>
      <c r="H591" s="147"/>
      <c r="I591" s="147"/>
      <c r="J591" s="147"/>
      <c r="K591" s="147"/>
      <c r="L591" s="147"/>
      <c r="M591" s="147"/>
      <c r="N591" s="147"/>
      <c r="O591" s="147"/>
      <c r="P591" s="147"/>
      <c r="Q591" s="147"/>
      <c r="R591" s="147"/>
      <c r="S591" s="147"/>
      <c r="T591" s="147"/>
      <c r="U591" s="147"/>
      <c r="V591" s="147"/>
      <c r="W591" s="147"/>
      <c r="X591" s="147"/>
      <c r="Y591" s="147"/>
      <c r="Z591" s="147"/>
      <c r="AA591" s="147"/>
      <c r="AB591" s="147"/>
      <c r="AC591" s="147"/>
      <c r="AD591" s="147"/>
      <c r="AE591" s="147"/>
      <c r="AF591" s="147"/>
      <c r="AG591" s="147"/>
      <c r="AH591" s="147"/>
      <c r="AI591" s="147"/>
      <c r="AJ591" s="147"/>
      <c r="AK591" s="147"/>
      <c r="AL591" s="147"/>
      <c r="AM591" s="147"/>
      <c r="AN591" s="147"/>
      <c r="AO591" s="147"/>
    </row>
    <row r="592" spans="3:41" ht="23.25" x14ac:dyDescent="0.25">
      <c r="D592" s="2" t="str" cm="1">
        <f t="array" ref="D592">Scope3_Equations.VEERG_15_14_1_1__1_EmbeddedEmissionsFromUpstreamFreight_Title()</f>
        <v>Embedded emissions from upstream freight</v>
      </c>
    </row>
    <row r="593" spans="4:13" x14ac:dyDescent="0.25">
      <c r="D593" s="27" t="str" cm="1">
        <f t="array" ref="D593">Scope3_Equations.VEERG_15_14_1_1__1_EmbeddedEmissionsFromUpstreamFreight_Source()</f>
        <v>VEERG 2026: 15.14.1.1, Equation (1)</v>
      </c>
    </row>
    <row r="594" spans="4:13" x14ac:dyDescent="0.25">
      <c r="D594" s="133" t="s">
        <v>267</v>
      </c>
      <c r="E594" s="133" t="str" cm="1">
        <f t="array" aca="1" ref="E594" ca="1">Common_InputFunctions.Utility_DisplayFunctionName(J609)</f>
        <v>=Scope3_Equations.VEERG_15_14_1_1__1_EmbeddedEmissionsFromUpstreamFreight</v>
      </c>
    </row>
    <row r="598" spans="4:13" x14ac:dyDescent="0.25">
      <c r="D598" s="88" t="s">
        <v>268</v>
      </c>
      <c r="E598" s="1" t="str" cm="1">
        <f t="array" ref="E598">Scope3_Equations.VEERG_15_14_1_1__1_EmbeddedEmissionsFromUpstreamFreight_Variable()</f>
        <v>E</v>
      </c>
    </row>
    <row r="599" spans="4:13" x14ac:dyDescent="0.25">
      <c r="D599" s="88" t="s">
        <v>121</v>
      </c>
      <c r="E599" s="15" t="str" cm="1">
        <f t="array" ref="E599">Scope3_Equations.VEERG_15_14_1_1__1_EmbeddedEmissionsFromUpstreamFreight_Unit()</f>
        <v>t CO2e</v>
      </c>
    </row>
    <row r="601" spans="4:13" x14ac:dyDescent="0.25">
      <c r="D601" s="155" t="str" cm="1">
        <f t="array" ref="D601:E604">_xlfn.CHOOSECOLS(Scope3_Equations.VEERG_15_14_1_1__1_EmbeddedEmissionsFromUpstreamFreight_Arguments(),1,2)</f>
        <v>W_f</v>
      </c>
      <c r="E601" s="163" t="str">
        <v>total mass of goods transported per freight type f</v>
      </c>
      <c r="F601" s="165"/>
      <c r="G601" s="155" t="str" cm="1">
        <f t="array" ref="G601:H604">_xlfn.CHOOSECOLS(Scope3_Equations.VEERG_15_14_1_1__1_EmbeddedEmissionsFromUpstreamFreight_Arguments(),3,4)</f>
        <v>t</v>
      </c>
      <c r="H601" s="249" t="str">
        <v>Input</v>
      </c>
    </row>
    <row r="602" spans="4:13" x14ac:dyDescent="0.25">
      <c r="D602" s="155" t="str">
        <v>D_f</v>
      </c>
      <c r="E602" s="163" t="str">
        <v>total distance transported per freight type f</v>
      </c>
      <c r="F602" s="165"/>
      <c r="G602" s="155" t="str">
        <v>km</v>
      </c>
      <c r="H602" s="249" t="str">
        <v>Input</v>
      </c>
    </row>
    <row r="603" spans="4:13" x14ac:dyDescent="0.25">
      <c r="D603" s="155" t="str">
        <v>EF_f</v>
      </c>
      <c r="E603" s="163" t="str">
        <v>emission factor for freight type f</v>
      </c>
      <c r="F603" s="165"/>
      <c r="G603" s="155" t="str">
        <v>t CO2e/(t km)</v>
      </c>
      <c r="H603" s="138" t="str">
        <v>Constant</v>
      </c>
    </row>
    <row r="604" spans="4:13" x14ac:dyDescent="0.25">
      <c r="D604" s="155" t="str">
        <v>f</v>
      </c>
      <c r="E604" s="163" t="str">
        <v>freight type</v>
      </c>
      <c r="F604" s="165"/>
      <c r="G604" s="155" t="str">
        <v/>
      </c>
      <c r="H604" s="249" t="str">
        <v>Input</v>
      </c>
    </row>
    <row r="606" spans="4:13" ht="18.75" x14ac:dyDescent="0.25">
      <c r="D606" s="244" t="s">
        <v>739</v>
      </c>
    </row>
    <row r="608" spans="4:13" ht="17.25" x14ac:dyDescent="0.25">
      <c r="D608" s="92" t="s">
        <v>878</v>
      </c>
      <c r="E608" s="92" t="s">
        <v>879</v>
      </c>
      <c r="F608" s="92" t="s">
        <v>880</v>
      </c>
      <c r="G608" s="146" t="s">
        <v>881</v>
      </c>
      <c r="H608" s="146" t="s">
        <v>769</v>
      </c>
      <c r="I608" s="92" t="s">
        <v>818</v>
      </c>
      <c r="J608" s="146" t="s">
        <v>772</v>
      </c>
      <c r="K608" s="92" t="s">
        <v>773</v>
      </c>
      <c r="L608" s="92" t="s">
        <v>774</v>
      </c>
      <c r="M608" s="92" t="s">
        <v>775</v>
      </c>
    </row>
    <row r="609" spans="4:13" x14ac:dyDescent="0.25">
      <c r="D609" s="25" t="str" cm="1">
        <f t="array" ref="D609:D618">IFERROR(INDEX(Table_Input_FreightIncoming[Route name], _xlfn.SEQUENCE(10)), "")</f>
        <v>Melbourne depot to farm depot weekly</v>
      </c>
      <c r="E609" s="25" cm="1">
        <f t="array" ref="E609:E618">IFERROR(INDEX(Table_Input_FreightIncoming[Average weight of freight per trip (t)], _xlfn.SEQUENCE(10)), "")</f>
        <v>10</v>
      </c>
      <c r="F609" s="25" cm="1">
        <f t="array" ref="F609:F618">IFERROR(INDEX(Table_Input_FreightIncoming[Route distance (km)], _xlfn.SEQUENCE(10))*INDEX(Table_Input_FreightIncoming[Number of trips taken], _xlfn.SEQUENCE(10)), "")</f>
        <v>51272</v>
      </c>
      <c r="G609" s="25" t="s">
        <v>857</v>
      </c>
      <c r="H609" s="25" t="s">
        <v>857</v>
      </c>
      <c r="I609" s="86">
        <v>10</v>
      </c>
      <c r="J609" s="25" cm="1">
        <f t="array" ref="J609">Scope3_Equations.VEERG_15_14_1_1__1_EmbeddedEmissionsFromUpstreamFreight(E609,F609,I609)</f>
        <v>5127200</v>
      </c>
      <c r="K609" s="44"/>
      <c r="L609" s="23"/>
      <c r="M609" s="44"/>
    </row>
    <row r="610" spans="4:13" x14ac:dyDescent="0.25">
      <c r="D610" s="25" t="str">
        <v>Fertiliser supplier to farm</v>
      </c>
      <c r="E610" s="25">
        <v>10</v>
      </c>
      <c r="F610" s="25">
        <v>390</v>
      </c>
      <c r="G610" s="25" t="s">
        <v>857</v>
      </c>
      <c r="H610" s="25" t="s">
        <v>857</v>
      </c>
      <c r="I610" s="86">
        <v>5</v>
      </c>
      <c r="J610" s="25" cm="1">
        <f t="array" ref="J610">Scope3_Equations.VEERG_15_14_1_1__1_EmbeddedEmissionsFromUpstreamFreight(E610,F610,I610)</f>
        <v>19500</v>
      </c>
      <c r="K610" s="44"/>
      <c r="L610" s="23"/>
      <c r="M610" s="44"/>
    </row>
    <row r="611" spans="4:13" x14ac:dyDescent="0.25">
      <c r="D611" s="25">
        <v>0</v>
      </c>
      <c r="E611" s="25">
        <v>0</v>
      </c>
      <c r="F611" s="25">
        <v>0</v>
      </c>
      <c r="G611" s="25" t="s">
        <v>857</v>
      </c>
      <c r="H611" s="25" t="s">
        <v>857</v>
      </c>
      <c r="I611" s="86"/>
      <c r="J611" s="25" cm="1">
        <f t="array" ref="J611">Scope3_Equations.VEERG_15_14_1_1__1_EmbeddedEmissionsFromUpstreamFreight(E611,F611,I611)</f>
        <v>0</v>
      </c>
      <c r="K611" s="44"/>
      <c r="L611" s="23"/>
      <c r="M611" s="44"/>
    </row>
    <row r="612" spans="4:13" x14ac:dyDescent="0.25">
      <c r="D612" s="25">
        <v>0</v>
      </c>
      <c r="E612" s="25">
        <v>0</v>
      </c>
      <c r="F612" s="25">
        <v>0</v>
      </c>
      <c r="G612" s="25" t="s">
        <v>857</v>
      </c>
      <c r="H612" s="25" t="s">
        <v>857</v>
      </c>
      <c r="I612" s="86"/>
      <c r="J612" s="25" cm="1">
        <f t="array" ref="J612">Scope3_Equations.VEERG_15_14_1_1__1_EmbeddedEmissionsFromUpstreamFreight(E612,F612,I612)</f>
        <v>0</v>
      </c>
      <c r="K612" s="44"/>
      <c r="L612" s="23"/>
      <c r="M612" s="44"/>
    </row>
    <row r="613" spans="4:13" x14ac:dyDescent="0.25">
      <c r="D613" s="25">
        <v>0</v>
      </c>
      <c r="E613" s="25">
        <v>0</v>
      </c>
      <c r="F613" s="25">
        <v>0</v>
      </c>
      <c r="G613" s="25" t="s">
        <v>857</v>
      </c>
      <c r="H613" s="25" t="s">
        <v>857</v>
      </c>
      <c r="I613" s="86"/>
      <c r="J613" s="25" cm="1">
        <f t="array" ref="J613">Scope3_Equations.VEERG_15_14_1_1__1_EmbeddedEmissionsFromUpstreamFreight(E613,F613,I613)</f>
        <v>0</v>
      </c>
      <c r="K613" s="44"/>
      <c r="L613" s="23"/>
      <c r="M613" s="44"/>
    </row>
    <row r="614" spans="4:13" x14ac:dyDescent="0.25">
      <c r="D614" s="25">
        <v>0</v>
      </c>
      <c r="E614" s="25">
        <v>0</v>
      </c>
      <c r="F614" s="25">
        <v>0</v>
      </c>
      <c r="G614" s="25" t="s">
        <v>857</v>
      </c>
      <c r="H614" s="25" t="s">
        <v>857</v>
      </c>
      <c r="I614" s="86"/>
      <c r="J614" s="25" cm="1">
        <f t="array" ref="J614">Scope3_Equations.VEERG_15_14_1_1__1_EmbeddedEmissionsFromUpstreamFreight(E614,F614,I614)</f>
        <v>0</v>
      </c>
      <c r="K614" s="44"/>
      <c r="L614" s="23"/>
      <c r="M614" s="44"/>
    </row>
    <row r="615" spans="4:13" x14ac:dyDescent="0.25">
      <c r="D615" s="25">
        <v>0</v>
      </c>
      <c r="E615" s="25">
        <v>0</v>
      </c>
      <c r="F615" s="25">
        <v>0</v>
      </c>
      <c r="G615" s="25" t="s">
        <v>857</v>
      </c>
      <c r="H615" s="25" t="s">
        <v>857</v>
      </c>
      <c r="I615" s="86"/>
      <c r="J615" s="25" cm="1">
        <f t="array" ref="J615">Scope3_Equations.VEERG_15_14_1_1__1_EmbeddedEmissionsFromUpstreamFreight(E615,F615,I615)</f>
        <v>0</v>
      </c>
      <c r="K615" s="44"/>
      <c r="L615" s="23"/>
      <c r="M615" s="44"/>
    </row>
    <row r="616" spans="4:13" x14ac:dyDescent="0.25">
      <c r="D616" s="25">
        <v>0</v>
      </c>
      <c r="E616" s="25">
        <v>0</v>
      </c>
      <c r="F616" s="25">
        <v>0</v>
      </c>
      <c r="G616" s="25" t="s">
        <v>857</v>
      </c>
      <c r="H616" s="25" t="s">
        <v>857</v>
      </c>
      <c r="I616" s="86"/>
      <c r="J616" s="25" cm="1">
        <f t="array" ref="J616">Scope3_Equations.VEERG_15_14_1_1__1_EmbeddedEmissionsFromUpstreamFreight(E616,F616,I616)</f>
        <v>0</v>
      </c>
      <c r="K616" s="44"/>
      <c r="L616" s="23"/>
      <c r="M616" s="44"/>
    </row>
    <row r="617" spans="4:13" x14ac:dyDescent="0.25">
      <c r="D617" s="25">
        <v>0</v>
      </c>
      <c r="E617" s="25">
        <v>0</v>
      </c>
      <c r="F617" s="25">
        <v>0</v>
      </c>
      <c r="G617" s="25" t="s">
        <v>857</v>
      </c>
      <c r="H617" s="25" t="s">
        <v>857</v>
      </c>
      <c r="I617" s="86"/>
      <c r="J617" s="25" cm="1">
        <f t="array" ref="J617">Scope3_Equations.VEERG_15_14_1_1__1_EmbeddedEmissionsFromUpstreamFreight(E617,F617,I617)</f>
        <v>0</v>
      </c>
      <c r="K617" s="44"/>
      <c r="L617" s="23"/>
      <c r="M617" s="44"/>
    </row>
    <row r="618" spans="4:13" x14ac:dyDescent="0.25">
      <c r="D618" s="25">
        <v>0</v>
      </c>
      <c r="E618" s="25">
        <v>0</v>
      </c>
      <c r="F618" s="25">
        <v>0</v>
      </c>
      <c r="G618" s="25" t="s">
        <v>857</v>
      </c>
      <c r="H618" s="25" t="s">
        <v>857</v>
      </c>
      <c r="I618" s="86"/>
      <c r="J618" s="25" cm="1">
        <f t="array" ref="J618">Scope3_Equations.VEERG_15_14_1_1__1_EmbeddedEmissionsFromUpstreamFreight(E618,F618,I618)</f>
        <v>0</v>
      </c>
      <c r="K618" s="44"/>
      <c r="L618" s="23"/>
      <c r="M618" s="44"/>
    </row>
    <row r="620" spans="4:13" x14ac:dyDescent="0.25">
      <c r="D620" s="160" t="s">
        <v>882</v>
      </c>
      <c r="E620" s="147" t="s">
        <v>857</v>
      </c>
      <c r="F620" s="154" t="str">
        <f>$E$104</f>
        <v>t CO2e</v>
      </c>
    </row>
    <row r="621" spans="4:13" x14ac:dyDescent="0.25">
      <c r="D621" s="160" t="s">
        <v>883</v>
      </c>
      <c r="E621" s="147">
        <f>SUM(J609:J618)</f>
        <v>5146700</v>
      </c>
      <c r="F621" s="154" t="str">
        <f>$E$104</f>
        <v>t CO2e</v>
      </c>
    </row>
    <row r="624" spans="4:13" ht="18.75" x14ac:dyDescent="0.25">
      <c r="D624" s="244" t="s">
        <v>749</v>
      </c>
    </row>
    <row r="626" spans="4:13" ht="17.25" x14ac:dyDescent="0.25">
      <c r="D626" s="92" t="s">
        <v>878</v>
      </c>
      <c r="E626" s="92" t="s">
        <v>879</v>
      </c>
      <c r="F626" s="92" t="s">
        <v>880</v>
      </c>
      <c r="G626" s="146" t="s">
        <v>881</v>
      </c>
      <c r="H626" s="146" t="s">
        <v>769</v>
      </c>
      <c r="I626" s="92" t="s">
        <v>818</v>
      </c>
      <c r="J626" s="146" t="s">
        <v>772</v>
      </c>
      <c r="K626" s="92" t="s">
        <v>773</v>
      </c>
      <c r="L626" s="92" t="s">
        <v>774</v>
      </c>
      <c r="M626" s="92" t="s">
        <v>775</v>
      </c>
    </row>
    <row r="627" spans="4:13" x14ac:dyDescent="0.25">
      <c r="D627" s="25" t="str" cm="1">
        <f t="array" ref="D627:D636">IFERROR(INDEX(Table_Input_FreightOutgoing[Route name], _xlfn.SEQUENCE(10)), "")</f>
        <v>Farm to bulk handler</v>
      </c>
      <c r="E627" s="25" cm="1">
        <f t="array" ref="E627:E636">IFERROR(INDEX(Table_Input_FreightOutgoing[Average weight of freight per trip (t)], _xlfn.SEQUENCE(10)), "")</f>
        <v>20</v>
      </c>
      <c r="F627" s="25" cm="1">
        <f t="array" ref="F627:F636">IFERROR(INDEX(Table_Input_FreightOutgoing[Route distance (km)], _xlfn.SEQUENCE(10))*INDEX(Table_Input_FreightOutgoing[Number of trips taken], _xlfn.SEQUENCE(10)), "")</f>
        <v>3380</v>
      </c>
      <c r="G627" s="25" t="s">
        <v>857</v>
      </c>
      <c r="H627" s="25" t="s">
        <v>857</v>
      </c>
      <c r="I627" s="86">
        <v>6.4</v>
      </c>
      <c r="J627" s="25" cm="1">
        <f t="array" ref="J627">Scope3_Equations.VEERG_15_14_1_1__1_EmbeddedEmissionsFromUpstreamFreight(E627,F627,I627)</f>
        <v>432640</v>
      </c>
      <c r="K627" s="44"/>
      <c r="L627" s="23"/>
      <c r="M627" s="44"/>
    </row>
    <row r="628" spans="4:13" x14ac:dyDescent="0.25">
      <c r="D628" s="25">
        <v>0</v>
      </c>
      <c r="E628" s="25">
        <v>0</v>
      </c>
      <c r="F628" s="25">
        <v>0</v>
      </c>
      <c r="G628" s="25" t="s">
        <v>857</v>
      </c>
      <c r="H628" s="25" t="s">
        <v>857</v>
      </c>
      <c r="I628" s="86"/>
      <c r="J628" s="25" cm="1">
        <f t="array" ref="J628">Scope3_Equations.VEERG_15_14_1_1__1_EmbeddedEmissionsFromUpstreamFreight(E628,F628,I628)</f>
        <v>0</v>
      </c>
      <c r="K628" s="44"/>
      <c r="L628" s="23"/>
      <c r="M628" s="44"/>
    </row>
    <row r="629" spans="4:13" x14ac:dyDescent="0.25">
      <c r="D629" s="25">
        <v>0</v>
      </c>
      <c r="E629" s="25">
        <v>0</v>
      </c>
      <c r="F629" s="25">
        <v>0</v>
      </c>
      <c r="G629" s="25" t="s">
        <v>857</v>
      </c>
      <c r="H629" s="25" t="s">
        <v>857</v>
      </c>
      <c r="I629" s="86"/>
      <c r="J629" s="25" cm="1">
        <f t="array" ref="J629">Scope3_Equations.VEERG_15_14_1_1__1_EmbeddedEmissionsFromUpstreamFreight(E629,F629,I629)</f>
        <v>0</v>
      </c>
      <c r="K629" s="44"/>
      <c r="L629" s="23"/>
      <c r="M629" s="44"/>
    </row>
    <row r="630" spans="4:13" x14ac:dyDescent="0.25">
      <c r="D630" s="25">
        <v>0</v>
      </c>
      <c r="E630" s="25">
        <v>0</v>
      </c>
      <c r="F630" s="25">
        <v>0</v>
      </c>
      <c r="G630" s="25" t="s">
        <v>857</v>
      </c>
      <c r="H630" s="25" t="s">
        <v>857</v>
      </c>
      <c r="I630" s="86"/>
      <c r="J630" s="25" cm="1">
        <f t="array" ref="J630">Scope3_Equations.VEERG_15_14_1_1__1_EmbeddedEmissionsFromUpstreamFreight(E630,F630,I630)</f>
        <v>0</v>
      </c>
      <c r="K630" s="44"/>
      <c r="L630" s="23"/>
      <c r="M630" s="44"/>
    </row>
    <row r="631" spans="4:13" x14ac:dyDescent="0.25">
      <c r="D631" s="25">
        <v>0</v>
      </c>
      <c r="E631" s="25">
        <v>0</v>
      </c>
      <c r="F631" s="25">
        <v>0</v>
      </c>
      <c r="G631" s="25" t="s">
        <v>857</v>
      </c>
      <c r="H631" s="25" t="s">
        <v>857</v>
      </c>
      <c r="I631" s="86"/>
      <c r="J631" s="25" cm="1">
        <f t="array" ref="J631">Scope3_Equations.VEERG_15_14_1_1__1_EmbeddedEmissionsFromUpstreamFreight(E631,F631,I631)</f>
        <v>0</v>
      </c>
      <c r="K631" s="44"/>
      <c r="L631" s="23"/>
      <c r="M631" s="44"/>
    </row>
    <row r="632" spans="4:13" x14ac:dyDescent="0.25">
      <c r="D632" s="25">
        <v>0</v>
      </c>
      <c r="E632" s="25">
        <v>0</v>
      </c>
      <c r="F632" s="25">
        <v>0</v>
      </c>
      <c r="G632" s="25" t="s">
        <v>857</v>
      </c>
      <c r="H632" s="25" t="s">
        <v>857</v>
      </c>
      <c r="I632" s="86"/>
      <c r="J632" s="25" cm="1">
        <f t="array" ref="J632">Scope3_Equations.VEERG_15_14_1_1__1_EmbeddedEmissionsFromUpstreamFreight(E632,F632,I632)</f>
        <v>0</v>
      </c>
      <c r="K632" s="44"/>
      <c r="L632" s="23"/>
      <c r="M632" s="44"/>
    </row>
    <row r="633" spans="4:13" x14ac:dyDescent="0.25">
      <c r="D633" s="25">
        <v>0</v>
      </c>
      <c r="E633" s="25">
        <v>0</v>
      </c>
      <c r="F633" s="25">
        <v>0</v>
      </c>
      <c r="G633" s="25" t="s">
        <v>857</v>
      </c>
      <c r="H633" s="25" t="s">
        <v>857</v>
      </c>
      <c r="I633" s="86"/>
      <c r="J633" s="25" cm="1">
        <f t="array" ref="J633">Scope3_Equations.VEERG_15_14_1_1__1_EmbeddedEmissionsFromUpstreamFreight(E633,F633,I633)</f>
        <v>0</v>
      </c>
      <c r="K633" s="44"/>
      <c r="L633" s="23"/>
      <c r="M633" s="44"/>
    </row>
    <row r="634" spans="4:13" x14ac:dyDescent="0.25">
      <c r="D634" s="25">
        <v>0</v>
      </c>
      <c r="E634" s="25">
        <v>0</v>
      </c>
      <c r="F634" s="25">
        <v>0</v>
      </c>
      <c r="G634" s="25" t="s">
        <v>857</v>
      </c>
      <c r="H634" s="25" t="s">
        <v>857</v>
      </c>
      <c r="I634" s="86"/>
      <c r="J634" s="25" cm="1">
        <f t="array" ref="J634">Scope3_Equations.VEERG_15_14_1_1__1_EmbeddedEmissionsFromUpstreamFreight(E634,F634,I634)</f>
        <v>0</v>
      </c>
      <c r="K634" s="44"/>
      <c r="L634" s="23"/>
      <c r="M634" s="44"/>
    </row>
    <row r="635" spans="4:13" x14ac:dyDescent="0.25">
      <c r="D635" s="25">
        <v>0</v>
      </c>
      <c r="E635" s="25">
        <v>0</v>
      </c>
      <c r="F635" s="25">
        <v>0</v>
      </c>
      <c r="G635" s="25" t="s">
        <v>857</v>
      </c>
      <c r="H635" s="25" t="s">
        <v>857</v>
      </c>
      <c r="I635" s="86"/>
      <c r="J635" s="25" cm="1">
        <f t="array" ref="J635">Scope3_Equations.VEERG_15_14_1_1__1_EmbeddedEmissionsFromUpstreamFreight(E635,F635,I635)</f>
        <v>0</v>
      </c>
      <c r="K635" s="44"/>
      <c r="L635" s="23"/>
      <c r="M635" s="44"/>
    </row>
    <row r="636" spans="4:13" x14ac:dyDescent="0.25">
      <c r="D636" s="25">
        <v>0</v>
      </c>
      <c r="E636" s="25">
        <v>0</v>
      </c>
      <c r="F636" s="25">
        <v>0</v>
      </c>
      <c r="G636" s="25" t="s">
        <v>857</v>
      </c>
      <c r="H636" s="25" t="s">
        <v>857</v>
      </c>
      <c r="I636" s="86"/>
      <c r="J636" s="25" cm="1">
        <f t="array" ref="J636">Scope3_Equations.VEERG_15_14_1_1__1_EmbeddedEmissionsFromUpstreamFreight(E636,F636,I636)</f>
        <v>0</v>
      </c>
      <c r="K636" s="44"/>
      <c r="L636" s="23"/>
      <c r="M636" s="44"/>
    </row>
    <row r="638" spans="4:13" x14ac:dyDescent="0.25">
      <c r="D638" s="160" t="s">
        <v>884</v>
      </c>
      <c r="E638" s="147" t="s">
        <v>857</v>
      </c>
      <c r="F638" s="154" t="str">
        <f>$E$104</f>
        <v>t CO2e</v>
      </c>
    </row>
    <row r="639" spans="4:13" x14ac:dyDescent="0.25">
      <c r="D639" s="160" t="s">
        <v>885</v>
      </c>
      <c r="E639" s="147">
        <f>SUM(J627:J636)</f>
        <v>432640</v>
      </c>
      <c r="F639" s="154" t="str">
        <f>$E$104</f>
        <v>t CO2e</v>
      </c>
    </row>
    <row r="641" spans="4:6" ht="20.25" x14ac:dyDescent="0.25">
      <c r="D641" s="150" t="s">
        <v>769</v>
      </c>
      <c r="E641" s="151" t="s">
        <v>857</v>
      </c>
      <c r="F641" s="152" t="str">
        <f>$E$104</f>
        <v>t CO2e</v>
      </c>
    </row>
    <row r="642" spans="4:6" ht="20.25" x14ac:dyDescent="0.25">
      <c r="D642" s="150" t="s">
        <v>772</v>
      </c>
      <c r="E642" s="151">
        <f>VEERG_15_14_1_1__1_EmbeddedEmissionsFromUpstreamFreight_Incoming_Result_Method2+VEERG_15_14_1_1__1_EmbeddedEmissionsFromUpstreamFreight_Outgoing_Result_Method2</f>
        <v>5579340</v>
      </c>
      <c r="F642" s="152" t="str">
        <f>$E$104</f>
        <v>t CO2e</v>
      </c>
    </row>
  </sheetData>
  <dataValidations count="2">
    <dataValidation type="list" allowBlank="1" showInputMessage="1" showErrorMessage="1" sqref="J490:J499" xr:uid="{4FBCCE2E-71B7-404F-A85E-450489318B46}">
      <formula1>"kg / amount unit, t / amount unit"</formula1>
    </dataValidation>
    <dataValidation type="list" allowBlank="1" showInputMessage="1" showErrorMessage="1" sqref="L42:L51 L61:L70 L79:L88 L430:L439 L448:L457 K119:K128 L367:L376 K136:K139 K162:K164 O23:O32 M221:M231 L305:L314 K273:K282 N336:N345 M490:M499 M237:M251 M399:M408 K466:K470 K479:K483 L609:L618 L627:L636" xr:uid="{DB12CE80-A6B9-44B0-A793-456032B9A8FC}">
      <formula1>INDIRECT("Table_SourceData_DataScores_Scope3[Data source]")</formula1>
    </dataValidation>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E72807-812F-4E78-92FE-AB57AA923700}">
  <sheetPr>
    <tabColor theme="9" tint="-0.249977111117893"/>
  </sheetPr>
  <dimension ref="A1:U160"/>
  <sheetViews>
    <sheetView showGridLines="0" topLeftCell="C56" workbookViewId="0" zoomScale="100" zoomScaleNormal="100">
      <selection activeCell="A50" sqref="A50"/>
    </sheetView>
  </sheetViews>
  <sheetFormatPr defaultRowHeight="15.75" x14ac:dyDescent="0.25"/>
  <cols>
    <col min="1" max="1" width="35" style="239" customWidth="1"/>
    <col min="2" max="2" width="5.28515625" style="239" customWidth="1"/>
    <col min="3" max="3" width="5.28515625" style="1" customWidth="1"/>
    <col min="4" max="10" width="35" style="1" customWidth="1"/>
    <col min="11" max="11" width="5.28515625" style="1" customWidth="1"/>
    <col min="12" max="12" width="5.28515625" style="239" customWidth="1"/>
    <col min="13" max="13" width="5.28515625" style="1" customWidth="1"/>
    <col min="14" max="20" width="35" style="1" customWidth="1"/>
    <col min="21" max="21" width="5.28515625" style="1" customWidth="1"/>
    <col min="22" max="16384" width="9.140625" style="239"/>
  </cols>
  <sheetData>
    <row r="1" spans="1:21" ht="30" customHeight="1" x14ac:dyDescent="0.35">
      <c r="A1" s="16" t="e" vm="1">
        <v>#VALUE!</v>
      </c>
      <c r="C1" s="31" t="s">
        <v>886</v>
      </c>
      <c r="D1" s="31"/>
      <c r="E1" s="31"/>
      <c r="F1" s="31"/>
      <c r="G1" s="31"/>
      <c r="H1" s="31"/>
      <c r="I1" s="31"/>
      <c r="J1" s="31"/>
      <c r="K1" s="31"/>
      <c r="M1" s="31"/>
      <c r="N1" s="31"/>
      <c r="O1" s="31"/>
      <c r="P1" s="31"/>
      <c r="Q1" s="31"/>
      <c r="R1" s="31"/>
      <c r="S1" s="31"/>
      <c r="T1" s="31"/>
      <c r="U1" s="31"/>
    </row>
    <row r="2" spans="1:21" ht="20.100000000000001" customHeight="1" x14ac:dyDescent="0.25">
      <c r="A2"/>
      <c r="C2" s="3"/>
      <c r="D2" s="3"/>
      <c r="E2" s="3"/>
      <c r="F2" s="3"/>
      <c r="G2" s="3"/>
      <c r="H2" s="3"/>
      <c r="I2" s="3"/>
      <c r="J2" s="3"/>
      <c r="K2" s="3"/>
      <c r="M2" s="3"/>
      <c r="N2" s="3"/>
      <c r="O2" s="3"/>
      <c r="P2" s="3"/>
      <c r="Q2" s="3"/>
      <c r="R2" s="3"/>
      <c r="S2" s="3"/>
      <c r="T2" s="3"/>
      <c r="U2" s="3"/>
    </row>
    <row r="3" spans="1:21" ht="20.100000000000001" customHeight="1" x14ac:dyDescent="0.25">
      <c r="A3" s="5" t="str">
        <f>HYPERLINK("#'Home'!A1", "Home")</f>
        <v>Home</v>
      </c>
      <c r="C3" s="33"/>
      <c r="D3" s="33" t="s">
        <v>135</v>
      </c>
      <c r="E3" s="33"/>
      <c r="F3" s="33"/>
      <c r="G3" s="33"/>
      <c r="H3" s="33"/>
      <c r="I3" s="33"/>
      <c r="J3" s="33"/>
      <c r="K3" s="33"/>
      <c r="M3" s="33"/>
      <c r="N3" s="33" t="s">
        <v>136</v>
      </c>
      <c r="O3" s="33"/>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Fertiliser_Equations_OrganicN2O.VEERG_5_2_1_1__1_OrganicFertiliserApplicationN2OEmissions_Title()</f>
        <v>Nitrous oxide emissions from the application of all organic fertiliser types f to all production systems j</v>
      </c>
      <c r="N5" s="2"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A6"/>
      <c r="D6" s="27" t="str" cm="1">
        <f t="array" ref="D6">Fertiliser_Equations_OrganicN2O.VEERG_5_2_1_1__1_OrganicFertiliserApplicationN2OEmissions_Source()</f>
        <v>VEERG 2026: 5.2.1.1, Equation (1)</v>
      </c>
      <c r="N6" s="27" t="str" cm="1">
        <f t="array" ref="N6">Fertiliser_Equations_OrganicN2O.VEERG_5_2_1_1__1_OrganicFertiliserApplicationN2OEmissions_Source()</f>
        <v>VEERG 2026: 5.2.1.1, Equation (1)</v>
      </c>
    </row>
    <row r="7" spans="1:21" ht="20.100000000000001" customHeight="1" x14ac:dyDescent="0.25">
      <c r="A7"/>
      <c r="D7" s="133" t="s">
        <v>267</v>
      </c>
      <c r="E7" s="133" t="str">
        <f ca="1">Common_InputFunctions.Utility_DisplayFunctionName(VEERG_5_2_1_1__1_OrganicFertiliserApplicationN2OEmissions_Result_Method1)</f>
        <v>=Fertiliser_Equations_OrganicN2O.VEERG_5_2_1_1__1_OrganicFertiliserApplicationN2OEmissions</v>
      </c>
      <c r="N7" s="133" t="s">
        <v>267</v>
      </c>
      <c r="O7" s="133"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268</v>
      </c>
      <c r="E10" s="1" t="str" cm="1">
        <f t="array" ref="E10">Fertiliser_Equations_OrganicN2O.VEERG_5_2_1_1__1_OrganicFertiliserApplicationN2OEmissions_Variable()</f>
        <v>E_N2O</v>
      </c>
      <c r="N10" s="88" t="s">
        <v>268</v>
      </c>
      <c r="O10" s="1" t="str" cm="1">
        <f t="array" ref="O10">Fertiliser_Equations_OrganicN2O.VEERG_5_2_1_1__1_OrganicFertiliserApplicationN2OEmissions_Variable()</f>
        <v>E_N2O</v>
      </c>
    </row>
    <row r="11" spans="1:21" ht="20.100000000000001" customHeight="1" x14ac:dyDescent="0.25">
      <c r="A11" s="5" t="str">
        <f>HYPERLINK("#'Input - Crop'!A1", "Crop")</f>
        <v>Crop</v>
      </c>
      <c r="D11" s="88" t="s">
        <v>121</v>
      </c>
      <c r="E11" s="15" t="str" cm="1">
        <f t="array" ref="E11">Fertiliser_Equations_OrganicN2O.VEERG_5_2_1_1__1_OrganicFertiliserApplicationN2OEmissions_Unit()</f>
        <v>t N2O</v>
      </c>
      <c r="N11" s="88" t="s">
        <v>121</v>
      </c>
      <c r="O11" s="15" t="str" cm="1">
        <f t="array" ref="O11">Fertiliser_Equations_OrganicN2O.VEERG_5_2_1_1__1_OrganicFertiliserApplicationN2OEmissions_Unit()</f>
        <v>t N2O</v>
      </c>
    </row>
    <row r="12" spans="1:21" ht="20.100000000000001" customHeight="1" x14ac:dyDescent="0.25">
      <c r="A12" s="5" t="str">
        <f>HYPERLINK("#'Input - Fert Prod System'!A1", "Fert Prod System")</f>
        <v>Fert Prod System</v>
      </c>
    </row>
    <row r="13" spans="1:21" ht="20.100000000000001" customHeight="1" x14ac:dyDescent="0.25">
      <c r="A13" s="5" t="str">
        <f>HYPERLINK("#'Input - Fertiliser'!A1", "Fertiliser")</f>
        <v>Fertiliser</v>
      </c>
      <c r="D13" s="155" t="str" cm="1">
        <f t="array" ref="D13:E17">_xlfn.CHOOSECOLS(Fertiliser_Equations_OrganicN2O.VEERG_5_2_1_1__1_OrganicFertiliserApplicationN2OEmissions_Arguments(), 1, 2)</f>
        <v>MNSoil_jf</v>
      </c>
      <c r="E13" s="163" t="str">
        <v>mass of nitrogen in organic fertiliser type f applied to production system j</v>
      </c>
      <c r="F13" s="164"/>
      <c r="G13" s="165"/>
      <c r="H13" s="155" t="str" cm="1">
        <f t="array" ref="H13:I17">_xlfn.CHOOSECOLS(Fertiliser_Equations_OrganicN2O.VEERG_5_2_1_1__1_OrganicFertiliserApplicationN2OEmissions_Arguments(), 3,4)</f>
        <v>kg N</v>
      </c>
      <c r="I13" s="138" t="str">
        <v>Calculated from 5.2.1.1 (2)</v>
      </c>
      <c r="J13" s="155">
        <f>X_Cell_ManureSentOffsite_MassNitrogenManure_Method1</f>
        <v>1000</v>
      </c>
      <c r="N13" s="155" t="str" cm="1">
        <f t="array" ref="N13:O17">_xlfn.CHOOSECOLS(Fertiliser_Equations_OrganicN2O.VEERG_5_2_1_1__1_OrganicFertiliserApplicationN2OEmissions_Arguments(), 1, 2)</f>
        <v>MNSoil_jf</v>
      </c>
      <c r="O13" s="163" t="str">
        <v>mass of nitrogen in organic fertiliser type f applied to production system j</v>
      </c>
      <c r="P13" s="164"/>
      <c r="Q13" s="165"/>
      <c r="R13" s="155" t="str" cm="1">
        <f t="array" ref="R13:S17">_xlfn.CHOOSECOLS(Fertiliser_Equations_OrganicN2O.VEERG_5_2_1_1__1_OrganicFertiliserApplicationN2OEmissions_Arguments(), 3,4)</f>
        <v>kg N</v>
      </c>
      <c r="S13" s="138" t="str">
        <v>Calculated from 5.2.1.1 (2)</v>
      </c>
      <c r="T13" s="155">
        <f>X_Cell_ManureSentOffsite_MassNitrogenManure_Method2</f>
        <v>2000</v>
      </c>
    </row>
    <row r="14" spans="1:21" ht="20.100000000000001" customHeight="1" x14ac:dyDescent="0.25">
      <c r="A14" s="5" t="str">
        <f>HYPERLINK("#'Input - Fuel'!A1", "Fuel")</f>
        <v>Fuel</v>
      </c>
      <c r="D14" s="155" t="str">
        <v>EF_N2Oi</v>
      </c>
      <c r="E14" s="163" t="str">
        <v>emission factor for direct nitrous oxide emissions from organic fertiliser applied to soils and aquatic systems in climate zone i</v>
      </c>
      <c r="F14" s="164"/>
      <c r="G14" s="165"/>
      <c r="H14" s="155" t="str">
        <v>kg N2O-N/kg N</v>
      </c>
      <c r="I14" s="138" t="str">
        <v>Lookup</v>
      </c>
      <c r="J14" s="155">
        <f>Common_InputFunctions.Utility_LookupValueInTableNumber(J17, Table_SourceData_Common_EFOrganicFertCropResidues[Climate Zone],Table_SourceData_Common_EFOrganicFertCropResidues[EFNi &amp; EFN2Oi])</f>
        <v>5.0000000000000001E-3</v>
      </c>
      <c r="N14" s="155" t="str">
        <v>EF_N2Oi</v>
      </c>
      <c r="O14" s="163" t="str">
        <v>emission factor for direct nitrous oxide emissions from organic fertiliser applied to soils and aquatic systems in climate zone i</v>
      </c>
      <c r="P14" s="164"/>
      <c r="Q14" s="165"/>
      <c r="R14" s="155" t="str">
        <v>kg N2O-N/kg N</v>
      </c>
      <c r="S14" s="138" t="str">
        <v>Lookup</v>
      </c>
      <c r="T14" s="155"/>
    </row>
    <row r="15" spans="1:21" ht="20.100000000000001" customHeight="1" x14ac:dyDescent="0.25">
      <c r="A15" s="5" t="str">
        <f>HYPERLINK("#'Input - Electricity'!A1", "Electricity")</f>
        <v>Electricity</v>
      </c>
      <c r="D15" s="155" t="str">
        <v>C_N2O</v>
      </c>
      <c r="E15" s="163" t="str">
        <v>factor to convert elemental mass of nitrous oxide to molecular mass</v>
      </c>
      <c r="F15" s="164"/>
      <c r="G15" s="165"/>
      <c r="H15" s="155" t="str">
        <v/>
      </c>
      <c r="I15" s="138" t="str">
        <v>Constant</v>
      </c>
      <c r="J15" s="155">
        <f>Common_InputFunctions.Utility_LookupValueInTableNumber("N2O",Table_GasToMolecularConversionFactor[Gas],Table_GasToMolecularConversionFactor[Conversion factor combined])</f>
        <v>1.5714285714285714</v>
      </c>
      <c r="N15" s="155" t="str">
        <v>C_N2O</v>
      </c>
      <c r="O15" s="163" t="str">
        <v>factor to convert elemental mass of nitrous oxide to molecular mass</v>
      </c>
      <c r="P15" s="164"/>
      <c r="Q15" s="165"/>
      <c r="R15" s="155" t="str">
        <v/>
      </c>
      <c r="S15" s="138" t="str">
        <v>Constant</v>
      </c>
      <c r="T15" s="155"/>
    </row>
    <row r="16" spans="1:21" ht="20.100000000000001" customHeight="1" x14ac:dyDescent="0.25">
      <c r="A16" s="5" t="str">
        <f>HYPERLINK("#'Input - Common farm inputs'!A1", "Common farm inputs")</f>
        <v>Common farm inputs</v>
      </c>
      <c r="D16" s="155" t="str">
        <v>j</v>
      </c>
      <c r="E16" s="163" t="str">
        <v>Production system</v>
      </c>
      <c r="F16" s="164"/>
      <c r="G16" s="165"/>
      <c r="H16" s="155" t="str">
        <v/>
      </c>
      <c r="I16" s="249" t="str">
        <v>Input</v>
      </c>
      <c r="J16" s="155" t="str">
        <f>X_Cell_ManureSentOffsite_ManureProductionSystem</f>
        <v>Crop</v>
      </c>
      <c r="N16" s="155" t="str">
        <v>j</v>
      </c>
      <c r="O16" s="163" t="str">
        <v>Production system</v>
      </c>
      <c r="P16" s="164"/>
      <c r="Q16" s="165"/>
      <c r="R16" s="155" t="str">
        <v/>
      </c>
      <c r="S16" s="249" t="str">
        <v>Input</v>
      </c>
      <c r="T16" s="155"/>
    </row>
    <row r="17" spans="1:20" ht="20.100000000000001" customHeight="1" x14ac:dyDescent="0.25">
      <c r="A17" s="5" t="str">
        <f>HYPERLINK("#'Input - Crop pasture farm input'!A1", "Crop pasture farm input")</f>
        <v>Crop pasture farm input</v>
      </c>
      <c r="D17" s="155" t="str">
        <v>i</v>
      </c>
      <c r="E17" s="163" t="str">
        <v>Wet or dry climate zone</v>
      </c>
      <c r="F17" s="164"/>
      <c r="G17" s="165"/>
      <c r="H17" s="155" t="str">
        <v/>
      </c>
      <c r="I17" s="249" t="str">
        <v>Input</v>
      </c>
      <c r="J17" s="155" t="str">
        <f>X_Cell_Site_WetOrDryClimateZone</f>
        <v>Dry climate zone</v>
      </c>
      <c r="N17" s="155" t="str">
        <v>i</v>
      </c>
      <c r="O17" s="163" t="str">
        <v>Wet or dry climate zone</v>
      </c>
      <c r="P17" s="164"/>
      <c r="Q17" s="165"/>
      <c r="R17" s="155" t="str">
        <v/>
      </c>
      <c r="S17" s="249" t="str">
        <v>Input</v>
      </c>
      <c r="T17" s="155"/>
    </row>
    <row r="18" spans="1:20" ht="20.100000000000001" customHeight="1" x14ac:dyDescent="0.25">
      <c r="A18" s="5" t="str">
        <f>HYPERLINK("#'Input - Freight'!A1", "Freight")</f>
        <v>Freight</v>
      </c>
    </row>
    <row r="19" spans="1:20" ht="20.100000000000001" customHeight="1" x14ac:dyDescent="0.25">
      <c r="A19" s="5" t="str">
        <f>HYPERLINK("#'Input - Manure sent off-site'!A1", "Manure sent off-site")</f>
        <v>Manure sent off-site</v>
      </c>
      <c r="D19" s="150" t="s">
        <v>297</v>
      </c>
      <c r="E19" s="151" cm="1">
        <f t="array" ref="E19">Fertiliser_Equations_OrganicN2O.VEERG_5_2_1_1__1_OrganicFertiliserApplicationN2OEmissions(J13,J14,J15)</f>
        <v>7.8571428571428577E-3</v>
      </c>
      <c r="F19" s="152" t="str">
        <f>$E$11</f>
        <v>t N2O</v>
      </c>
      <c r="N19" s="150" t="s">
        <v>297</v>
      </c>
      <c r="O19" s="151" cm="1">
        <f t="array" ref="O19">Fertiliser_Equations_OrganicN2O.VEERG_5_2_1_1__1_OrganicFertiliserApplicationN2OEmissions(T13,J14,J15)</f>
        <v>1.5714285714285715E-2</v>
      </c>
      <c r="P19" s="152" t="str">
        <f>$E$11</f>
        <v>t N2O</v>
      </c>
    </row>
    <row r="20" spans="1:20" ht="20.100000000000001" customHeight="1" x14ac:dyDescent="0.25">
      <c r="A20" s="5" t="str">
        <f>HYPERLINK("#'Input - Solid waste'!A1", "Solid waste")</f>
        <v>Solid waste</v>
      </c>
    </row>
    <row r="21" spans="1:20" ht="20.100000000000001" customHeight="1" x14ac:dyDescent="0.25">
      <c r="A21" s="5" t="str">
        <f>HYPERLINK("#'Input - Data quality'!A1", "Data quality")</f>
        <v>Data quality</v>
      </c>
    </row>
    <row r="22" spans="1:20" ht="20.100000000000001" customHeight="1" x14ac:dyDescent="0.25">
      <c r="A22"/>
    </row>
    <row r="23" spans="1:20" ht="20.100000000000001" customHeight="1" x14ac:dyDescent="0.25">
      <c r="A23"/>
    </row>
    <row r="24" spans="1:20" ht="20.100000000000001" customHeight="1" x14ac:dyDescent="0.25">
      <c r="A24" s="6" t="s">
        <v>2</v>
      </c>
      <c r="D24" s="2" t="str" cm="1">
        <f t="array" ref="D24">Fertiliser_Equations_AtmosphericDeposition.VEERG_5_4_1_3__2_MassOfNitrogenVolatilisedFromOrganicFertiliser_Title()</f>
        <v>Mass of nitrogen volatilised from organic fertiliser applied to production system</v>
      </c>
      <c r="N24" s="2"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A25" s="5" t="str">
        <f>HYPERLINK("#'5.1.1.1-2 Inorganic fert N2O'!A1", "5.1.1.1-2 Inorganic fert N2O")</f>
        <v>5.1.1.1-2 Inorganic fert N2O</v>
      </c>
      <c r="D25" s="27" t="str" cm="1">
        <f t="array" ref="D25">Fertiliser_Equations_AtmosphericDeposition.VEERG_5_4_1_3__2_MassOfNitrogenVolatilisedFromOrganicFertiliser_Source()</f>
        <v>VEERG 2026: 5.4.1.3, Equation (2)</v>
      </c>
      <c r="N25" s="27" t="str" cm="1">
        <f t="array" ref="N25">Fertiliser_Equations_AtmosphericDeposition.VEERG_5_4_1_3__2_MassOfNitrogenVolatilisedFromOrganicFertiliser_Source()</f>
        <v>VEERG 2026: 5.4.1.3, Equation (2)</v>
      </c>
    </row>
    <row r="26" spans="1:20" ht="20.100000000000001" customHeight="1" x14ac:dyDescent="0.25">
      <c r="A26" s="5" t="str">
        <f>HYPERLINK("#'5.1.1.3-4 Inorganic fert CO2'!A1", "5.1.1.3-4 Inorganic fert CO2")</f>
        <v>5.1.1.3-4 Inorganic fert CO2</v>
      </c>
      <c r="D26" s="133" t="s">
        <v>267</v>
      </c>
      <c r="E26" s="133" t="str" cm="1">
        <f t="array" aca="1" ref="E26" ca="1">Common_InputFunctions.Utility_DisplayFunctionName(E35)</f>
        <v>=Fertiliser_Equations_AtmosphericDeposition.VEERG_5_4_1_3__2_MassOfNitrogenVolatilisedFromOrganicFertiliser</v>
      </c>
      <c r="N26" s="133" t="s">
        <v>267</v>
      </c>
      <c r="O26" s="133" t="str" cm="1">
        <f t="array" aca="1" ref="O26" ca="1">Common_InputFunctions.Utility_DisplayFunctionName(O35)</f>
        <v>=Fertiliser_Equations_AtmosphericDeposition.VEERG_5_4_1_3__2_MassOfNitrogenVolatilisedFromOrganicFertiliser</v>
      </c>
    </row>
    <row r="27" spans="1:20" ht="20.100000000000001" customHeight="1" x14ac:dyDescent="0.25">
      <c r="A27" s="5" t="str">
        <f>HYPERLINK("#'5.2.1.1-2 Organic Fert N2O'!A1", "5.2.1.1-2 Organic fert N2O")</f>
        <v>5.2.1.1-2 Organic fert N2O</v>
      </c>
    </row>
    <row r="28" spans="1:20" ht="20.100000000000001" customHeight="1" x14ac:dyDescent="0.25">
      <c r="A28" s="5" t="str">
        <f>HYPERLINK("#'5.3.1.1-2 Lime CO2'!A1", "5.3.1.1-2 Lime CO2")</f>
        <v>5.3.1.1-2 Lime CO2</v>
      </c>
    </row>
    <row r="29" spans="1:20" ht="20.100000000000001" customHeight="1" x14ac:dyDescent="0.25">
      <c r="A29" s="5" t="str">
        <f>HYPERLINK("#'5.4.1.1-4 Atmos deposition'!A1", "5.4.1.1-4 Atmos. deposition")</f>
        <v>5.4.1.1-4 Atmos. deposition</v>
      </c>
      <c r="D29" s="88" t="s">
        <v>268</v>
      </c>
      <c r="E29" s="1" t="str" cm="1">
        <f t="array" ref="E29">Fertiliser_Equations_AtmosphericDeposition.VEERG_5_4_1_3__2_MassOfNitrogenVolatilisedFromOrganicFertiliser_Variable()</f>
        <v>M_volorganicjf</v>
      </c>
      <c r="N29" s="88" t="s">
        <v>268</v>
      </c>
      <c r="O29" s="1" t="str" cm="1">
        <f t="array" ref="O29">Fertiliser_Equations_AtmosphericDeposition.VEERG_5_4_1_3__2_MassOfNitrogenVolatilisedFromOrganicFertiliser_Variable()</f>
        <v>M_volorganicjf</v>
      </c>
    </row>
    <row r="30" spans="1:20" ht="20.100000000000001" customHeight="1" x14ac:dyDescent="0.25">
      <c r="A30" s="5" t="str">
        <f>HYPERLINK("#'5.5.1.1-2 Leaching and runoff'!A1", "5.5.1.1-2 Leaching &amp; runoff")</f>
        <v>5.5.1.1-2 Leaching &amp; runoff</v>
      </c>
      <c r="D30" s="88" t="s">
        <v>121</v>
      </c>
      <c r="E30" s="15" t="str" cm="1">
        <f t="array" ref="E30">Fertiliser_Equations_AtmosphericDeposition.VEERG_5_4_1_3__2_MassOfNitrogenVolatilisedFromOrganicFertiliser_Unit()</f>
        <v>kg N</v>
      </c>
      <c r="N30" s="88" t="s">
        <v>121</v>
      </c>
      <c r="O30" s="15" t="str" cm="1">
        <f t="array" ref="O30">Fertiliser_Equations_AtmosphericDeposition.VEERG_5_4_1_3__2_MassOfNitrogenVolatilisedFromOrganicFertiliser_Unit()</f>
        <v>kg N</v>
      </c>
    </row>
    <row r="31" spans="1:20" ht="20.100000000000001" customHeight="1" x14ac:dyDescent="0.25">
      <c r="A31" s="5" t="str">
        <f>HYPERLINK("#'6.1.1.1-2 Crop residue N2O'!A1", "6.1.1.1-2 Crop residue N2O")</f>
        <v>6.1.1.1-2 Crop residue N2O</v>
      </c>
    </row>
    <row r="32" spans="1:20" ht="20.100000000000001" customHeight="1" x14ac:dyDescent="0.25">
      <c r="A32" s="5" t="str">
        <f>HYPERLINK("#'6.3.1.1-2 Leach runoff crop'!A1", "6.3.1.1-2 Leach &amp; runoff (crop)")</f>
        <v>6.3.1.1-2 Leach &amp; runoff (crop)</v>
      </c>
      <c r="D32" s="155" t="str" cm="1">
        <f t="array" ref="D32:E33">_xlfn.CHOOSECOLS(Fertiliser_Equations_AtmosphericDeposition.VEERG_5_4_1_3__2_MassOfNitrogenVolatilisedFromOrganicFertiliser_Arguments(), 1, 2)</f>
        <v>MNSoil_jf</v>
      </c>
      <c r="E32" s="155" t="str">
        <v>mass of nitrogen in organic fertiliser type f applied to production system j</v>
      </c>
      <c r="F32" s="155"/>
      <c r="G32" s="155" t="str" cm="1">
        <f t="array" ref="G32:H33">_xlfn.CHOOSECOLS(Fertiliser_Equations_AtmosphericDeposition.VEERG_5_4_1_3__2_MassOfNitrogenVolatilisedFromOrganicFertiliser_Arguments(), 3,4)</f>
        <v>kg N</v>
      </c>
      <c r="H32" s="138" t="str">
        <v>Calculated from 5.2.1.1 (2)</v>
      </c>
      <c r="I32" s="155">
        <f>X_Cell_ManureSentOffsite_MassNitrogenManure_Method1</f>
        <v>1000</v>
      </c>
      <c r="N32" s="155" t="str" cm="1">
        <f t="array" ref="N32:O33">_xlfn.CHOOSECOLS(Fertiliser_Equations_AtmosphericDeposition.VEERG_5_4_1_3__2_MassOfNitrogenVolatilisedFromOrganicFertiliser_Arguments(), 1, 2)</f>
        <v>MNSoil_jf</v>
      </c>
      <c r="O32" s="155" t="str">
        <v>mass of nitrogen in organic fertiliser type f applied to production system j</v>
      </c>
      <c r="P32" s="155"/>
      <c r="Q32" s="155" t="str" cm="1">
        <f t="array" ref="Q32:R33">_xlfn.CHOOSECOLS(Fertiliser_Equations_AtmosphericDeposition.VEERG_5_4_1_3__2_MassOfNitrogenVolatilisedFromOrganicFertiliser_Arguments(), 3,4)</f>
        <v>kg N</v>
      </c>
      <c r="R32" s="138" t="str">
        <v>Calculated from 5.2.1.1 (2)</v>
      </c>
      <c r="S32" s="155">
        <f>X_Cell_ManureSentOffsite_MassNitrogenManure_Method2</f>
        <v>2000</v>
      </c>
    </row>
    <row r="33" spans="1:19" ht="20.100000000000001" customHeight="1" x14ac:dyDescent="0.25">
      <c r="A33" s="5" t="str">
        <f>HYPERLINK("#'6.4.1.1-2 Residue burning'!A1", "6.4.1.1-2 Residue burning")</f>
        <v>6.4.1.1-2 Residue burning</v>
      </c>
      <c r="D33" s="155" t="str">
        <v>FracGASM_soil</v>
      </c>
      <c r="E33" s="155" t="str">
        <v>fraction of organic fertiliser N that volatilises</v>
      </c>
      <c r="F33" s="155"/>
      <c r="G33" s="155" t="str">
        <v>(kg NH3-N + NOx-N)/kg N</v>
      </c>
      <c r="H33" s="138" t="str">
        <v>Constant</v>
      </c>
      <c r="I33" s="155">
        <f>Fertiliser_FracGASMSoil_Data</f>
        <v>0.21</v>
      </c>
      <c r="N33" s="155" t="str">
        <v>FracGASM_soil</v>
      </c>
      <c r="O33" s="155" t="str">
        <v>fraction of organic fertiliser N that volatilises</v>
      </c>
      <c r="P33" s="155"/>
      <c r="Q33" s="155" t="str">
        <v>(kg NH3-N + NOx-N)/kg N</v>
      </c>
      <c r="R33" s="138" t="str">
        <v>Constant</v>
      </c>
      <c r="S33" s="155"/>
    </row>
    <row r="34" spans="1:19" ht="20.100000000000001" customHeight="1" x14ac:dyDescent="0.25">
      <c r="A34" s="5" t="str">
        <f>HYPERLINK("#'8.1.1.1-2 Transport fuel'!A1", "8.1.1.1-2 Transport fuel")</f>
        <v>8.1.1.1-2 Transport fuel</v>
      </c>
    </row>
    <row r="35" spans="1:19" ht="20.100000000000001" customHeight="1" x14ac:dyDescent="0.25">
      <c r="A35" s="5" t="str">
        <f>HYPERLINK("#'8.2.1.1-2 Stationary fuel'!A1", "8.2.1.1-2 Stationary fuel")</f>
        <v>8.2.1.1-2 Stationary fuel</v>
      </c>
      <c r="D35" s="160" t="s">
        <v>887</v>
      </c>
      <c r="E35" s="147" cm="1">
        <f t="array" ref="E35">Fertiliser_Equations_AtmosphericDeposition.VEERG_5_4_1_3__2_MassOfNitrogenVolatilisedFromOrganicFertiliser(I32,I33)</f>
        <v>210</v>
      </c>
      <c r="F35" s="154" t="str">
        <f>E30</f>
        <v>kg N</v>
      </c>
      <c r="N35" s="160" t="s">
        <v>887</v>
      </c>
      <c r="O35" s="147" cm="1">
        <f t="array" ref="O35">Fertiliser_Equations_AtmosphericDeposition.VEERG_5_4_1_3__2_MassOfNitrogenVolatilisedFromOrganicFertiliser(S32,I33)</f>
        <v>420</v>
      </c>
      <c r="P35" s="154" t="str">
        <f>O30</f>
        <v>kg N</v>
      </c>
    </row>
    <row r="36" spans="1:19" ht="20.100000000000001" customHeight="1" x14ac:dyDescent="0.25">
      <c r="A36" s="5" t="str">
        <f>HYPERLINK("#'14.1.1-2 Purchased electricity'!A1", "14.1.1-2 Purchased electricity")</f>
        <v>14.1.1-2 Purchased electricity</v>
      </c>
    </row>
    <row r="37" spans="1:19" ht="20.100000000000001" customHeight="1" x14ac:dyDescent="0.25">
      <c r="A37" s="5" t="str">
        <f>HYPERLINK("#'15 Scope 3'!A1", "15 Scope 3")</f>
        <v>15 Scope 3</v>
      </c>
    </row>
    <row r="38" spans="1:19" ht="20.100000000000001" customHeight="1" x14ac:dyDescent="0.25">
      <c r="A38" s="142" t="str">
        <f>HYPERLINK("#'Calcs - Manure sent off-site'!A1", "Calcs - Manure sent off-site")</f>
        <v>Calcs - Manure sent off-site</v>
      </c>
    </row>
    <row r="39" spans="1:19" ht="20.100000000000001" customHeight="1" x14ac:dyDescent="0.25">
      <c r="A39" s="5" t="str">
        <f>HYPERLINK("#'10.1.1-2 Solid waste treatment'!A1", "10.1.1-2 Solid waste treatment")</f>
        <v>10.1.1-2 Solid waste treatment</v>
      </c>
    </row>
    <row r="40" spans="1:19" ht="20.100000000000001" customHeight="1" x14ac:dyDescent="0.25">
      <c r="A40"/>
      <c r="D40" s="2" t="str" cm="1">
        <f t="array" ref="D40">Fertiliser_Equations_AtmosphericDeposition.VEERG_5_4_1_3__1_OrganicFertiliserAtmosphericDepositionN2OEmissions_Title()</f>
        <v>Nitrous oxide emissions from atmospheric deposition of all organic fertiliser types f and all production systems j</v>
      </c>
      <c r="N40" s="2"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A41"/>
      <c r="D41" s="27" t="str" cm="1">
        <f t="array" ref="D41">Fertiliser_Equations_AtmosphericDeposition.VEERG_5_4_1_3__1_OrganicFertiliserAtmosphericDepositionN2OEmissions_Source()</f>
        <v>VEERG 2026: 5.4.1.3, Equation (1)</v>
      </c>
      <c r="N41" s="27" t="str" cm="1">
        <f t="array" ref="N41">Fertiliser_Equations_AtmosphericDeposition.VEERG_5_4_1_3__1_OrganicFertiliserAtmosphericDepositionN2OEmissions_Source()</f>
        <v>VEERG 2026: 5.4.1.3, Equation (1)</v>
      </c>
    </row>
    <row r="42" spans="1:19" ht="20.100000000000001" customHeight="1" x14ac:dyDescent="0.25">
      <c r="A42" s="108" t="s">
        <v>1</v>
      </c>
      <c r="D42" s="133" t="s">
        <v>267</v>
      </c>
      <c r="E42" s="133" t="str">
        <f ca="1">Common_InputFunctions.Utility_DisplayFunctionName(VEERG_5_4_1_3__1_OrganicFertiliserAtmosphericDepositionN2OEmissions_Result_Method1)</f>
        <v>=Fertiliser_Equations_AtmosphericDeposition.VEERG_5_4_1_3__1_OrganicFertiliserAtmosphericDepositionN2OEmissions</v>
      </c>
      <c r="N42" s="133" t="s">
        <v>267</v>
      </c>
      <c r="O42" s="133"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5">
      <c r="A43" s="5" t="str">
        <f>HYPERLINK("#'Constants - Ag Residue'!A1", "Constants - Ag residue")</f>
        <v>Constants - Ag residue</v>
      </c>
    </row>
    <row r="44" spans="1:19" ht="20.100000000000001" customHeight="1" x14ac:dyDescent="0.25">
      <c r="A44" s="5" t="str">
        <f>HYPERLINK("#'Constants - Common Livestock'!A1", "Constants - Common Livestock")</f>
        <v>Constants - Common Livestock</v>
      </c>
    </row>
    <row r="45" spans="1:19" ht="20.100000000000001" customHeight="1" x14ac:dyDescent="0.25">
      <c r="A45" s="5" t="str">
        <f>HYPERLINK("#'Constants - Electricity'!A1", "Constants - Electricity")</f>
        <v>Constants - Electricity</v>
      </c>
      <c r="D45" s="88" t="s">
        <v>268</v>
      </c>
      <c r="E45" s="1" t="str" cm="1">
        <f t="array" ref="E45">Fertiliser_Equations_AtmosphericDeposition.VEERG_5_4_1_3__1_OrganicFertiliserAtmosphericDepositionN2OEmissions_Variable()</f>
        <v>E_adorganic</v>
      </c>
      <c r="N45" s="88" t="s">
        <v>268</v>
      </c>
      <c r="O45" s="1" t="str" cm="1">
        <f t="array" ref="O45">Fertiliser_Equations_AtmosphericDeposition.VEERG_5_4_1_3__1_OrganicFertiliserAtmosphericDepositionN2OEmissions_Variable()</f>
        <v>E_adorganic</v>
      </c>
    </row>
    <row r="46" spans="1:19" ht="20.100000000000001" customHeight="1" x14ac:dyDescent="0.25">
      <c r="A46" s="5" t="str">
        <f>HYPERLINK("#'Constants - Fertiliser'!A1", "Constants - Fertiliser")</f>
        <v>Constants - Fertiliser</v>
      </c>
      <c r="D46" s="88" t="s">
        <v>121</v>
      </c>
      <c r="E46" s="15" t="str" cm="1">
        <f t="array" ref="E46">Fertiliser_Equations_AtmosphericDeposition.VEERG_5_4_1_3__1_OrganicFertiliserAtmosphericDepositionN2OEmissions_Unit()</f>
        <v>t N2O</v>
      </c>
      <c r="N46" s="88" t="s">
        <v>121</v>
      </c>
      <c r="O46" s="15" t="str" cm="1">
        <f t="array" ref="O46">Fertiliser_Equations_AtmosphericDeposition.VEERG_5_4_1_3__1_OrganicFertiliserAtmosphericDepositionN2OEmissions_Unit()</f>
        <v>t N2O</v>
      </c>
    </row>
    <row r="47" spans="1:19" ht="20.100000000000001" customHeight="1" x14ac:dyDescent="0.25">
      <c r="A47" s="5" t="str">
        <f>HYPERLINK("#'Constants - Fuel'!A1", "Constants - Fuel")</f>
        <v>Constants - Fuel</v>
      </c>
    </row>
    <row r="48" spans="1:19" ht="20.100000000000001" customHeight="1" x14ac:dyDescent="0.25">
      <c r="A48" s="5" t="str">
        <f>HYPERLINK("#'Constants - Scope 3'!A1", "Constants - Scope 3")</f>
        <v>Constants - Scope 3</v>
      </c>
      <c r="D48" s="155" t="str" cm="1">
        <f t="array" ref="D48:E53">_xlfn.CHOOSECOLS(Fertiliser_Equations_AtmosphericDeposition.VEERG_5_4_1_3__1_OrganicFertiliserAtmosphericDepositionN2OEmissions_Arguments(), 1, 2)</f>
        <v>M_volorganicjf</v>
      </c>
      <c r="E48" s="163" t="str">
        <v>mass of nitrogen volatilised from organic fertiliser applied to production system</v>
      </c>
      <c r="F48" s="165"/>
      <c r="G48" s="155" t="str" cm="1">
        <f t="array" ref="G48:H53">_xlfn.CHOOSECOLS(Fertiliser_Equations_AtmosphericDeposition.VEERG_5_4_1_3__1_OrganicFertiliserAtmosphericDepositionN2OEmissions_Arguments(), 3,4)</f>
        <v>kg N</v>
      </c>
      <c r="H48" s="138" t="str">
        <v>Calculated from 5.4.1.3 (2)</v>
      </c>
      <c r="I48" s="155">
        <f>E35</f>
        <v>210</v>
      </c>
      <c r="N48" s="155" t="str" cm="1">
        <f t="array" ref="N48:O53">_xlfn.CHOOSECOLS(Fertiliser_Equations_AtmosphericDeposition.VEERG_5_4_1_3__1_OrganicFertiliserAtmosphericDepositionN2OEmissions_Arguments(), 1, 2)</f>
        <v>M_volorganicjf</v>
      </c>
      <c r="O48" s="163" t="str">
        <v>mass of nitrogen volatilised from organic fertiliser applied to production system</v>
      </c>
      <c r="P48" s="165"/>
      <c r="Q48" s="155" t="str" cm="1">
        <f t="array" ref="Q48:R53">_xlfn.CHOOSECOLS(Fertiliser_Equations_AtmosphericDeposition.VEERG_5_4_1_3__1_OrganicFertiliserAtmosphericDepositionN2OEmissions_Arguments(), 3,4)</f>
        <v>kg N</v>
      </c>
      <c r="R48" s="138" t="str">
        <v>Calculated from 5.4.1.3 (2)</v>
      </c>
      <c r="S48" s="155">
        <f>O35</f>
        <v>420</v>
      </c>
    </row>
    <row r="49" spans="1:19" ht="20.100000000000001" customHeight="1" x14ac:dyDescent="0.25">
      <c r="A49" s="5" t="str">
        <f>HYPERLINK("#'Constants - Common'!A1", "Constants - Common")</f>
        <v>Constants - Common</v>
      </c>
      <c r="D49" s="155" t="str">
        <v>EF_N2Oj</v>
      </c>
      <c r="E49" s="163" t="str">
        <v>emission factor for atmospheric deposition in production system j</v>
      </c>
      <c r="F49" s="165"/>
      <c r="G49" s="155" t="str">
        <v>kg N2O-N/kg N</v>
      </c>
      <c r="H49" s="138" t="str">
        <v>Constant</v>
      </c>
      <c r="I49" s="155">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55" t="str">
        <v>EF_N2Oj</v>
      </c>
      <c r="O49" s="163" t="str">
        <v>emission factor for atmospheric deposition in production system j</v>
      </c>
      <c r="P49" s="165"/>
      <c r="Q49" s="155" t="str">
        <v>kg N2O-N/kg N</v>
      </c>
      <c r="R49" s="138" t="str">
        <v>Constant</v>
      </c>
      <c r="S49" s="155"/>
    </row>
    <row r="50" spans="1:19" ht="20.100000000000001" customHeight="1" x14ac:dyDescent="0.25">
      <c r="A50" s="5" t="str">
        <f>HYPERLINK("#'Constants - Solid Waste'!A1", "Constants - Solid Waste")</f>
        <v>Constants - Solid Waste</v>
      </c>
      <c r="D50" s="155" t="str">
        <v>C_N2O</v>
      </c>
      <c r="E50" s="163" t="str">
        <v>factor to convert elemental mass of nitrous oxide to molecular mass</v>
      </c>
      <c r="F50" s="165"/>
      <c r="G50" s="155" t="str">
        <v/>
      </c>
      <c r="H50" s="138" t="str">
        <v>Constant</v>
      </c>
      <c r="I50" s="134">
        <f>Common_InputFunctions.Utility_LookupValueInTableNumber("N2O",Table_GasToMolecularConversionFactor[Gas],Table_GasToMolecularConversionFactor[Conversion factor combined])</f>
        <v>1.5714285714285714</v>
      </c>
      <c r="N50" s="155" t="str">
        <v>C_N2O</v>
      </c>
      <c r="O50" s="163" t="str">
        <v>factor to convert elemental mass of nitrous oxide to molecular mass</v>
      </c>
      <c r="P50" s="165"/>
      <c r="Q50" s="155" t="str">
        <v/>
      </c>
      <c r="R50" s="138" t="str">
        <v>Constant</v>
      </c>
      <c r="S50" s="134"/>
    </row>
    <row r="51" spans="1:19" ht="20.100000000000001" customHeight="1" x14ac:dyDescent="0.25">
      <c r="A51"/>
      <c r="D51" s="155" t="str">
        <v>j</v>
      </c>
      <c r="E51" s="163" t="str">
        <v>Production system</v>
      </c>
      <c r="F51" s="165"/>
      <c r="G51" s="155" t="str">
        <v/>
      </c>
      <c r="H51" s="249" t="str">
        <v>Input</v>
      </c>
      <c r="I51" s="155" t="str">
        <f>X_Cell_ManureSentOffsite_ManureProductionSystem</f>
        <v>Crop</v>
      </c>
      <c r="N51" s="155" t="str">
        <v>j</v>
      </c>
      <c r="O51" s="163" t="str">
        <v>Production system</v>
      </c>
      <c r="P51" s="165"/>
      <c r="Q51" s="155" t="str">
        <v/>
      </c>
      <c r="R51" s="249" t="str">
        <v>Input</v>
      </c>
      <c r="S51" s="155"/>
    </row>
    <row r="52" spans="1:19" ht="20.100000000000001" customHeight="1" x14ac:dyDescent="0.25">
      <c r="A52"/>
      <c r="D52" s="155" t="str">
        <v>ir</v>
      </c>
      <c r="E52" s="163" t="str">
        <v>irrigation method</v>
      </c>
      <c r="F52" s="165"/>
      <c r="G52" s="155" t="str">
        <v/>
      </c>
      <c r="H52" s="249" t="str">
        <v>Input</v>
      </c>
      <c r="I52" s="155" t="str">
        <f>X_Cell_ManureSentOffsite_ManureIrrigationMethod</f>
        <v>Sprinkler irrigation</v>
      </c>
      <c r="N52" s="155" t="str">
        <v>ir</v>
      </c>
      <c r="O52" s="163" t="str">
        <v>irrigation method</v>
      </c>
      <c r="P52" s="165"/>
      <c r="Q52" s="155" t="str">
        <v/>
      </c>
      <c r="R52" s="249" t="str">
        <v>Input</v>
      </c>
      <c r="S52" s="155"/>
    </row>
    <row r="53" spans="1:19" ht="20.100000000000001" customHeight="1" x14ac:dyDescent="0.25">
      <c r="A53"/>
      <c r="D53" s="155" t="str">
        <v>r</v>
      </c>
      <c r="E53" s="163" t="str">
        <v>rainfall region</v>
      </c>
      <c r="F53" s="165"/>
      <c r="G53" s="155" t="str">
        <v/>
      </c>
      <c r="H53" s="249" t="str">
        <v>Input</v>
      </c>
      <c r="I53" s="155" t="str">
        <f>X_Cell_Site_RainfallZone</f>
        <v>High rainfall</v>
      </c>
      <c r="N53" s="155" t="str">
        <v>r</v>
      </c>
      <c r="O53" s="163" t="str">
        <v>rainfall region</v>
      </c>
      <c r="P53" s="165"/>
      <c r="Q53" s="155" t="str">
        <v/>
      </c>
      <c r="R53" s="249" t="str">
        <v>Input</v>
      </c>
      <c r="S53" s="155"/>
    </row>
    <row r="54" spans="1:19" ht="20.100000000000001" customHeight="1" x14ac:dyDescent="0.25">
      <c r="A54"/>
    </row>
    <row r="55" spans="1:19" ht="20.100000000000001" customHeight="1" x14ac:dyDescent="0.25">
      <c r="A55"/>
      <c r="D55" s="150" t="s">
        <v>337</v>
      </c>
      <c r="E55" s="151" cm="1">
        <f t="array" ref="E55">Fertiliser_Equations_AtmosphericDeposition.VEERG_5_4_1_3__1_OrganicFertiliserAtmosphericDepositionN2OEmissions(I48,I49,I50)</f>
        <v>2.31E-3</v>
      </c>
      <c r="F55" s="152" t="str">
        <f>$E$46</f>
        <v>t N2O</v>
      </c>
      <c r="N55" s="150" t="s">
        <v>337</v>
      </c>
      <c r="O55" s="151" cm="1">
        <f t="array" ref="O55">Fertiliser_Equations_AtmosphericDeposition.VEERG_5_4_1_3__1_OrganicFertiliserAtmosphericDepositionN2OEmissions(S48,I49,I50)</f>
        <v>4.62E-3</v>
      </c>
      <c r="P55" s="152" t="str">
        <f>$E$46</f>
        <v>t N2O</v>
      </c>
    </row>
    <row r="56" spans="1:19" ht="20.100000000000001" customHeight="1" x14ac:dyDescent="0.25">
      <c r="A56"/>
    </row>
    <row r="57" spans="1:19" ht="20.100000000000001" customHeight="1" x14ac:dyDescent="0.25">
      <c r="A57"/>
    </row>
    <row r="58" spans="1:19" ht="20.100000000000001" customHeight="1" x14ac:dyDescent="0.25">
      <c r="A58"/>
    </row>
    <row r="59" spans="1:19" ht="20.100000000000001" customHeight="1" x14ac:dyDescent="0.25">
      <c r="A59"/>
      <c r="D59" s="2" t="str" cm="1">
        <f t="array" ref="D59">Fertiliser_Equations_LeachingAndRunoff.VEERG_5_5_1_1__3_MassOfNitrogenLeachedFromOrganicFertiliser_Title()</f>
        <v>Mass of nitrogen lost through leaching and runoff from organic fertiliser application in production system j</v>
      </c>
      <c r="N59" s="2" t="str" cm="1">
        <f t="array" ref="N59">Fertiliser_Equations_LeachingAndRunoff.VEERG_5_5_1_1__3_MassOfNitrogenLeachedFromOrganicFertiliser_Title()</f>
        <v>Mass of nitrogen lost through leaching and runoff from organic fertiliser application in production system j</v>
      </c>
    </row>
    <row r="60" spans="1:19" ht="20.100000000000001" customHeight="1" x14ac:dyDescent="0.25">
      <c r="A60"/>
      <c r="D60" s="27" t="str" cm="1">
        <f t="array" ref="D60">Fertiliser_Equations_LeachingAndRunoff.VEERG_5_5_1_1__3_MassOfNitrogenLeachedFromOrganicFertiliser_Source()</f>
        <v>VEERG 2026: 5.5, Equation (3)</v>
      </c>
      <c r="N60" s="27" t="str" cm="1">
        <f t="array" ref="N60">Fertiliser_Equations_LeachingAndRunoff.VEERG_5_5_1_1__3_MassOfNitrogenLeachedFromOrganicFertiliser_Source()</f>
        <v>VEERG 2026: 5.5, Equation (3)</v>
      </c>
    </row>
    <row r="61" spans="1:19" ht="20.100000000000001" customHeight="1" x14ac:dyDescent="0.25">
      <c r="A61"/>
      <c r="D61" s="133" t="s">
        <v>267</v>
      </c>
      <c r="E61" s="133" t="str" cm="1">
        <f t="array" aca="1" ref="E61" ca="1">Common_InputFunctions.Utility_DisplayFunctionName(E74)</f>
        <v>=Fertiliser_Equations_LeachingAndRunoff.VEERG_5_5_1_1__3_MassOfNitrogenLeachedFromOrganicFertiliser</v>
      </c>
      <c r="N61" s="133" t="s">
        <v>267</v>
      </c>
      <c r="O61" s="133" t="str" cm="1">
        <f t="array" aca="1" ref="O61" ca="1">Common_InputFunctions.Utility_DisplayFunctionName(O74)</f>
        <v>=Fertiliser_Equations_LeachingAndRunoff.VEERG_5_5_1_1__3_MassOfNitrogenLeachedFromOrganicFertiliser</v>
      </c>
    </row>
    <row r="62" spans="1:19" ht="20.100000000000001" customHeight="1" x14ac:dyDescent="0.25">
      <c r="A62"/>
    </row>
    <row r="63" spans="1:19" ht="20.100000000000001" customHeight="1" x14ac:dyDescent="0.25">
      <c r="A63"/>
    </row>
    <row r="64" spans="1:19" ht="20.100000000000001" customHeight="1" x14ac:dyDescent="0.25">
      <c r="A64"/>
      <c r="D64" s="88" t="s">
        <v>268</v>
      </c>
      <c r="E64" s="1" t="str" cm="1">
        <f t="array" ref="E64">Fertiliser_Equations_LeachingAndRunoff.VEERG_5_5_1_1__3_MassOfNitrogenLeachedFromOrganicFertiliser_Variable()</f>
        <v>M_leachorganicj</v>
      </c>
      <c r="N64" s="88" t="s">
        <v>268</v>
      </c>
      <c r="O64" s="1" t="str" cm="1">
        <f t="array" ref="O64">Fertiliser_Equations_LeachingAndRunoff.VEERG_5_5_1_1__3_MassOfNitrogenLeachedFromOrganicFertiliser_Variable()</f>
        <v>M_leachorganicj</v>
      </c>
    </row>
    <row r="65" spans="1:19" ht="20.100000000000001" customHeight="1" x14ac:dyDescent="0.25">
      <c r="A65"/>
      <c r="D65" s="88" t="s">
        <v>121</v>
      </c>
      <c r="E65" s="15" t="str" cm="1">
        <f t="array" ref="E65">Fertiliser_Equations_LeachingAndRunoff.VEERG_5_5_1_1__3_MassOfNitrogenLeachedFromOrganicFertiliser_Unit()</f>
        <v>kg N</v>
      </c>
      <c r="N65" s="88" t="s">
        <v>121</v>
      </c>
      <c r="O65" s="15" t="str" cm="1">
        <f t="array" ref="O65">Fertiliser_Equations_LeachingAndRunoff.VEERG_5_5_1_1__3_MassOfNitrogenLeachedFromOrganicFertiliser_Unit()</f>
        <v>kg N</v>
      </c>
    </row>
    <row r="66" spans="1:19" ht="20.100000000000001" customHeight="1" x14ac:dyDescent="0.25">
      <c r="A66"/>
    </row>
    <row r="67" spans="1:19" ht="20.100000000000001" customHeight="1" x14ac:dyDescent="0.25">
      <c r="A67"/>
      <c r="D67" s="155" t="str" cm="1">
        <f t="array" ref="D67:E72">_xlfn.CHOOSECOLS(Fertiliser_Equations_LeachingAndRunoff.VEERG_5_5_1_1__3_MassOfNitrogenLeachedFromOrganicFertiliser_Arguments(), 1, 2)</f>
        <v>MNSoil_jf</v>
      </c>
      <c r="E67" s="163" t="str">
        <v>mass of nitrogen in organic fertiliser</v>
      </c>
      <c r="F67" s="165"/>
      <c r="G67" s="155" t="str" cm="1">
        <f t="array" ref="G67:H72">_xlfn.CHOOSECOLS(Fertiliser_Equations_LeachingAndRunoff.VEERG_5_5_1_1__3_MassOfNitrogenLeachedFromOrganicFertiliser_Arguments(), 3,4)</f>
        <v>kg N</v>
      </c>
      <c r="H67" s="138" t="str">
        <v>Calculated from 5.2.1.1 (2)</v>
      </c>
      <c r="I67" s="155">
        <f>X_Cell_ManureSentOffsite_MassNitrogenManure_Method1</f>
        <v>1000</v>
      </c>
      <c r="N67" s="155" t="str" cm="1">
        <f t="array" ref="N67:O72">_xlfn.CHOOSECOLS(Fertiliser_Equations_LeachingAndRunoff.VEERG_5_5_1_1__3_MassOfNitrogenLeachedFromOrganicFertiliser_Arguments(), 1, 2)</f>
        <v>MNSoil_jf</v>
      </c>
      <c r="O67" s="163" t="str">
        <v>mass of nitrogen in organic fertiliser</v>
      </c>
      <c r="P67" s="165"/>
      <c r="Q67" s="155" t="str" cm="1">
        <f t="array" ref="Q67:R72">_xlfn.CHOOSECOLS(Fertiliser_Equations_LeachingAndRunoff.VEERG_5_5_1_1__3_MassOfNitrogenLeachedFromOrganicFertiliser_Arguments(), 3,4)</f>
        <v>kg N</v>
      </c>
      <c r="R67" s="138" t="str">
        <v>Calculated from 5.2.1.1 (2)</v>
      </c>
      <c r="S67" s="155">
        <f>X_Cell_ManureSentOffsite_MassNitrogenManure_Method2</f>
        <v>2000</v>
      </c>
    </row>
    <row r="68" spans="1:19" ht="20.100000000000001" customHeight="1" x14ac:dyDescent="0.25">
      <c r="A68"/>
      <c r="D68" s="155" t="str">
        <v>FracWETj</v>
      </c>
      <c r="E68" s="163" t="str">
        <v>fraction of N available for leaching and runoff</v>
      </c>
      <c r="F68" s="165"/>
      <c r="G68" s="155" t="str">
        <v>fraction</v>
      </c>
      <c r="H68" s="138" t="str">
        <v>Constant</v>
      </c>
      <c r="I68" s="155">
        <f>Common_InputFunctions.CommonCropping_GetFracWET(I70,I72,Table_SourceData_FracWET[Is in leaching zone],Table_SourceData_FracWET[FracWET],Table_SourceData_FracWETIrrigation[Irrigation type i],Table_SourceData_FracWETIrrigation[FracWET])</f>
        <v>1</v>
      </c>
      <c r="N68" s="155" t="str">
        <v>FracWETj</v>
      </c>
      <c r="O68" s="163" t="str">
        <v>fraction of N available for leaching and runoff</v>
      </c>
      <c r="P68" s="165"/>
      <c r="Q68" s="155" t="str">
        <v>fraction</v>
      </c>
      <c r="R68" s="138" t="str">
        <v>Constant</v>
      </c>
      <c r="S68" s="155"/>
    </row>
    <row r="69" spans="1:19" ht="20.100000000000001" customHeight="1" x14ac:dyDescent="0.25">
      <c r="A69"/>
      <c r="D69" s="155" t="str">
        <v>FracLEACH</v>
      </c>
      <c r="E69" s="163" t="str">
        <v>fraction of N that is lost through leaching and runoff</v>
      </c>
      <c r="F69" s="165"/>
      <c r="G69" s="155" t="str">
        <v>fraction</v>
      </c>
      <c r="H69" s="138" t="str">
        <v>Constant</v>
      </c>
      <c r="I69" s="155">
        <f>Fertiliser_FracLEACH_Data</f>
        <v>0.24</v>
      </c>
      <c r="N69" s="155" t="str">
        <v>FracLEACH</v>
      </c>
      <c r="O69" s="163" t="str">
        <v>fraction of N that is lost through leaching and runoff</v>
      </c>
      <c r="P69" s="165"/>
      <c r="Q69" s="155" t="str">
        <v>fraction</v>
      </c>
      <c r="R69" s="138" t="str">
        <v>Constant</v>
      </c>
      <c r="S69" s="155"/>
    </row>
    <row r="70" spans="1:19" ht="20.100000000000001" customHeight="1" x14ac:dyDescent="0.25">
      <c r="A70"/>
      <c r="D70" s="155" t="str">
        <v>z</v>
      </c>
      <c r="E70" s="163" t="str">
        <v>location in leaching zone</v>
      </c>
      <c r="F70" s="165"/>
      <c r="G70" s="155" t="str">
        <v/>
      </c>
      <c r="H70" s="249" t="str">
        <v>Input</v>
      </c>
      <c r="I70" s="155" t="str">
        <f>X_Cell_Site_LeachingZone</f>
        <v>NO - Not in leaching zone</v>
      </c>
      <c r="N70" s="155" t="str">
        <v>z</v>
      </c>
      <c r="O70" s="163" t="str">
        <v>location in leaching zone</v>
      </c>
      <c r="P70" s="165"/>
      <c r="Q70" s="155" t="str">
        <v/>
      </c>
      <c r="R70" s="249" t="str">
        <v>Input</v>
      </c>
      <c r="S70" s="155"/>
    </row>
    <row r="71" spans="1:19" ht="20.100000000000001" customHeight="1" x14ac:dyDescent="0.25">
      <c r="A71"/>
      <c r="D71" s="155" t="str">
        <v>j</v>
      </c>
      <c r="E71" s="163" t="str">
        <v>production system</v>
      </c>
      <c r="F71" s="165"/>
      <c r="G71" s="155" t="str">
        <v/>
      </c>
      <c r="H71" s="249" t="str">
        <v>Input</v>
      </c>
      <c r="I71" s="155" t="str">
        <f>X_Cell_ManureSentOffsite_ManureProductionSystem</f>
        <v>Crop</v>
      </c>
      <c r="N71" s="155" t="str">
        <v>j</v>
      </c>
      <c r="O71" s="163" t="str">
        <v>production system</v>
      </c>
      <c r="P71" s="165"/>
      <c r="Q71" s="155" t="str">
        <v/>
      </c>
      <c r="R71" s="249" t="str">
        <v>Input</v>
      </c>
      <c r="S71" s="155"/>
    </row>
    <row r="72" spans="1:19" ht="20.100000000000001" customHeight="1" x14ac:dyDescent="0.25">
      <c r="A72"/>
      <c r="D72" s="155" t="str">
        <v>ir</v>
      </c>
      <c r="E72" s="163" t="str">
        <v>irrigation method</v>
      </c>
      <c r="F72" s="165"/>
      <c r="G72" s="155" t="str">
        <v/>
      </c>
      <c r="H72" s="249" t="str">
        <v>Input</v>
      </c>
      <c r="I72" s="155" t="str">
        <f>X_Cell_ManureSentOffsite_ManureIrrigationMethod</f>
        <v>Sprinkler irrigation</v>
      </c>
      <c r="N72" s="155" t="str">
        <v>ir</v>
      </c>
      <c r="O72" s="163" t="str">
        <v>irrigation method</v>
      </c>
      <c r="P72" s="165"/>
      <c r="Q72" s="155" t="str">
        <v/>
      </c>
      <c r="R72" s="249" t="str">
        <v>Input</v>
      </c>
      <c r="S72" s="155"/>
    </row>
    <row r="73" spans="1:19" ht="20.100000000000001" customHeight="1" x14ac:dyDescent="0.25">
      <c r="A73"/>
    </row>
    <row r="74" spans="1:19" ht="20.100000000000001" customHeight="1" x14ac:dyDescent="0.25">
      <c r="A74"/>
      <c r="D74" s="160" t="s">
        <v>888</v>
      </c>
      <c r="E74" s="147" cm="1">
        <f t="array" ref="E74">Fertiliser_Equations_LeachingAndRunoff.VEERG_5_5_1_1__3_MassOfNitrogenLeachedFromOrganicFertiliser(I67,I68,I69)</f>
        <v>240</v>
      </c>
      <c r="F74" s="154" t="str">
        <f>$E$65</f>
        <v>kg N</v>
      </c>
      <c r="N74" s="160" t="s">
        <v>888</v>
      </c>
      <c r="O74" s="147" cm="1">
        <f t="array" ref="O74">Fertiliser_Equations_LeachingAndRunoff.VEERG_5_5_1_1__3_MassOfNitrogenLeachedFromOrganicFertiliser(S67,I68,I69)</f>
        <v>480</v>
      </c>
      <c r="P74" s="154" t="str">
        <f>$E$65</f>
        <v>kg N</v>
      </c>
    </row>
    <row r="75" spans="1:19" ht="20.100000000000001" customHeight="1" x14ac:dyDescent="0.25">
      <c r="A75"/>
    </row>
    <row r="76" spans="1:19" ht="20.100000000000001" customHeight="1" x14ac:dyDescent="0.25">
      <c r="A76"/>
    </row>
    <row r="77" spans="1:19" ht="20.100000000000001" customHeight="1" x14ac:dyDescent="0.25">
      <c r="A77"/>
      <c r="D77" s="2" t="str" cm="1">
        <f t="array" ref="D77">Fertiliser_Equations_LeachingAndRunoff.VEERG_5_5_1_1__1_FertiliserLeachingAndRunoffN2OEmissions_Title()</f>
        <v>Nitrous oxide emissions from nitrogen leaching and runoff from the application of all fertilisers across all production systems j</v>
      </c>
      <c r="N77" s="2" t="str" cm="1">
        <f t="array" ref="N77">Fertiliser_Equations_LeachingAndRunoff.VEERG_5_5_1_1__1_FertiliserLeachingAndRunoffN2OEmissions_Title()</f>
        <v>Nitrous oxide emissions from nitrogen leaching and runoff from the application of all fertilisers across all production systems j</v>
      </c>
    </row>
    <row r="78" spans="1:19" ht="20.100000000000001" customHeight="1" x14ac:dyDescent="0.25">
      <c r="A78"/>
      <c r="D78" s="27" t="str" cm="1">
        <f t="array" ref="D78">Fertiliser_Equations_LeachingAndRunoff.VEERG_5_5_1_1__1_FertiliserLeachingAndRunoffN2OEmissions_Source()</f>
        <v>VEERG 2026: 5.5, Equation (1)</v>
      </c>
      <c r="N78" s="27" t="str" cm="1">
        <f t="array" ref="N78">Fertiliser_Equations_LeachingAndRunoff.VEERG_5_5_1_1__1_FertiliserLeachingAndRunoffN2OEmissions_Source()</f>
        <v>VEERG 2026: 5.5, Equation (1)</v>
      </c>
    </row>
    <row r="79" spans="1:19" ht="20.100000000000001" customHeight="1" x14ac:dyDescent="0.25">
      <c r="A79"/>
      <c r="D79" s="133" t="s">
        <v>267</v>
      </c>
      <c r="E79" s="133" t="str">
        <f ca="1">Common_InputFunctions.Utility_DisplayFunctionName(VEERG_5_5_1_1__1_FertiliserLeachingAndRunoffN2OEmissions_Result_Method1)</f>
        <v>=Fertiliser_Equations_LeachingAndRunoff.VEERG_5_5_1_1__1_FertiliserLeachingAndRunoffN2OEmissions</v>
      </c>
      <c r="N79" s="133" t="s">
        <v>267</v>
      </c>
      <c r="O79" s="133" t="str">
        <f ca="1">Common_InputFunctions.Utility_DisplayFunctionName(VEERG_5_5_1_1__1_FertiliserLeachingAndRunoffN2OEmissions_Result_Method2)</f>
        <v>=Fertiliser_Equations_LeachingAndRunoff.VEERG_5_5_1_1__1_FertiliserLeachingAndRunoffN2OEmissions</v>
      </c>
    </row>
    <row r="80" spans="1:19" ht="20.100000000000001" customHeight="1" x14ac:dyDescent="0.25">
      <c r="A80"/>
    </row>
    <row r="81" spans="1:20" ht="20.100000000000001" customHeight="1" x14ac:dyDescent="0.25">
      <c r="A81"/>
    </row>
    <row r="82" spans="1:20" ht="20.100000000000001" customHeight="1" x14ac:dyDescent="0.25">
      <c r="A82"/>
      <c r="D82" s="88" t="s">
        <v>268</v>
      </c>
      <c r="E82" s="1" t="str" cm="1">
        <f t="array" ref="E82">Fertiliser_Equations_LeachingAndRunoff.VEERG_5_5_1_1__1_FertiliserLeachingAndRunoffN2OEmissions_Variable()</f>
        <v>E_fertleach</v>
      </c>
      <c r="N82" s="88" t="s">
        <v>268</v>
      </c>
      <c r="O82" s="1" t="str" cm="1">
        <f t="array" ref="O82">Fertiliser_Equations_LeachingAndRunoff.VEERG_5_5_1_1__1_FertiliserLeachingAndRunoffN2OEmissions_Variable()</f>
        <v>E_fertleach</v>
      </c>
    </row>
    <row r="83" spans="1:20" x14ac:dyDescent="0.25">
      <c r="A83"/>
      <c r="D83" s="88" t="s">
        <v>121</v>
      </c>
      <c r="E83" s="15" t="str" cm="1">
        <f t="array" ref="E83">Fertiliser_Equations_LeachingAndRunoff.VEERG_5_5_1_1__1_FertiliserLeachingAndRunoffN2OEmissions_Unit()</f>
        <v>t N2O</v>
      </c>
      <c r="N83" s="88" t="s">
        <v>121</v>
      </c>
      <c r="O83" s="15" t="str" cm="1">
        <f t="array" ref="O83">Fertiliser_Equations_LeachingAndRunoff.VEERG_5_5_1_1__1_FertiliserLeachingAndRunoffN2OEmissions_Unit()</f>
        <v>t N2O</v>
      </c>
    </row>
    <row r="84" spans="1:20" x14ac:dyDescent="0.25">
      <c r="A84"/>
    </row>
    <row r="85" spans="1:20" x14ac:dyDescent="0.25">
      <c r="A85"/>
      <c r="D85" s="155" t="str" cm="1">
        <f t="array" ref="D85:E88">_xlfn.CHOOSECOLS(Fertiliser_Equations_LeachingAndRunoff.VEERG_5_5_1_1__1_FertiliserLeachingAndRunoffN2OEmissions_Arguments(), 1, 2)</f>
        <v>M_leachinorganicj</v>
      </c>
      <c r="E85" s="163" t="str">
        <v>mass of nitrogen lost through leaching and runoff from inorganic fertiliser application in production system j</v>
      </c>
      <c r="F85" s="164"/>
      <c r="G85" s="165"/>
      <c r="H85" s="155" t="str" cm="1">
        <f t="array" ref="H85:I88">_xlfn.CHOOSECOLS(Fertiliser_Equations_LeachingAndRunoff.VEERG_5_5_1_1__1_FertiliserLeachingAndRunoffN2OEmissions_Arguments(), 3,4)</f>
        <v>kg N</v>
      </c>
      <c r="I85" s="138" t="str">
        <v>Calculated from 5.5.1.1 (2)</v>
      </c>
      <c r="J85" s="155">
        <v>0</v>
      </c>
      <c r="N85" s="155" t="str" cm="1">
        <f t="array" ref="N85:O88">_xlfn.CHOOSECOLS(Fertiliser_Equations_LeachingAndRunoff.VEERG_5_5_1_1__1_FertiliserLeachingAndRunoffN2OEmissions_Arguments(), 1, 2)</f>
        <v>M_leachinorganicj</v>
      </c>
      <c r="O85" s="163" t="str">
        <v>mass of nitrogen lost through leaching and runoff from inorganic fertiliser application in production system j</v>
      </c>
      <c r="P85" s="164"/>
      <c r="Q85" s="165"/>
      <c r="R85" s="155" t="str" cm="1">
        <f t="array" ref="R85:S88">_xlfn.CHOOSECOLS(Fertiliser_Equations_LeachingAndRunoff.VEERG_5_5_1_1__1_FertiliserLeachingAndRunoffN2OEmissions_Arguments(), 3,4)</f>
        <v>kg N</v>
      </c>
      <c r="S85" s="138" t="str">
        <v>Calculated from 5.5.1.1 (2)</v>
      </c>
      <c r="T85" s="155"/>
    </row>
    <row r="86" spans="1:20" x14ac:dyDescent="0.25">
      <c r="A86"/>
      <c r="D86" s="155" t="str">
        <v>M_leachorganicj</v>
      </c>
      <c r="E86" s="163" t="str">
        <v>mass of nitrogen lost through leaching and runoff from organic fertiliser application</v>
      </c>
      <c r="F86" s="164"/>
      <c r="G86" s="165"/>
      <c r="H86" s="155" t="str">
        <v>kg N</v>
      </c>
      <c r="I86" s="138" t="str">
        <v>Calculated from 5.5.1.1 (3)</v>
      </c>
      <c r="J86" s="155">
        <f>E74</f>
        <v>240</v>
      </c>
      <c r="N86" s="155" t="str">
        <v>M_leachorganicj</v>
      </c>
      <c r="O86" s="163" t="str">
        <v>mass of nitrogen lost through leaching and runoff from organic fertiliser application</v>
      </c>
      <c r="P86" s="164"/>
      <c r="Q86" s="165"/>
      <c r="R86" s="155" t="str">
        <v>kg N</v>
      </c>
      <c r="S86" s="138" t="str">
        <v>Calculated from 5.5.1.1 (3)</v>
      </c>
      <c r="T86" s="155">
        <f>O74</f>
        <v>480</v>
      </c>
    </row>
    <row r="87" spans="1:20" x14ac:dyDescent="0.25">
      <c r="A87"/>
      <c r="D87" s="155" t="str">
        <v>EF_leach</v>
      </c>
      <c r="E87" s="163" t="str">
        <v>emission factor for nitrogen leaching and runoff</v>
      </c>
      <c r="F87" s="164"/>
      <c r="G87" s="165"/>
      <c r="H87" s="155" t="str">
        <v>kg N2O-N/kg N</v>
      </c>
      <c r="I87" s="138" t="str">
        <v>Constant</v>
      </c>
      <c r="J87" s="155">
        <f>Fertiliser_EFLeach_Data</f>
        <v>1.0999999999999999E-2</v>
      </c>
      <c r="N87" s="155" t="str">
        <v>EF_leach</v>
      </c>
      <c r="O87" s="163" t="str">
        <v>emission factor for nitrogen leaching and runoff</v>
      </c>
      <c r="P87" s="164"/>
      <c r="Q87" s="165"/>
      <c r="R87" s="155" t="str">
        <v>kg N2O-N/kg N</v>
      </c>
      <c r="S87" s="138" t="str">
        <v>Constant</v>
      </c>
      <c r="T87" s="155"/>
    </row>
    <row r="88" spans="1:20" x14ac:dyDescent="0.25">
      <c r="A88"/>
      <c r="D88" s="155" t="str">
        <v>C_N2O</v>
      </c>
      <c r="E88" s="163" t="str">
        <v>factor to convert elemental mass of nitrous oxide to molecular mass</v>
      </c>
      <c r="F88" s="164"/>
      <c r="G88" s="165"/>
      <c r="H88" s="155" t="str">
        <v/>
      </c>
      <c r="I88" s="138" t="str">
        <v>Constant</v>
      </c>
      <c r="J88" s="134">
        <f>Common_InputFunctions.Utility_LookupValueInTableNumber("N2O",Table_GasToMolecularConversionFactor[Gas],Table_GasToMolecularConversionFactor[Conversion factor combined])</f>
        <v>1.5714285714285714</v>
      </c>
      <c r="N88" s="155" t="str">
        <v>C_N2O</v>
      </c>
      <c r="O88" s="163" t="str">
        <v>factor to convert elemental mass of nitrous oxide to molecular mass</v>
      </c>
      <c r="P88" s="164"/>
      <c r="Q88" s="165"/>
      <c r="R88" s="155" t="str">
        <v/>
      </c>
      <c r="S88" s="138" t="str">
        <v>Constant</v>
      </c>
      <c r="T88" s="134"/>
    </row>
    <row r="89" spans="1:20" x14ac:dyDescent="0.25">
      <c r="A89"/>
    </row>
    <row r="90" spans="1:20" ht="23.25" x14ac:dyDescent="0.25">
      <c r="A90"/>
      <c r="D90" s="150" t="s">
        <v>354</v>
      </c>
      <c r="E90" s="151" cm="1">
        <f t="array" ref="E90">Fertiliser_Equations_LeachingAndRunoff.VEERG_5_5_1_1__1_FertiliserLeachingAndRunoffN2OEmissions(J85,J86,J87,J88)</f>
        <v>4.1485714285714277E-3</v>
      </c>
      <c r="F90" s="152" t="str">
        <f>$E$83</f>
        <v>t N2O</v>
      </c>
      <c r="N90" s="150" t="s">
        <v>354</v>
      </c>
      <c r="O90" s="151" cm="1">
        <f t="array" ref="O90">Fertiliser_Equations_LeachingAndRunoff.VEERG_5_5_1_1__1_FertiliserLeachingAndRunoffN2OEmissions(J85,T86,J87,J88)</f>
        <v>8.2971428571428554E-3</v>
      </c>
      <c r="P90" s="152" t="str">
        <f>$E$83</f>
        <v>t N2O</v>
      </c>
    </row>
    <row r="91" spans="1:20" x14ac:dyDescent="0.25">
      <c r="A91"/>
    </row>
    <row r="92" spans="1:20" x14ac:dyDescent="0.25">
      <c r="A92"/>
    </row>
    <row r="93" spans="1:20" x14ac:dyDescent="0.25">
      <c r="A93"/>
    </row>
    <row r="94" spans="1:20" x14ac:dyDescent="0.25">
      <c r="A94"/>
    </row>
    <row r="95" spans="1:20" x14ac:dyDescent="0.25">
      <c r="A95"/>
    </row>
    <row r="96" spans="1:20"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7BD462-9371-4257-992B-E034472A65E4}">
  <dimension ref="A1:AI235"/>
  <sheetViews>
    <sheetView showGridLines="0" topLeftCell="B16" workbookViewId="0" zoomScale="100" zoomScaleNormal="100">
      <selection activeCell="A50" sqref="A50"/>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655</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Agresidue_SourceData.CropPurposeAndYield_Title()</f>
        <v>Crop purpose and yield</v>
      </c>
    </row>
    <row r="6" spans="1:35" ht="20.100000000000001" customHeight="1" x14ac:dyDescent="0.25"/>
    <row r="7" spans="1:35" ht="20.100000000000001" customHeight="1" x14ac:dyDescent="0.25">
      <c r="D7" s="237" t="s">
        <v>656</v>
      </c>
      <c r="E7" s="237" t="s">
        <v>657</v>
      </c>
      <c r="F7" s="237" t="s">
        <v>658</v>
      </c>
      <c r="G7" s="237" t="s">
        <v>659</v>
      </c>
      <c r="H7" s="237" t="s">
        <v>660</v>
      </c>
      <c r="I7" s="237" t="s">
        <v>661</v>
      </c>
      <c r="J7" s="237" t="s">
        <v>662</v>
      </c>
      <c r="K7" s="237" t="s">
        <v>663</v>
      </c>
      <c r="AG7" s="1"/>
      <c r="AH7" s="1"/>
      <c r="AI7" s="1"/>
    </row>
    <row r="8" spans="1:35" ht="20.100000000000001" customHeight="1" x14ac:dyDescent="0.25">
      <c r="A8" s="7" t="s">
        <v>0</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5" t="str">
        <f>HYPERLINK("#'Input - Enterprise'!A1", "Enterprise")</f>
        <v>Enterprise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5" t="str">
        <f>HYPERLINK("#'Input - Site'!A1", "Site")</f>
        <v>Site</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5" t="str">
        <f>HYPERLINK("#'Input - Crop'!A1", "Crop")</f>
        <v>Crop</v>
      </c>
    </row>
    <row r="12" spans="1:35" ht="20.100000000000001" customHeight="1" x14ac:dyDescent="0.25">
      <c r="A12" s="5" t="str">
        <f>HYPERLINK("#'Input - Fert Prod System'!A1", "Fert Prod System")</f>
        <v>Fert Prod System</v>
      </c>
    </row>
    <row r="13" spans="1:35" ht="20.100000000000001" customHeight="1" x14ac:dyDescent="0.25">
      <c r="A13" s="5" t="str">
        <f>HYPERLINK("#'Input - Fertiliser'!A1", "Fertiliser")</f>
        <v>Fertiliser</v>
      </c>
    </row>
    <row r="14" spans="1:35" ht="20.100000000000001" customHeight="1" x14ac:dyDescent="0.25">
      <c r="A14" s="5" t="str">
        <f>HYPERLINK("#'Input - Fuel'!A1", "Fuel")</f>
        <v>Fuel</v>
      </c>
    </row>
    <row r="15" spans="1:35" ht="20.100000000000001" customHeight="1" x14ac:dyDescent="0.25">
      <c r="A15" s="5" t="str">
        <f>HYPERLINK("#'Input - Electricity'!A1", "Electricity")</f>
        <v>Electricity</v>
      </c>
      <c r="D15" s="2" t="str" cm="1">
        <f t="array" ref="D15">Agresidue_SourceData.CropAttributes_Title()</f>
        <v>Table A.2.1.1: Crop attributes</v>
      </c>
      <c r="E15" s="8"/>
      <c r="F15" s="8"/>
      <c r="G15" s="8"/>
      <c r="H15" s="8"/>
      <c r="I15" s="8"/>
      <c r="J15" s="8"/>
      <c r="K15" s="8"/>
      <c r="L15" s="8"/>
    </row>
    <row r="16" spans="1:35" ht="20.100000000000001" customHeight="1" x14ac:dyDescent="0.25">
      <c r="A16" s="5" t="str">
        <f>HYPERLINK("#'Input - Common farm inputs'!A1", "Common farm inputs")</f>
        <v>Common farm inputs</v>
      </c>
      <c r="D16" s="27" t="str" cm="1">
        <f t="array" ref="D16">Agresidue_SourceData.CropAttributes_Source()</f>
        <v>VEERG 2026: Table A.2.1.1: Crop attributes</v>
      </c>
      <c r="E16" s="8"/>
      <c r="F16" s="8"/>
      <c r="G16" s="8"/>
      <c r="H16" s="8"/>
      <c r="I16" s="8"/>
      <c r="J16" s="8"/>
      <c r="K16" s="8"/>
      <c r="L16" s="8"/>
    </row>
    <row r="17" spans="1:14" ht="20.100000000000001" customHeight="1" x14ac:dyDescent="0.25">
      <c r="A17" s="5" t="str">
        <f>HYPERLINK("#'Input - Crop pasture farm input'!A1", "Crop pasture farm input")</f>
        <v>Crop pasture farm input</v>
      </c>
      <c r="D17" s="36"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5">
      <c r="A18" s="5" t="str">
        <f>HYPERLINK("#'Input - Freight'!A1", "Freight")</f>
        <v>Freight</v>
      </c>
      <c r="D18" s="8"/>
      <c r="E18" s="8"/>
      <c r="F18" s="8"/>
      <c r="G18" s="8"/>
      <c r="H18" s="8"/>
      <c r="I18" s="8"/>
      <c r="J18" s="8"/>
      <c r="K18" s="8"/>
      <c r="L18" s="8"/>
    </row>
    <row r="19" spans="1:14" ht="20.100000000000001" customHeight="1" x14ac:dyDescent="0.25">
      <c r="A19" s="5" t="str">
        <f>HYPERLINK("#'Input - Manure sent off-site'!A1", "Manure sent off-site")</f>
        <v>Manure sent off-site</v>
      </c>
      <c r="D19" t="s">
        <v>185</v>
      </c>
      <c r="E19" t="s">
        <v>664</v>
      </c>
      <c r="F19" t="s">
        <v>665</v>
      </c>
      <c r="G19" t="s">
        <v>666</v>
      </c>
      <c r="H19" t="s">
        <v>667</v>
      </c>
      <c r="I19" t="s">
        <v>668</v>
      </c>
      <c r="J19" t="s">
        <v>669</v>
      </c>
      <c r="K19" t="s">
        <v>670</v>
      </c>
      <c r="L19" t="s">
        <v>671</v>
      </c>
      <c r="N19" s="2" t="s">
        <v>362</v>
      </c>
    </row>
    <row r="20" spans="1:14" ht="20.100000000000001" customHeight="1" x14ac:dyDescent="0.25">
      <c r="A20" s="5" t="str">
        <f>HYPERLINK("#'Input - Solid waste'!A1", "Solid waste")</f>
        <v>Solid waste</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A21" s="5" t="str">
        <f>HYPERLINK("#'Input - Data quality'!A1", "Data quality")</f>
        <v>Data quality</v>
      </c>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0" t="s">
        <v>63</v>
      </c>
    </row>
    <row r="22" spans="1:14" ht="20.100000000000001" customHeight="1" x14ac:dyDescent="0.25">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0" t="s">
        <v>366</v>
      </c>
    </row>
    <row r="23" spans="1:14" ht="20.100000000000001" customHeight="1" x14ac:dyDescent="0.25">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0" t="s">
        <v>369</v>
      </c>
    </row>
    <row r="24" spans="1:14" ht="20.100000000000001" customHeight="1" x14ac:dyDescent="0.25">
      <c r="A24" s="6" t="s">
        <v>2</v>
      </c>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371</v>
      </c>
    </row>
    <row r="25" spans="1:14" ht="20.100000000000001" customHeight="1" x14ac:dyDescent="0.25">
      <c r="A25" s="5" t="str">
        <f>HYPERLINK("#'5.1.1.1-2 Inorganic fert N2O'!A1", "5.1.1.1-2 Inorganic fert N2O")</f>
        <v>5.1.1.1-2 Inorganic fert N2O</v>
      </c>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374</v>
      </c>
    </row>
    <row r="26" spans="1:14" ht="20.100000000000001" customHeight="1" x14ac:dyDescent="0.25">
      <c r="A26" s="5" t="str">
        <f>HYPERLINK("#'5.1.1.3-4 Inorganic fert CO2'!A1", "5.1.1.3-4 Inorganic fert CO2")</f>
        <v>5.1.1.3-4 Inorganic fert CO2</v>
      </c>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375</v>
      </c>
    </row>
    <row r="27" spans="1:14" ht="20.100000000000001" customHeight="1" x14ac:dyDescent="0.25">
      <c r="A27" s="5" t="str">
        <f>HYPERLINK("#'5.2.1.1-2 Organic Fert N2O'!A1", "5.2.1.1-2 Organic fert N2O")</f>
        <v>5.2.1.1-2 Organic fert N2O</v>
      </c>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A28" s="5" t="str">
        <f>HYPERLINK("#'5.3.1.1-2 Lime CO2'!A1", "5.3.1.1-2 Lime CO2")</f>
        <v>5.3.1.1-2 Lime CO2</v>
      </c>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A29" s="5" t="str">
        <f>HYPERLINK("#'5.4.1.1-4 Atmos deposition'!A1", "5.4.1.1-4 Atmos. deposition")</f>
        <v>5.4.1.1-4 Atmos. deposition</v>
      </c>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A30" s="5" t="str">
        <f>HYPERLINK("#'5.5.1.1-2 Leaching and runoff'!A1", "5.5.1.1-2 Leaching &amp; runoff")</f>
        <v>5.5.1.1-2 Leaching &amp; runoff</v>
      </c>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A31" s="5" t="str">
        <f>HYPERLINK("#'6.1.1.1-2 Crop residue N2O'!A1", "6.1.1.1-2 Crop residue N2O")</f>
        <v>6.1.1.1-2 Crop residue N2O</v>
      </c>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A32" s="5" t="str">
        <f>HYPERLINK("#'6.3.1.1-2 Leach runoff crop'!A1", "6.3.1.1-2 Leach &amp; runoff (crop)")</f>
        <v>6.3.1.1-2 Leach &amp; runoff (crop)</v>
      </c>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100000000000001" customHeight="1" x14ac:dyDescent="0.25">
      <c r="A33" s="5" t="str">
        <f>HYPERLINK("#'6.4.1.1-2 Residue burning'!A1", "6.4.1.1-2 Residue burning")</f>
        <v>6.4.1.1-2 Residue burning</v>
      </c>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100000000000001" customHeight="1" x14ac:dyDescent="0.25">
      <c r="A34" s="5" t="str">
        <f>HYPERLINK("#'8.1.1.1-2 Transport fuel'!A1", "8.1.1.1-2 Transport fuel")</f>
        <v>8.1.1.1-2 Transport fuel</v>
      </c>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100000000000001" customHeight="1" x14ac:dyDescent="0.25">
      <c r="A35" s="5" t="str">
        <f>HYPERLINK("#'8.2.1.1-2 Stationary fuel'!A1", "8.2.1.1-2 Stationary fuel")</f>
        <v>8.2.1.1-2 Stationary fuel</v>
      </c>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100000000000001" customHeight="1" x14ac:dyDescent="0.25">
      <c r="A36" s="5" t="str">
        <f>HYPERLINK("#'14.1.1-2 Purchased electricity'!A1", "14.1.1-2 Purchased electricity")</f>
        <v>14.1.1-2 Purchased electricity</v>
      </c>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100000000000001" customHeight="1" x14ac:dyDescent="0.25">
      <c r="A37" s="5" t="str">
        <f>HYPERLINK("#'15 Scope 3'!A1", "15 Scope 3")</f>
        <v>15 Scope 3</v>
      </c>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100000000000001" customHeight="1" x14ac:dyDescent="0.25">
      <c r="A38" s="5" t="str">
        <f>HYPERLINK("#'Calcs - Manure sent off-site'!A1", "Calcs - Manure sent off-site")</f>
        <v>Calcs - Manure sent off-site</v>
      </c>
      <c r="D38" s="8"/>
      <c r="E38" s="8"/>
      <c r="F38" s="8"/>
      <c r="G38" s="8"/>
      <c r="H38" s="8"/>
      <c r="I38" s="8"/>
      <c r="J38" s="8"/>
      <c r="K38" s="8"/>
      <c r="L38" s="8"/>
    </row>
    <row r="39" spans="1:13" ht="20.100000000000001" customHeight="1" x14ac:dyDescent="0.25">
      <c r="A39" s="5" t="str">
        <f>HYPERLINK("#'10.1.1-2 Solid waste treatment'!A1", "10.1.1-2 Solid waste treatment")</f>
        <v>10.1.1-2 Solid waste treatment</v>
      </c>
      <c r="D39" s="8"/>
      <c r="E39" s="8"/>
      <c r="F39" s="8"/>
      <c r="G39" s="8"/>
      <c r="H39" s="8"/>
      <c r="I39" s="8"/>
      <c r="J39" s="8"/>
      <c r="K39" s="8"/>
      <c r="L39" s="8"/>
    </row>
    <row r="40" spans="1:13" ht="20.100000000000001" customHeight="1" x14ac:dyDescent="0.25">
      <c r="D40" s="2" t="str" cm="1">
        <f t="array" ref="D40">Agresidue_SourceData.N2OEFOrganicFertiliser_Title()</f>
        <v>Emission factor for organic fertiliser and crop residues returned to the soil</v>
      </c>
      <c r="E40" s="35"/>
      <c r="F40" s="35"/>
      <c r="G40" s="8"/>
      <c r="H40" s="8"/>
      <c r="I40" s="8"/>
      <c r="J40" s="8"/>
      <c r="K40" s="8"/>
      <c r="L40" s="8"/>
    </row>
    <row r="41" spans="1:13" ht="20.100000000000001" customHeight="1" x14ac:dyDescent="0.25">
      <c r="D41" s="27" t="str" cm="1">
        <f t="array" ref="D41">Agresidue_SourceData.N2OEFOrganicFertiliser_Source()</f>
        <v>VEERG 2026: Table A.2.1.4</v>
      </c>
      <c r="E41" s="35"/>
      <c r="F41" s="35"/>
      <c r="G41" s="8"/>
      <c r="H41" s="8"/>
      <c r="I41" s="8"/>
      <c r="J41" s="8"/>
      <c r="K41" s="8"/>
      <c r="L41" s="8"/>
    </row>
    <row r="42" spans="1:13" ht="20.100000000000001" customHeight="1" x14ac:dyDescent="0.25">
      <c r="A42" s="108" t="s">
        <v>1</v>
      </c>
      <c r="D42" s="27"/>
      <c r="E42" s="35"/>
      <c r="F42" s="35"/>
      <c r="H42" s="8"/>
      <c r="I42" s="8"/>
      <c r="M42" s="35"/>
    </row>
    <row r="43" spans="1:13" ht="20.100000000000001" customHeight="1" x14ac:dyDescent="0.25">
      <c r="A43" s="173" t="str">
        <f>HYPERLINK("#'Constants - Ag Residue'!A1", "Constants - Ag residue")</f>
        <v>Constants - Ag residue</v>
      </c>
      <c r="D43" s="172" t="s">
        <v>672</v>
      </c>
      <c r="E43" s="172" t="s">
        <v>673</v>
      </c>
      <c r="F43" s="35"/>
      <c r="H43" s="8"/>
      <c r="I43" s="8"/>
      <c r="M43" s="35"/>
    </row>
    <row r="44" spans="1:13" ht="20.100000000000001" customHeight="1" x14ac:dyDescent="0.25">
      <c r="A44" s="5" t="str">
        <f>HYPERLINK("#'Constants - Common Livestock'!A1", "Constants - Common Livestock")</f>
        <v>Constants - Common Livestock</v>
      </c>
      <c r="D44" s="37" t="str" cm="1">
        <f t="array" ref="D44">Common_InputFunctions.Utility_DisplayArrayInTable(Agresidue_SourceData.N2OEFOrganicFertiliser_Data(), Table_SourceData_N2OEFOrganicFert[[#Headers],[Climate zone type i]], 0)</f>
        <v>Wet climate zone</v>
      </c>
      <c r="E44" s="37" cm="1">
        <f t="array" ref="E44">Common_InputFunctions.Utility_DisplayArrayInTable(Agresidue_SourceData.N2OEFOrganicFertiliser_Data(), Table_SourceData_N2OEFOrganicFert[[#Headers],[Climate zone type i]], 0)</f>
        <v>6.0000000000000001E-3</v>
      </c>
      <c r="F44" s="35"/>
      <c r="H44" s="8"/>
      <c r="I44" s="8"/>
      <c r="M44" s="35"/>
    </row>
    <row r="45" spans="1:13" ht="20.100000000000001" customHeight="1" x14ac:dyDescent="0.25">
      <c r="A45" s="5" t="str">
        <f>HYPERLINK("#'Constants - Electricity'!A1", "Constants - Electricity")</f>
        <v>Constants - Electricity</v>
      </c>
      <c r="D45" s="37" t="str" cm="1">
        <f t="array" ref="D45">Common_InputFunctions.Utility_DisplayArrayInTable(Agresidue_SourceData.N2OEFOrganicFertiliser_Data(), Table_SourceData_N2OEFOrganicFert[[#Headers],[Climate zone type i]], 0)</f>
        <v>Dry climate zone</v>
      </c>
      <c r="E45" s="37" cm="1">
        <f t="array" ref="E45">Common_InputFunctions.Utility_DisplayArrayInTable(Agresidue_SourceData.N2OEFOrganicFertiliser_Data(), Table_SourceData_N2OEFOrganicFert[[#Headers],[Climate zone type i]], 0)</f>
        <v>5.0000000000000001E-3</v>
      </c>
      <c r="F45" s="35"/>
      <c r="H45" s="8"/>
      <c r="I45" s="8"/>
      <c r="M45" s="35"/>
    </row>
    <row r="46" spans="1:13" ht="20.100000000000001" customHeight="1" x14ac:dyDescent="0.25">
      <c r="A46" s="5" t="str">
        <f>HYPERLINK("#'Constants - Fertiliser'!A1", "Constants - Fertiliser")</f>
        <v>Constants - Fertiliser</v>
      </c>
      <c r="H46" s="8"/>
      <c r="I46" s="8"/>
      <c r="M46" s="35"/>
    </row>
    <row r="47" spans="1:13" ht="20.100000000000001" customHeight="1" x14ac:dyDescent="0.25">
      <c r="A47" s="5" t="str">
        <f>HYPERLINK("#'Constants - Fuel'!A1", "Constants - Fuel")</f>
        <v>Constants - Fuel</v>
      </c>
      <c r="M47" s="35"/>
    </row>
    <row r="48" spans="1:13" ht="20.100000000000001" customHeight="1" x14ac:dyDescent="0.25">
      <c r="A48" s="5" t="str">
        <f>HYPERLINK("#'Constants - Scope 3'!A1", "Constants - Scope 3")</f>
        <v>Constants - Scope 3</v>
      </c>
      <c r="D48" s="2" t="str" cm="1">
        <f t="array" ref="D48">Agresidue_SourceData.PastureAttributes_Title()</f>
        <v>Table A.2.1.3 Pasture attributes</v>
      </c>
      <c r="K48" s="8"/>
      <c r="L48" s="8"/>
    </row>
    <row r="49" spans="1:12" ht="20.100000000000001" customHeight="1" x14ac:dyDescent="0.25">
      <c r="A49" s="5" t="str">
        <f>HYPERLINK("#'Constants - Common'!A1", "Constants - Common")</f>
        <v>Constants - Common</v>
      </c>
      <c r="D49" s="27" t="str" cm="1">
        <f t="array" ref="D49">Agresidue_SourceData.PastureAttributes_Source()</f>
        <v>VEERG 2026: Table A.2.1.3: Pasture attributes</v>
      </c>
      <c r="K49" s="8"/>
      <c r="L49" s="8"/>
    </row>
    <row r="50" spans="1:12" ht="20.100000000000001" customHeight="1" x14ac:dyDescent="0.25">
      <c r="A50" s="5" t="str">
        <f>HYPERLINK("#'Constants - Solid Waste'!A1", "Constants - Solid Waste")</f>
        <v>Constants - Solid Waste</v>
      </c>
      <c r="K50" s="8"/>
      <c r="L50" s="8"/>
    </row>
    <row r="51" spans="1:12" ht="20.100000000000001" customHeight="1" x14ac:dyDescent="0.25">
      <c r="D51" s="30" t="s">
        <v>674</v>
      </c>
      <c r="E51" s="30" t="s">
        <v>675</v>
      </c>
      <c r="F51" s="30" t="s">
        <v>676</v>
      </c>
      <c r="G51" s="30" t="s">
        <v>677</v>
      </c>
      <c r="H51" s="30" t="s">
        <v>678</v>
      </c>
      <c r="I51" s="30" t="s">
        <v>679</v>
      </c>
      <c r="K51" s="8"/>
      <c r="L51" s="8"/>
    </row>
    <row r="52" spans="1:12" ht="20.100000000000001" customHeight="1" x14ac:dyDescent="0.25">
      <c r="D52" s="30" t="str" cm="1">
        <f t="array" ref="D52">Common_InputFunctions.Utility_DisplayArrayInTable(Agresidue_SourceData.PastureAttributes_Data(), Table_SourceData_PastureAttributes[[#Headers],[Pasture type]], 0)</f>
        <v>Annual grass</v>
      </c>
      <c r="E52" s="30" cm="1">
        <f t="array" ref="E52">Common_InputFunctions.Utility_DisplayArrayInTable(Agresidue_SourceData.PastureAttributes_Data(), Table_SourceData_PastureAttributes[[#Headers],[Pasture type]], 0)</f>
        <v>4.41</v>
      </c>
      <c r="F52" s="30" cm="1">
        <f t="array" ref="F52">Common_InputFunctions.Utility_DisplayArrayInTable(Agresidue_SourceData.PastureAttributes_Data(), Table_SourceData_PastureAttributes[[#Headers],[Pasture type]], 0)</f>
        <v>0.4</v>
      </c>
      <c r="G52" s="30" cm="1">
        <f t="array" ref="G52">Common_InputFunctions.Utility_DisplayArrayInTable(Agresidue_SourceData.PastureAttributes_Data(), Table_SourceData_PastureAttributes[[#Headers],[Pasture type]], 0)</f>
        <v>1.4999999999999999E-2</v>
      </c>
      <c r="H52" s="30" cm="1">
        <f t="array" ref="H52">Common_InputFunctions.Utility_DisplayArrayInTable(Agresidue_SourceData.PastureAttributes_Data(), Table_SourceData_PastureAttributes[[#Headers],[Pasture type]], 0)</f>
        <v>1.2E-2</v>
      </c>
      <c r="I52" s="30" cm="1">
        <f t="array" ref="I52">Common_InputFunctions.Utility_DisplayArrayInTable(Agresidue_SourceData.PastureAttributes_Data(), Table_SourceData_PastureAttributes[[#Headers],[Pasture type]], 0)</f>
        <v>0.8</v>
      </c>
      <c r="L52" s="8"/>
    </row>
    <row r="53" spans="1:12" ht="20.100000000000001" customHeight="1" x14ac:dyDescent="0.25">
      <c r="D53" s="30" t="str" cm="1">
        <f t="array" ref="D53">Common_InputFunctions.Utility_DisplayArrayInTable(Agresidue_SourceData.PastureAttributes_Data(), Table_SourceData_PastureAttributes[[#Headers],[Pasture type]], 0)</f>
        <v>Grass clover mixture</v>
      </c>
      <c r="E53" s="30" cm="1">
        <f t="array" ref="E53">Common_InputFunctions.Utility_DisplayArrayInTable(Agresidue_SourceData.PastureAttributes_Data(), Table_SourceData_PastureAttributes[[#Headers],[Pasture type]], 0)</f>
        <v>8.34</v>
      </c>
      <c r="F53" s="30" cm="1">
        <f t="array" ref="F53">Common_InputFunctions.Utility_DisplayArrayInTable(Agresidue_SourceData.PastureAttributes_Data(), Table_SourceData_PastureAttributes[[#Headers],[Pasture type]], 0)</f>
        <v>0.8</v>
      </c>
      <c r="G53" s="30" cm="1">
        <f t="array" ref="G53">Common_InputFunctions.Utility_DisplayArrayInTable(Agresidue_SourceData.PastureAttributes_Data(), Table_SourceData_PastureAttributes[[#Headers],[Pasture type]], 0)</f>
        <v>2.5000000000000001E-2</v>
      </c>
      <c r="H53" s="30" cm="1">
        <f t="array" ref="H53">Common_InputFunctions.Utility_DisplayArrayInTable(Agresidue_SourceData.PastureAttributes_Data(), Table_SourceData_PastureAttributes[[#Headers],[Pasture type]], 0)</f>
        <v>1.6E-2</v>
      </c>
      <c r="I53" s="30" cm="1">
        <f t="array" ref="I53">Common_InputFunctions.Utility_DisplayArrayInTable(Agresidue_SourceData.PastureAttributes_Data(), Table_SourceData_PastureAttributes[[#Headers],[Pasture type]], 0)</f>
        <v>0.8</v>
      </c>
      <c r="L53" s="8"/>
    </row>
    <row r="54" spans="1:12" ht="20.100000000000001" customHeight="1" x14ac:dyDescent="0.25">
      <c r="D54" s="30" t="str" cm="1">
        <f t="array" ref="D54">Common_InputFunctions.Utility_DisplayArrayInTable(Agresidue_SourceData.PastureAttributes_Data(), Table_SourceData_PastureAttributes[[#Headers],[Pasture type]], 0)</f>
        <v>Lucerne</v>
      </c>
      <c r="E54" s="30" cm="1">
        <f t="array" ref="E54">Common_InputFunctions.Utility_DisplayArrayInTable(Agresidue_SourceData.PastureAttributes_Data(), Table_SourceData_PastureAttributes[[#Headers],[Pasture type]], 0)</f>
        <v>8.6199999999999992</v>
      </c>
      <c r="F54" s="30" cm="1">
        <f t="array" ref="F54">Common_InputFunctions.Utility_DisplayArrayInTable(Agresidue_SourceData.PastureAttributes_Data(), Table_SourceData_PastureAttributes[[#Headers],[Pasture type]], 0)</f>
        <v>0.4</v>
      </c>
      <c r="G54" s="30" cm="1">
        <f t="array" ref="G54">Common_InputFunctions.Utility_DisplayArrayInTable(Agresidue_SourceData.PastureAttributes_Data(), Table_SourceData_PastureAttributes[[#Headers],[Pasture type]], 0)</f>
        <v>2.7E-2</v>
      </c>
      <c r="H54" s="30" cm="1">
        <f t="array" ref="H54">Common_InputFunctions.Utility_DisplayArrayInTable(Agresidue_SourceData.PastureAttributes_Data(), Table_SourceData_PastureAttributes[[#Headers],[Pasture type]], 0)</f>
        <v>1.9E-2</v>
      </c>
      <c r="I54" s="30" cm="1">
        <f t="array" ref="I54">Common_InputFunctions.Utility_DisplayArrayInTable(Agresidue_SourceData.PastureAttributes_Data(), Table_SourceData_PastureAttributes[[#Headers],[Pasture type]], 0)</f>
        <v>0.8</v>
      </c>
    </row>
    <row r="55" spans="1:12" ht="20.100000000000001" customHeight="1" x14ac:dyDescent="0.25">
      <c r="D55" s="30" t="str" cm="1">
        <f t="array" ref="D55">Common_InputFunctions.Utility_DisplayArrayInTable(Agresidue_SourceData.PastureAttributes_Data(), Table_SourceData_PastureAttributes[[#Headers],[Pasture type]], 0)</f>
        <v>Other legume</v>
      </c>
      <c r="E55" s="30" cm="1">
        <f t="array" ref="E55">Common_InputFunctions.Utility_DisplayArrayInTable(Agresidue_SourceData.PastureAttributes_Data(), Table_SourceData_PastureAttributes[[#Headers],[Pasture type]], 0)</f>
        <v>5.62</v>
      </c>
      <c r="F55" s="30" cm="1">
        <f t="array" ref="F55">Common_InputFunctions.Utility_DisplayArrayInTable(Agresidue_SourceData.PastureAttributes_Data(), Table_SourceData_PastureAttributes[[#Headers],[Pasture type]], 0)</f>
        <v>0.4</v>
      </c>
      <c r="G55" s="30" cm="1">
        <f t="array" ref="G55">Common_InputFunctions.Utility_DisplayArrayInTable(Agresidue_SourceData.PastureAttributes_Data(), Table_SourceData_PastureAttributes[[#Headers],[Pasture type]], 0)</f>
        <v>2.7E-2</v>
      </c>
      <c r="H55" s="30" cm="1">
        <f t="array" ref="H55">Common_InputFunctions.Utility_DisplayArrayInTable(Agresidue_SourceData.PastureAttributes_Data(), Table_SourceData_PastureAttributes[[#Headers],[Pasture type]], 0)</f>
        <v>2.1999999999999999E-2</v>
      </c>
      <c r="I55" s="30" cm="1">
        <f t="array" ref="I55">Common_InputFunctions.Utility_DisplayArrayInTable(Agresidue_SourceData.PastureAttributes_Data(), Table_SourceData_PastureAttributes[[#Headers],[Pasture type]], 0)</f>
        <v>0.8</v>
      </c>
    </row>
    <row r="56" spans="1:12" ht="20.100000000000001" customHeight="1" x14ac:dyDescent="0.25">
      <c r="D56" s="30" t="str" cm="1">
        <f t="array" ref="D56">Common_InputFunctions.Utility_DisplayArrayInTable(Agresidue_SourceData.PastureAttributes_Data(), Table_SourceData_PastureAttributes[[#Headers],[Pasture type]], 0)</f>
        <v>Perennial pasture</v>
      </c>
      <c r="E56" s="30" cm="1">
        <f t="array" ref="E56">Common_InputFunctions.Utility_DisplayArrayInTable(Agresidue_SourceData.PastureAttributes_Data(), Table_SourceData_PastureAttributes[[#Headers],[Pasture type]], 0)</f>
        <v>8.35</v>
      </c>
      <c r="F56" s="30" cm="1">
        <f t="array" ref="F56">Common_InputFunctions.Utility_DisplayArrayInTable(Agresidue_SourceData.PastureAttributes_Data(), Table_SourceData_PastureAttributes[[#Headers],[Pasture type]], 0)</f>
        <v>0.8</v>
      </c>
      <c r="G56" s="30" cm="1">
        <f t="array" ref="G56">Common_InputFunctions.Utility_DisplayArrayInTable(Agresidue_SourceData.PastureAttributes_Data(), Table_SourceData_PastureAttributes[[#Headers],[Pasture type]], 0)</f>
        <v>1.4999999999999999E-2</v>
      </c>
      <c r="H56" s="30" cm="1">
        <f t="array" ref="H56">Common_InputFunctions.Utility_DisplayArrayInTable(Agresidue_SourceData.PastureAttributes_Data(), Table_SourceData_PastureAttributes[[#Headers],[Pasture type]], 0)</f>
        <v>1.2E-2</v>
      </c>
      <c r="I56" s="30" cm="1">
        <f t="array" ref="I56">Common_InputFunctions.Utility_DisplayArrayInTable(Agresidue_SourceData.PastureAttributes_Data(), Table_SourceData_PastureAttributes[[#Headers],[Pasture type]], 0)</f>
        <v>0.8</v>
      </c>
    </row>
    <row r="57" spans="1:12" ht="20.100000000000001" customHeight="1" x14ac:dyDescent="0.25">
      <c r="H57" s="8"/>
    </row>
    <row r="58" spans="1:12" ht="20.100000000000001" customHeight="1" x14ac:dyDescent="0.25"/>
    <row r="59" spans="1:12" ht="20.100000000000001" customHeight="1" x14ac:dyDescent="0.25">
      <c r="D59" s="2" t="str" cm="1">
        <f t="array" ref="D59">AgResidues_SourceData.BurningOfAgriculturalResiduesEFs_Title()</f>
        <v>Table 5.31 Burning of agricultural residues - EFs</v>
      </c>
    </row>
    <row r="60" spans="1:12" ht="20.100000000000001" customHeight="1" x14ac:dyDescent="0.25">
      <c r="D60" s="27" t="str" cm="1">
        <f t="array" ref="D60">AgResidues_SourceData.BurningOfAgriculturalResiduesEFs_Source()</f>
        <v>National Inventory Report 2023 volume 2: Table 5.31: Burning of agricultural residues - EFs</v>
      </c>
    </row>
    <row r="61" spans="1:12" ht="20.100000000000001" customHeight="1" x14ac:dyDescent="0.25"/>
    <row r="62" spans="1:12" ht="20.100000000000001" customHeight="1" x14ac:dyDescent="0.25">
      <c r="D62" s="30" t="s">
        <v>680</v>
      </c>
      <c r="E62" s="30" t="s">
        <v>681</v>
      </c>
      <c r="F62" s="30" t="s">
        <v>682</v>
      </c>
    </row>
    <row r="63" spans="1:12" ht="20.100000000000001" customHeight="1" x14ac:dyDescent="0.25">
      <c r="D63" s="30" t="str" cm="1">
        <f t="array" ref="D63">Common_InputFunctions.Utility_DisplayArrayInTable(AgResidues_SourceData.BurningOfAgriculturalResiduesEFs_Data(), Table_SourceData_BurningResidueEFs[[#Headers],[Gas species]], 0)</f>
        <v>CH4</v>
      </c>
      <c r="E63" s="30" cm="1">
        <f t="array" ref="E63">Common_InputFunctions.Utility_DisplayArrayInTable(AgResidues_SourceData.BurningOfAgriculturalResiduesEFs_Data(), Table_SourceData_BurningResidueEFs[[#Headers],[Gas species]], 0)</f>
        <v>3.5000000000000001E-3</v>
      </c>
      <c r="F63" s="30" t="str" cm="1">
        <f t="array" ref="F63">Common_InputFunctions.Utility_DisplayArrayInTable(AgResidues_SourceData.BurningOfAgriculturalResiduesEFs_Data(), Table_SourceData_BurningResidueEFs[[#Headers],[Gas species]], 0)</f>
        <v>16/12</v>
      </c>
      <c r="K63" s="8"/>
      <c r="L63" s="8"/>
    </row>
    <row r="64" spans="1:12" ht="20.100000000000001" customHeight="1" x14ac:dyDescent="0.25">
      <c r="D64" s="1" t="str" cm="1">
        <f t="array" ref="D64">Common_InputFunctions.Utility_DisplayArrayInTable(AgResidues_SourceData.BurningOfAgriculturalResiduesEFs_Data(), Table_SourceData_BurningResidueEFs[[#Headers],[Gas species]], 0)</f>
        <v>N2O</v>
      </c>
      <c r="E64" s="30" cm="1">
        <f t="array" ref="E64">Common_InputFunctions.Utility_DisplayArrayInTable(AgResidues_SourceData.BurningOfAgriculturalResiduesEFs_Data(), Table_SourceData_BurningResidueEFs[[#Headers],[Gas species]], 0)</f>
        <v>7.6E-3</v>
      </c>
      <c r="F64" s="30" t="str" cm="1">
        <f t="array" ref="F64">Common_InputFunctions.Utility_DisplayArrayInTable(AgResidues_SourceData.BurningOfAgriculturalResiduesEFs_Data(), Table_SourceData_BurningResidueEFs[[#Headers],[Gas species]], 0)</f>
        <v>44/28</v>
      </c>
      <c r="K64" s="8"/>
      <c r="L64" s="8"/>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30" cm="1">
        <f t="array" ref="E65">Common_InputFunctions.Utility_DisplayArrayInTable(AgResidues_SourceData.BurningOfAgriculturalResiduesEFs_Data(), Table_SourceData_BurningResidueEFs[[#Headers],[Gas species]], 0)</f>
        <v>0.21</v>
      </c>
      <c r="F65" s="30" t="str" cm="1">
        <f t="array" ref="F65">Common_InputFunctions.Utility_DisplayArrayInTable(AgResidues_SourceData.BurningOfAgriculturalResiduesEFs_Data(), Table_SourceData_BurningResidueEFs[[#Headers],[Gas species]], 0)</f>
        <v>46/14</v>
      </c>
      <c r="K65" s="8"/>
      <c r="L65" s="8"/>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30" cm="1">
        <f t="array" ref="E66">Common_InputFunctions.Utility_DisplayArrayInTable(AgResidues_SourceData.BurningOfAgriculturalResiduesEFs_Data(), Table_SourceData_BurningResidueEFs[[#Headers],[Gas species]], 0)</f>
        <v>7.8E-2</v>
      </c>
      <c r="F66" s="30" t="str" cm="1">
        <f t="array" ref="F66">Common_InputFunctions.Utility_DisplayArrayInTable(AgResidues_SourceData.BurningOfAgriculturalResiduesEFs_Data(), Table_SourceData_BurningResidueEFs[[#Headers],[Gas species]], 0)</f>
        <v>28/12</v>
      </c>
      <c r="K66" s="8"/>
      <c r="L66" s="8"/>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30" cm="1">
        <f t="array" ref="E67">Common_InputFunctions.Utility_DisplayArrayInTable(AgResidues_SourceData.BurningOfAgriculturalResiduesEFs_Data(), Table_SourceData_BurningResidueEFs[[#Headers],[Gas species]], 0)</f>
        <v>9.1000000000000004E-3</v>
      </c>
      <c r="F67" s="30" t="str" cm="1">
        <f t="array" ref="F67">Common_InputFunctions.Utility_DisplayArrayInTable(AgResidues_SourceData.BurningOfAgriculturalResiduesEFs_Data(), Table_SourceData_BurningResidueEFs[[#Headers],[Gas species]], 0)</f>
        <v>14/12</v>
      </c>
      <c r="K67" s="8"/>
      <c r="L67" s="8"/>
    </row>
    <row r="68" spans="4:12" ht="20.100000000000001" customHeight="1" x14ac:dyDescent="0.25">
      <c r="K68" s="8"/>
      <c r="L68" s="8"/>
    </row>
    <row r="69" spans="4:12" ht="20.100000000000001" customHeight="1" x14ac:dyDescent="0.25">
      <c r="K69" s="8"/>
      <c r="L69" s="8"/>
    </row>
    <row r="70" spans="4:12" ht="20.100000000000001" customHeight="1" x14ac:dyDescent="0.25">
      <c r="D70" s="2" t="str" cm="1">
        <f t="array" ref="D70">Agresidue_SourceData.CropFractionRemoved_Title()</f>
        <v>Table A.2.1.2: Crop attributes - Fraction removed (FFODc)</v>
      </c>
      <c r="E70" s="8"/>
      <c r="F70" s="8"/>
      <c r="G70" s="8"/>
      <c r="K70" s="8"/>
      <c r="L70" s="8"/>
    </row>
    <row r="71" spans="4:12" ht="20.100000000000001" customHeight="1" x14ac:dyDescent="0.25">
      <c r="D71" s="27" t="str" cm="1">
        <f t="array" ref="D71">Agresidue_SourceData.CropFractionRemoved_Source()</f>
        <v>VEERG 2026: Table A.2.1.2: Crop attributes - Fraction removed (FFODc)</v>
      </c>
      <c r="E71" s="8"/>
      <c r="F71" s="8"/>
      <c r="G71" s="8"/>
      <c r="K71" s="8"/>
      <c r="L71" s="8"/>
    </row>
    <row r="72" spans="4:12" ht="20.100000000000001" customHeight="1" x14ac:dyDescent="0.25">
      <c r="D72" s="8"/>
      <c r="E72" s="8"/>
      <c r="F72" s="8"/>
      <c r="G72" s="8"/>
      <c r="K72" s="8"/>
      <c r="L72" s="8"/>
    </row>
    <row r="73" spans="4:12" ht="20.100000000000001" customHeight="1" x14ac:dyDescent="0.25">
      <c r="D73" t="s">
        <v>683</v>
      </c>
      <c r="E73" t="s">
        <v>98</v>
      </c>
      <c r="F73" t="s">
        <v>684</v>
      </c>
      <c r="G73" s="8"/>
      <c r="K73" s="8"/>
      <c r="L73" s="8"/>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4:12" ht="20.100000000000001" customHeight="1" x14ac:dyDescent="0.25">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4:12" ht="20.100000000000001" customHeight="1" x14ac:dyDescent="0.25">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4:12" ht="20.100000000000001" customHeight="1" x14ac:dyDescent="0.25">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4:12" ht="20.100000000000001" customHeight="1" x14ac:dyDescent="0.25">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4:12" ht="20.100000000000001" customHeight="1" x14ac:dyDescent="0.25">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4:12" ht="20.100000000000001" customHeight="1" x14ac:dyDescent="0.25">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4:12" ht="20.100000000000001" customHeight="1" x14ac:dyDescent="0.25">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4:12" ht="20.100000000000001" customHeight="1" x14ac:dyDescent="0.25">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4:12" ht="20.100000000000001" customHeight="1" x14ac:dyDescent="0.25">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4:12" ht="20.100000000000001" customHeight="1" x14ac:dyDescent="0.25">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4:12" ht="20.100000000000001" customHeight="1" x14ac:dyDescent="0.25">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4:12" ht="20.100000000000001" customHeight="1" x14ac:dyDescent="0.25">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4:12" ht="20.100000000000001" customHeight="1" x14ac:dyDescent="0.25">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4:12" ht="20.100000000000001" customHeight="1" x14ac:dyDescent="0.25">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4:12" ht="20.100000000000001" customHeight="1" x14ac:dyDescent="0.25">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4:12" ht="20.100000000000001" customHeight="1" x14ac:dyDescent="0.25">
      <c r="D90" s="8"/>
      <c r="E90" s="8"/>
      <c r="F90" s="8"/>
      <c r="G90" s="8"/>
      <c r="H90" s="8"/>
      <c r="I90" s="8"/>
      <c r="J90" s="8"/>
      <c r="K90" s="8"/>
      <c r="L90" s="8"/>
    </row>
    <row r="91" spans="4:12" ht="20.100000000000001" customHeight="1" x14ac:dyDescent="0.25">
      <c r="D91" s="36"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100000000000001" customHeight="1" x14ac:dyDescent="0.25">
      <c r="D92" t="s">
        <v>683</v>
      </c>
      <c r="E92" t="s">
        <v>98</v>
      </c>
      <c r="F92" t="s">
        <v>684</v>
      </c>
      <c r="G92" s="8"/>
      <c r="H92" s="8"/>
      <c r="I92" s="8"/>
      <c r="J92" s="8"/>
      <c r="K92" s="8"/>
      <c r="L92" s="8"/>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4:12" ht="20.100000000000001" customHeight="1" x14ac:dyDescent="0.25">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4:12" ht="20.100000000000001" customHeight="1" x14ac:dyDescent="0.25">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4:12" ht="20.100000000000001" customHeight="1" x14ac:dyDescent="0.25">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4:12" ht="20.100000000000001" customHeight="1" x14ac:dyDescent="0.25">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4:12" ht="20.100000000000001" customHeight="1" x14ac:dyDescent="0.25">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4:12" ht="20.100000000000001" customHeight="1" x14ac:dyDescent="0.25">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4:12" ht="20.100000000000001" customHeight="1" x14ac:dyDescent="0.25">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4:12" ht="20.100000000000001" customHeight="1" x14ac:dyDescent="0.25">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4:12" ht="20.100000000000001" customHeight="1" x14ac:dyDescent="0.25">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4:12" ht="20.100000000000001" customHeight="1" x14ac:dyDescent="0.25">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4:12" ht="20.100000000000001" customHeight="1" x14ac:dyDescent="0.25">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4:12" ht="20.100000000000001" customHeight="1" x14ac:dyDescent="0.25">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4:12" ht="20.100000000000001" customHeight="1" x14ac:dyDescent="0.25">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4:12" ht="20.100000000000001" customHeight="1" x14ac:dyDescent="0.25">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4:12" ht="20.100000000000001" customHeight="1" x14ac:dyDescent="0.25">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4:12" ht="20.100000000000001" customHeight="1" x14ac:dyDescent="0.25">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4:12" ht="20.100000000000001" customHeight="1" x14ac:dyDescent="0.25">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4:12" ht="20.100000000000001" customHeight="1" x14ac:dyDescent="0.25">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4:12" ht="20.100000000000001" customHeight="1" x14ac:dyDescent="0.25">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4:12" ht="20.100000000000001" customHeight="1" x14ac:dyDescent="0.25">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4:12" ht="20.100000000000001" customHeight="1" x14ac:dyDescent="0.25">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4:12" ht="20.100000000000001" customHeight="1" x14ac:dyDescent="0.25">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4:12" ht="20.100000000000001" customHeight="1" x14ac:dyDescent="0.25">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4:12" ht="20.100000000000001" customHeight="1" x14ac:dyDescent="0.25">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4:12" ht="20.100000000000001" customHeight="1" x14ac:dyDescent="0.25">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4:12" ht="20.100000000000001" customHeight="1" x14ac:dyDescent="0.25">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4:12" ht="20.100000000000001" customHeight="1" x14ac:dyDescent="0.25">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4:12" ht="20.100000000000001" customHeight="1" x14ac:dyDescent="0.25">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4:12" ht="20.100000000000001" customHeight="1" x14ac:dyDescent="0.25">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4:12" ht="20.100000000000001" customHeight="1" x14ac:dyDescent="0.25">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4:12" ht="20.100000000000001" customHeight="1" x14ac:dyDescent="0.25">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4:12" ht="20.100000000000001" customHeight="1" x14ac:dyDescent="0.25">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4:12" ht="20.100000000000001" customHeight="1" x14ac:dyDescent="0.25">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4:12" ht="20.100000000000001" customHeight="1" x14ac:dyDescent="0.25">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4:12" ht="20.100000000000001" customHeight="1" x14ac:dyDescent="0.25">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4:12" ht="20.100000000000001" customHeight="1" x14ac:dyDescent="0.25">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4:12" ht="20.100000000000001" customHeight="1" x14ac:dyDescent="0.25">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4:12" ht="20.100000000000001" customHeight="1" x14ac:dyDescent="0.25">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4:12" ht="20.100000000000001" customHeight="1" x14ac:dyDescent="0.25">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4:12" ht="20.100000000000001" customHeight="1" x14ac:dyDescent="0.25">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4:12" ht="20.100000000000001" customHeight="1" x14ac:dyDescent="0.25">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4:12" ht="20.100000000000001" customHeight="1" x14ac:dyDescent="0.25">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4:12" ht="20.100000000000001" customHeight="1" x14ac:dyDescent="0.25">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4:12" ht="20.100000000000001" customHeight="1" x14ac:dyDescent="0.25">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4:12" ht="20.100000000000001" customHeight="1" x14ac:dyDescent="0.25">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4:12" ht="20.100000000000001" customHeight="1" x14ac:dyDescent="0.25">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4:12" ht="20.100000000000001" customHeight="1" x14ac:dyDescent="0.25">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4:12" ht="20.100000000000001" customHeight="1" x14ac:dyDescent="0.25">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4:12" ht="20.100000000000001" customHeight="1" x14ac:dyDescent="0.25">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4:12" ht="20.100000000000001" customHeight="1" x14ac:dyDescent="0.25">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4:12" ht="20.100000000000001" customHeight="1" x14ac:dyDescent="0.25">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4:12" ht="20.100000000000001" customHeight="1" x14ac:dyDescent="0.25">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4:12" ht="20.100000000000001" customHeight="1" x14ac:dyDescent="0.25">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4:12" ht="20.100000000000001" customHeight="1" x14ac:dyDescent="0.25">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4:12" ht="20.100000000000001" customHeight="1" x14ac:dyDescent="0.25">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4:12" ht="20.100000000000001" customHeight="1" x14ac:dyDescent="0.25">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4:12" ht="20.100000000000001" customHeight="1" x14ac:dyDescent="0.25">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4:12" ht="20.100000000000001" customHeight="1" x14ac:dyDescent="0.25">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4:12" ht="20.100000000000001" customHeight="1" x14ac:dyDescent="0.25">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4:12" ht="20.100000000000001" customHeight="1" x14ac:dyDescent="0.25">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4:12" ht="20.100000000000001" customHeight="1" x14ac:dyDescent="0.25">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4:12" ht="20.100000000000001" customHeight="1" x14ac:dyDescent="0.25">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4:12" ht="20.100000000000001" customHeight="1" x14ac:dyDescent="0.25">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4:12" ht="20.100000000000001" customHeight="1" x14ac:dyDescent="0.25">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4:12" ht="20.100000000000001" customHeight="1" x14ac:dyDescent="0.25">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4:12" ht="20.100000000000001" customHeight="1" x14ac:dyDescent="0.25">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4:12" ht="20.100000000000001" customHeight="1" x14ac:dyDescent="0.25">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4:12" ht="20.100000000000001" customHeight="1" x14ac:dyDescent="0.25">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4:12" ht="20.100000000000001" customHeight="1" x14ac:dyDescent="0.25">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4:12" ht="20.100000000000001" customHeight="1" x14ac:dyDescent="0.25">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4:12" ht="20.100000000000001" customHeight="1" x14ac:dyDescent="0.25">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4:12" ht="20.100000000000001" customHeight="1" x14ac:dyDescent="0.25">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4:12" x14ac:dyDescent="0.25">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4:12" x14ac:dyDescent="0.25">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4:12" x14ac:dyDescent="0.25">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4:12" x14ac:dyDescent="0.25">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4:12" x14ac:dyDescent="0.25">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4:12" x14ac:dyDescent="0.25">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4:12" x14ac:dyDescent="0.25">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4:12" x14ac:dyDescent="0.25">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4:12" x14ac:dyDescent="0.25">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4:12" x14ac:dyDescent="0.25">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4:12" x14ac:dyDescent="0.25">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4:12" x14ac:dyDescent="0.25">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4:12" x14ac:dyDescent="0.25">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4:12" x14ac:dyDescent="0.25">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4:12" x14ac:dyDescent="0.25">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4:12" x14ac:dyDescent="0.25">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4:12" x14ac:dyDescent="0.25">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4:12" x14ac:dyDescent="0.25">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4:12" x14ac:dyDescent="0.25">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4:12" x14ac:dyDescent="0.25">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4:12" x14ac:dyDescent="0.25">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4:12" x14ac:dyDescent="0.25">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4:12" x14ac:dyDescent="0.25">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4:12" x14ac:dyDescent="0.25">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4:12" x14ac:dyDescent="0.25">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4:12" x14ac:dyDescent="0.25">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4:12" x14ac:dyDescent="0.25">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4:12" x14ac:dyDescent="0.25">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4:12" x14ac:dyDescent="0.25">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4:12" x14ac:dyDescent="0.25">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4:12" x14ac:dyDescent="0.25">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4:12" x14ac:dyDescent="0.25">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4:12" x14ac:dyDescent="0.25">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4:12" x14ac:dyDescent="0.25">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4:12" x14ac:dyDescent="0.25">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4:12" x14ac:dyDescent="0.25">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4:12" x14ac:dyDescent="0.25">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4:12" x14ac:dyDescent="0.25">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4:12" x14ac:dyDescent="0.25">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4:12" x14ac:dyDescent="0.25">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4:12" x14ac:dyDescent="0.25">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4:12" x14ac:dyDescent="0.25">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4:12" x14ac:dyDescent="0.25">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4:12" x14ac:dyDescent="0.25">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4:12" x14ac:dyDescent="0.25">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4:12" x14ac:dyDescent="0.25">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4:12" x14ac:dyDescent="0.25">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4:12" x14ac:dyDescent="0.25">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4:12" x14ac:dyDescent="0.25">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4:12" x14ac:dyDescent="0.25">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4:12" x14ac:dyDescent="0.25">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4:12" x14ac:dyDescent="0.25">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4:12" x14ac:dyDescent="0.25">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4:12" x14ac:dyDescent="0.25">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4:12" x14ac:dyDescent="0.25">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4:12" x14ac:dyDescent="0.25">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4:12" x14ac:dyDescent="0.25">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4:12" x14ac:dyDescent="0.25">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4:12" x14ac:dyDescent="0.25">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4:10" x14ac:dyDescent="0.25">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4:10" x14ac:dyDescent="0.25">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4:10" x14ac:dyDescent="0.25">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4:10" x14ac:dyDescent="0.25">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4:10" x14ac:dyDescent="0.25">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4:10" x14ac:dyDescent="0.25">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4:10" x14ac:dyDescent="0.25">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4:10" x14ac:dyDescent="0.25">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4:10" x14ac:dyDescent="0.25">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4:10" x14ac:dyDescent="0.25">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4:10" x14ac:dyDescent="0.25">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FFDFF2-F2CB-44C5-B7DB-A443E0FF5524}">
  <dimension ref="A1:M160"/>
  <sheetViews>
    <sheetView showGridLines="0" topLeftCell="A10" workbookViewId="0" zoomScale="100" zoomScaleNormal="100">
      <selection activeCell="A50" sqref="A50"/>
    </sheetView>
  </sheetViews>
  <sheetFormatPr defaultRowHeight="15.75" x14ac:dyDescent="0.25"/>
  <cols>
    <col min="1" max="1" width="30.7109375" style="238" customWidth="1"/>
    <col min="2" max="2" width="4.7109375" style="238" customWidth="1"/>
    <col min="3" max="3" width="4.7109375" style="1" customWidth="1"/>
    <col min="4" max="8" width="30.7109375" style="1" customWidth="1"/>
    <col min="9" max="9" width="30.85546875" style="1" customWidth="1"/>
    <col min="10" max="13" width="30.7109375" style="1" customWidth="1"/>
    <col min="14" max="16" width="30.7109375" style="238" customWidth="1"/>
    <col min="17" max="16384" width="9.140625" style="238"/>
  </cols>
  <sheetData>
    <row r="1" spans="1:13" ht="30" customHeight="1" x14ac:dyDescent="0.35">
      <c r="A1" s="16" t="e" vm="1">
        <v>#VALUE!</v>
      </c>
      <c r="C1" s="31" t="s">
        <v>924</v>
      </c>
      <c r="D1" s="31"/>
      <c r="E1" s="31"/>
      <c r="F1" s="31"/>
      <c r="G1" s="31"/>
      <c r="H1" s="31"/>
      <c r="I1" s="31"/>
      <c r="J1" s="31"/>
      <c r="K1" s="31"/>
      <c r="L1" s="31"/>
      <c r="M1" s="31"/>
    </row>
    <row r="2" spans="1:13" ht="20.100000000000001" customHeight="1" x14ac:dyDescent="0.25">
      <c r="A2"/>
      <c r="C2" s="3"/>
      <c r="D2" s="3"/>
      <c r="E2" s="3"/>
      <c r="F2" s="3"/>
      <c r="G2" s="3"/>
      <c r="H2" s="3"/>
      <c r="I2" s="3"/>
      <c r="J2" s="3"/>
      <c r="K2" s="3"/>
      <c r="L2" s="3"/>
      <c r="M2" s="3"/>
    </row>
    <row r="3" spans="1:13" ht="20.100000000000001" customHeight="1" x14ac:dyDescent="0.25">
      <c r="A3" s="5" t="str">
        <f>HYPERLINK("#'Home'!A1", "Home")</f>
        <v>Home</v>
      </c>
      <c r="C3" s="33"/>
      <c r="D3" s="33"/>
      <c r="E3" s="33"/>
      <c r="F3" s="33"/>
      <c r="G3" s="33"/>
      <c r="H3" s="33"/>
      <c r="I3" s="33"/>
      <c r="J3" s="33"/>
      <c r="K3" s="33"/>
      <c r="L3" s="33"/>
      <c r="M3" s="33"/>
    </row>
    <row r="4" spans="1:13" ht="20.100000000000001" customHeight="1" x14ac:dyDescent="0.25">
      <c r="A4" s="5" t="str">
        <f>HYPERLINK("#'Overview'!A1", "Overview")</f>
        <v>Overview</v>
      </c>
    </row>
    <row r="5" spans="1:13" ht="20.100000000000001" customHeight="1" x14ac:dyDescent="0.25">
      <c r="A5" s="5" t="str">
        <f>HYPERLINK("#'Results'!A1", "Results")</f>
        <v>Results</v>
      </c>
    </row>
    <row r="6" spans="1:13" ht="20.100000000000001" customHeight="1" x14ac:dyDescent="0.25">
      <c r="A6"/>
      <c r="D6" s="2" t="str" cm="1">
        <f t="array" ref="D6">CommonLivestock_SourceData.SourceData_Livestock_Common_SymbolsMMS_Title()</f>
        <v>Table 5.12 Additional symbols used in algorithms for manure related emissions</v>
      </c>
      <c r="E6" s="35"/>
      <c r="F6" s="35"/>
      <c r="G6" s="35"/>
      <c r="H6" s="35"/>
    </row>
    <row r="7" spans="1:13" ht="20.100000000000001" customHeight="1" x14ac:dyDescent="0.25">
      <c r="A7"/>
      <c r="D7" s="35" t="str" cm="1">
        <f t="array" ref="D7">CommonLivestock_SourceData.SourceData_Livestock_Common_SymbolsMMS_Vairable()</f>
        <v>MMS</v>
      </c>
      <c r="E7" s="35"/>
      <c r="F7" s="35"/>
      <c r="G7" s="35"/>
      <c r="H7" s="35"/>
    </row>
    <row r="8" spans="1:13" ht="20.100000000000001" customHeight="1" x14ac:dyDescent="0.25">
      <c r="A8" s="7" t="s">
        <v>0</v>
      </c>
      <c r="D8" s="27" t="str" cm="1">
        <f t="array" ref="D8">CommonLivestock_SourceData.SourceData_Livestock_Common_SymbolsMMS_Source()</f>
        <v>National Inventory Report 2023 Volume 1: Table 5.12</v>
      </c>
      <c r="E8" s="35"/>
      <c r="F8" s="35"/>
      <c r="G8" s="35"/>
      <c r="H8" s="35"/>
    </row>
    <row r="9" spans="1:13" ht="20.100000000000001" customHeight="1" x14ac:dyDescent="0.25">
      <c r="A9" s="5" t="str">
        <f>HYPERLINK("#'Input - Enterprise'!A1", "Enterprise")</f>
        <v>Enterprise</v>
      </c>
      <c r="D9" s="37" t="s">
        <v>925</v>
      </c>
      <c r="E9" s="30" t="s">
        <v>926</v>
      </c>
      <c r="F9" s="30" t="s">
        <v>927</v>
      </c>
      <c r="G9" s="35"/>
    </row>
    <row r="10" spans="1:13" ht="20.100000000000001" customHeight="1" x14ac:dyDescent="0.25">
      <c r="A10" s="5" t="str">
        <f>HYPERLINK("#'Input - Site'!A1", "Site")</f>
        <v>Site</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5"/>
    </row>
    <row r="11" spans="1:13" ht="20.100000000000001" customHeight="1" x14ac:dyDescent="0.25">
      <c r="A11" s="5" t="str">
        <f>HYPERLINK("#'Input - Crop'!A1", "Crop")</f>
        <v>Crop</v>
      </c>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5"/>
    </row>
    <row r="12" spans="1:13" ht="20.100000000000001" customHeight="1" x14ac:dyDescent="0.25">
      <c r="A12" s="5" t="str">
        <f>HYPERLINK("#'Input - Fert Prod System'!A1", "Fert Prod System")</f>
        <v>Fert Prod System</v>
      </c>
      <c r="D12" s="30" t="str" cm="1">
        <f t="array" ref="D12">Common_InputFunctions.Utility_DisplayArrayInTable(CommonLivestock_SourceData.SourceData_Livestock_Common_SymbolsMMS_Data(), Table_Data_MMSSymbols[[#Headers],[Symbol]], 0)</f>
        <v>3</v>
      </c>
      <c r="E12" s="30" t="str" cm="1">
        <f t="array" ref="E12">Common_InputFunctions.Utility_DisplayArrayInTable(CommonLivestock_SourceData.SourceData_Livestock_Common_SymbolsMMS_Data(), Table_Data_MMSSymbols[[#Headers],[Symbol]], 0)</f>
        <v>Daily spread</v>
      </c>
      <c r="F12" s="30" t="str" cm="1">
        <f t="array" ref="F12">Common_InputFunctions.Utility_DisplayArrayInTable(CommonLivestock_SourceData.SourceData_Livestock_Common_SymbolsMMS_Data(), Table_Data_MMSSymbols[[#Headers],[Symbol]], 0)</f>
        <v>Daily spread (m=3)</v>
      </c>
      <c r="G12" s="35"/>
    </row>
    <row r="13" spans="1:13" ht="20.100000000000001" customHeight="1" x14ac:dyDescent="0.25">
      <c r="A13" s="5" t="str">
        <f>HYPERLINK("#'Input - Fertiliser'!A1", "Fertiliser")</f>
        <v>Fertiliser</v>
      </c>
      <c r="D13" s="30" t="str" cm="1">
        <f t="array" ref="D13">Common_InputFunctions.Utility_DisplayArrayInTable(CommonLivestock_SourceData.SourceData_Livestock_Common_SymbolsMMS_Data(), Table_Data_MMSSymbols[[#Headers],[Symbol]], 0)</f>
        <v>3a</v>
      </c>
      <c r="E13" s="30" t="str" cm="1">
        <f t="array" ref="E13">Common_InputFunctions.Utility_DisplayArrayInTable(CommonLivestock_SourceData.SourceData_Livestock_Common_SymbolsMMS_Data(), Table_Data_MMSSymbols[[#Headers],[Symbol]], 0)</f>
        <v>Sump and dispersal system</v>
      </c>
      <c r="F13" s="30" t="str" cm="1">
        <f t="array" ref="F13">Common_InputFunctions.Utility_DisplayArrayInTable(CommonLivestock_SourceData.SourceData_Livestock_Common_SymbolsMMS_Data(), Table_Data_MMSSymbols[[#Headers],[Symbol]], 0)</f>
        <v>Sump and dispersal system (m=3a)</v>
      </c>
      <c r="G13" s="35"/>
    </row>
    <row r="14" spans="1:13" ht="20.100000000000001" customHeight="1" x14ac:dyDescent="0.25">
      <c r="A14" s="5" t="str">
        <f>HYPERLINK("#'Input - Fuel'!A1", "Fuel")</f>
        <v>Fuel</v>
      </c>
      <c r="D14" s="30" t="str" cm="1">
        <f t="array" ref="D14">Common_InputFunctions.Utility_DisplayArrayInTable(CommonLivestock_SourceData.SourceData_Livestock_Common_SymbolsMMS_Data(), Table_Data_MMSSymbols[[#Headers],[Symbol]], 0)</f>
        <v>3b</v>
      </c>
      <c r="E14" s="30" t="str" cm="1">
        <f t="array" ref="E14">Common_InputFunctions.Utility_DisplayArrayInTable(CommonLivestock_SourceData.SourceData_Livestock_Common_SymbolsMMS_Data(), Table_Data_MMSSymbols[[#Headers],[Symbol]], 0)</f>
        <v>Drains to paddock</v>
      </c>
      <c r="F14" s="30" t="str" cm="1">
        <f t="array" ref="F14">Common_InputFunctions.Utility_DisplayArrayInTable(CommonLivestock_SourceData.SourceData_Livestock_Common_SymbolsMMS_Data(), Table_Data_MMSSymbols[[#Headers],[Symbol]], 0)</f>
        <v>Drains to paddock (m=3b)</v>
      </c>
      <c r="G14" s="35"/>
    </row>
    <row r="15" spans="1:13" ht="20.100000000000001" customHeight="1" x14ac:dyDescent="0.25">
      <c r="A15" s="5" t="str">
        <f>HYPERLINK("#'Input - Electricity'!A1", "Electricity")</f>
        <v>Electricity</v>
      </c>
      <c r="D15" s="30" t="str" cm="1">
        <f t="array" ref="D15">Common_InputFunctions.Utility_DisplayArrayInTable(CommonLivestock_SourceData.SourceData_Livestock_Common_SymbolsMMS_Data(), Table_Data_MMSSymbols[[#Headers],[Symbol]], 0)</f>
        <v>4</v>
      </c>
      <c r="E15" s="30" t="str" cm="1">
        <f t="array" ref="E15">Common_InputFunctions.Utility_DisplayArrayInTable(CommonLivestock_SourceData.SourceData_Livestock_Common_SymbolsMMS_Data(), Table_Data_MMSSymbols[[#Headers],[Symbol]], 0)</f>
        <v>Solid storage</v>
      </c>
      <c r="F15" s="30" t="str" cm="1">
        <f t="array" ref="F15">Common_InputFunctions.Utility_DisplayArrayInTable(CommonLivestock_SourceData.SourceData_Livestock_Common_SymbolsMMS_Data(), Table_Data_MMSSymbols[[#Headers],[Symbol]], 0)</f>
        <v>Solid storage (m=4)</v>
      </c>
      <c r="G15" s="35"/>
    </row>
    <row r="16" spans="1:13" ht="20.100000000000001" customHeight="1" x14ac:dyDescent="0.25">
      <c r="A16" s="5" t="str">
        <f>HYPERLINK("#'Input - Common farm inputs'!A1", "Common farm inputs")</f>
        <v>Common farm inputs</v>
      </c>
      <c r="D16" s="30" t="str" cm="1">
        <f t="array" ref="D16">Common_InputFunctions.Utility_DisplayArrayInTable(CommonLivestock_SourceData.SourceData_Livestock_Common_SymbolsMMS_Data(), Table_Data_MMSSymbols[[#Headers],[Symbol]], 0)</f>
        <v>5</v>
      </c>
      <c r="E16" s="30" t="str" cm="1">
        <f t="array" ref="E16">Common_InputFunctions.Utility_DisplayArrayInTable(CommonLivestock_SourceData.SourceData_Livestock_Common_SymbolsMMS_Data(), Table_Data_MMSSymbols[[#Headers],[Symbol]], 0)</f>
        <v>Drylot (feed pad)</v>
      </c>
      <c r="F16" s="30" t="str" cm="1">
        <f t="array" ref="F16">Common_InputFunctions.Utility_DisplayArrayInTable(CommonLivestock_SourceData.SourceData_Livestock_Common_SymbolsMMS_Data(), Table_Data_MMSSymbols[[#Headers],[Symbol]], 0)</f>
        <v>Drylot (feed pad) (m=5)</v>
      </c>
      <c r="G16" s="35"/>
    </row>
    <row r="17" spans="1:8" ht="20.100000000000001" customHeight="1" x14ac:dyDescent="0.25">
      <c r="A17" s="5" t="str">
        <f>HYPERLINK("#'Input - Crop pasture farm input'!A1", "Crop pasture farm input")</f>
        <v>Crop pasture farm input</v>
      </c>
      <c r="D17" s="30" t="str" cm="1">
        <f t="array" ref="D17">Common_InputFunctions.Utility_DisplayArrayInTable(CommonLivestock_SourceData.SourceData_Livestock_Common_SymbolsMMS_Data(), Table_Data_MMSSymbols[[#Headers],[Symbol]], 0)</f>
        <v>6</v>
      </c>
      <c r="E17" s="30" t="str" cm="1">
        <f t="array" ref="E17">Common_InputFunctions.Utility_DisplayArrayInTable(CommonLivestock_SourceData.SourceData_Livestock_Common_SymbolsMMS_Data(), Table_Data_MMSSymbols[[#Headers],[Symbol]], 0)</f>
        <v>Composting (passive windrow)</v>
      </c>
      <c r="F17" s="30" t="str" cm="1">
        <f t="array" ref="F17">Common_InputFunctions.Utility_DisplayArrayInTable(CommonLivestock_SourceData.SourceData_Livestock_Common_SymbolsMMS_Data(), Table_Data_MMSSymbols[[#Headers],[Symbol]], 0)</f>
        <v>Composting (passive windrow) (m=6)</v>
      </c>
      <c r="G17" s="35"/>
    </row>
    <row r="18" spans="1:8" ht="20.100000000000001" customHeight="1" x14ac:dyDescent="0.25">
      <c r="A18" s="5" t="str">
        <f>HYPERLINK("#'Input - Freight'!A1", "Freight")</f>
        <v>Freight</v>
      </c>
      <c r="D18" s="30" t="str" cm="1">
        <f t="array" ref="D18">Common_InputFunctions.Utility_DisplayArrayInTable(CommonLivestock_SourceData.SourceData_Livestock_Common_SymbolsMMS_Data(), Table_Data_MMSSymbols[[#Headers],[Symbol]], 0)</f>
        <v>7</v>
      </c>
      <c r="E18" s="30" t="str" cm="1">
        <f t="array" ref="E18">Common_InputFunctions.Utility_DisplayArrayInTable(CommonLivestock_SourceData.SourceData_Livestock_Common_SymbolsMMS_Data(), Table_Data_MMSSymbols[[#Headers],[Symbol]], 0)</f>
        <v>Digester / covered lagoons</v>
      </c>
      <c r="F18" s="30" t="str" cm="1">
        <f t="array" ref="F18">Common_InputFunctions.Utility_DisplayArrayInTable(CommonLivestock_SourceData.SourceData_Livestock_Common_SymbolsMMS_Data(), Table_Data_MMSSymbols[[#Headers],[Symbol]], 0)</f>
        <v>Digester / covered lagoons (m=7)</v>
      </c>
      <c r="G18" s="35"/>
    </row>
    <row r="19" spans="1:8" ht="20.100000000000001" customHeight="1" x14ac:dyDescent="0.25">
      <c r="A19" s="5" t="str">
        <f>HYPERLINK("#'Input - Manure sent off-site'!A1", "Manure sent off-site")</f>
        <v>Manure sent off-site</v>
      </c>
      <c r="D19" s="30" t="str" cm="1">
        <f t="array" ref="D19">Common_InputFunctions.Utility_DisplayArrayInTable(CommonLivestock_SourceData.SourceData_Livestock_Common_SymbolsMMS_Data(), Table_Data_MMSSymbols[[#Headers],[Symbol]], 0)</f>
        <v>8</v>
      </c>
      <c r="E19" s="30" t="str" cm="1">
        <f t="array" ref="E19">Common_InputFunctions.Utility_DisplayArrayInTable(CommonLivestock_SourceData.SourceData_Livestock_Common_SymbolsMMS_Data(), Table_Data_MMSSymbols[[#Headers],[Symbol]], 0)</f>
        <v>Deep litter</v>
      </c>
      <c r="F19" s="30" t="str" cm="1">
        <f t="array" ref="F19">Common_InputFunctions.Utility_DisplayArrayInTable(CommonLivestock_SourceData.SourceData_Livestock_Common_SymbolsMMS_Data(), Table_Data_MMSSymbols[[#Headers],[Symbol]], 0)</f>
        <v>Deep litter (m=8)</v>
      </c>
      <c r="G19" s="35"/>
    </row>
    <row r="20" spans="1:8" ht="20.100000000000001" customHeight="1" x14ac:dyDescent="0.25">
      <c r="A20" s="5" t="str">
        <f>HYPERLINK("#'Input - Solid waste'!A1", "Solid waste")</f>
        <v>Solid waste</v>
      </c>
      <c r="D20" s="30" t="str" cm="1">
        <f t="array" ref="D20">Common_InputFunctions.Utility_DisplayArrayInTable(CommonLivestock_SourceData.SourceData_Livestock_Common_SymbolsMMS_Data(), Table_Data_MMSSymbols[[#Headers],[Symbol]], 0)</f>
        <v>9</v>
      </c>
      <c r="E20" s="30" t="str" cm="1">
        <f t="array" ref="E20">Common_InputFunctions.Utility_DisplayArrayInTable(CommonLivestock_SourceData.SourceData_Livestock_Common_SymbolsMMS_Data(), Table_Data_MMSSymbols[[#Headers],[Symbol]], 0)</f>
        <v>Pit storage</v>
      </c>
      <c r="F20" s="30" t="str" cm="1">
        <f t="array" ref="F20">Common_InputFunctions.Utility_DisplayArrayInTable(CommonLivestock_SourceData.SourceData_Livestock_Common_SymbolsMMS_Data(), Table_Data_MMSSymbols[[#Headers],[Symbol]], 0)</f>
        <v>Pit storage (m=9)</v>
      </c>
      <c r="G20" s="35"/>
    </row>
    <row r="21" spans="1:8" ht="20.100000000000001" customHeight="1" x14ac:dyDescent="0.25">
      <c r="A21" s="5" t="str">
        <f>HYPERLINK("#'Input - Data quality'!A1", "Data quality")</f>
        <v>Data quality</v>
      </c>
      <c r="D21" s="30" t="str" cm="1">
        <f t="array" ref="D21">Common_InputFunctions.Utility_DisplayArrayInTable(CommonLivestock_SourceData.SourceData_Livestock_Common_SymbolsMMS_Data(), Table_Data_MMSSymbols[[#Headers],[Symbol]], 0)</f>
        <v>10</v>
      </c>
      <c r="E21" s="30" t="str" cm="1">
        <f t="array" ref="E21">Common_InputFunctions.Utility_DisplayArrayInTable(CommonLivestock_SourceData.SourceData_Livestock_Common_SymbolsMMS_Data(), Table_Data_MMSSymbols[[#Headers],[Symbol]], 0)</f>
        <v>Poultry manure with bedding</v>
      </c>
      <c r="F21" s="30" t="str" cm="1">
        <f t="array" ref="F21">Common_InputFunctions.Utility_DisplayArrayInTable(CommonLivestock_SourceData.SourceData_Livestock_Common_SymbolsMMS_Data(), Table_Data_MMSSymbols[[#Headers],[Symbol]], 0)</f>
        <v>Poultry manure with bedding (m=10)</v>
      </c>
      <c r="G21" s="35"/>
    </row>
    <row r="22" spans="1:8" ht="20.100000000000001" customHeight="1" x14ac:dyDescent="0.25">
      <c r="A22"/>
      <c r="D22" s="30" t="str" cm="1">
        <f t="array" ref="D22">Common_InputFunctions.Utility_DisplayArrayInTable(CommonLivestock_SourceData.SourceData_Livestock_Common_SymbolsMMS_Data(), Table_Data_MMSSymbols[[#Headers],[Symbol]], 0)</f>
        <v>11</v>
      </c>
      <c r="E22" s="30" t="str" cm="1">
        <f t="array" ref="E22">Common_InputFunctions.Utility_DisplayArrayInTable(CommonLivestock_SourceData.SourceData_Livestock_Common_SymbolsMMS_Data(), Table_Data_MMSSymbols[[#Headers],[Symbol]], 0)</f>
        <v>Poultry manure without bedding</v>
      </c>
      <c r="F22" s="30" t="str" cm="1">
        <f t="array" ref="F22">Common_InputFunctions.Utility_DisplayArrayInTable(CommonLivestock_SourceData.SourceData_Livestock_Common_SymbolsMMS_Data(), Table_Data_MMSSymbols[[#Headers],[Symbol]], 0)</f>
        <v>Poultry manure without bedding (m=11)</v>
      </c>
      <c r="G22" s="35"/>
    </row>
    <row r="23" spans="1:8" ht="20.100000000000001" customHeight="1" x14ac:dyDescent="0.25">
      <c r="A23"/>
      <c r="D23" s="30" t="str" cm="1">
        <f t="array" ref="D23">Common_InputFunctions.Utility_DisplayArrayInTable(CommonLivestock_SourceData.SourceData_Livestock_Common_SymbolsMMS_Data(), Table_Data_MMSSymbols[[#Headers],[Symbol]], 0)</f>
        <v>11a</v>
      </c>
      <c r="E23" s="30" t="str" cm="1">
        <f t="array" ref="E23">Common_InputFunctions.Utility_DisplayArrayInTable(CommonLivestock_SourceData.SourceData_Livestock_Common_SymbolsMMS_Data(), Table_Data_MMSSymbols[[#Headers],[Symbol]], 0)</f>
        <v>Belt manure removal</v>
      </c>
      <c r="F23" s="30" t="str" cm="1">
        <f t="array" ref="F23">Common_InputFunctions.Utility_DisplayArrayInTable(CommonLivestock_SourceData.SourceData_Livestock_Common_SymbolsMMS_Data(), Table_Data_MMSSymbols[[#Headers],[Symbol]], 0)</f>
        <v>Belt manure removal (m=11a)</v>
      </c>
      <c r="G23" s="35"/>
    </row>
    <row r="24" spans="1:8" ht="20.100000000000001" customHeight="1" x14ac:dyDescent="0.25">
      <c r="A24" s="6" t="s">
        <v>2</v>
      </c>
      <c r="D24" s="30" t="str" cm="1">
        <f t="array" ref="D24">Common_InputFunctions.Utility_DisplayArrayInTable(CommonLivestock_SourceData.SourceData_Livestock_Common_SymbolsMMS_Data(), Table_Data_MMSSymbols[[#Headers],[Symbol]], 0)</f>
        <v>11b</v>
      </c>
      <c r="E24" s="30" t="str" cm="1">
        <f t="array" ref="E24">Common_InputFunctions.Utility_DisplayArrayInTable(CommonLivestock_SourceData.SourceData_Livestock_Common_SymbolsMMS_Data(), Table_Data_MMSSymbols[[#Headers],[Symbol]], 0)</f>
        <v>Manure stored in house</v>
      </c>
      <c r="F24" s="30" t="str" cm="1">
        <f t="array" ref="F24">Common_InputFunctions.Utility_DisplayArrayInTable(CommonLivestock_SourceData.SourceData_Livestock_Common_SymbolsMMS_Data(), Table_Data_MMSSymbols[[#Headers],[Symbol]], 0)</f>
        <v>Manure stored in house (m=11b)</v>
      </c>
      <c r="G24" s="35"/>
    </row>
    <row r="25" spans="1:8" ht="20.100000000000001" customHeight="1" x14ac:dyDescent="0.25">
      <c r="A25" s="5" t="str">
        <f>HYPERLINK("#'5.1.1.1-2 Inorganic fert N2O'!A1", "5.1.1.1-2 Inorganic fert N2O")</f>
        <v>5.1.1.1-2 Inorganic fert N2O</v>
      </c>
      <c r="D25" s="30" t="str" cm="1">
        <f t="array" ref="D25">Common_InputFunctions.Utility_DisplayArrayInTable(CommonLivestock_SourceData.SourceData_Livestock_Common_SymbolsMMS_Data(), Table_Data_MMSSymbols[[#Headers],[Symbol]], 0)</f>
        <v>12</v>
      </c>
      <c r="E25" s="30" t="str" cm="1">
        <f t="array" ref="E25">Common_InputFunctions.Utility_DisplayArrayInTable(CommonLivestock_SourceData.SourceData_Livestock_Common_SymbolsMMS_Data(), Table_Data_MMSSymbols[[#Headers],[Symbol]], 0)</f>
        <v>Direct processing</v>
      </c>
      <c r="F25" s="30" t="str" cm="1">
        <f t="array" ref="F25">Common_InputFunctions.Utility_DisplayArrayInTable(CommonLivestock_SourceData.SourceData_Livestock_Common_SymbolsMMS_Data(), Table_Data_MMSSymbols[[#Headers],[Symbol]], 0)</f>
        <v>Direct processing (m=12)</v>
      </c>
      <c r="G25" s="35"/>
    </row>
    <row r="26" spans="1:8" ht="20.100000000000001" customHeight="1" x14ac:dyDescent="0.25">
      <c r="A26" s="5" t="str">
        <f>HYPERLINK("#'5.1.1.3-4 Inorganic fert CO2'!A1", "5.1.1.3-4 Inorganic fert CO2")</f>
        <v>5.1.1.3-4 Inorganic fert CO2</v>
      </c>
      <c r="D26" s="30" t="str" cm="1">
        <f t="array" ref="D26">Common_InputFunctions.Utility_DisplayArrayInTable(CommonLivestock_SourceData.SourceData_Livestock_Common_SymbolsMMS_Data(), Table_Data_MMSSymbols[[#Headers],[Symbol]], 0)</f>
        <v>13</v>
      </c>
      <c r="E26" s="30" t="str" cm="1">
        <f t="array" ref="E26">Common_InputFunctions.Utility_DisplayArrayInTable(CommonLivestock_SourceData.SourceData_Livestock_Common_SymbolsMMS_Data(), Table_Data_MMSSymbols[[#Headers],[Symbol]], 0)</f>
        <v>Direct application</v>
      </c>
      <c r="F26" s="30" t="str" cm="1">
        <f t="array" ref="F26">Common_InputFunctions.Utility_DisplayArrayInTable(CommonLivestock_SourceData.SourceData_Livestock_Common_SymbolsMMS_Data(), Table_Data_MMSSymbols[[#Headers],[Symbol]], 0)</f>
        <v>Direct application (m=13)</v>
      </c>
      <c r="G26" s="35"/>
    </row>
    <row r="27" spans="1:8" ht="20.100000000000001" customHeight="1" x14ac:dyDescent="0.25">
      <c r="A27" s="5" t="str">
        <f>HYPERLINK("#'5.2.1.1-2 Organic Fert N2O'!A1", "5.2.1.1-2 Organic fert N2O")</f>
        <v>5.2.1.1-2 Organic fert N2O</v>
      </c>
      <c r="D27" s="30" t="str" cm="1">
        <f t="array" ref="D27">Common_InputFunctions.Utility_DisplayArrayInTable(CommonLivestock_SourceData.SourceData_Livestock_Common_SymbolsMMS_Data(), Table_Data_MMSSymbols[[#Headers],[Symbol]], 0)</f>
        <v>14</v>
      </c>
      <c r="E27" s="30" t="str" cm="1">
        <f t="array" ref="E27">Common_InputFunctions.Utility_DisplayArrayInTable(CommonLivestock_SourceData.SourceData_Livestock_Common_SymbolsMMS_Data(), Table_Data_MMSSymbols[[#Headers],[Symbol]], 0)</f>
        <v>Pasture range and paddock</v>
      </c>
      <c r="F27" s="30" t="str" cm="1">
        <f t="array" ref="F27">Common_InputFunctions.Utility_DisplayArrayInTable(CommonLivestock_SourceData.SourceData_Livestock_Common_SymbolsMMS_Data(), Table_Data_MMSSymbols[[#Headers],[Symbol]], 0)</f>
        <v>Pasture range and paddock (m=14)</v>
      </c>
      <c r="G27" s="35"/>
    </row>
    <row r="28" spans="1:8" ht="20.100000000000001" customHeight="1" x14ac:dyDescent="0.25">
      <c r="A28" s="5" t="str">
        <f>HYPERLINK("#'5.3.1.1-2 Lime CO2'!A1", "5.3.1.1-2 Lime CO2")</f>
        <v>5.3.1.1-2 Lime CO2</v>
      </c>
      <c r="G28" s="35"/>
      <c r="H28" s="35"/>
    </row>
    <row r="29" spans="1:8" ht="20.100000000000001" customHeight="1" x14ac:dyDescent="0.25">
      <c r="A29" s="5" t="str">
        <f>HYPERLINK("#'5.4.1.1-4 Atmos deposition'!A1", "5.4.1.1-4 Atmos. deposition")</f>
        <v>5.4.1.1-4 Atmos. deposition</v>
      </c>
      <c r="D29" s="2" t="str" cm="1">
        <f t="array" ref="D29">CommonLivestock_SourceData.SourceData_Livestock_Product_BeefCattle_Title()</f>
        <v>Beef cattle products for scope 3</v>
      </c>
    </row>
    <row r="30" spans="1:8" ht="20.100000000000001" customHeight="1" x14ac:dyDescent="0.25">
      <c r="A30" s="5" t="str">
        <f>HYPERLINK("#'5.5.1.1-2 Leaching and runoff'!A1", "5.5.1.1-2 Leaching &amp; runoff")</f>
        <v>5.5.1.1-2 Leaching &amp; runoff</v>
      </c>
      <c r="D30" s="27"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A31" s="5" t="str">
        <f>HYPERLINK("#'6.1.1.1-2 Crop residue N2O'!A1", "6.1.1.1-2 Crop residue N2O")</f>
        <v>6.1.1.1-2 Crop residue N2O</v>
      </c>
      <c r="D31" s="30" t="s">
        <v>137</v>
      </c>
      <c r="E31" s="30" t="s">
        <v>928</v>
      </c>
      <c r="F31" s="1" t="s">
        <v>929</v>
      </c>
    </row>
    <row r="32" spans="1:8" ht="20.100000000000001" customHeight="1" x14ac:dyDescent="0.25">
      <c r="A32" s="5" t="str">
        <f>HYPERLINK("#'6.3.1.1-2 Leach runoff crop'!A1", "6.3.1.1-2 Leach &amp; runoff (crop)")</f>
        <v>6.3.1.1-2 Leach &amp; runoff (crop)</v>
      </c>
      <c r="D32" s="30" t="str" cm="1">
        <f t="array" ref="D32">Common_InputFunctions.Utility_DisplayArrayInTable(CommonLivestock_SourceData.SourceData_Livestock_Product_BeefCattle_Data(),Table_SourceData_LivestockProduct_Beefcattle[[#Headers],[Product]],0)</f>
        <v>Cattle, for manufacturing beef</v>
      </c>
      <c r="E32" s="30"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5">
      <c r="A33" s="5" t="str">
        <f>HYPERLINK("#'6.4.1.1-2 Residue burning'!A1", "6.4.1.1-2 Residue burning")</f>
        <v>6.4.1.1-2 Residue burning</v>
      </c>
      <c r="D33" s="1" t="str" cm="1">
        <f t="array" ref="D33">Common_InputFunctions.Utility_DisplayArrayInTable(CommonLivestock_SourceData.SourceData_Livestock_Product_BeefCattle_Data(),Table_SourceData_LivestockProduct_Beefcattle[[#Headers],[Product]],0)</f>
        <v>Cattle, for prime beef</v>
      </c>
      <c r="E33" s="30"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5">
      <c r="A34" s="5" t="str">
        <f>HYPERLINK("#'8.1.1.1-2 Transport fuel'!A1", "8.1.1.1-2 Transport fuel")</f>
        <v>8.1.1.1-2 Transport fuel</v>
      </c>
      <c r="D34" s="1" t="str" cm="1">
        <f t="array" ref="D34">Common_InputFunctions.Utility_DisplayArrayInTable(CommonLivestock_SourceData.SourceData_Livestock_Product_BeefCattle_Data(),Table_SourceData_LivestockProduct_Beefcattle[[#Headers],[Product]],0)</f>
        <v>Cattle, weaners</v>
      </c>
      <c r="E34" s="30"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5">
      <c r="A35" s="5" t="str">
        <f>HYPERLINK("#'8.2.1.1-2 Stationary fuel'!A1", "8.2.1.1-2 Stationary fuel")</f>
        <v>8.2.1.1-2 Stationary fuel</v>
      </c>
      <c r="D35" s="1" t="str" cm="1">
        <f t="array" ref="D35">Common_InputFunctions.Utility_DisplayArrayInTable(CommonLivestock_SourceData.SourceData_Livestock_Product_BeefCattle_Data(),Table_SourceData_LivestockProduct_Beefcattle[[#Headers],[Product]],0)</f>
        <v/>
      </c>
      <c r="E35" s="30"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5">
      <c r="A36" s="5" t="str">
        <f>HYPERLINK("#'14.1.1-2 Purchased electricity'!A1", "14.1.1-2 Purchased electricity")</f>
        <v>14.1.1-2 Purchased electricity</v>
      </c>
      <c r="D36" s="1" t="str" cm="1">
        <f t="array" ref="D36">Common_InputFunctions.Utility_DisplayArrayInTable(CommonLivestock_SourceData.SourceData_Livestock_Product_BeefCattle_Data(),Table_SourceData_LivestockProduct_Beefcattle[[#Headers],[Product]],0)</f>
        <v/>
      </c>
      <c r="E36" s="30"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5">
      <c r="A37" s="5" t="str">
        <f>HYPERLINK("#'15 Scope 3'!A1", "15 Scope 3")</f>
        <v>15 Scope 3</v>
      </c>
      <c r="D37" s="1" t="str" cm="1">
        <f t="array" ref="D37">Common_InputFunctions.Utility_DisplayArrayInTable(CommonLivestock_SourceData.SourceData_Livestock_Product_BeefCattle_Data(),Table_SourceData_LivestockProduct_Beefcattle[[#Headers],[Product]],0)</f>
        <v/>
      </c>
      <c r="E37" s="30"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5">
      <c r="A38" s="5" t="str">
        <f>HYPERLINK("#'Calcs - Manure sent off-site'!A1", "Calcs - Manure sent off-site")</f>
        <v>Calcs - Manure sent off-site</v>
      </c>
      <c r="D38" s="1" t="str" cm="1">
        <f t="array" ref="D38">Common_InputFunctions.Utility_DisplayArrayInTable(CommonLivestock_SourceData.SourceData_Livestock_Product_BeefCattle_Data(),Table_SourceData_LivestockProduct_Beefcattle[[#Headers],[Product]],0)</f>
        <v/>
      </c>
      <c r="E38" s="30"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5">
      <c r="A39" s="5" t="str">
        <f>HYPERLINK("#'10.1.1-2 Solid waste treatment'!A1", "10.1.1-2 Solid waste treatment")</f>
        <v>10.1.1-2 Solid waste treatment</v>
      </c>
      <c r="D39" s="1" t="str" cm="1">
        <f t="array" ref="D39">Common_InputFunctions.Utility_DisplayArrayInTable(CommonLivestock_SourceData.SourceData_Livestock_Product_BeefCattle_Data(),Table_SourceData_LivestockProduct_Beefcattle[[#Headers],[Product]],0)</f>
        <v/>
      </c>
      <c r="E39" s="30"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5">
      <c r="A40"/>
    </row>
    <row r="41" spans="1:6" ht="20.100000000000001" customHeight="1" x14ac:dyDescent="0.25">
      <c r="A41"/>
      <c r="D41" s="2" t="str" cm="1">
        <f t="array" ref="D41">CommonLivestock_SourceData.SourceData_Livestock_Product_Sheep_Title()</f>
        <v>Sheep products for scope 3</v>
      </c>
    </row>
    <row r="42" spans="1:6" ht="20.100000000000001" customHeight="1" x14ac:dyDescent="0.25">
      <c r="A42" s="108" t="s">
        <v>1</v>
      </c>
      <c r="D42" s="27"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5">
      <c r="A43" s="5" t="str">
        <f>HYPERLINK("#'Constants - Ag Residue'!A1", "Constants - Ag residue")</f>
        <v>Constants - Ag residue</v>
      </c>
      <c r="D43" s="30" t="s">
        <v>137</v>
      </c>
      <c r="E43" s="30" t="s">
        <v>928</v>
      </c>
      <c r="F43" s="1" t="s">
        <v>930</v>
      </c>
    </row>
    <row r="44" spans="1:6" ht="20.100000000000001" customHeight="1" x14ac:dyDescent="0.25">
      <c r="A44" s="173" t="str">
        <f>HYPERLINK("#'Constants - Common Livestock'!A1", "Constants - Common Livestock")</f>
        <v>Constants - Common Livestock</v>
      </c>
      <c r="D44" s="30" t="str" cm="1">
        <f t="array" ref="D44">Common_InputFunctions.Utility_DisplayArrayInTable(CommonLivestock_SourceData.SourceData_Livestock_Product_Sheep_Data(),Table_SourceData_LivestockProduct_Sheep[[#Headers],[Product]],0)</f>
        <v>Sheep, for mutton</v>
      </c>
      <c r="E44" s="30" t="str" cm="1">
        <f t="array" ref="E44">Common_InputFunctions.Utility_DisplayArrayInTable(CommonLivestock_SourceData.SourceData_Livestock_Product_Sheep_Data(),Table_SourceData_LivestockProduct_Sheep[[#Headers],[Product]],0)</f>
        <v>Australia</v>
      </c>
    </row>
    <row r="45" spans="1:6" ht="20.100000000000001" customHeight="1" x14ac:dyDescent="0.25">
      <c r="A45" s="5" t="str">
        <f>HYPERLINK("#'Constants - Electricity'!A1", "Constants - Electricity")</f>
        <v>Constants - Electricity</v>
      </c>
      <c r="D45" s="30" t="str" cm="1">
        <f t="array" ref="D45">Common_InputFunctions.Utility_DisplayArrayInTable(CommonLivestock_SourceData.SourceData_Livestock_Product_Sheep_Data(),Table_SourceData_LivestockProduct_Sheep[[#Headers],[Product]],0)</f>
        <v>Sheep, for prime lamb</v>
      </c>
      <c r="E45" s="30" t="str" cm="1">
        <f t="array" ref="E45">Common_InputFunctions.Utility_DisplayArrayInTable(CommonLivestock_SourceData.SourceData_Livestock_Product_Sheep_Data(),Table_SourceData_LivestockProduct_Sheep[[#Headers],[Product]],0)</f>
        <v>NSW</v>
      </c>
    </row>
    <row r="46" spans="1:6" ht="20.100000000000001" customHeight="1" x14ac:dyDescent="0.25">
      <c r="A46" s="5" t="str">
        <f>HYPERLINK("#'Constants - Fertiliser'!A1", "Constants - Fertiliser")</f>
        <v>Constants - Fertiliser</v>
      </c>
      <c r="D46" s="30" t="str" cm="1">
        <f t="array" ref="D46">Common_InputFunctions.Utility_DisplayArrayInTable(CommonLivestock_SourceData.SourceData_Livestock_Product_Sheep_Data(),Table_SourceData_LivestockProduct_Sheep[[#Headers],[Product]],0)</f>
        <v/>
      </c>
      <c r="E46" s="30" t="str" cm="1">
        <f t="array" ref="E46">Common_InputFunctions.Utility_DisplayArrayInTable(CommonLivestock_SourceData.SourceData_Livestock_Product_Sheep_Data(),Table_SourceData_LivestockProduct_Sheep[[#Headers],[Product]],0)</f>
        <v>QLD</v>
      </c>
    </row>
    <row r="47" spans="1:6" ht="20.100000000000001" customHeight="1" x14ac:dyDescent="0.25">
      <c r="A47" s="5" t="str">
        <f>HYPERLINK("#'Constants - Fuel'!A1", "Constants - Fuel")</f>
        <v>Constants - Fuel</v>
      </c>
      <c r="D47" s="30" t="str" cm="1">
        <f t="array" ref="D47">Common_InputFunctions.Utility_DisplayArrayInTable(CommonLivestock_SourceData.SourceData_Livestock_Product_Sheep_Data(),Table_SourceData_LivestockProduct_Sheep[[#Headers],[Product]],0)</f>
        <v/>
      </c>
      <c r="E47" s="30" t="str" cm="1">
        <f t="array" ref="E47">Common_InputFunctions.Utility_DisplayArrayInTable(CommonLivestock_SourceData.SourceData_Livestock_Product_Sheep_Data(),Table_SourceData_LivestockProduct_Sheep[[#Headers],[Product]],0)</f>
        <v>SA</v>
      </c>
    </row>
    <row r="48" spans="1:6" ht="20.100000000000001" customHeight="1" x14ac:dyDescent="0.25">
      <c r="A48" s="5" t="str">
        <f>HYPERLINK("#'Constants - Scope 3'!A1", "Constants - Scope 3")</f>
        <v>Constants - Scope 3</v>
      </c>
      <c r="D48" s="30" t="str" cm="1">
        <f t="array" ref="D48">Common_InputFunctions.Utility_DisplayArrayInTable(CommonLivestock_SourceData.SourceData_Livestock_Product_Sheep_Data(),Table_SourceData_LivestockProduct_Sheep[[#Headers],[Product]],0)</f>
        <v/>
      </c>
      <c r="E48" s="30" t="str" cm="1">
        <f t="array" ref="E48">Common_InputFunctions.Utility_DisplayArrayInTable(CommonLivestock_SourceData.SourceData_Livestock_Product_Sheep_Data(),Table_SourceData_LivestockProduct_Sheep[[#Headers],[Product]],0)</f>
        <v>TAS</v>
      </c>
    </row>
    <row r="49" spans="1:6" ht="20.100000000000001" customHeight="1" x14ac:dyDescent="0.25">
      <c r="A49" s="5" t="str">
        <f>HYPERLINK("#'Constants - Common'!A1", "Constants - Common")</f>
        <v>Constants - Common</v>
      </c>
      <c r="D49" s="30" t="str" cm="1">
        <f t="array" ref="D49">Common_InputFunctions.Utility_DisplayArrayInTable(CommonLivestock_SourceData.SourceData_Livestock_Product_Sheep_Data(),Table_SourceData_LivestockProduct_Sheep[[#Headers],[Product]],0)</f>
        <v/>
      </c>
      <c r="E49" s="30" t="str" cm="1">
        <f t="array" ref="E49">Common_InputFunctions.Utility_DisplayArrayInTable(CommonLivestock_SourceData.SourceData_Livestock_Product_Sheep_Data(),Table_SourceData_LivestockProduct_Sheep[[#Headers],[Product]],0)</f>
        <v>VIC</v>
      </c>
    </row>
    <row r="50" spans="1:6" ht="20.100000000000001" customHeight="1" x14ac:dyDescent="0.25">
      <c r="A50" s="5" t="str">
        <f>HYPERLINK("#'Constants - Solid Waste'!A1", "Constants - Solid Waste")</f>
        <v>Constants - Solid Waste</v>
      </c>
      <c r="D50" s="30" t="str" cm="1">
        <f t="array" ref="D50">Common_InputFunctions.Utility_DisplayArrayInTable(CommonLivestock_SourceData.SourceData_Livestock_Product_Sheep_Data(),Table_SourceData_LivestockProduct_Sheep[[#Headers],[Product]],0)</f>
        <v/>
      </c>
      <c r="E50" s="30" t="str" cm="1">
        <f t="array" ref="E50">Common_InputFunctions.Utility_DisplayArrayInTable(CommonLivestock_SourceData.SourceData_Livestock_Product_Sheep_Data(),Table_SourceData_LivestockProduct_Sheep[[#Headers],[Product]],0)</f>
        <v>WA</v>
      </c>
    </row>
    <row r="51" spans="1:6" ht="20.100000000000001" customHeight="1" x14ac:dyDescent="0.25">
      <c r="A51"/>
    </row>
    <row r="52" spans="1:6" ht="20.100000000000001" customHeight="1" x14ac:dyDescent="0.25">
      <c r="A52"/>
      <c r="D52" s="2" t="str" cm="1">
        <f t="array" ref="D52">CommonLivestock_SourceData.SourceData_Livestock_Product_Chickens_Title()</f>
        <v>Chickens products for scope 3</v>
      </c>
    </row>
    <row r="53" spans="1:6" ht="20.100000000000001" customHeight="1" x14ac:dyDescent="0.25">
      <c r="A53"/>
      <c r="D53" s="27" t="str" cm="1">
        <f t="array" ref="D53">CommonLivestock_SourceData.SourceData_Livestock_Product_Chickens_Source()</f>
        <v>Lifecycles. (2026). Greenhouse Gas Emission Intensities for Material Inputs to Australian Agriculture, Fisheries and Forestry. Version 48. doi 10.5281/zenodo.19656580</v>
      </c>
    </row>
    <row r="54" spans="1:6" ht="20.100000000000001" customHeight="1" x14ac:dyDescent="0.25">
      <c r="A54"/>
      <c r="D54" s="30" t="s">
        <v>137</v>
      </c>
      <c r="E54" s="30" t="s">
        <v>928</v>
      </c>
      <c r="F54" s="1" t="s">
        <v>931</v>
      </c>
    </row>
    <row r="55" spans="1:6" ht="20.100000000000001" customHeight="1" x14ac:dyDescent="0.25">
      <c r="A55"/>
      <c r="D55" s="30" t="str" cm="1">
        <f t="array" ref="D55">Common_InputFunctions.Utility_DisplayArrayInTable(CommonLivestock_SourceData.SourceData_Livestock_Product_Chickens_Data(),Table_SourceData_LivestockProduct_Chickens[[#Headers],[Product]],0)</f>
        <v>Chickens</v>
      </c>
      <c r="E55" s="30" t="str" cm="1">
        <f t="array" ref="E55">Common_InputFunctions.Utility_DisplayArrayInTable(CommonLivestock_SourceData.SourceData_Livestock_Product_Chickens_Data(),Table_SourceData_LivestockProduct_Chickens[[#Headers],[Product]],0)</f>
        <v>Australia</v>
      </c>
    </row>
    <row r="56" spans="1:6" ht="20.100000000000001" customHeight="1" x14ac:dyDescent="0.25">
      <c r="A56"/>
    </row>
    <row r="57" spans="1:6" ht="20.100000000000001" customHeight="1" x14ac:dyDescent="0.25">
      <c r="A57"/>
      <c r="D57" s="2" t="str" cm="1">
        <f t="array" ref="D57">CommonLivestock_SourceData.SourceData_Livestock_Product_Dairycattle_Title()</f>
        <v>Dairy cattle products for scope 3</v>
      </c>
    </row>
    <row r="58" spans="1:6" ht="20.100000000000001" customHeight="1" x14ac:dyDescent="0.25">
      <c r="A58"/>
      <c r="D58" s="27" t="str" cm="1">
        <f t="array" ref="D58">CommonLivestock_SourceData.SourceData_Livestock_Product_Dairycattle_Source()</f>
        <v>Lifecycles. (2026). Greenhouse Gas Emission Intensities for Material Inputs to Australian Agriculture, Fisheries and Forestry. Version 48. doi 10.5281/zenodo.19656580</v>
      </c>
    </row>
    <row r="59" spans="1:6" ht="20.100000000000001" customHeight="1" x14ac:dyDescent="0.25">
      <c r="A59"/>
      <c r="D59" s="30" t="s">
        <v>137</v>
      </c>
      <c r="E59" s="30" t="s">
        <v>928</v>
      </c>
      <c r="F59" s="1" t="s">
        <v>932</v>
      </c>
    </row>
    <row r="60" spans="1:6" ht="20.100000000000001" customHeight="1" x14ac:dyDescent="0.25">
      <c r="A60"/>
      <c r="D60" s="30" t="str" cm="1">
        <f t="array" ref="D60">Common_InputFunctions.Utility_DisplayArrayInTable(CommonLivestock_SourceData.SourceData_Livestock_Product_Dairycattle_Data(),Table_SourceData_LivestockProduct_Dairycattle[[#Headers],[Product]],0)</f>
        <v>Dairy cows</v>
      </c>
      <c r="E60" s="30" t="str" cm="1">
        <f t="array" ref="E60">Common_InputFunctions.Utility_DisplayArrayInTable(CommonLivestock_SourceData.SourceData_Livestock_Product_Dairycattle_Data(),Table_SourceData_LivestockProduct_Dairycattle[[#Headers],[Product]],0)</f>
        <v>VIC</v>
      </c>
    </row>
    <row r="61" spans="1:6" ht="20.100000000000001" customHeight="1" x14ac:dyDescent="0.25">
      <c r="A61"/>
    </row>
    <row r="62" spans="1:6" ht="20.100000000000001" customHeight="1" x14ac:dyDescent="0.25">
      <c r="A62"/>
      <c r="D62" s="2" t="str" cm="1">
        <f t="array" ref="D62">CommonLivestock_SourceData.SourceData_Livestock_Product_Pigs_Title()</f>
        <v>Pigs products for scope 3</v>
      </c>
    </row>
    <row r="63" spans="1:6" ht="20.100000000000001" customHeight="1" x14ac:dyDescent="0.25">
      <c r="A63"/>
      <c r="D63" s="27" t="str" cm="1">
        <f t="array" ref="D63">CommonLivestock_SourceData.SourceData_Livestock_Product_Pigs_Source()</f>
        <v>Lifecycles. (2026). Greenhouse Gas Emission Intensities for Material Inputs to Australian Agriculture, Fisheries and Forestry. Version 48. doi 10.5281/zenodo.19656580</v>
      </c>
    </row>
    <row r="64" spans="1:6" x14ac:dyDescent="0.25">
      <c r="A64"/>
      <c r="D64" s="30" t="s">
        <v>137</v>
      </c>
      <c r="E64" s="30" t="s">
        <v>928</v>
      </c>
      <c r="F64" s="1" t="s">
        <v>933</v>
      </c>
    </row>
    <row r="65" spans="1:5" x14ac:dyDescent="0.25">
      <c r="A65"/>
      <c r="D65" s="30" t="str" cm="1">
        <f t="array" ref="D65">Common_InputFunctions.Utility_DisplayArrayInTable(CommonLivestock_SourceData.SourceData_Livestock_Product_Pigs_Data(),Table_SourceData_LivestockProduct_Pigs[[#Headers],[Product]],0)</f>
        <v>Pigs</v>
      </c>
      <c r="E65" s="30" t="str" cm="1">
        <f t="array" ref="E65">Common_InputFunctions.Utility_DisplayArrayInTable(CommonLivestock_SourceData.SourceData_Livestock_Product_Pigs_Data(),Table_SourceData_LivestockProduct_Pigs[[#Headers],[Product]],0)</f>
        <v>Australia</v>
      </c>
    </row>
    <row r="66" spans="1:5" x14ac:dyDescent="0.25">
      <c r="A66"/>
    </row>
    <row r="67" spans="1:5" x14ac:dyDescent="0.25">
      <c r="A67"/>
    </row>
    <row r="68" spans="1:5" x14ac:dyDescent="0.25">
      <c r="A68"/>
    </row>
    <row r="69" spans="1:5" x14ac:dyDescent="0.25">
      <c r="A69"/>
    </row>
    <row r="70" spans="1:5" x14ac:dyDescent="0.25">
      <c r="A70"/>
    </row>
    <row r="71" spans="1:5" x14ac:dyDescent="0.25">
      <c r="A71"/>
    </row>
    <row r="72" spans="1:5" x14ac:dyDescent="0.25">
      <c r="A72"/>
    </row>
    <row r="73" spans="1:5" x14ac:dyDescent="0.25">
      <c r="A73"/>
    </row>
    <row r="74" spans="1:5" x14ac:dyDescent="0.25">
      <c r="A74"/>
    </row>
    <row r="75" spans="1:5" x14ac:dyDescent="0.25">
      <c r="A75"/>
    </row>
    <row r="76" spans="1:5" x14ac:dyDescent="0.25">
      <c r="A76"/>
    </row>
    <row r="77" spans="1:5" x14ac:dyDescent="0.25">
      <c r="A77"/>
    </row>
    <row r="78" spans="1:5" x14ac:dyDescent="0.25">
      <c r="A78"/>
    </row>
    <row r="79" spans="1:5" x14ac:dyDescent="0.25">
      <c r="A79"/>
    </row>
    <row r="80" spans="1:5"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5A8EC-FAF0-4AB1-95BF-7072CCDB3609}">
  <dimension ref="A1:AI165"/>
  <sheetViews>
    <sheetView showGridLines="0" topLeftCell="A7" workbookViewId="0" zoomScale="100" zoomScaleNormal="100">
      <selection activeCell="A50" sqref="A50"/>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434</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Electricity_SourceData.Electricity_Scope2Scope3LocationBased_Title()</f>
        <v>Electricity scope 2 and scope 3 location-based emission factors</v>
      </c>
    </row>
    <row r="6" spans="1:35" ht="20.100000000000001" customHeight="1" x14ac:dyDescent="0.25">
      <c r="D6" s="27" t="str" cm="1">
        <f t="array" ref="D6">Electricity_SourceData.Electricity_Scope2Scope3LocationBased_Source()</f>
        <v>Australian National Greenhouse Accounts Factors 2025 - Table 1</v>
      </c>
      <c r="E6" s="8"/>
      <c r="F6" s="8"/>
    </row>
    <row r="7" spans="1:35" ht="20.100000000000001" customHeight="1" x14ac:dyDescent="0.25">
      <c r="D7" s="36" t="str" cm="1">
        <f t="array" ref="D7">"⚠️" &amp; Electricity_SourceData.Electricity_Scope2Scope3LocationBased_Variation()</f>
        <v>⚠️VARIATION OF SOURCE DATA: NSW and ACT split into separate rows.</v>
      </c>
      <c r="E7" s="8"/>
      <c r="F7" s="8"/>
    </row>
    <row r="8" spans="1:35" ht="20.100000000000001" customHeight="1" x14ac:dyDescent="0.25">
      <c r="A8" s="7" t="s">
        <v>0</v>
      </c>
      <c r="D8" s="8"/>
      <c r="E8" s="8"/>
      <c r="F8" s="8"/>
    </row>
    <row r="9" spans="1:35" ht="20.100000000000001" customHeight="1" x14ac:dyDescent="0.25">
      <c r="A9" s="5" t="str">
        <f>HYPERLINK("#'Input - Enterprise'!A1", "Enterprise")</f>
        <v>Enterprise</v>
      </c>
      <c r="D9" s="182" t="s">
        <v>435</v>
      </c>
      <c r="E9" s="182" t="s">
        <v>436</v>
      </c>
      <c r="F9" s="182" t="s">
        <v>437</v>
      </c>
    </row>
    <row r="10" spans="1:35" ht="20.100000000000001" customHeight="1" x14ac:dyDescent="0.25">
      <c r="A10" s="5" t="str">
        <f>HYPERLINK("#'Input - Site'!A1", "Site")</f>
        <v>Site</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5" t="str">
        <f>HYPERLINK("#'Input - Crop'!A1", "Crop")</f>
        <v>Crop</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5" t="str">
        <f>HYPERLINK("#'Input - Fert Prod System'!A1", "Fert Prod System")</f>
        <v>Fert Prod System</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5" t="str">
        <f>HYPERLINK("#'Input - Fertiliser'!A1", "Fertiliser")</f>
        <v>Fertiliser</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5" t="str">
        <f>HYPERLINK("#'Input - Fuel'!A1", "Fuel")</f>
        <v>Fuel</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5" t="str">
        <f>HYPERLINK("#'Input - Electricity'!A1", "Electricity")</f>
        <v>Electricity</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5" t="str">
        <f>HYPERLINK("#'Input - Common farm inputs'!A1", "Common farm inputs")</f>
        <v>Common farm inputs</v>
      </c>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5" t="str">
        <f>HYPERLINK("#'Input - Crop pasture farm input'!A1", "Crop pasture farm input")</f>
        <v>Crop pasture farm input</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5" t="str">
        <f>HYPERLINK("#'Input - Freight'!A1", "Freight")</f>
        <v>Freight</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5" t="str">
        <f>HYPERLINK("#'Input - Manure sent off-site'!A1", "Manure sent off-site")</f>
        <v>Manure sent off-site</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5" t="str">
        <f>HYPERLINK("#'Input - Solid waste'!A1", "Solid waste")</f>
        <v>Solid waste</v>
      </c>
    </row>
    <row r="21" spans="1:8" ht="20.100000000000001" customHeight="1" x14ac:dyDescent="0.25">
      <c r="A21" s="5" t="str">
        <f>HYPERLINK("#'Input - Data quality'!A1", "Data quality")</f>
        <v>Data quality</v>
      </c>
      <c r="D21" s="2" t="str" cm="1">
        <f t="array" ref="D21">Electricity_SourceData.Electricity_Scope2Scope3MarketBased_Title()</f>
        <v>Electricity scope 2 and scope 3 market-based emission factors</v>
      </c>
    </row>
    <row r="22" spans="1:8" ht="20.100000000000001" customHeight="1" x14ac:dyDescent="0.25">
      <c r="D22" s="27" t="str" cm="1">
        <f t="array" ref="D22">Electricity_SourceData.Electricity_Scope2Scope3MarketBased_Source()</f>
        <v>Australian National Greenhouse Accounts Factors 2025 - Table 2a</v>
      </c>
    </row>
    <row r="23" spans="1:8" ht="20.100000000000001" customHeight="1" x14ac:dyDescent="0.25"/>
    <row r="24" spans="1:8" ht="20.100000000000001" customHeight="1" x14ac:dyDescent="0.25">
      <c r="A24" s="6" t="s">
        <v>2</v>
      </c>
      <c r="D24" s="172" t="s">
        <v>435</v>
      </c>
      <c r="E24" s="172" t="s">
        <v>438</v>
      </c>
      <c r="F24" s="172" t="s">
        <v>439</v>
      </c>
      <c r="G24" s="172" t="s">
        <v>440</v>
      </c>
      <c r="H24" s="172" t="s">
        <v>441</v>
      </c>
    </row>
    <row r="25" spans="1:8" ht="20.100000000000001" customHeight="1" x14ac:dyDescent="0.25">
      <c r="A25" s="5" t="str">
        <f>HYPERLINK("#'5.1.1.1-2 Inorganic fert N2O'!A1", "5.1.1.1-2 Inorganic fert N2O")</f>
        <v>5.1.1.1-2 Inorganic fert N2O</v>
      </c>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s="5" t="str">
        <f>HYPERLINK("#'5.1.1.3-4 Inorganic fert CO2'!A1", "5.1.1.3-4 Inorganic fert CO2")</f>
        <v>5.1.1.3-4 Inorganic fert CO2</v>
      </c>
    </row>
    <row r="27" spans="1:8" ht="20.100000000000001" customHeight="1" x14ac:dyDescent="0.25">
      <c r="A27" s="5" t="str">
        <f>HYPERLINK("#'5.2.1.1-2 Organic Fert N2O'!A1", "5.2.1.1-2 Organic fert N2O")</f>
        <v>5.2.1.1-2 Organic fert N2O</v>
      </c>
    </row>
    <row r="28" spans="1:8" ht="20.100000000000001" customHeight="1" x14ac:dyDescent="0.25">
      <c r="A28" s="5" t="str">
        <f>HYPERLINK("#'5.3.1.1-2 Lime CO2'!A1", "5.3.1.1-2 Lime CO2")</f>
        <v>5.3.1.1-2 Lime CO2</v>
      </c>
    </row>
    <row r="29" spans="1:8" ht="20.100000000000001" customHeight="1" x14ac:dyDescent="0.25">
      <c r="A29" s="5" t="str">
        <f>HYPERLINK("#'5.4.1.1-4 Atmos deposition'!A1", "5.4.1.1-4 Atmos. deposition")</f>
        <v>5.4.1.1-4 Atmos. deposition</v>
      </c>
    </row>
    <row r="30" spans="1:8" ht="20.100000000000001" customHeight="1" x14ac:dyDescent="0.25">
      <c r="A30" s="5" t="str">
        <f>HYPERLINK("#'5.5.1.1-2 Leaching and runoff'!A1", "5.5.1.1-2 Leaching &amp; runoff")</f>
        <v>5.5.1.1-2 Leaching &amp; runoff</v>
      </c>
    </row>
    <row r="31" spans="1:8" ht="20.100000000000001" customHeight="1" x14ac:dyDescent="0.25">
      <c r="A31" s="5" t="str">
        <f>HYPERLINK("#'6.1.1.1-2 Crop residue N2O'!A1", "6.1.1.1-2 Crop residue N2O")</f>
        <v>6.1.1.1-2 Crop residue N2O</v>
      </c>
    </row>
    <row r="32" spans="1:8" ht="20.100000000000001" customHeight="1" x14ac:dyDescent="0.25">
      <c r="A32" s="5" t="str">
        <f>HYPERLINK("#'6.3.1.1-2 Leach runoff crop'!A1", "6.3.1.1-2 Leach &amp; runoff (crop)")</f>
        <v>6.3.1.1-2 Leach &amp; runoff (crop)</v>
      </c>
    </row>
    <row r="33" spans="1:1" ht="20.100000000000001" customHeight="1" x14ac:dyDescent="0.25">
      <c r="A33" s="5" t="str">
        <f>HYPERLINK("#'6.4.1.1-2 Residue burning'!A1", "6.4.1.1-2 Residue burning")</f>
        <v>6.4.1.1-2 Residue burning</v>
      </c>
    </row>
    <row r="34" spans="1:1" ht="20.100000000000001" customHeight="1" x14ac:dyDescent="0.25">
      <c r="A34" s="5" t="str">
        <f>HYPERLINK("#'8.1.1.1-2 Transport fuel'!A1", "8.1.1.1-2 Transport fuel")</f>
        <v>8.1.1.1-2 Transport fuel</v>
      </c>
    </row>
    <row r="35" spans="1:1" ht="20.100000000000001" customHeight="1" x14ac:dyDescent="0.25">
      <c r="A35" s="5" t="str">
        <f>HYPERLINK("#'8.2.1.1-2 Stationary fuel'!A1", "8.2.1.1-2 Stationary fuel")</f>
        <v>8.2.1.1-2 Stationary fuel</v>
      </c>
    </row>
    <row r="36" spans="1:1" ht="20.100000000000001" customHeight="1" x14ac:dyDescent="0.25">
      <c r="A36" s="5" t="str">
        <f>HYPERLINK("#'14.1.1-2 Purchased electricity'!A1", "14.1.1-2 Purchased electricity")</f>
        <v>14.1.1-2 Purchased electricity</v>
      </c>
    </row>
    <row r="37" spans="1:1" ht="20.100000000000001" customHeight="1" x14ac:dyDescent="0.25">
      <c r="A37" s="5" t="str">
        <f>HYPERLINK("#'15 Scope 3'!A1", "15 Scope 3")</f>
        <v>15 Scope 3</v>
      </c>
    </row>
    <row r="38" spans="1:1" ht="20.100000000000001" customHeight="1" x14ac:dyDescent="0.25">
      <c r="A38" s="5" t="str">
        <f>HYPERLINK("#'Calcs - Manure sent off-site'!A1", "Calcs - Manure sent off-site")</f>
        <v>Calcs - Manure sent off-site</v>
      </c>
    </row>
    <row r="39" spans="1:1" ht="20.100000000000001" customHeight="1" x14ac:dyDescent="0.25">
      <c r="A39" s="5" t="str">
        <f>HYPERLINK("#'10.1.1-2 Solid waste treatment'!A1", "10.1.1-2 Solid waste treatment")</f>
        <v>10.1.1-2 Solid waste treatment</v>
      </c>
    </row>
    <row r="40" spans="1:1" ht="20.100000000000001" customHeight="1" x14ac:dyDescent="0.25"/>
    <row r="41" spans="1:1" ht="20.100000000000001" customHeight="1" x14ac:dyDescent="0.25"/>
    <row r="42" spans="1:1" ht="20.100000000000001" customHeight="1" x14ac:dyDescent="0.25">
      <c r="A42" s="108" t="s">
        <v>1</v>
      </c>
    </row>
    <row r="43" spans="1:1" ht="20.100000000000001" customHeight="1" x14ac:dyDescent="0.25">
      <c r="A43" s="5" t="str">
        <f>HYPERLINK("#'Constants - Ag Residue'!A1", "Constants - Ag residue")</f>
        <v>Constants - Ag residue</v>
      </c>
    </row>
    <row r="44" spans="1:1" ht="20.100000000000001" customHeight="1" x14ac:dyDescent="0.25">
      <c r="A44" s="5" t="str">
        <f>HYPERLINK("#'Constants - Common Livestock'!A1", "Constants - Common Livestock")</f>
        <v>Constants - Common Livestock</v>
      </c>
    </row>
    <row r="45" spans="1:1" ht="20.100000000000001" customHeight="1" x14ac:dyDescent="0.25">
      <c r="A45" s="173" t="str">
        <f>HYPERLINK("#'Constants - Electricity'!A1", "Constants - Electricity")</f>
        <v>Constants - Electricity</v>
      </c>
    </row>
    <row r="46" spans="1:1" ht="20.100000000000001" customHeight="1" x14ac:dyDescent="0.25">
      <c r="A46" s="5" t="str">
        <f>HYPERLINK("#'Constants - Fertiliser'!A1", "Constants - Fertiliser")</f>
        <v>Constants - Fertiliser</v>
      </c>
    </row>
    <row r="47" spans="1:1" ht="20.100000000000001" customHeight="1" x14ac:dyDescent="0.25">
      <c r="A47" s="5" t="str">
        <f>HYPERLINK("#'Constants - Fuel'!A1", "Constants - Fuel")</f>
        <v>Constants - Fuel</v>
      </c>
    </row>
    <row r="48" spans="1:1" ht="20.100000000000001" customHeight="1" x14ac:dyDescent="0.25">
      <c r="A48" s="5" t="str">
        <f>HYPERLINK("#'Constants - Scope 3'!A1", "Constants - Scope 3")</f>
        <v>Constants - Scope 3</v>
      </c>
    </row>
    <row r="49" spans="1:1" ht="20.100000000000001" customHeight="1" x14ac:dyDescent="0.25">
      <c r="A49" s="5" t="str">
        <f>HYPERLINK("#'Constants - Common'!A1", "Constants - Common")</f>
        <v>Constants - Common</v>
      </c>
    </row>
    <row r="50" spans="1:1" ht="20.100000000000001" customHeight="1" x14ac:dyDescent="0.25">
      <c r="A50" s="5" t="str">
        <f>HYPERLINK("#'Constants - Solid Waste'!A1", "Constants - Solid Waste")</f>
        <v>Constants - Solid Waste</v>
      </c>
    </row>
    <row r="51" spans="1:1" ht="20.100000000000001" customHeight="1" x14ac:dyDescent="0.25"/>
    <row r="52" spans="1:1" ht="20.100000000000001" customHeight="1" x14ac:dyDescent="0.25"/>
    <row r="53" spans="1:1" ht="20.100000000000001" customHeight="1" x14ac:dyDescent="0.25"/>
    <row r="54" spans="1:1" ht="20.100000000000001" customHeight="1" x14ac:dyDescent="0.25"/>
    <row r="55" spans="1:1" ht="20.100000000000001" customHeight="1" x14ac:dyDescent="0.25"/>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1FD0C2-CE1A-4423-A8DE-17D83F85267C}">
  <dimension ref="A1:AM223"/>
  <sheetViews>
    <sheetView showGridLines="0" topLeftCell="A126" workbookViewId="0" zoomScale="100" zoomScaleNormal="100">
      <selection activeCell="A50" sqref="A50"/>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4" width="20.7109375" style="1" customWidth="1"/>
    <col min="35" max="36" width="9.140625" style="1"/>
  </cols>
  <sheetData>
    <row r="1" spans="1:36" s="31" customFormat="1" ht="30" customHeight="1" x14ac:dyDescent="0.35">
      <c r="A1" s="16" t="e" vm="1">
        <v>#VALUE!</v>
      </c>
      <c r="C1" s="31" t="s">
        <v>355</v>
      </c>
      <c r="AF1" s="1"/>
      <c r="AG1" s="1"/>
      <c r="AH1" s="1"/>
      <c r="AI1" s="1"/>
      <c r="AJ1" s="1"/>
    </row>
    <row r="2" spans="1:36" s="3" customFormat="1" ht="20.100000000000001" customHeight="1" x14ac:dyDescent="0.25">
      <c r="A2"/>
      <c r="AF2" s="1"/>
      <c r="AG2" s="1"/>
      <c r="AH2" s="1"/>
      <c r="AI2" s="1"/>
      <c r="AJ2" s="1"/>
    </row>
    <row r="3" spans="1:36"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row>
    <row r="4" spans="1:36" ht="20.100000000000001" customHeight="1" x14ac:dyDescent="0.25">
      <c r="A4" s="5" t="str">
        <f>HYPERLINK("#'Overview'!A1", "Overview")</f>
        <v>Overview</v>
      </c>
    </row>
    <row r="5" spans="1:36" ht="20.100000000000001" customHeight="1" x14ac:dyDescent="0.25">
      <c r="A5" s="5" t="str">
        <f>HYPERLINK("#'Results'!A1", "Results")</f>
        <v>Results</v>
      </c>
      <c r="D5" s="2" t="str" cm="1">
        <f t="array" ref="D5">Fertiliser_SourceData.Fertiliser_ChemicalCompoundElements_Title()</f>
        <v>Common inorganic fertilisers</v>
      </c>
      <c r="E5" s="159"/>
      <c r="F5" s="159"/>
      <c r="G5" s="159"/>
      <c r="H5" s="159"/>
      <c r="I5" s="159"/>
      <c r="J5" s="159"/>
    </row>
    <row r="6" spans="1:36" ht="20.100000000000001" customHeight="1" x14ac:dyDescent="0.25">
      <c r="D6" s="27" t="str" cm="1">
        <f t="array" ref="D6">Fertiliser_SourceData.Fertiliser_ChemicalCompoundElements_Source()</f>
        <v>Table A.2.2.3: Fraction of nitrogen in common inorganic fertilisers (kgN/kg) (FNorganic,f) AND Table A.2.2.4: Fraction of urea in common inorganic fertilisers (kg urea/kg) (FUf)</v>
      </c>
    </row>
    <row r="7" spans="1:36" ht="20.100000000000001" customHeight="1" x14ac:dyDescent="0.25">
      <c r="D7" s="36" t="str" cm="1">
        <f t="array" ref="D7:D18">Fertiliser_SourceData.Fertiliser_ChemicalCompoundElements_Variation()</f>
        <v>VARIATION ON SOURCE</v>
      </c>
    </row>
    <row r="8" spans="1:36" ht="20.100000000000001" customHeight="1" x14ac:dyDescent="0.25">
      <c r="A8" s="7" t="s">
        <v>0</v>
      </c>
      <c r="D8" s="36" t="str">
        <v>Added 'Basis' column to allow cross-referencing with table Table A.2.2.6: Fraction of inorganic fertiliser f that volatilises as NH3 and NOx ((kg NH3-N + NOx-N)/kg N) (FracGASFf)</v>
      </c>
    </row>
    <row r="9" spans="1:36" ht="20.100000000000001" customHeight="1" x14ac:dyDescent="0.25">
      <c r="A9" s="5" t="str">
        <f>HYPERLINK("#'Input - Enterprise'!A1", "Enterprise")</f>
        <v>Enterprise</v>
      </c>
      <c r="D9" s="36" t="str">
        <v>Added extra fertiliser types and generic chemical compounds to allow for custom NPKS blends</v>
      </c>
    </row>
    <row r="10" spans="1:36" ht="20.100000000000001" customHeight="1" x14ac:dyDescent="0.25">
      <c r="A10" s="5" t="str">
        <f>HYPERLINK("#'Input - Site'!A1", "Site")</f>
        <v>Site</v>
      </c>
      <c r="D10" s="36" t="str">
        <v>Added extra 'Scope 3 definition' column to allow mapping with scope 3 data</v>
      </c>
    </row>
    <row r="11" spans="1:36" ht="20.100000000000001" customHeight="1" x14ac:dyDescent="0.25">
      <c r="A11" s="5" t="str">
        <f>HYPERLINK("#'Input - Crop'!A1", "Crop")</f>
        <v>Crop</v>
      </c>
      <c r="D11" s="36" t="str">
        <v>Added 'Source' column</v>
      </c>
    </row>
    <row r="12" spans="1:36" ht="20.100000000000001" customHeight="1" x14ac:dyDescent="0.25">
      <c r="A12" s="5" t="str">
        <f>HYPERLINK("#'Input - Fert Prod System'!A1", "Fert Prod System")</f>
        <v>Fert Prod System</v>
      </c>
      <c r="D12" s="36" t="str">
        <v>Combined data from Table A.2.2.3 and Table A.2.2.4 into one table to aid lookup.</v>
      </c>
    </row>
    <row r="13" spans="1:36" ht="20.100000000000001" customHeight="1" x14ac:dyDescent="0.25">
      <c r="A13" s="5" t="str">
        <f>HYPERLINK("#'Input - Fertiliser'!A1", "Fertiliser")</f>
        <v>Fertiliser</v>
      </c>
      <c r="D13" s="36" t="str">
        <v>Excluded 'References' column</v>
      </c>
    </row>
    <row r="14" spans="1:36" ht="20.100000000000001" customHeight="1" x14ac:dyDescent="0.25">
      <c r="A14" s="5" t="str">
        <f>HYPERLINK("#'Input - Fuel'!A1", "Fuel")</f>
        <v>Fuel</v>
      </c>
      <c r="D14" s="36" t="str">
        <v>Excluded 'Ammonium sulfate' as it is a duplicate of 'Sulphate of ammonia (SOA)'</v>
      </c>
    </row>
    <row r="15" spans="1:36" ht="20.100000000000001" customHeight="1" x14ac:dyDescent="0.25">
      <c r="A15" s="5" t="str">
        <f>HYPERLINK("#'Input - Electricity'!A1", "Electricity")</f>
        <v>Electricity</v>
      </c>
      <c r="D15" s="36" t="str">
        <v>Excluded 'Calcium nitrate' as no scope 3 value available.</v>
      </c>
    </row>
    <row r="16" spans="1:36" ht="20.100000000000001" customHeight="1" x14ac:dyDescent="0.25">
      <c r="A16" s="5" t="str">
        <f>HYPERLINK("#'Input - Common farm inputs'!A1", "Common farm inputs")</f>
        <v>Common farm inputs</v>
      </c>
      <c r="D16" s="36" t="str">
        <v>Set 'Nitrogen - Generic' basis as 'Urea-based fertilisers, as urea is the most commonly used form of nitrogen in Australian fertilisers</v>
      </c>
    </row>
    <row r="17" spans="1:22" ht="20.100000000000001" customHeight="1" x14ac:dyDescent="0.25">
      <c r="A17" s="5" t="str">
        <f>HYPERLINK("#'Input - Crop pasture farm input'!A1", "Crop pasture farm input")</f>
        <v>Crop pasture farm input</v>
      </c>
      <c r="D17" s="36"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5">
      <c r="A18" s="5" t="str">
        <f>HYPERLINK("#'Input - Freight'!A1", "Freight")</f>
        <v>Freight</v>
      </c>
      <c r="D18" s="36" t="str">
        <v>Ammonia has an FN value of 0.8235 based on (14/17)x100, where 14 is the mass of nitrogen in ammonia and 17 is the molar mass of ammonia.</v>
      </c>
      <c r="K18" s="27" t="str" cm="1">
        <f t="array" ref="K18">Fertiliser_SourceData.Fertiliser_FractionNCommonFertilisers_Source()</f>
        <v>VEERG 2026: Table A.2.2.3</v>
      </c>
      <c r="Q18" s="27" t="str" cm="1">
        <f t="array" ref="Q18">Fertiliser_SourceData.Fertiliser_FractionUreaCommonFertilisers_Source()</f>
        <v>VEERG 2026: Table A.2.2.4</v>
      </c>
      <c r="V18" s="27"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5" t="str">
        <f>HYPERLINK("#'Input - Manure sent off-site'!A1", "Manure sent off-site")</f>
        <v>Manure sent off-site</v>
      </c>
      <c r="D19" t="s">
        <v>272</v>
      </c>
      <c r="E19" t="s">
        <v>356</v>
      </c>
      <c r="F19" t="s">
        <v>357</v>
      </c>
      <c r="G19" t="s">
        <v>331</v>
      </c>
      <c r="H19" t="s">
        <v>358</v>
      </c>
      <c r="I19" t="s">
        <v>359</v>
      </c>
      <c r="K19" s="30" t="s">
        <v>272</v>
      </c>
      <c r="L19" s="30" t="s">
        <v>356</v>
      </c>
      <c r="Q19" s="30" t="s">
        <v>272</v>
      </c>
      <c r="R19" s="30" t="s">
        <v>356</v>
      </c>
      <c r="V19" s="30" t="s">
        <v>359</v>
      </c>
    </row>
    <row r="20" spans="1:22" ht="20.100000000000001" customHeight="1" x14ac:dyDescent="0.25">
      <c r="A20" s="5" t="str">
        <f>HYPERLINK("#'Input - Solid waste'!A1", "Solid waste")</f>
        <v>Solid waste</v>
      </c>
      <c r="D20" s="172" t="str" cm="1">
        <f t="array" ref="D20">Common_InputFunctions.Utility_DisplayArrayInTable(Fertiliser_SourceData.Fertiliser_ChemicalCompoundElements_Data(),Table_Fertiliser_ChemicalCompounds[[#Headers],[Fertiliser type f]], 0)</f>
        <v>Monoammonium phosphate (MAP)</v>
      </c>
      <c r="E20" s="172" cm="1">
        <f t="array" ref="E20">Common_InputFunctions.Utility_DisplayArrayInTable(Fertiliser_SourceData.Fertiliser_ChemicalCompoundElements_Data(),Table_Fertiliser_ChemicalCompounds[[#Headers],[Fertiliser type f]], 0)</f>
        <v>0.1</v>
      </c>
      <c r="F20" s="172" cm="1">
        <f t="array" ref="F20">Common_InputFunctions.Utility_DisplayArrayInTable(Fertiliser_SourceData.Fertiliser_ChemicalCompoundElements_Data(),Table_Fertiliser_ChemicalCompounds[[#Headers],[Fertiliser type f]], 0)</f>
        <v>0</v>
      </c>
      <c r="G20" s="172" t="str" cm="1">
        <f t="array" ref="G20">Common_InputFunctions.Utility_DisplayArrayInTable(Fertiliser_SourceData.Fertiliser_ChemicalCompoundElements_Data(),Table_Fertiliser_ChemicalCompounds[[#Headers],[Fertiliser type f]], 0)</f>
        <v>Ammonium-based fertilisers</v>
      </c>
      <c r="H20" s="172" t="str" cm="1">
        <f t="array" ref="H20">Common_InputFunctions.Utility_DisplayArrayInTable(Fertiliser_SourceData.Fertiliser_ChemicalCompoundElements_Data(),Table_Fertiliser_ChemicalCompounds[[#Headers],[Fertiliser type f]], 0)</f>
        <v>Monoammonium phosphate (MAP)</v>
      </c>
      <c r="I20" s="172" t="str" cm="1">
        <f t="array" ref="I20">Common_InputFunctions.Utility_DisplayArrayInTable(Fertiliser_SourceData.Fertiliser_ChemicalCompoundElements_Data(),Table_Fertiliser_ChemicalCompounds[[#Headers],[Fertiliser type f]], 0)</f>
        <v>VEERG</v>
      </c>
      <c r="K20" s="30" t="str" cm="1">
        <f t="array" ref="K20">Common_InputFunctions.Utility_DisplayArrayInTable(Fertiliser_SourceData.Fertiliser_FractionNCommonFertilisers_Data(), Table2[[#Headers],[Fertiliser type f]], 0)</f>
        <v>Monoammonium phosphate (MAP)</v>
      </c>
      <c r="L20" s="30" cm="1">
        <f t="array" ref="L20">Common_InputFunctions.Utility_DisplayArrayInTable(Fertiliser_SourceData.Fertiliser_FractionNCommonFertilisers_Data(), Table2[[#Headers],[Fertiliser type f]], 0)</f>
        <v>0.1</v>
      </c>
      <c r="Q20" s="30" t="str" cm="1">
        <f t="array" ref="Q20">Common_InputFunctions.Utility_DisplayArrayInTable(Fertiliser_SourceData.Fertiliser_FractionUreaCommonFertilisers_Data(), Table28[[#Headers],[Fertiliser type f]], 0)</f>
        <v>Monoammonium phosphate (MAP)</v>
      </c>
      <c r="R20" s="30" cm="1">
        <f t="array" ref="R20">Common_InputFunctions.Utility_DisplayArrayInTable(Fertiliser_SourceData.Fertiliser_FractionUreaCommonFertilisers_Data(), Table28[[#Headers],[Fertiliser type f]], 0)</f>
        <v>0</v>
      </c>
      <c r="V20" s="3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5" t="str">
        <f>HYPERLINK("#'Input - Data quality'!A1", "Data quality")</f>
        <v>Data quality</v>
      </c>
      <c r="D21" s="172" t="str" cm="1">
        <f t="array" ref="D21">Common_InputFunctions.Utility_DisplayArrayInTable(Fertiliser_SourceData.Fertiliser_ChemicalCompoundElements_Data(),Table_Fertiliser_ChemicalCompounds[[#Headers],[Fertiliser type f]], 0)</f>
        <v>Diammonium phosphate (DAP)</v>
      </c>
      <c r="E21" s="172" cm="1">
        <f t="array" ref="E21">Common_InputFunctions.Utility_DisplayArrayInTable(Fertiliser_SourceData.Fertiliser_ChemicalCompoundElements_Data(),Table_Fertiliser_ChemicalCompounds[[#Headers],[Fertiliser type f]], 0)</f>
        <v>0.18</v>
      </c>
      <c r="F21" s="172" cm="1">
        <f t="array" ref="F21">Common_InputFunctions.Utility_DisplayArrayInTable(Fertiliser_SourceData.Fertiliser_ChemicalCompoundElements_Data(),Table_Fertiliser_ChemicalCompounds[[#Headers],[Fertiliser type f]], 0)</f>
        <v>0</v>
      </c>
      <c r="G21" s="172" t="str" cm="1">
        <f t="array" ref="G21">Common_InputFunctions.Utility_DisplayArrayInTable(Fertiliser_SourceData.Fertiliser_ChemicalCompoundElements_Data(),Table_Fertiliser_ChemicalCompounds[[#Headers],[Fertiliser type f]], 0)</f>
        <v>Ammonium-based fertilisers</v>
      </c>
      <c r="H21" s="172" t="str" cm="1">
        <f t="array" ref="H21">Common_InputFunctions.Utility_DisplayArrayInTable(Fertiliser_SourceData.Fertiliser_ChemicalCompoundElements_Data(),Table_Fertiliser_ChemicalCompounds[[#Headers],[Fertiliser type f]], 0)</f>
        <v>Diammonium phosphate (DAP)</v>
      </c>
      <c r="I21" s="172" t="str" cm="1">
        <f t="array" ref="I21">Common_InputFunctions.Utility_DisplayArrayInTable(Fertiliser_SourceData.Fertiliser_ChemicalCompoundElements_Data(),Table_Fertiliser_ChemicalCompounds[[#Headers],[Fertiliser type f]], 0)</f>
        <v>VEERG</v>
      </c>
      <c r="K21" s="30" t="str" cm="1">
        <f t="array" ref="K21">Common_InputFunctions.Utility_DisplayArrayInTable(Fertiliser_SourceData.Fertiliser_FractionNCommonFertilisers_Data(), Table2[[#Headers],[Fertiliser type f]], 0)</f>
        <v>Diammonium phosphate (DAP)</v>
      </c>
      <c r="L21" s="30" cm="1">
        <f t="array" ref="L21">Common_InputFunctions.Utility_DisplayArrayInTable(Fertiliser_SourceData.Fertiliser_FractionNCommonFertilisers_Data(), Table2[[#Headers],[Fertiliser type f]], 0)</f>
        <v>0.18</v>
      </c>
      <c r="Q21" s="30" t="str" cm="1">
        <f t="array" ref="Q21">Common_InputFunctions.Utility_DisplayArrayInTable(Fertiliser_SourceData.Fertiliser_FractionUreaCommonFertilisers_Data(), Table28[[#Headers],[Fertiliser type f]], 0)</f>
        <v>Diammonium phosphate (DAP)</v>
      </c>
      <c r="R21" s="30" cm="1">
        <f t="array" ref="R21">Common_InputFunctions.Utility_DisplayArrayInTable(Fertiliser_SourceData.Fertiliser_FractionUreaCommonFertilisers_Data(), Table28[[#Headers],[Fertiliser type f]], 0)</f>
        <v>0</v>
      </c>
      <c r="V21" s="3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D22" s="172" t="str" cm="1">
        <f t="array" ref="D22">Common_InputFunctions.Utility_DisplayArrayInTable(Fertiliser_SourceData.Fertiliser_ChemicalCompoundElements_Data(),Table_Fertiliser_ChemicalCompounds[[#Headers],[Fertiliser type f]], 0)</f>
        <v>Urea</v>
      </c>
      <c r="E22" s="172" cm="1">
        <f t="array" ref="E22">Common_InputFunctions.Utility_DisplayArrayInTable(Fertiliser_SourceData.Fertiliser_ChemicalCompoundElements_Data(),Table_Fertiliser_ChemicalCompounds[[#Headers],[Fertiliser type f]], 0)</f>
        <v>0.46</v>
      </c>
      <c r="F22" s="172" cm="1">
        <f t="array" ref="F22">Common_InputFunctions.Utility_DisplayArrayInTable(Fertiliser_SourceData.Fertiliser_ChemicalCompoundElements_Data(),Table_Fertiliser_ChemicalCompounds[[#Headers],[Fertiliser type f]], 0)</f>
        <v>1</v>
      </c>
      <c r="G22" s="172" t="str" cm="1">
        <f t="array" ref="G22">Common_InputFunctions.Utility_DisplayArrayInTable(Fertiliser_SourceData.Fertiliser_ChemicalCompoundElements_Data(),Table_Fertiliser_ChemicalCompounds[[#Headers],[Fertiliser type f]], 0)</f>
        <v>Urea-based fertilisers</v>
      </c>
      <c r="H22" s="172" t="str" cm="1">
        <f t="array" ref="H22">Common_InputFunctions.Utility_DisplayArrayInTable(Fertiliser_SourceData.Fertiliser_ChemicalCompoundElements_Data(),Table_Fertiliser_ChemicalCompounds[[#Headers],[Fertiliser type f]], 0)</f>
        <v>Urea</v>
      </c>
      <c r="I22" s="172" t="str" cm="1">
        <f t="array" ref="I22">Common_InputFunctions.Utility_DisplayArrayInTable(Fertiliser_SourceData.Fertiliser_ChemicalCompoundElements_Data(),Table_Fertiliser_ChemicalCompounds[[#Headers],[Fertiliser type f]], 0)</f>
        <v>VEERG</v>
      </c>
      <c r="K22" s="30" t="str" cm="1">
        <f t="array" ref="K22">Common_InputFunctions.Utility_DisplayArrayInTable(Fertiliser_SourceData.Fertiliser_FractionNCommonFertilisers_Data(), Table2[[#Headers],[Fertiliser type f]], 0)</f>
        <v>Urea</v>
      </c>
      <c r="L22" s="30" cm="1">
        <f t="array" ref="L22">Common_InputFunctions.Utility_DisplayArrayInTable(Fertiliser_SourceData.Fertiliser_FractionNCommonFertilisers_Data(), Table2[[#Headers],[Fertiliser type f]], 0)</f>
        <v>0.46</v>
      </c>
      <c r="Q22" s="30" t="str" cm="1">
        <f t="array" ref="Q22">Common_InputFunctions.Utility_DisplayArrayInTable(Fertiliser_SourceData.Fertiliser_FractionUreaCommonFertilisers_Data(), Table28[[#Headers],[Fertiliser type f]], 0)</f>
        <v>Urea</v>
      </c>
      <c r="R22" s="30" cm="1">
        <f t="array" ref="R22">Common_InputFunctions.Utility_DisplayArrayInTable(Fertiliser_SourceData.Fertiliser_FractionUreaCommonFertilisers_Data(), Table28[[#Headers],[Fertiliser type f]], 0)</f>
        <v>1</v>
      </c>
      <c r="V22" s="3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D23" s="172" t="str" cm="1">
        <f t="array" ref="D23">Common_InputFunctions.Utility_DisplayArrayInTable(Fertiliser_SourceData.Fertiliser_ChemicalCompoundElements_Data(),Table_Fertiliser_ChemicalCompounds[[#Headers],[Fertiliser type f]], 0)</f>
        <v>Sulphate of ammonia (SOA)</v>
      </c>
      <c r="E23" s="172" cm="1">
        <f t="array" ref="E23">Common_InputFunctions.Utility_DisplayArrayInTable(Fertiliser_SourceData.Fertiliser_ChemicalCompoundElements_Data(),Table_Fertiliser_ChemicalCompounds[[#Headers],[Fertiliser type f]], 0)</f>
        <v>0.21</v>
      </c>
      <c r="F23" s="172" cm="1">
        <f t="array" ref="F23">Common_InputFunctions.Utility_DisplayArrayInTable(Fertiliser_SourceData.Fertiliser_ChemicalCompoundElements_Data(),Table_Fertiliser_ChemicalCompounds[[#Headers],[Fertiliser type f]], 0)</f>
        <v>0</v>
      </c>
      <c r="G23" s="172" t="str" cm="1">
        <f t="array" ref="G23">Common_InputFunctions.Utility_DisplayArrayInTable(Fertiliser_SourceData.Fertiliser_ChemicalCompoundElements_Data(),Table_Fertiliser_ChemicalCompounds[[#Headers],[Fertiliser type f]], 0)</f>
        <v>Ammonium-based fertilisers</v>
      </c>
      <c r="H23" s="172" t="str" cm="1">
        <f t="array" ref="H23">Common_InputFunctions.Utility_DisplayArrayInTable(Fertiliser_SourceData.Fertiliser_ChemicalCompoundElements_Data(),Table_Fertiliser_ChemicalCompounds[[#Headers],[Fertiliser type f]], 0)</f>
        <v>Sulphate of ammonia (SOA)</v>
      </c>
      <c r="I23" s="172" t="str" cm="1">
        <f t="array" ref="I23">Common_InputFunctions.Utility_DisplayArrayInTable(Fertiliser_SourceData.Fertiliser_ChemicalCompoundElements_Data(),Table_Fertiliser_ChemicalCompounds[[#Headers],[Fertiliser type f]], 0)</f>
        <v>VEERG</v>
      </c>
      <c r="K23" s="30" t="str" cm="1">
        <f t="array" ref="K23">Common_InputFunctions.Utility_DisplayArrayInTable(Fertiliser_SourceData.Fertiliser_FractionNCommonFertilisers_Data(), Table2[[#Headers],[Fertiliser type f]], 0)</f>
        <v>Sulphate of ammonia (SOA)</v>
      </c>
      <c r="L23" s="30" cm="1">
        <f t="array" ref="L23">Common_InputFunctions.Utility_DisplayArrayInTable(Fertiliser_SourceData.Fertiliser_FractionNCommonFertilisers_Data(), Table2[[#Headers],[Fertiliser type f]], 0)</f>
        <v>0.21</v>
      </c>
      <c r="Q23" s="30" t="str" cm="1">
        <f t="array" ref="Q23">Common_InputFunctions.Utility_DisplayArrayInTable(Fertiliser_SourceData.Fertiliser_FractionUreaCommonFertilisers_Data(), Table28[[#Headers],[Fertiliser type f]], 0)</f>
        <v>Sulphate of ammonia (SOA)</v>
      </c>
      <c r="R23" s="30" cm="1">
        <f t="array" ref="R23">Common_InputFunctions.Utility_DisplayArrayInTable(Fertiliser_SourceData.Fertiliser_FractionUreaCommonFertilisers_Data(), Table28[[#Headers],[Fertiliser type f]], 0)</f>
        <v>0</v>
      </c>
      <c r="V23" s="3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6" t="s">
        <v>2</v>
      </c>
      <c r="D24" s="172" t="str" cm="1">
        <f t="array" ref="D24">Common_InputFunctions.Utility_DisplayArrayInTable(Fertiliser_SourceData.Fertiliser_ChemicalCompoundElements_Data(),Table_Fertiliser_ChemicalCompounds[[#Headers],[Fertiliser type f]], 0)</f>
        <v>Urea-ammonium nitrate (UAN)</v>
      </c>
      <c r="E24" s="172" cm="1">
        <f t="array" ref="E24">Common_InputFunctions.Utility_DisplayArrayInTable(Fertiliser_SourceData.Fertiliser_ChemicalCompoundElements_Data(),Table_Fertiliser_ChemicalCompounds[[#Headers],[Fertiliser type f]], 0)</f>
        <v>0.32</v>
      </c>
      <c r="F24" s="172" cm="1">
        <f t="array" ref="F24">Common_InputFunctions.Utility_DisplayArrayInTable(Fertiliser_SourceData.Fertiliser_ChemicalCompoundElements_Data(),Table_Fertiliser_ChemicalCompounds[[#Headers],[Fertiliser type f]], 0)</f>
        <v>0.35</v>
      </c>
      <c r="G24" s="172" t="str" cm="1">
        <f t="array" ref="G24">Common_InputFunctions.Utility_DisplayArrayInTable(Fertiliser_SourceData.Fertiliser_ChemicalCompoundElements_Data(),Table_Fertiliser_ChemicalCompounds[[#Headers],[Fertiliser type f]], 0)</f>
        <v>Urea-based fertilisers</v>
      </c>
      <c r="H24" s="172" t="str" cm="1">
        <f t="array" ref="H24">Common_InputFunctions.Utility_DisplayArrayInTable(Fertiliser_SourceData.Fertiliser_ChemicalCompoundElements_Data(),Table_Fertiliser_ChemicalCompounds[[#Headers],[Fertiliser type f]], 0)</f>
        <v>Urea-ammonium nitrate (UAN)</v>
      </c>
      <c r="I24" s="172" t="str" cm="1">
        <f t="array" ref="I24">Common_InputFunctions.Utility_DisplayArrayInTable(Fertiliser_SourceData.Fertiliser_ChemicalCompoundElements_Data(),Table_Fertiliser_ChemicalCompounds[[#Headers],[Fertiliser type f]], 0)</f>
        <v>VEERG</v>
      </c>
      <c r="K24" s="30" t="str" cm="1">
        <f t="array" ref="K24">Common_InputFunctions.Utility_DisplayArrayInTable(Fertiliser_SourceData.Fertiliser_FractionNCommonFertilisers_Data(), Table2[[#Headers],[Fertiliser type f]], 0)</f>
        <v>Urea-ammonium nitrate (UAN)</v>
      </c>
      <c r="L24" s="30" cm="1">
        <f t="array" ref="L24">Common_InputFunctions.Utility_DisplayArrayInTable(Fertiliser_SourceData.Fertiliser_FractionNCommonFertilisers_Data(), Table2[[#Headers],[Fertiliser type f]], 0)</f>
        <v>0.32</v>
      </c>
      <c r="Q24" s="30" t="str" cm="1">
        <f t="array" ref="Q24">Common_InputFunctions.Utility_DisplayArrayInTable(Fertiliser_SourceData.Fertiliser_FractionUreaCommonFertilisers_Data(), Table28[[#Headers],[Fertiliser type f]], 0)</f>
        <v>Urea-ammonium nitrate (UAN)</v>
      </c>
      <c r="R24" s="30" cm="1">
        <f t="array" ref="R24">Common_InputFunctions.Utility_DisplayArrayInTable(Fertiliser_SourceData.Fertiliser_FractionUreaCommonFertilisers_Data(), Table28[[#Headers],[Fertiliser type f]], 0)</f>
        <v>0.35</v>
      </c>
    </row>
    <row r="25" spans="1:22" ht="20.100000000000001" customHeight="1" x14ac:dyDescent="0.25">
      <c r="A25" s="5" t="str">
        <f>HYPERLINK("#'5.1.1.1-2 Inorganic fert N2O'!A1", "5.1.1.1-2 Inorganic fert N2O")</f>
        <v>5.1.1.1-2 Inorganic fert N2O</v>
      </c>
      <c r="D25" s="172" t="str" cm="1">
        <f t="array" ref="D25">Common_InputFunctions.Utility_DisplayArrayInTable(Fertiliser_SourceData.Fertiliser_ChemicalCompoundElements_Data(),Table_Fertiliser_ChemicalCompounds[[#Headers],[Fertiliser type f]], 0)</f>
        <v>Ammonium nitrate (AN)</v>
      </c>
      <c r="E25" s="172" cm="1">
        <f t="array" ref="E25">Common_InputFunctions.Utility_DisplayArrayInTable(Fertiliser_SourceData.Fertiliser_ChemicalCompoundElements_Data(),Table_Fertiliser_ChemicalCompounds[[#Headers],[Fertiliser type f]], 0)</f>
        <v>0.33700000000000002</v>
      </c>
      <c r="F25" s="172" cm="1">
        <f t="array" ref="F25">Common_InputFunctions.Utility_DisplayArrayInTable(Fertiliser_SourceData.Fertiliser_ChemicalCompoundElements_Data(),Table_Fertiliser_ChemicalCompounds[[#Headers],[Fertiliser type f]], 0)</f>
        <v>0</v>
      </c>
      <c r="G25" s="172" t="str" cm="1">
        <f t="array" ref="G25">Common_InputFunctions.Utility_DisplayArrayInTable(Fertiliser_SourceData.Fertiliser_ChemicalCompoundElements_Data(),Table_Fertiliser_ChemicalCompounds[[#Headers],[Fertiliser type f]], 0)</f>
        <v>Ammonium-nitrate based fertilisers</v>
      </c>
      <c r="H25" s="172" t="str" cm="1">
        <f t="array" ref="H25">Common_InputFunctions.Utility_DisplayArrayInTable(Fertiliser_SourceData.Fertiliser_ChemicalCompoundElements_Data(),Table_Fertiliser_ChemicalCompounds[[#Headers],[Fertiliser type f]], 0)</f>
        <v>Ammonium nitrate (AN)</v>
      </c>
      <c r="I25" s="172" t="str" cm="1">
        <f t="array" ref="I25">Common_InputFunctions.Utility_DisplayArrayInTable(Fertiliser_SourceData.Fertiliser_ChemicalCompoundElements_Data(),Table_Fertiliser_ChemicalCompounds[[#Headers],[Fertiliser type f]], 0)</f>
        <v>VEERG</v>
      </c>
      <c r="K25" s="30" t="str" cm="1">
        <f t="array" ref="K25">Common_InputFunctions.Utility_DisplayArrayInTable(Fertiliser_SourceData.Fertiliser_FractionNCommonFertilisers_Data(), Table2[[#Headers],[Fertiliser type f]], 0)</f>
        <v>Ammonium nitrate (AN)</v>
      </c>
      <c r="L25" s="30" cm="1">
        <f t="array" ref="L25">Common_InputFunctions.Utility_DisplayArrayInTable(Fertiliser_SourceData.Fertiliser_FractionNCommonFertilisers_Data(), Table2[[#Headers],[Fertiliser type f]], 0)</f>
        <v>0.33700000000000002</v>
      </c>
      <c r="Q25" s="30" t="str" cm="1">
        <f t="array" ref="Q25">Common_InputFunctions.Utility_DisplayArrayInTable(Fertiliser_SourceData.Fertiliser_FractionUreaCommonFertilisers_Data(), Table28[[#Headers],[Fertiliser type f]], 0)</f>
        <v>Ammonium nitrate (AN)</v>
      </c>
      <c r="R25" s="30" cm="1">
        <f t="array" ref="R25">Common_InputFunctions.Utility_DisplayArrayInTable(Fertiliser_SourceData.Fertiliser_FractionUreaCommonFertilisers_Data(), Table28[[#Headers],[Fertiliser type f]], 0)</f>
        <v>0</v>
      </c>
    </row>
    <row r="26" spans="1:22" ht="20.100000000000001" customHeight="1" x14ac:dyDescent="0.25">
      <c r="A26" s="5" t="str">
        <f>HYPERLINK("#'5.1.1.3-4 Inorganic fert CO2'!A1", "5.1.1.3-4 Inorganic fert CO2")</f>
        <v>5.1.1.3-4 Inorganic fert CO2</v>
      </c>
      <c r="D26" s="172" t="str" cm="1">
        <f t="array" ref="D26">Common_InputFunctions.Utility_DisplayArrayInTable(Fertiliser_SourceData.Fertiliser_ChemicalCompoundElements_Data(),Table_Fertiliser_ChemicalCompounds[[#Headers],[Fertiliser type f]], 0)</f>
        <v>Calcium ammonium nitrate (CAN)</v>
      </c>
      <c r="E26" s="172" cm="1">
        <f t="array" ref="E26">Common_InputFunctions.Utility_DisplayArrayInTable(Fertiliser_SourceData.Fertiliser_ChemicalCompoundElements_Data(),Table_Fertiliser_ChemicalCompounds[[#Headers],[Fertiliser type f]], 0)</f>
        <v>0.27</v>
      </c>
      <c r="F26" s="172" cm="1">
        <f t="array" ref="F26">Common_InputFunctions.Utility_DisplayArrayInTable(Fertiliser_SourceData.Fertiliser_ChemicalCompoundElements_Data(),Table_Fertiliser_ChemicalCompounds[[#Headers],[Fertiliser type f]], 0)</f>
        <v>0</v>
      </c>
      <c r="G26" s="172" t="str" cm="1">
        <f t="array" ref="G26">Common_InputFunctions.Utility_DisplayArrayInTable(Fertiliser_SourceData.Fertiliser_ChemicalCompoundElements_Data(),Table_Fertiliser_ChemicalCompounds[[#Headers],[Fertiliser type f]], 0)</f>
        <v>Ammonium-nitrate based fertilisers</v>
      </c>
      <c r="H26" s="172" t="str" cm="1">
        <f t="array" ref="H26">Common_InputFunctions.Utility_DisplayArrayInTable(Fertiliser_SourceData.Fertiliser_ChemicalCompoundElements_Data(),Table_Fertiliser_ChemicalCompounds[[#Headers],[Fertiliser type f]], 0)</f>
        <v>Calcium ammonium nitrate (CAN)</v>
      </c>
      <c r="I26" s="172" t="str" cm="1">
        <f t="array" ref="I26">Common_InputFunctions.Utility_DisplayArrayInTable(Fertiliser_SourceData.Fertiliser_ChemicalCompoundElements_Data(),Table_Fertiliser_ChemicalCompounds[[#Headers],[Fertiliser type f]], 0)</f>
        <v>VEERG</v>
      </c>
      <c r="K26" s="30" t="str" cm="1">
        <f t="array" ref="K26">Common_InputFunctions.Utility_DisplayArrayInTable(Fertiliser_SourceData.Fertiliser_FractionNCommonFertilisers_Data(), Table2[[#Headers],[Fertiliser type f]], 0)</f>
        <v>Calcium ammonium nitrate (CAN)</v>
      </c>
      <c r="L26" s="30" cm="1">
        <f t="array" ref="L26">Common_InputFunctions.Utility_DisplayArrayInTable(Fertiliser_SourceData.Fertiliser_FractionNCommonFertilisers_Data(), Table2[[#Headers],[Fertiliser type f]], 0)</f>
        <v>0.27</v>
      </c>
      <c r="Q26" s="30" t="str" cm="1">
        <f t="array" ref="Q26">Common_InputFunctions.Utility_DisplayArrayInTable(Fertiliser_SourceData.Fertiliser_FractionUreaCommonFertilisers_Data(), Table28[[#Headers],[Fertiliser type f]], 0)</f>
        <v>Calcium ammonium nitrate (CAN)</v>
      </c>
      <c r="R26" s="30" cm="1">
        <f t="array" ref="R26">Common_InputFunctions.Utility_DisplayArrayInTable(Fertiliser_SourceData.Fertiliser_FractionUreaCommonFertilisers_Data(), Table28[[#Headers],[Fertiliser type f]], 0)</f>
        <v>0</v>
      </c>
    </row>
    <row r="27" spans="1:22" ht="20.100000000000001" customHeight="1" x14ac:dyDescent="0.25">
      <c r="A27" s="5" t="str">
        <f>HYPERLINK("#'5.2.1.1-2 Organic Fert N2O'!A1", "5.2.1.1-2 Organic fert N2O")</f>
        <v>5.2.1.1-2 Organic fert N2O</v>
      </c>
      <c r="D27" s="172" t="str" cm="1">
        <f t="array" ref="D27">Common_InputFunctions.Utility_DisplayArrayInTable(Fertiliser_SourceData.Fertiliser_ChemicalCompoundElements_Data(),Table_Fertiliser_ChemicalCompounds[[#Headers],[Fertiliser type f]], 0)</f>
        <v>Nitrogen - Ammoniacal</v>
      </c>
      <c r="E27" s="172" cm="1">
        <f t="array" ref="E27">Common_InputFunctions.Utility_DisplayArrayInTable(Fertiliser_SourceData.Fertiliser_ChemicalCompoundElements_Data(),Table_Fertiliser_ChemicalCompounds[[#Headers],[Fertiliser type f]], 0)</f>
        <v>1</v>
      </c>
      <c r="F27" s="172" cm="1">
        <f t="array" ref="F27">Common_InputFunctions.Utility_DisplayArrayInTable(Fertiliser_SourceData.Fertiliser_ChemicalCompoundElements_Data(),Table_Fertiliser_ChemicalCompounds[[#Headers],[Fertiliser type f]], 0)</f>
        <v>0</v>
      </c>
      <c r="G27" s="172" t="str" cm="1">
        <f t="array" ref="G27">Common_InputFunctions.Utility_DisplayArrayInTable(Fertiliser_SourceData.Fertiliser_ChemicalCompoundElements_Data(),Table_Fertiliser_ChemicalCompounds[[#Headers],[Fertiliser type f]], 0)</f>
        <v>Ammonium-based fertilisers</v>
      </c>
      <c r="H27" s="172" t="str" cm="1">
        <f t="array" ref="H27">Common_InputFunctions.Utility_DisplayArrayInTable(Fertiliser_SourceData.Fertiliser_ChemicalCompoundElements_Data(),Table_Fertiliser_ChemicalCompounds[[#Headers],[Fertiliser type f]], 0)</f>
        <v>Nitrogen - Ammoniacal</v>
      </c>
      <c r="I27" s="172" t="str" cm="1">
        <f t="array" ref="I27">Common_InputFunctions.Utility_DisplayArrayInTable(Fertiliser_SourceData.Fertiliser_ChemicalCompoundElements_Data(),Table_Fertiliser_ChemicalCompounds[[#Headers],[Fertiliser type f]], 0)</f>
        <v>LifeCycles</v>
      </c>
      <c r="K27" s="30" t="str" cm="1">
        <f t="array" ref="K27">Common_InputFunctions.Utility_DisplayArrayInTable(Fertiliser_SourceData.Fertiliser_FractionNCommonFertilisers_Data(), Table2[[#Headers],[Fertiliser type f]], 0)</f>
        <v>Ammonium Sulfate</v>
      </c>
      <c r="L27" s="30" cm="1">
        <f t="array" ref="L27">Common_InputFunctions.Utility_DisplayArrayInTable(Fertiliser_SourceData.Fertiliser_FractionNCommonFertilisers_Data(), Table2[[#Headers],[Fertiliser type f]], 0)</f>
        <v>0.21</v>
      </c>
      <c r="Q27" s="30" t="str" cm="1">
        <f t="array" ref="Q27">Common_InputFunctions.Utility_DisplayArrayInTable(Fertiliser_SourceData.Fertiliser_FractionUreaCommonFertilisers_Data(), Table28[[#Headers],[Fertiliser type f]], 0)</f>
        <v>Ammonium Sulfate</v>
      </c>
      <c r="R27" s="30" cm="1">
        <f t="array" ref="R27">Common_InputFunctions.Utility_DisplayArrayInTable(Fertiliser_SourceData.Fertiliser_FractionUreaCommonFertilisers_Data(), Table28[[#Headers],[Fertiliser type f]], 0)</f>
        <v>0</v>
      </c>
    </row>
    <row r="28" spans="1:22" ht="20.100000000000001" customHeight="1" x14ac:dyDescent="0.25">
      <c r="A28" s="5" t="str">
        <f>HYPERLINK("#'5.3.1.1-2 Lime CO2'!A1", "5.3.1.1-2 Lime CO2")</f>
        <v>5.3.1.1-2 Lime CO2</v>
      </c>
      <c r="D28" s="172" t="str" cm="1">
        <f t="array" ref="D28">Common_InputFunctions.Utility_DisplayArrayInTable(Fertiliser_SourceData.Fertiliser_ChemicalCompoundElements_Data(),Table_Fertiliser_ChemicalCompounds[[#Headers],[Fertiliser type f]], 0)</f>
        <v>Nitrogen - Nitrate</v>
      </c>
      <c r="E28" s="172" cm="1">
        <f t="array" ref="E28">Common_InputFunctions.Utility_DisplayArrayInTable(Fertiliser_SourceData.Fertiliser_ChemicalCompoundElements_Data(),Table_Fertiliser_ChemicalCompounds[[#Headers],[Fertiliser type f]], 0)</f>
        <v>1</v>
      </c>
      <c r="F28" s="172" cm="1">
        <f t="array" ref="F28">Common_InputFunctions.Utility_DisplayArrayInTable(Fertiliser_SourceData.Fertiliser_ChemicalCompoundElements_Data(),Table_Fertiliser_ChemicalCompounds[[#Headers],[Fertiliser type f]], 0)</f>
        <v>0</v>
      </c>
      <c r="G28" s="172" t="str" cm="1">
        <f t="array" ref="G28">Common_InputFunctions.Utility_DisplayArrayInTable(Fertiliser_SourceData.Fertiliser_ChemicalCompoundElements_Data(),Table_Fertiliser_ChemicalCompounds[[#Headers],[Fertiliser type f]], 0)</f>
        <v>Nitrate-based fertilisers</v>
      </c>
      <c r="H28" s="172" t="str" cm="1">
        <f t="array" ref="H28">Common_InputFunctions.Utility_DisplayArrayInTable(Fertiliser_SourceData.Fertiliser_ChemicalCompoundElements_Data(),Table_Fertiliser_ChemicalCompounds[[#Headers],[Fertiliser type f]], 0)</f>
        <v>Nitrogen from Nitrate</v>
      </c>
      <c r="I28" s="172" t="str" cm="1">
        <f t="array" ref="I28">Common_InputFunctions.Utility_DisplayArrayInTable(Fertiliser_SourceData.Fertiliser_ChemicalCompoundElements_Data(),Table_Fertiliser_ChemicalCompounds[[#Headers],[Fertiliser type f]], 0)</f>
        <v>LifeCycles</v>
      </c>
      <c r="K28" s="30" t="str" cm="1">
        <f t="array" ref="K28">Common_InputFunctions.Utility_DisplayArrayInTable(Fertiliser_SourceData.Fertiliser_FractionNCommonFertilisers_Data(), Table2[[#Headers],[Fertiliser type f]], 0)</f>
        <v>Calcium Nitrate</v>
      </c>
      <c r="L28" s="30" cm="1">
        <f t="array" ref="L28">Common_InputFunctions.Utility_DisplayArrayInTable(Fertiliser_SourceData.Fertiliser_FractionNCommonFertilisers_Data(), Table2[[#Headers],[Fertiliser type f]], 0)</f>
        <v>0.155</v>
      </c>
      <c r="Q28" s="30" t="str" cm="1">
        <f t="array" ref="Q28">Common_InputFunctions.Utility_DisplayArrayInTable(Fertiliser_SourceData.Fertiliser_FractionUreaCommonFertilisers_Data(), Table28[[#Headers],[Fertiliser type f]], 0)</f>
        <v>Calcium Nitrate</v>
      </c>
      <c r="R28" s="30" cm="1">
        <f t="array" ref="R28">Common_InputFunctions.Utility_DisplayArrayInTable(Fertiliser_SourceData.Fertiliser_FractionUreaCommonFertilisers_Data(), Table28[[#Headers],[Fertiliser type f]], 0)</f>
        <v>0</v>
      </c>
    </row>
    <row r="29" spans="1:22" ht="20.100000000000001" customHeight="1" x14ac:dyDescent="0.25">
      <c r="A29" s="5" t="str">
        <f>HYPERLINK("#'5.4.1.1-4 Atmos deposition'!A1", "5.4.1.1-4 Atmos. deposition")</f>
        <v>5.4.1.1-4 Atmos. deposition</v>
      </c>
      <c r="D29" s="172" t="str" cm="1">
        <f t="array" ref="D29">Common_InputFunctions.Utility_DisplayArrayInTable(Fertiliser_SourceData.Fertiliser_ChemicalCompoundElements_Data(),Table_Fertiliser_ChemicalCompounds[[#Headers],[Fertiliser type f]], 0)</f>
        <v>Nitrogen - Generic</v>
      </c>
      <c r="E29" s="172" cm="1">
        <f t="array" ref="E29">Common_InputFunctions.Utility_DisplayArrayInTable(Fertiliser_SourceData.Fertiliser_ChemicalCompoundElements_Data(),Table_Fertiliser_ChemicalCompounds[[#Headers],[Fertiliser type f]], 0)</f>
        <v>1</v>
      </c>
      <c r="F29" s="172" cm="1">
        <f t="array" ref="F29">Common_InputFunctions.Utility_DisplayArrayInTable(Fertiliser_SourceData.Fertiliser_ChemicalCompoundElements_Data(),Table_Fertiliser_ChemicalCompounds[[#Headers],[Fertiliser type f]], 0)</f>
        <v>0</v>
      </c>
      <c r="G29" s="172" t="str" cm="1">
        <f t="array" ref="G29">Common_InputFunctions.Utility_DisplayArrayInTable(Fertiliser_SourceData.Fertiliser_ChemicalCompoundElements_Data(),Table_Fertiliser_ChemicalCompounds[[#Headers],[Fertiliser type f]], 0)</f>
        <v>Urea-based fertilisers</v>
      </c>
      <c r="H29" s="172" t="str" cm="1">
        <f t="array" ref="H29">Common_InputFunctions.Utility_DisplayArrayInTable(Fertiliser_SourceData.Fertiliser_ChemicalCompoundElements_Data(),Table_Fertiliser_ChemicalCompounds[[#Headers],[Fertiliser type f]], 0)</f>
        <v>Nitrogen from fertiliser</v>
      </c>
      <c r="I29" s="172"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5" t="str">
        <f>HYPERLINK("#'5.5.1.1-2 Leaching and runoff'!A1", "5.5.1.1-2 Leaching &amp; runoff")</f>
        <v>5.5.1.1-2 Leaching &amp; runoff</v>
      </c>
      <c r="D30" s="172" t="str" cm="1">
        <f t="array" ref="D30">Common_InputFunctions.Utility_DisplayArrayInTable(Fertiliser_SourceData.Fertiliser_ChemicalCompoundElements_Data(),Table_Fertiliser_ChemicalCompounds[[#Headers],[Fertiliser type f]], 0)</f>
        <v>Phosphorus - Generic</v>
      </c>
      <c r="E30" s="172" cm="1">
        <f t="array" ref="E30">Common_InputFunctions.Utility_DisplayArrayInTable(Fertiliser_SourceData.Fertiliser_ChemicalCompoundElements_Data(),Table_Fertiliser_ChemicalCompounds[[#Headers],[Fertiliser type f]], 0)</f>
        <v>0</v>
      </c>
      <c r="F30" s="172" cm="1">
        <f t="array" ref="F30">Common_InputFunctions.Utility_DisplayArrayInTable(Fertiliser_SourceData.Fertiliser_ChemicalCompoundElements_Data(),Table_Fertiliser_ChemicalCompounds[[#Headers],[Fertiliser type f]], 0)</f>
        <v>0</v>
      </c>
      <c r="G30" s="172" t="str" cm="1">
        <f t="array" ref="G30">Common_InputFunctions.Utility_DisplayArrayInTable(Fertiliser_SourceData.Fertiliser_ChemicalCompoundElements_Data(),Table_Fertiliser_ChemicalCompounds[[#Headers],[Fertiliser type f]], 0)</f>
        <v>Other fertilisers</v>
      </c>
      <c r="H30" s="172" t="str" cm="1">
        <f t="array" ref="H30">Common_InputFunctions.Utility_DisplayArrayInTable(Fertiliser_SourceData.Fertiliser_ChemicalCompoundElements_Data(),Table_Fertiliser_ChemicalCompounds[[#Headers],[Fertiliser type f]], 0)</f>
        <v>Phosphorus from fertiliser</v>
      </c>
      <c r="I30" s="172"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5" t="str">
        <f>HYPERLINK("#'6.1.1.1-2 Crop residue N2O'!A1", "6.1.1.1-2 Crop residue N2O")</f>
        <v>6.1.1.1-2 Crop residue N2O</v>
      </c>
      <c r="D31" s="172" t="str" cm="1">
        <f t="array" ref="D31">Common_InputFunctions.Utility_DisplayArrayInTable(Fertiliser_SourceData.Fertiliser_ChemicalCompoundElements_Data(),Table_Fertiliser_ChemicalCompounds[[#Headers],[Fertiliser type f]], 0)</f>
        <v>Potassium - Generic</v>
      </c>
      <c r="E31" s="172" cm="1">
        <f t="array" ref="E31">Common_InputFunctions.Utility_DisplayArrayInTable(Fertiliser_SourceData.Fertiliser_ChemicalCompoundElements_Data(),Table_Fertiliser_ChemicalCompounds[[#Headers],[Fertiliser type f]], 0)</f>
        <v>0</v>
      </c>
      <c r="F31" s="172" cm="1">
        <f t="array" ref="F31">Common_InputFunctions.Utility_DisplayArrayInTable(Fertiliser_SourceData.Fertiliser_ChemicalCompoundElements_Data(),Table_Fertiliser_ChemicalCompounds[[#Headers],[Fertiliser type f]], 0)</f>
        <v>0</v>
      </c>
      <c r="G31" s="172" t="str" cm="1">
        <f t="array" ref="G31">Common_InputFunctions.Utility_DisplayArrayInTable(Fertiliser_SourceData.Fertiliser_ChemicalCompoundElements_Data(),Table_Fertiliser_ChemicalCompounds[[#Headers],[Fertiliser type f]], 0)</f>
        <v>Other fertilisers</v>
      </c>
      <c r="H31" s="172" t="str" cm="1">
        <f t="array" ref="H31">Common_InputFunctions.Utility_DisplayArrayInTable(Fertiliser_SourceData.Fertiliser_ChemicalCompoundElements_Data(),Table_Fertiliser_ChemicalCompounds[[#Headers],[Fertiliser type f]], 0)</f>
        <v>Potassium from fertiliser</v>
      </c>
      <c r="I31" s="172"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5" t="str">
        <f>HYPERLINK("#'6.3.1.1-2 Leach runoff crop'!A1", "6.3.1.1-2 Leach &amp; runoff (crop)")</f>
        <v>6.3.1.1-2 Leach &amp; runoff (crop)</v>
      </c>
      <c r="D32" s="172" t="str" cm="1">
        <f t="array" ref="D32">Common_InputFunctions.Utility_DisplayArrayInTable(Fertiliser_SourceData.Fertiliser_ChemicalCompoundElements_Data(),Table_Fertiliser_ChemicalCompounds[[#Headers],[Fertiliser type f]], 0)</f>
        <v>Sulfur - Generic</v>
      </c>
      <c r="E32" s="172" cm="1">
        <f t="array" ref="E32">Common_InputFunctions.Utility_DisplayArrayInTable(Fertiliser_SourceData.Fertiliser_ChemicalCompoundElements_Data(),Table_Fertiliser_ChemicalCompounds[[#Headers],[Fertiliser type f]], 0)</f>
        <v>0</v>
      </c>
      <c r="F32" s="172" cm="1">
        <f t="array" ref="F32">Common_InputFunctions.Utility_DisplayArrayInTable(Fertiliser_SourceData.Fertiliser_ChemicalCompoundElements_Data(),Table_Fertiliser_ChemicalCompounds[[#Headers],[Fertiliser type f]], 0)</f>
        <v>0</v>
      </c>
      <c r="G32" s="172" t="str" cm="1">
        <f t="array" ref="G32">Common_InputFunctions.Utility_DisplayArrayInTable(Fertiliser_SourceData.Fertiliser_ChemicalCompoundElements_Data(),Table_Fertiliser_ChemicalCompounds[[#Headers],[Fertiliser type f]], 0)</f>
        <v>Other fertilisers</v>
      </c>
      <c r="H32" s="172" t="str" cm="1">
        <f t="array" ref="H32">Common_InputFunctions.Utility_DisplayArrayInTable(Fertiliser_SourceData.Fertiliser_ChemicalCompoundElements_Data(),Table_Fertiliser_ChemicalCompounds[[#Headers],[Fertiliser type f]], 0)</f>
        <v>Sulfur from fertiliser</v>
      </c>
      <c r="I32" s="172"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5" t="str">
        <f>HYPERLINK("#'6.4.1.1-2 Residue burning'!A1", "6.4.1.1-2 Residue burning")</f>
        <v>6.4.1.1-2 Residue burning</v>
      </c>
      <c r="D33" s="172" t="str" cm="1">
        <f t="array" ref="D33">Common_InputFunctions.Utility_DisplayArrayInTable(Fertiliser_SourceData.Fertiliser_ChemicalCompoundElements_Data(),Table_Fertiliser_ChemicalCompounds[[#Headers],[Fertiliser type f]], 0)</f>
        <v>Zinc - Generic</v>
      </c>
      <c r="E33" s="172" cm="1">
        <f t="array" ref="E33">Common_InputFunctions.Utility_DisplayArrayInTable(Fertiliser_SourceData.Fertiliser_ChemicalCompoundElements_Data(),Table_Fertiliser_ChemicalCompounds[[#Headers],[Fertiliser type f]], 0)</f>
        <v>0</v>
      </c>
      <c r="F33" s="172" cm="1">
        <f t="array" ref="F33">Common_InputFunctions.Utility_DisplayArrayInTable(Fertiliser_SourceData.Fertiliser_ChemicalCompoundElements_Data(),Table_Fertiliser_ChemicalCompounds[[#Headers],[Fertiliser type f]], 0)</f>
        <v>0</v>
      </c>
      <c r="G33" s="172" t="str" cm="1">
        <f t="array" ref="G33">Common_InputFunctions.Utility_DisplayArrayInTable(Fertiliser_SourceData.Fertiliser_ChemicalCompoundElements_Data(),Table_Fertiliser_ChemicalCompounds[[#Headers],[Fertiliser type f]], 0)</f>
        <v>Other fertilisers</v>
      </c>
      <c r="H33" s="172" t="str" cm="1">
        <f t="array" ref="H33">Common_InputFunctions.Utility_DisplayArrayInTable(Fertiliser_SourceData.Fertiliser_ChemicalCompoundElements_Data(),Table_Fertiliser_ChemicalCompounds[[#Headers],[Fertiliser type f]], 0)</f>
        <v>Zinc from fertiliser</v>
      </c>
      <c r="I33" s="172"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5" t="str">
        <f>HYPERLINK("#'8.1.1.1-2 Transport fuel'!A1", "8.1.1.1-2 Transport fuel")</f>
        <v>8.1.1.1-2 Transport fuel</v>
      </c>
      <c r="D34" s="172" t="str" cm="1">
        <f t="array" ref="D34">Common_InputFunctions.Utility_DisplayArrayInTable(Fertiliser_SourceData.Fertiliser_ChemicalCompoundElements_Data(),Table_Fertiliser_ChemicalCompounds[[#Headers],[Fertiliser type f]], 0)</f>
        <v>Muriate of potash (MOP)</v>
      </c>
      <c r="E34" s="172" cm="1">
        <f t="array" ref="E34">Common_InputFunctions.Utility_DisplayArrayInTable(Fertiliser_SourceData.Fertiliser_ChemicalCompoundElements_Data(),Table_Fertiliser_ChemicalCompounds[[#Headers],[Fertiliser type f]], 0)</f>
        <v>0</v>
      </c>
      <c r="F34" s="172" cm="1">
        <f t="array" ref="F34">Common_InputFunctions.Utility_DisplayArrayInTable(Fertiliser_SourceData.Fertiliser_ChemicalCompoundElements_Data(),Table_Fertiliser_ChemicalCompounds[[#Headers],[Fertiliser type f]], 0)</f>
        <v>0</v>
      </c>
      <c r="G34" s="172" t="str" cm="1">
        <f t="array" ref="G34">Common_InputFunctions.Utility_DisplayArrayInTable(Fertiliser_SourceData.Fertiliser_ChemicalCompoundElements_Data(),Table_Fertiliser_ChemicalCompounds[[#Headers],[Fertiliser type f]], 0)</f>
        <v>Other fertilisers</v>
      </c>
      <c r="H34" s="172" t="str" cm="1">
        <f t="array" ref="H34">Common_InputFunctions.Utility_DisplayArrayInTable(Fertiliser_SourceData.Fertiliser_ChemicalCompoundElements_Data(),Table_Fertiliser_ChemicalCompounds[[#Headers],[Fertiliser type f]], 0)</f>
        <v>Muriate of potash (MOP)</v>
      </c>
      <c r="I34" s="172"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5" t="str">
        <f>HYPERLINK("#'8.2.1.1-2 Stationary fuel'!A1", "8.2.1.1-2 Stationary fuel")</f>
        <v>8.2.1.1-2 Stationary fuel</v>
      </c>
      <c r="D35" s="172" t="str" cm="1">
        <f t="array" ref="D35">Common_InputFunctions.Utility_DisplayArrayInTable(Fertiliser_SourceData.Fertiliser_ChemicalCompoundElements_Data(),Table_Fertiliser_ChemicalCompounds[[#Headers],[Fertiliser type f]], 0)</f>
        <v>Double superphosphate</v>
      </c>
      <c r="E35" s="172" cm="1">
        <f t="array" ref="E35">Common_InputFunctions.Utility_DisplayArrayInTable(Fertiliser_SourceData.Fertiliser_ChemicalCompoundElements_Data(),Table_Fertiliser_ChemicalCompounds[[#Headers],[Fertiliser type f]], 0)</f>
        <v>0</v>
      </c>
      <c r="F35" s="172" cm="1">
        <f t="array" ref="F35">Common_InputFunctions.Utility_DisplayArrayInTable(Fertiliser_SourceData.Fertiliser_ChemicalCompoundElements_Data(),Table_Fertiliser_ChemicalCompounds[[#Headers],[Fertiliser type f]], 0)</f>
        <v>0</v>
      </c>
      <c r="G35" s="172" t="str" cm="1">
        <f t="array" ref="G35">Common_InputFunctions.Utility_DisplayArrayInTable(Fertiliser_SourceData.Fertiliser_ChemicalCompoundElements_Data(),Table_Fertiliser_ChemicalCompounds[[#Headers],[Fertiliser type f]], 0)</f>
        <v>Other fertilisers</v>
      </c>
      <c r="H35" s="172" t="str" cm="1">
        <f t="array" ref="H35">Common_InputFunctions.Utility_DisplayArrayInTable(Fertiliser_SourceData.Fertiliser_ChemicalCompoundElements_Data(),Table_Fertiliser_ChemicalCompounds[[#Headers],[Fertiliser type f]], 0)</f>
        <v>Double superphosphate</v>
      </c>
      <c r="I35" s="172"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5" t="str">
        <f>HYPERLINK("#'14.1.1-2 Purchased electricity'!A1", "14.1.1-2 Purchased electricity")</f>
        <v>14.1.1-2 Purchased electricity</v>
      </c>
      <c r="D36" s="172" t="str" cm="1">
        <f t="array" ref="D36">Common_InputFunctions.Utility_DisplayArrayInTable(Fertiliser_SourceData.Fertiliser_ChemicalCompoundElements_Data(),Table_Fertiliser_ChemicalCompounds[[#Headers],[Fertiliser type f]], 0)</f>
        <v>Single superphosphate (SSP)</v>
      </c>
      <c r="E36" s="172" cm="1">
        <f t="array" ref="E36">Common_InputFunctions.Utility_DisplayArrayInTable(Fertiliser_SourceData.Fertiliser_ChemicalCompoundElements_Data(),Table_Fertiliser_ChemicalCompounds[[#Headers],[Fertiliser type f]], 0)</f>
        <v>0</v>
      </c>
      <c r="F36" s="172" cm="1">
        <f t="array" ref="F36">Common_InputFunctions.Utility_DisplayArrayInTable(Fertiliser_SourceData.Fertiliser_ChemicalCompoundElements_Data(),Table_Fertiliser_ChemicalCompounds[[#Headers],[Fertiliser type f]], 0)</f>
        <v>0</v>
      </c>
      <c r="G36" s="172" t="str" cm="1">
        <f t="array" ref="G36">Common_InputFunctions.Utility_DisplayArrayInTable(Fertiliser_SourceData.Fertiliser_ChemicalCompoundElements_Data(),Table_Fertiliser_ChemicalCompounds[[#Headers],[Fertiliser type f]], 0)</f>
        <v>Other fertilisers</v>
      </c>
      <c r="H36" s="172" t="str" cm="1">
        <f t="array" ref="H36">Common_InputFunctions.Utility_DisplayArrayInTable(Fertiliser_SourceData.Fertiliser_ChemicalCompoundElements_Data(),Table_Fertiliser_ChemicalCompounds[[#Headers],[Fertiliser type f]], 0)</f>
        <v>Single superphosphate (SSP)</v>
      </c>
      <c r="I36" s="172"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5" t="str">
        <f>HYPERLINK("#'15 Scope 3'!A1", "15 Scope 3")</f>
        <v>15 Scope 3</v>
      </c>
      <c r="D37" s="172" t="str" cm="1">
        <f t="array" ref="D37">Common_InputFunctions.Utility_DisplayArrayInTable(Fertiliser_SourceData.Fertiliser_ChemicalCompoundElements_Data(),Table_Fertiliser_ChemicalCompounds[[#Headers],[Fertiliser type f]], 0)</f>
        <v>Ammonia</v>
      </c>
      <c r="E37" s="172" cm="1">
        <f t="array" ref="E37">Common_InputFunctions.Utility_DisplayArrayInTable(Fertiliser_SourceData.Fertiliser_ChemicalCompoundElements_Data(),Table_Fertiliser_ChemicalCompounds[[#Headers],[Fertiliser type f]], 0)</f>
        <v>0.82350000000000001</v>
      </c>
      <c r="F37" s="172" cm="1">
        <f t="array" ref="F37">Common_InputFunctions.Utility_DisplayArrayInTable(Fertiliser_SourceData.Fertiliser_ChemicalCompoundElements_Data(),Table_Fertiliser_ChemicalCompounds[[#Headers],[Fertiliser type f]], 0)</f>
        <v>0</v>
      </c>
      <c r="G37" s="172" t="str" cm="1">
        <f t="array" ref="G37">Common_InputFunctions.Utility_DisplayArrayInTable(Fertiliser_SourceData.Fertiliser_ChemicalCompoundElements_Data(),Table_Fertiliser_ChemicalCompounds[[#Headers],[Fertiliser type f]], 0)</f>
        <v>Ammonium-based fertilisers</v>
      </c>
      <c r="H37" s="172" t="str" cm="1">
        <f t="array" ref="H37">Common_InputFunctions.Utility_DisplayArrayInTable(Fertiliser_SourceData.Fertiliser_ChemicalCompoundElements_Data(),Table_Fertiliser_ChemicalCompounds[[#Headers],[Fertiliser type f]], 0)</f>
        <v>Ammonia</v>
      </c>
      <c r="I37" s="172"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5" t="str">
        <f>HYPERLINK("#'Calcs - Manure sent off-site'!A1", "Calcs - Manure sent off-site")</f>
        <v>Calcs - Manure sent off-site</v>
      </c>
      <c r="D38" s="30" t="str" cm="1">
        <f t="array" ref="D38">Common_InputFunctions.Utility_DisplayArrayInTable(Fertiliser_SourceData.Fertiliser_ChemicalCompoundElements_Data(),Table_Fertiliser_ChemicalCompounds[[#Headers],[Fertiliser type f]], 0)</f>
        <v>Calcium nitrate</v>
      </c>
      <c r="E38" s="30" cm="1">
        <f t="array" ref="E38">Common_InputFunctions.Utility_DisplayArrayInTable(Fertiliser_SourceData.Fertiliser_ChemicalCompoundElements_Data(),Table_Fertiliser_ChemicalCompounds[[#Headers],[Fertiliser type f]], 0)</f>
        <v>0.155</v>
      </c>
      <c r="F38" s="30" cm="1">
        <f t="array" ref="F38">Common_InputFunctions.Utility_DisplayArrayInTable(Fertiliser_SourceData.Fertiliser_ChemicalCompoundElements_Data(),Table_Fertiliser_ChemicalCompounds[[#Headers],[Fertiliser type f]], 0)</f>
        <v>0</v>
      </c>
      <c r="G38" s="30" t="str" cm="1">
        <f t="array" ref="G38">Common_InputFunctions.Utility_DisplayArrayInTable(Fertiliser_SourceData.Fertiliser_ChemicalCompoundElements_Data(),Table_Fertiliser_ChemicalCompounds[[#Headers],[Fertiliser type f]], 0)</f>
        <v>Nitrate-based fertilisers</v>
      </c>
      <c r="H38" s="30" t="str" cm="1">
        <f t="array" ref="H38">Common_InputFunctions.Utility_DisplayArrayInTable(Fertiliser_SourceData.Fertiliser_ChemicalCompoundElements_Data(),Table_Fertiliser_ChemicalCompounds[[#Headers],[Fertiliser type f]], 0)</f>
        <v>Calcium nitrate</v>
      </c>
      <c r="I38" s="3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5" t="str">
        <f>HYPERLINK("#'10.1.1-2 Solid waste treatment'!A1", "10.1.1-2 Solid waste treatment")</f>
        <v>10.1.1-2 Solid waste treatment</v>
      </c>
    </row>
    <row r="40" spans="1:10" ht="20.100000000000001" customHeight="1" x14ac:dyDescent="0.25">
      <c r="D40" s="2" t="s">
        <v>360</v>
      </c>
      <c r="F40" s="2" t="s">
        <v>361</v>
      </c>
      <c r="H40" s="2" t="s">
        <v>362</v>
      </c>
      <c r="J40" s="2" t="s">
        <v>363</v>
      </c>
    </row>
    <row r="41" spans="1:10" ht="20.100000000000001" customHeight="1" x14ac:dyDescent="0.25">
      <c r="D41" s="30" t="s">
        <v>183</v>
      </c>
      <c r="F41" s="30" t="s">
        <v>183</v>
      </c>
      <c r="H41" s="30" t="s">
        <v>63</v>
      </c>
      <c r="J41" s="30" t="s">
        <v>364</v>
      </c>
    </row>
    <row r="42" spans="1:10" ht="20.100000000000001" customHeight="1" x14ac:dyDescent="0.25">
      <c r="A42" s="108" t="s">
        <v>1</v>
      </c>
      <c r="D42" s="30" t="s">
        <v>365</v>
      </c>
      <c r="F42" s="30" t="s">
        <v>365</v>
      </c>
      <c r="H42" s="30" t="s">
        <v>366</v>
      </c>
      <c r="J42" s="30" t="s">
        <v>367</v>
      </c>
    </row>
    <row r="43" spans="1:10" ht="20.100000000000001" customHeight="1" x14ac:dyDescent="0.25">
      <c r="A43" s="5" t="str">
        <f>HYPERLINK("#'Constants - Ag Residue'!A1", "Constants - Ag residue")</f>
        <v>Constants - Ag residue</v>
      </c>
      <c r="D43" s="1" t="s">
        <v>184</v>
      </c>
      <c r="F43" s="1" t="s">
        <v>368</v>
      </c>
      <c r="H43" s="30" t="s">
        <v>369</v>
      </c>
      <c r="J43" s="1" t="s">
        <v>264</v>
      </c>
    </row>
    <row r="44" spans="1:10" ht="20.100000000000001" customHeight="1" x14ac:dyDescent="0.25">
      <c r="A44" s="5" t="str">
        <f>HYPERLINK("#'Constants - Common Livestock'!A1", "Constants - Common Livestock")</f>
        <v>Constants - Common Livestock</v>
      </c>
      <c r="F44" s="1" t="s">
        <v>370</v>
      </c>
      <c r="H44" s="1" t="s">
        <v>371</v>
      </c>
      <c r="J44" s="1" t="s">
        <v>372</v>
      </c>
    </row>
    <row r="45" spans="1:10" ht="20.100000000000001" customHeight="1" x14ac:dyDescent="0.25">
      <c r="A45" s="5" t="str">
        <f>HYPERLINK("#'Constants - Electricity'!A1", "Constants - Electricity")</f>
        <v>Constants - Electricity</v>
      </c>
      <c r="F45" s="1" t="s">
        <v>373</v>
      </c>
      <c r="H45" s="1" t="s">
        <v>374</v>
      </c>
      <c r="J45" s="1" t="s">
        <v>263</v>
      </c>
    </row>
    <row r="46" spans="1:10" ht="20.100000000000001" customHeight="1" x14ac:dyDescent="0.25">
      <c r="A46" s="173" t="str">
        <f>HYPERLINK("#'Constants - Fertiliser'!A1", "Constants - Fertiliser")</f>
        <v>Constants - Fertiliser</v>
      </c>
      <c r="H46" s="1" t="s">
        <v>375</v>
      </c>
      <c r="J46" s="1" t="s">
        <v>265</v>
      </c>
    </row>
    <row r="47" spans="1:10" ht="20.100000000000001" customHeight="1" x14ac:dyDescent="0.25">
      <c r="A47" s="5" t="str">
        <f>HYPERLINK("#'Constants - Fuel'!A1", "Constants - Fuel")</f>
        <v>Constants - Fuel</v>
      </c>
    </row>
    <row r="48" spans="1:10" ht="20.100000000000001" customHeight="1" x14ac:dyDescent="0.25">
      <c r="A48" s="5" t="str">
        <f>HYPERLINK("#'Constants - Scope 3'!A1", "Constants - Scope 3")</f>
        <v>Constants - Scope 3</v>
      </c>
      <c r="D48" s="2" t="str" cm="1">
        <f t="array" ref="D48">Fertiliser_SourceData.Fertiliser_FracGASF_Title()</f>
        <v>Fraction of inorganic fertiliser that volatilises as NH3 and NOx</v>
      </c>
      <c r="G48" s="159"/>
    </row>
    <row r="49" spans="1:8" ht="20.100000000000001" customHeight="1" x14ac:dyDescent="0.25">
      <c r="A49" s="5" t="str">
        <f>HYPERLINK("#'Constants - Common'!A1", "Constants - Common")</f>
        <v>Constants - Common</v>
      </c>
      <c r="D49" s="27" t="str" cm="1">
        <f t="array" ref="D49">Fertiliser_SourceData.Fertiliser_FracGASF_Source()</f>
        <v>Table A.2.2.6: Fraction of inorganic fertiliser f that volatilises as NH3 and NOx ((kg NH3-N + NOx-N)/kg N) (FracGASFf)</v>
      </c>
      <c r="G49" s="159"/>
    </row>
    <row r="50" spans="1:8" ht="20.100000000000001" customHeight="1" x14ac:dyDescent="0.25">
      <c r="A50" s="5" t="str">
        <f>HYPERLINK("#'Constants - Solid Waste'!A1", "Constants - Solid Waste")</f>
        <v>Constants - Solid Waste</v>
      </c>
      <c r="D50" s="30" t="s">
        <v>272</v>
      </c>
      <c r="E50" s="30" t="s">
        <v>376</v>
      </c>
      <c r="G50" s="159"/>
    </row>
    <row r="51" spans="1:8" ht="20.100000000000001" customHeight="1" x14ac:dyDescent="0.25">
      <c r="D51" s="30" t="str" cm="1">
        <f t="array" ref="D51">Common_InputFunctions.Utility_DisplayArrayInTable(Fertiliser_SourceData.Fertiliser_FracGASF_Data(), Table_SourceData_Fertiliser_FracGASF[[#Headers],[Fertiliser type f]], 0)</f>
        <v>Urea-based fertilisers</v>
      </c>
      <c r="E51" s="30" cm="1">
        <f t="array" ref="E51">Common_InputFunctions.Utility_DisplayArrayInTable(Fertiliser_SourceData.Fertiliser_FracGASF_Data(), Table_SourceData_Fertiliser_FracGASF[[#Headers],[Fertiliser type f]], 0)</f>
        <v>0.15</v>
      </c>
      <c r="G51" s="159"/>
    </row>
    <row r="52" spans="1:8" ht="20.100000000000001" customHeight="1" x14ac:dyDescent="0.25">
      <c r="D52" s="1" t="str" cm="1">
        <f t="array" ref="D52">Common_InputFunctions.Utility_DisplayArrayInTable(Fertiliser_SourceData.Fertiliser_FracGASF_Data(), Table_SourceData_Fertiliser_FracGASF[[#Headers],[Fertiliser type f]], 0)</f>
        <v>Ammonium-based fertilisers</v>
      </c>
      <c r="E52" s="30" cm="1">
        <f t="array" ref="E52">Common_InputFunctions.Utility_DisplayArrayInTable(Fertiliser_SourceData.Fertiliser_FracGASF_Data(), Table_SourceData_Fertiliser_FracGASF[[#Headers],[Fertiliser type f]], 0)</f>
        <v>0.08</v>
      </c>
      <c r="G52" s="159"/>
    </row>
    <row r="53" spans="1:8" ht="20.100000000000001" customHeight="1" x14ac:dyDescent="0.25">
      <c r="D53" s="1" t="str" cm="1">
        <f t="array" ref="D53">Common_InputFunctions.Utility_DisplayArrayInTable(Fertiliser_SourceData.Fertiliser_FracGASF_Data(), Table_SourceData_Fertiliser_FracGASF[[#Headers],[Fertiliser type f]], 0)</f>
        <v>Nitrate-based fertilisers</v>
      </c>
      <c r="E53" s="30" cm="1">
        <f t="array" ref="E53">Common_InputFunctions.Utility_DisplayArrayInTable(Fertiliser_SourceData.Fertiliser_FracGASF_Data(), Table_SourceData_Fertiliser_FracGASF[[#Headers],[Fertiliser type f]], 0)</f>
        <v>0.01</v>
      </c>
      <c r="G53" s="159"/>
    </row>
    <row r="54" spans="1:8" ht="20.100000000000001" customHeight="1" x14ac:dyDescent="0.25">
      <c r="D54" s="1" t="str" cm="1">
        <f t="array" ref="D54">Common_InputFunctions.Utility_DisplayArrayInTable(Fertiliser_SourceData.Fertiliser_FracGASF_Data(), Table_SourceData_Fertiliser_FracGASF[[#Headers],[Fertiliser type f]], 0)</f>
        <v>Ammonium-nitrate based fertilisers</v>
      </c>
      <c r="E54" s="30" cm="1">
        <f t="array" ref="E54">Common_InputFunctions.Utility_DisplayArrayInTable(Fertiliser_SourceData.Fertiliser_FracGASF_Data(), Table_SourceData_Fertiliser_FracGASF[[#Headers],[Fertiliser type f]], 0)</f>
        <v>0.05</v>
      </c>
      <c r="G54" s="159"/>
      <c r="H54" s="159"/>
    </row>
    <row r="55" spans="1:8" ht="20.100000000000001" customHeight="1" x14ac:dyDescent="0.25">
      <c r="D55" s="1" t="str" cm="1">
        <f t="array" ref="D55">Common_InputFunctions.Utility_DisplayArrayInTable(Fertiliser_SourceData.Fertiliser_FracGASF_Data(), Table_SourceData_Fertiliser_FracGASF[[#Headers],[Fertiliser type f]], 0)</f>
        <v>Other fertilisers</v>
      </c>
      <c r="E55" s="30" cm="1">
        <f t="array" ref="E55">Common_InputFunctions.Utility_DisplayArrayInTable(Fertiliser_SourceData.Fertiliser_FracGASF_Data(), Table_SourceData_Fertiliser_FracGASF[[#Headers],[Fertiliser type f]], 0)</f>
        <v>0.11</v>
      </c>
      <c r="G55" s="159"/>
      <c r="H55" s="159"/>
    </row>
    <row r="56" spans="1:8" ht="20.100000000000001" customHeight="1" x14ac:dyDescent="0.25"/>
    <row r="57" spans="1:8" ht="20.100000000000001" customHeight="1" x14ac:dyDescent="0.25"/>
    <row r="58" spans="1:8" ht="20.100000000000001" customHeight="1" x14ac:dyDescent="0.25">
      <c r="D58" s="2" t="str" cm="1">
        <f t="array" ref="D58">Fertiliser_SourceData.Fertiliser_EFUreaCO2_Title()</f>
        <v>Emission factor for carbon emissions from urea application</v>
      </c>
    </row>
    <row r="59" spans="1:8" ht="20.100000000000001" customHeight="1" x14ac:dyDescent="0.25">
      <c r="D59" s="27" t="str" cm="1">
        <f t="array" ref="D59">Fertiliser_SourceData.Fertiliser_EFUreaCO2_Source()</f>
        <v>VEERG 2026: 5.1.2.2 Constant Parameters</v>
      </c>
    </row>
    <row r="60" spans="1:8" ht="20.100000000000001" customHeight="1" x14ac:dyDescent="0.25">
      <c r="D60" s="88" t="str" cm="1">
        <f t="array" ref="D60">Fertiliser_SourceData.Fertiliser_EFUreaCO2_Variable()</f>
        <v>EFureaCO2</v>
      </c>
      <c r="E60" s="1" cm="1">
        <f t="array" ref="E60">Fertiliser_SourceData.Fertiliser_EFUreaCO2_Data()</f>
        <v>0.2</v>
      </c>
      <c r="F60" s="15" t="str" cm="1">
        <f t="array" ref="F60">Fertiliser_SourceData.Fertiliser_EFUreaCO2_Unit()</f>
        <v>kg C/kg urea</v>
      </c>
    </row>
    <row r="61" spans="1:8" ht="20.100000000000001" customHeight="1" x14ac:dyDescent="0.25"/>
    <row r="62" spans="1:8" ht="20.100000000000001" customHeight="1" x14ac:dyDescent="0.25"/>
    <row r="63" spans="1:8" ht="20.100000000000001" customHeight="1" x14ac:dyDescent="0.25">
      <c r="D63" s="2" t="str" cm="1">
        <f t="array" ref="D63">Fertiliser_SourceData.Fertiliser_LimeDolomiteGypsumConstants_Title()</f>
        <v>Constants for lime, dolomite and gypsum</v>
      </c>
    </row>
    <row r="64" spans="1:8" ht="20.100000000000001" customHeight="1" x14ac:dyDescent="0.25">
      <c r="D64" s="27" t="str" cm="1">
        <f t="array" ref="D64">Fertiliser_SourceData.Fertiliser_LimeDolomiteGypsumConstants_Source()</f>
        <v>VEERG 2026: 5.3.2.3 Constant Parameters</v>
      </c>
    </row>
    <row r="65" spans="4:6" ht="20.100000000000001" customHeight="1" x14ac:dyDescent="0.25">
      <c r="D65" s="30" t="s">
        <v>320</v>
      </c>
      <c r="E65" s="30" t="s">
        <v>377</v>
      </c>
      <c r="F65" s="30" t="s">
        <v>378</v>
      </c>
    </row>
    <row r="66" spans="4:6" ht="20.100000000000001" customHeight="1" x14ac:dyDescent="0.25">
      <c r="D66" s="30" t="str" cm="1">
        <f t="array" ref="D66">Common_InputFunctions.Utility_DisplayArrayInTable(Fertiliser_SourceData.Fertiliser_LimeDolomiteGypsumConstants_Data(), Table_SourceData_Fertiliser_LimeDolomiteConstants[[#Headers],[Element]], 0)</f>
        <v>Lime (Calcium carbonate)</v>
      </c>
      <c r="E66" s="30" cm="1">
        <f t="array" ref="E66">Common_InputFunctions.Utility_DisplayArrayInTable(Fertiliser_SourceData.Fertiliser_LimeDolomiteGypsumConstants_Data(), Table_SourceData_Fertiliser_LimeDolomiteConstants[[#Headers],[Element]], 0)</f>
        <v>0.9</v>
      </c>
      <c r="F66" s="30"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0" cm="1">
        <f t="array" ref="E67">Common_InputFunctions.Utility_DisplayArrayInTable(Fertiliser_SourceData.Fertiliser_LimeDolomiteGypsumConstants_Data(), Table_SourceData_Fertiliser_LimeDolomiteConstants[[#Headers],[Element]], 0)</f>
        <v>0.95</v>
      </c>
      <c r="F67" s="30"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0" cm="1">
        <f t="array" ref="E68">Common_InputFunctions.Utility_DisplayArrayInTable(Fertiliser_SourceData.Fertiliser_LimeDolomiteGypsumConstants_Data(), Table_SourceData_Fertiliser_LimeDolomiteConstants[[#Headers],[Element]], 0)</f>
        <v>0</v>
      </c>
      <c r="F68" s="30"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2" t="str" cm="1">
        <f t="array" ref="D71">Fertiliser_SourceData.Fertiliser_FracGASMSoil_Title()</f>
        <v>Fraction of organic fertiliser that volatilises as NH3 and NOx</v>
      </c>
    </row>
    <row r="72" spans="4:6" ht="20.100000000000001" customHeight="1" x14ac:dyDescent="0.25">
      <c r="D72" s="27" t="str" cm="1">
        <f t="array" ref="D72">Fertiliser_SourceData.Fertiliser_FracGASMSoil_Source()</f>
        <v>VEERG 2026: 5.4.2.3 Constant Parameters</v>
      </c>
    </row>
    <row r="73" spans="4:6" ht="20.100000000000001" customHeight="1" x14ac:dyDescent="0.25">
      <c r="D73" s="88" t="str" cm="1">
        <f t="array" ref="D73">Fertiliser_SourceData.Fertiliser_FracGASMSoil_Variable()</f>
        <v>FracGASMsoil</v>
      </c>
      <c r="E73" s="1" cm="1">
        <f t="array" ref="E73">Fertiliser_SourceData.Fertiliser_FracGASMSoil_Data()</f>
        <v>0.21</v>
      </c>
      <c r="F73" s="15"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2" t="str" cm="1">
        <f t="array" ref="D76">Fertiliser_SourceData.Fertiliser_FracLEACH_Title()</f>
        <v>Fraction of nitrogen that is lost through leaching and runoff</v>
      </c>
    </row>
    <row r="77" spans="4:6" ht="20.100000000000001" customHeight="1" x14ac:dyDescent="0.25">
      <c r="D77" s="27" t="str" cm="1">
        <f t="array" ref="D77">Fertiliser_SourceData.Fertiliser_FracLEACH_Source()</f>
        <v>VEERG 2026: 5.5.2.3 Constant Parameters</v>
      </c>
    </row>
    <row r="78" spans="4:6" ht="20.100000000000001" customHeight="1" x14ac:dyDescent="0.25">
      <c r="D78" s="88" t="str" cm="1">
        <f t="array" ref="D78">Fertiliser_SourceData.Fertiliser_FracLEACH_Variable()</f>
        <v>FracLEACH</v>
      </c>
      <c r="E78" s="1" cm="1">
        <f t="array" ref="E78">Fertiliser_SourceData.Fertiliser_FracLEACH_Data()</f>
        <v>0.24</v>
      </c>
      <c r="F78" s="15" t="str" cm="1">
        <f t="array" ref="F78">Fertiliser_SourceData.Fertiliser_FracLEACH_Unit()</f>
        <v>fraction</v>
      </c>
    </row>
    <row r="79" spans="4:6" ht="20.100000000000001" customHeight="1" x14ac:dyDescent="0.25"/>
    <row r="80" spans="4:6" ht="20.100000000000001" customHeight="1" x14ac:dyDescent="0.25"/>
    <row r="81" spans="4:39" ht="20.100000000000001" customHeight="1" x14ac:dyDescent="0.25">
      <c r="D81" s="2" t="str" cm="1">
        <f t="array" ref="D81">Fertiliser_SourceData.Fertiliser_EFLeach_Title()</f>
        <v>Emission factor for nitrogen leaching and runoff</v>
      </c>
    </row>
    <row r="82" spans="4:39" ht="20.100000000000001" customHeight="1" x14ac:dyDescent="0.25">
      <c r="D82" s="27" t="str" cm="1">
        <f t="array" ref="D82">Fertiliser_SourceData.Fertiliser_EFLeach_Source()</f>
        <v>VEERG 2026: 5.5.2.3 Constant Parameters</v>
      </c>
    </row>
    <row r="83" spans="4:39" ht="20.100000000000001" customHeight="1" x14ac:dyDescent="0.25">
      <c r="D83" s="88" t="str" cm="1">
        <f t="array" ref="D83">Fertiliser_SourceData.Fertiliser_EFLeach_Variable()</f>
        <v>EFLeach</v>
      </c>
      <c r="E83" s="1" cm="1">
        <f t="array" ref="E83">Fertiliser_SourceData.Fertiliser_EFLeach_Data()</f>
        <v>1.0999999999999999E-2</v>
      </c>
      <c r="F83" s="15" t="str" cm="1">
        <f t="array" ref="F83">Fertiliser_SourceData.Fertiliser_EFLeach_Unit()</f>
        <v>kg N2O-N / kg N</v>
      </c>
    </row>
    <row r="84" spans="4:39" ht="20.100000000000001" customHeight="1" x14ac:dyDescent="0.25"/>
    <row r="85" spans="4:39" ht="20.100000000000001" customHeight="1" x14ac:dyDescent="0.25"/>
    <row r="86" spans="4:39" ht="20.100000000000001" customHeight="1" x14ac:dyDescent="0.25">
      <c r="N86" s="1" t="s">
        <v>379</v>
      </c>
    </row>
    <row r="87" spans="4:39" ht="20.100000000000001" customHeight="1" x14ac:dyDescent="0.25">
      <c r="D87" s="2" t="s">
        <v>380</v>
      </c>
      <c r="E87" s="159"/>
      <c r="F87" s="159"/>
      <c r="G87" s="159"/>
      <c r="H87" s="159"/>
      <c r="I87" s="159"/>
      <c r="J87" s="159"/>
      <c r="K87" s="159"/>
      <c r="L87" s="159"/>
      <c r="N87" s="159" t="s">
        <v>379</v>
      </c>
      <c r="O87" s="159"/>
      <c r="P87" s="159"/>
      <c r="Q87" s="159"/>
      <c r="R87" s="159"/>
      <c r="S87" s="159"/>
      <c r="T87" s="159"/>
      <c r="U87" s="159"/>
    </row>
    <row r="88" spans="4:39" ht="20.100000000000001" customHeight="1" x14ac:dyDescent="0.25">
      <c r="D88" s="159"/>
    </row>
    <row r="89" spans="4:39" ht="20.100000000000001" customHeight="1" x14ac:dyDescent="0.25">
      <c r="D89" s="174" t="s">
        <v>381</v>
      </c>
      <c r="E89" s="30" t="s">
        <v>137</v>
      </c>
      <c r="F89" s="30" t="s">
        <v>121</v>
      </c>
      <c r="G89" s="101" t="s">
        <v>209</v>
      </c>
      <c r="H89" s="101" t="s">
        <v>382</v>
      </c>
      <c r="I89" s="101" t="s">
        <v>226</v>
      </c>
      <c r="J89" s="101" t="s">
        <v>227</v>
      </c>
      <c r="K89" s="101" t="s">
        <v>383</v>
      </c>
      <c r="L89" s="101" t="s">
        <v>384</v>
      </c>
      <c r="M89" s="101" t="s">
        <v>385</v>
      </c>
      <c r="N89" s="101" t="s">
        <v>386</v>
      </c>
      <c r="O89" s="101" t="s">
        <v>211</v>
      </c>
      <c r="P89" s="101" t="s">
        <v>212</v>
      </c>
      <c r="Q89" s="30" t="s">
        <v>213</v>
      </c>
      <c r="R89" s="30" t="s">
        <v>214</v>
      </c>
      <c r="S89" s="30" t="s">
        <v>215</v>
      </c>
      <c r="T89" s="30" t="s">
        <v>216</v>
      </c>
      <c r="U89" s="101" t="s">
        <v>217</v>
      </c>
      <c r="V89" s="101" t="s">
        <v>218</v>
      </c>
      <c r="W89" s="30" t="s">
        <v>219</v>
      </c>
      <c r="X89" s="101" t="s">
        <v>220</v>
      </c>
      <c r="Y89" s="101" t="s">
        <v>221</v>
      </c>
      <c r="Z89" s="101" t="s">
        <v>222</v>
      </c>
      <c r="AA89" s="101" t="s">
        <v>387</v>
      </c>
      <c r="AB89" s="101" t="s">
        <v>388</v>
      </c>
      <c r="AC89" s="30" t="s">
        <v>389</v>
      </c>
      <c r="AD89" s="30" t="s">
        <v>390</v>
      </c>
      <c r="AE89" s="30" t="s">
        <v>391</v>
      </c>
      <c r="AF89" s="30" t="s">
        <v>392</v>
      </c>
      <c r="AG89" s="30" t="s">
        <v>393</v>
      </c>
      <c r="AH89" s="30" t="s">
        <v>394</v>
      </c>
      <c r="AK89" s="1"/>
      <c r="AL89" s="1"/>
      <c r="AM89" s="1"/>
    </row>
    <row r="90" spans="4:39" ht="20.100000000000001" customHeight="1" x14ac:dyDescent="0.25">
      <c r="D90" s="172" t="str" cm="1">
        <f t="array" ref="D90">Common_InputFunctions.Utility_DisplayArrayInTable(Fertiliser_SourceData.Fertiliser_Products_Data1(), FertiliserProducts[[#Headers],[Company]],1)</f>
        <v>Campbells fertilisers Australia</v>
      </c>
      <c r="E90" s="172" t="str" cm="1">
        <f t="array" ref="E90">Common_InputFunctions.Utility_DisplayArrayInTable(Fertiliser_SourceData.Fertiliser_Products_Data1(), FertiliserProducts[[#Headers],[Company]],1)</f>
        <v>Aqua Finish</v>
      </c>
      <c r="F90" s="172" t="str" cm="1">
        <f t="array" ref="F90">Common_InputFunctions.Utility_DisplayArrayInTable(Fertiliser_SourceData.Fertiliser_Products_Data1(), FertiliserProducts[[#Headers],[Company]],1)</f>
        <v>L</v>
      </c>
      <c r="G90" s="172" cm="1">
        <f t="array" ref="G90">Common_InputFunctions.Utility_DisplayArrayInTable(Fertiliser_SourceData.Fertiliser_Products_Data1(), FertiliserProducts[[#Headers],[Company]],1)</f>
        <v>1.26</v>
      </c>
      <c r="H90" s="172" t="str" cm="1">
        <f t="array" ref="H90">Common_InputFunctions.Utility_DisplayArrayInTable(Fertiliser_SourceData.Fertiliser_Products_Data1(), FertiliserProducts[[#Headers],[Company]],1)</f>
        <v/>
      </c>
      <c r="I90" s="172" t="str" cm="1">
        <f t="array" ref="I90">Common_InputFunctions.Utility_DisplayArrayInTable(Fertiliser_SourceData.Fertiliser_Products_Data1(), FertiliserProducts[[#Headers],[Company]],1)</f>
        <v/>
      </c>
      <c r="J90" s="172" t="str" cm="1">
        <f t="array" ref="J90">Common_InputFunctions.Utility_DisplayArrayInTable(Fertiliser_SourceData.Fertiliser_Products_Data1(), FertiliserProducts[[#Headers],[Company]],1)</f>
        <v/>
      </c>
      <c r="K90" s="172" cm="1">
        <f t="array" ref="K90">Common_InputFunctions.Utility_DisplayArrayInTable(Fertiliser_SourceData.Fertiliser_Products_Data1(), FertiliserProducts[[#Headers],[Company]],1)</f>
        <v>2.6</v>
      </c>
      <c r="L90" s="172" cm="1">
        <f t="array" ref="L90">Common_InputFunctions.Utility_DisplayArrayInTable(Fertiliser_SourceData.Fertiliser_Products_Data1(), FertiliserProducts[[#Headers],[Company]],1)</f>
        <v>4</v>
      </c>
      <c r="M90" s="172" cm="1">
        <f t="array" ref="M90">Common_InputFunctions.Utility_DisplayArrayInTable(Fertiliser_SourceData.Fertiliser_Products_Data1(), FertiliserProducts[[#Headers],[Company]],1)</f>
        <v>22.5</v>
      </c>
      <c r="N90" s="172" t="str" cm="1">
        <f t="array" ref="N90">Common_InputFunctions.Utility_DisplayArrayInTable(Fertiliser_SourceData.Fertiliser_Products_Data1(), FertiliserProducts[[#Headers],[Company]],1)</f>
        <v/>
      </c>
      <c r="O90" s="172" t="str" cm="1">
        <f t="array" ref="O90">Common_InputFunctions.Utility_DisplayArrayInTable(Fertiliser_SourceData.Fertiliser_Products_Data1(), FertiliserProducts[[#Headers],[Company]],1)</f>
        <v>Potassium - Generic</v>
      </c>
      <c r="P90" s="172" cm="1">
        <f t="array" ref="P90">Common_InputFunctions.Utility_DisplayArrayInTable(Fertiliser_SourceData.Fertiliser_Products_Data1(), FertiliserProducts[[#Headers],[Company]],1)</f>
        <v>0.22500000000000001</v>
      </c>
      <c r="Q90" s="172" t="str" cm="1">
        <f t="array" ref="Q90">Common_InputFunctions.Utility_DisplayArrayInTable(Fertiliser_SourceData.Fertiliser_Products_Data1(), FertiliserProducts[[#Headers],[Company]],1)</f>
        <v>Phosphorus - Generic</v>
      </c>
      <c r="R90" s="172" cm="1">
        <f t="array" ref="R90">Common_InputFunctions.Utility_DisplayArrayInTable(Fertiliser_SourceData.Fertiliser_Products_Data1(), FertiliserProducts[[#Headers],[Company]],1)</f>
        <v>0.04</v>
      </c>
      <c r="S90" s="172" t="str" cm="1">
        <f t="array" ref="S90">Common_InputFunctions.Utility_DisplayArrayInTable(Fertiliser_SourceData.Fertiliser_Products_Data1(), FertiliserProducts[[#Headers],[Company]],1)</f>
        <v>Nitrogen - Generic</v>
      </c>
      <c r="T90" s="172" cm="1">
        <f t="array" ref="T90">Common_InputFunctions.Utility_DisplayArrayInTable(Fertiliser_SourceData.Fertiliser_Products_Data1(), FertiliserProducts[[#Headers],[Company]],1)</f>
        <v>2.5999999999999999E-2</v>
      </c>
      <c r="U90" s="172" t="str" cm="1">
        <f t="array" ref="U90">Common_InputFunctions.Utility_DisplayArrayInTable(Fertiliser_SourceData.Fertiliser_Products_Data1(), FertiliserProducts[[#Headers],[Company]],1)</f>
        <v/>
      </c>
      <c r="V90" s="172" t="str" cm="1">
        <f t="array" ref="V90">Common_InputFunctions.Utility_DisplayArrayInTable(Fertiliser_SourceData.Fertiliser_Products_Data1(), FertiliserProducts[[#Headers],[Company]],1)</f>
        <v/>
      </c>
      <c r="W90" s="172" t="str" cm="1">
        <f t="array" ref="W90">Common_InputFunctions.Utility_DisplayArrayInTable(Fertiliser_SourceData.Fertiliser_Products_Data1(), FertiliserProducts[[#Headers],[Company]],1)</f>
        <v/>
      </c>
      <c r="X90" s="172" t="str" cm="1">
        <f t="array" ref="X90">Common_InputFunctions.Utility_DisplayArrayInTable(Fertiliser_SourceData.Fertiliser_Products_Data1(), FertiliserProducts[[#Headers],[Company]],1)</f>
        <v/>
      </c>
      <c r="Y90" s="172" t="str" cm="1">
        <f t="array" ref="Y90">Common_InputFunctions.Utility_DisplayArrayInTable(Fertiliser_SourceData.Fertiliser_Products_Data1(), FertiliserProducts[[#Headers],[Company]],1)</f>
        <v/>
      </c>
      <c r="Z90" s="172" t="str" cm="1">
        <f t="array" ref="Z90">Common_InputFunctions.Utility_DisplayArrayInTable(Fertiliser_SourceData.Fertiliser_Products_Data1(), FertiliserProducts[[#Headers],[Company]],1)</f>
        <v/>
      </c>
      <c r="AA90" s="172" t="str" cm="1">
        <f t="array" ref="AA90">Common_InputFunctions.Utility_DisplayArrayInTable(Fertiliser_SourceData.Fertiliser_Products_Data1(), FertiliserProducts[[#Headers],[Company]],1)</f>
        <v/>
      </c>
      <c r="AB90" s="172" t="str" cm="1">
        <f t="array" ref="AB90">Common_InputFunctions.Utility_DisplayArrayInTable(Fertiliser_SourceData.Fertiliser_Products_Data1(), FertiliserProducts[[#Headers],[Company]],1)</f>
        <v/>
      </c>
      <c r="AC90" s="172" t="str" cm="1">
        <f t="array" ref="AC90">Common_InputFunctions.Utility_DisplayArrayInTable(Fertiliser_SourceData.Fertiliser_Products_Data1(), FertiliserProducts[[#Headers],[Company]],1)</f>
        <v/>
      </c>
      <c r="AD90" s="172" t="str" cm="1">
        <f t="array" ref="AD90">Common_InputFunctions.Utility_DisplayArrayInTable(Fertiliser_SourceData.Fertiliser_Products_Data1(), FertiliserProducts[[#Headers],[Company]],1)</f>
        <v/>
      </c>
      <c r="AE90" s="172" t="str" cm="1">
        <f t="array" ref="AE90">Common_InputFunctions.Utility_DisplayArrayInTable(Fertiliser_SourceData.Fertiliser_Products_Data1(), FertiliserProducts[[#Headers],[Company]],1)</f>
        <v/>
      </c>
      <c r="AF90" s="172" t="str" cm="1">
        <f t="array" ref="AF90">Common_InputFunctions.Utility_DisplayArrayInTable(Fertiliser_SourceData.Fertiliser_Products_Data1(), FertiliserProducts[[#Headers],[Company]],1)</f>
        <v/>
      </c>
      <c r="AG90" s="172" t="str" cm="1">
        <f t="array" ref="AG90">Common_InputFunctions.Utility_DisplayArrayInTable(Fertiliser_SourceData.Fertiliser_Products_Data1(), FertiliserProducts[[#Headers],[Company]],1)</f>
        <v/>
      </c>
      <c r="AH90" s="172" t="str" cm="1">
        <f t="array" ref="AH90">Common_InputFunctions.Utility_DisplayArrayInTable(Fertiliser_SourceData.Fertiliser_Products_Data1(), FertiliserProducts[[#Headers],[Company]],1)</f>
        <v/>
      </c>
      <c r="AK90" s="1"/>
      <c r="AL90" s="1"/>
      <c r="AM90" s="1"/>
    </row>
    <row r="91" spans="4:39" ht="20.100000000000001" customHeight="1" x14ac:dyDescent="0.25">
      <c r="D91" s="172" t="str" cm="1">
        <f t="array" ref="D91">Common_InputFunctions.Utility_DisplayArrayInTable(Fertiliser_SourceData.Fertiliser_Products_Data1(), FertiliserProducts[[#Headers],[Company]],1)</f>
        <v>Campbells fertilisers Australia</v>
      </c>
      <c r="E91" s="172" t="str" cm="1">
        <f t="array" ref="E91">Common_InputFunctions.Utility_DisplayArrayInTable(Fertiliser_SourceData.Fertiliser_Products_Data1(), FertiliserProducts[[#Headers],[Company]],1)</f>
        <v>Aqua Grow</v>
      </c>
      <c r="F91" s="172" t="str" cm="1">
        <f t="array" ref="F91">Common_InputFunctions.Utility_DisplayArrayInTable(Fertiliser_SourceData.Fertiliser_Products_Data1(), FertiliserProducts[[#Headers],[Company]],1)</f>
        <v>L</v>
      </c>
      <c r="G91" s="172" cm="1">
        <f t="array" ref="G91">Common_InputFunctions.Utility_DisplayArrayInTable(Fertiliser_SourceData.Fertiliser_Products_Data1(), FertiliserProducts[[#Headers],[Company]],1)</f>
        <v>1.26</v>
      </c>
      <c r="H91" s="172" t="str" cm="1">
        <f t="array" ref="H91">Common_InputFunctions.Utility_DisplayArrayInTable(Fertiliser_SourceData.Fertiliser_Products_Data1(), FertiliserProducts[[#Headers],[Company]],1)</f>
        <v/>
      </c>
      <c r="I91" s="172" t="str" cm="1">
        <f t="array" ref="I91">Common_InputFunctions.Utility_DisplayArrayInTable(Fertiliser_SourceData.Fertiliser_Products_Data1(), FertiliserProducts[[#Headers],[Company]],1)</f>
        <v/>
      </c>
      <c r="J91" s="172" t="str" cm="1">
        <f t="array" ref="J91">Common_InputFunctions.Utility_DisplayArrayInTable(Fertiliser_SourceData.Fertiliser_Products_Data1(), FertiliserProducts[[#Headers],[Company]],1)</f>
        <v/>
      </c>
      <c r="K91" s="172" cm="1">
        <f t="array" ref="K91">Common_InputFunctions.Utility_DisplayArrayInTable(Fertiliser_SourceData.Fertiliser_Products_Data1(), FertiliserProducts[[#Headers],[Company]],1)</f>
        <v>9.6</v>
      </c>
      <c r="L91" s="172" cm="1">
        <f t="array" ref="L91">Common_InputFunctions.Utility_DisplayArrayInTable(Fertiliser_SourceData.Fertiliser_Products_Data1(), FertiliserProducts[[#Headers],[Company]],1)</f>
        <v>5</v>
      </c>
      <c r="M91" s="172" cm="1">
        <f t="array" ref="M91">Common_InputFunctions.Utility_DisplayArrayInTable(Fertiliser_SourceData.Fertiliser_Products_Data1(), FertiliserProducts[[#Headers],[Company]],1)</f>
        <v>10.5</v>
      </c>
      <c r="N91" s="172" t="str" cm="1">
        <f t="array" ref="N91">Common_InputFunctions.Utility_DisplayArrayInTable(Fertiliser_SourceData.Fertiliser_Products_Data1(), FertiliserProducts[[#Headers],[Company]],1)</f>
        <v/>
      </c>
      <c r="O91" s="172" t="str" cm="1">
        <f t="array" ref="O91">Common_InputFunctions.Utility_DisplayArrayInTable(Fertiliser_SourceData.Fertiliser_Products_Data1(), FertiliserProducts[[#Headers],[Company]],1)</f>
        <v>Potassium - Generic</v>
      </c>
      <c r="P91" s="172" cm="1">
        <f t="array" ref="P91">Common_InputFunctions.Utility_DisplayArrayInTable(Fertiliser_SourceData.Fertiliser_Products_Data1(), FertiliserProducts[[#Headers],[Company]],1)</f>
        <v>0.105</v>
      </c>
      <c r="Q91" s="172" t="str" cm="1">
        <f t="array" ref="Q91">Common_InputFunctions.Utility_DisplayArrayInTable(Fertiliser_SourceData.Fertiliser_Products_Data1(), FertiliserProducts[[#Headers],[Company]],1)</f>
        <v>Nitrogen - Generic</v>
      </c>
      <c r="R91" s="172" cm="1">
        <f t="array" ref="R91">Common_InputFunctions.Utility_DisplayArrayInTable(Fertiliser_SourceData.Fertiliser_Products_Data1(), FertiliserProducts[[#Headers],[Company]],1)</f>
        <v>9.6000000000000002E-2</v>
      </c>
      <c r="S91" s="172" t="str" cm="1">
        <f t="array" ref="S91">Common_InputFunctions.Utility_DisplayArrayInTable(Fertiliser_SourceData.Fertiliser_Products_Data1(), FertiliserProducts[[#Headers],[Company]],1)</f>
        <v>Phosphorus - Generic</v>
      </c>
      <c r="T91" s="172" cm="1">
        <f t="array" ref="T91">Common_InputFunctions.Utility_DisplayArrayInTable(Fertiliser_SourceData.Fertiliser_Products_Data1(), FertiliserProducts[[#Headers],[Company]],1)</f>
        <v>0.05</v>
      </c>
      <c r="U91" s="172" t="str" cm="1">
        <f t="array" ref="U91">Common_InputFunctions.Utility_DisplayArrayInTable(Fertiliser_SourceData.Fertiliser_Products_Data1(), FertiliserProducts[[#Headers],[Company]],1)</f>
        <v/>
      </c>
      <c r="V91" s="172" t="str" cm="1">
        <f t="array" ref="V91">Common_InputFunctions.Utility_DisplayArrayInTable(Fertiliser_SourceData.Fertiliser_Products_Data1(), FertiliserProducts[[#Headers],[Company]],1)</f>
        <v/>
      </c>
      <c r="W91" s="172" t="str" cm="1">
        <f t="array" ref="W91">Common_InputFunctions.Utility_DisplayArrayInTable(Fertiliser_SourceData.Fertiliser_Products_Data1(), FertiliserProducts[[#Headers],[Company]],1)</f>
        <v/>
      </c>
      <c r="X91" s="172" t="str" cm="1">
        <f t="array" ref="X91">Common_InputFunctions.Utility_DisplayArrayInTable(Fertiliser_SourceData.Fertiliser_Products_Data1(), FertiliserProducts[[#Headers],[Company]],1)</f>
        <v/>
      </c>
      <c r="Y91" s="172" t="str" cm="1">
        <f t="array" ref="Y91">Common_InputFunctions.Utility_DisplayArrayInTable(Fertiliser_SourceData.Fertiliser_Products_Data1(), FertiliserProducts[[#Headers],[Company]],1)</f>
        <v/>
      </c>
      <c r="Z91" s="172" t="str" cm="1">
        <f t="array" ref="Z91">Common_InputFunctions.Utility_DisplayArrayInTable(Fertiliser_SourceData.Fertiliser_Products_Data1(), FertiliserProducts[[#Headers],[Company]],1)</f>
        <v/>
      </c>
      <c r="AA91" s="172" t="str" cm="1">
        <f t="array" ref="AA91">Common_InputFunctions.Utility_DisplayArrayInTable(Fertiliser_SourceData.Fertiliser_Products_Data1(), FertiliserProducts[[#Headers],[Company]],1)</f>
        <v/>
      </c>
      <c r="AB91" s="172" t="str" cm="1">
        <f t="array" ref="AB91">Common_InputFunctions.Utility_DisplayArrayInTable(Fertiliser_SourceData.Fertiliser_Products_Data1(), FertiliserProducts[[#Headers],[Company]],1)</f>
        <v/>
      </c>
      <c r="AC91" s="172" t="str" cm="1">
        <f t="array" ref="AC91">Common_InputFunctions.Utility_DisplayArrayInTable(Fertiliser_SourceData.Fertiliser_Products_Data1(), FertiliserProducts[[#Headers],[Company]],1)</f>
        <v/>
      </c>
      <c r="AD91" s="172" t="str" cm="1">
        <f t="array" ref="AD91">Common_InputFunctions.Utility_DisplayArrayInTable(Fertiliser_SourceData.Fertiliser_Products_Data1(), FertiliserProducts[[#Headers],[Company]],1)</f>
        <v/>
      </c>
      <c r="AE91" s="172" t="str" cm="1">
        <f t="array" ref="AE91">Common_InputFunctions.Utility_DisplayArrayInTable(Fertiliser_SourceData.Fertiliser_Products_Data1(), FertiliserProducts[[#Headers],[Company]],1)</f>
        <v/>
      </c>
      <c r="AF91" s="172" t="str" cm="1">
        <f t="array" ref="AF91">Common_InputFunctions.Utility_DisplayArrayInTable(Fertiliser_SourceData.Fertiliser_Products_Data1(), FertiliserProducts[[#Headers],[Company]],1)</f>
        <v/>
      </c>
      <c r="AG91" s="172" t="str" cm="1">
        <f t="array" ref="AG91">Common_InputFunctions.Utility_DisplayArrayInTable(Fertiliser_SourceData.Fertiliser_Products_Data1(), FertiliserProducts[[#Headers],[Company]],1)</f>
        <v/>
      </c>
      <c r="AH91" s="172" t="str" cm="1">
        <f t="array" ref="AH91">Common_InputFunctions.Utility_DisplayArrayInTable(Fertiliser_SourceData.Fertiliser_Products_Data1(), FertiliserProducts[[#Headers],[Company]],1)</f>
        <v/>
      </c>
      <c r="AK91" s="1"/>
      <c r="AL91" s="1"/>
      <c r="AM91" s="1"/>
    </row>
    <row r="92" spans="4:39" ht="20.100000000000001" customHeight="1" x14ac:dyDescent="0.25">
      <c r="D92" s="172" t="str" cm="1">
        <f t="array" ref="D92">Common_InputFunctions.Utility_DisplayArrayInTable(Fertiliser_SourceData.Fertiliser_Products_Data1(), FertiliserProducts[[#Headers],[Company]],1)</f>
        <v>Campbells fertilisers Australia</v>
      </c>
      <c r="E92" s="172" t="str" cm="1">
        <f t="array" ref="E92">Common_InputFunctions.Utility_DisplayArrayInTable(Fertiliser_SourceData.Fertiliser_Products_Data1(), FertiliserProducts[[#Headers],[Company]],1)</f>
        <v>Aqua Nitro AN</v>
      </c>
      <c r="F92" s="172" t="str" cm="1">
        <f t="array" ref="F92">Common_InputFunctions.Utility_DisplayArrayInTable(Fertiliser_SourceData.Fertiliser_Products_Data1(), FertiliserProducts[[#Headers],[Company]],1)</f>
        <v>L</v>
      </c>
      <c r="G92" s="172" cm="1">
        <f t="array" ref="G92">Common_InputFunctions.Utility_DisplayArrayInTable(Fertiliser_SourceData.Fertiliser_Products_Data1(), FertiliserProducts[[#Headers],[Company]],1)</f>
        <v>1.24</v>
      </c>
      <c r="H92" s="172" t="str" cm="1">
        <f t="array" ref="H92">Common_InputFunctions.Utility_DisplayArrayInTable(Fertiliser_SourceData.Fertiliser_Products_Data1(), FertiliserProducts[[#Headers],[Company]],1)</f>
        <v/>
      </c>
      <c r="I92" s="172" t="str" cm="1">
        <f t="array" ref="I92">Common_InputFunctions.Utility_DisplayArrayInTable(Fertiliser_SourceData.Fertiliser_Products_Data1(), FertiliserProducts[[#Headers],[Company]],1)</f>
        <v/>
      </c>
      <c r="J92" s="172" t="str" cm="1">
        <f t="array" ref="J92">Common_InputFunctions.Utility_DisplayArrayInTable(Fertiliser_SourceData.Fertiliser_Products_Data1(), FertiliserProducts[[#Headers],[Company]],1)</f>
        <v/>
      </c>
      <c r="K92" s="172" cm="1">
        <f t="array" ref="K92">Common_InputFunctions.Utility_DisplayArrayInTable(Fertiliser_SourceData.Fertiliser_Products_Data1(), FertiliserProducts[[#Headers],[Company]],1)</f>
        <v>22.3</v>
      </c>
      <c r="L92" s="172" t="str" cm="1">
        <f t="array" ref="L92">Common_InputFunctions.Utility_DisplayArrayInTable(Fertiliser_SourceData.Fertiliser_Products_Data1(), FertiliserProducts[[#Headers],[Company]],1)</f>
        <v/>
      </c>
      <c r="M92" s="172" t="str" cm="1">
        <f t="array" ref="M92">Common_InputFunctions.Utility_DisplayArrayInTable(Fertiliser_SourceData.Fertiliser_Products_Data1(), FertiliserProducts[[#Headers],[Company]],1)</f>
        <v/>
      </c>
      <c r="N92" s="172" t="str" cm="1">
        <f t="array" ref="N92">Common_InputFunctions.Utility_DisplayArrayInTable(Fertiliser_SourceData.Fertiliser_Products_Data1(), FertiliserProducts[[#Headers],[Company]],1)</f>
        <v/>
      </c>
      <c r="O92" s="172" t="str" cm="1">
        <f t="array" ref="O92">Common_InputFunctions.Utility_DisplayArrayInTable(Fertiliser_SourceData.Fertiliser_Products_Data1(), FertiliserProducts[[#Headers],[Company]],1)</f>
        <v>Nitrogen - Ammoniacal</v>
      </c>
      <c r="P92" s="172" cm="1">
        <f t="array" ref="P92">Common_InputFunctions.Utility_DisplayArrayInTable(Fertiliser_SourceData.Fertiliser_Products_Data1(), FertiliserProducts[[#Headers],[Company]],1)</f>
        <v>0.223</v>
      </c>
      <c r="Q92" s="172" t="str" cm="1">
        <f t="array" ref="Q92">Common_InputFunctions.Utility_DisplayArrayInTable(Fertiliser_SourceData.Fertiliser_Products_Data1(), FertiliserProducts[[#Headers],[Company]],1)</f>
        <v/>
      </c>
      <c r="R92" s="172" t="str" cm="1">
        <f t="array" ref="R92">Common_InputFunctions.Utility_DisplayArrayInTable(Fertiliser_SourceData.Fertiliser_Products_Data1(), FertiliserProducts[[#Headers],[Company]],1)</f>
        <v/>
      </c>
      <c r="S92" s="172" t="str" cm="1">
        <f t="array" ref="S92">Common_InputFunctions.Utility_DisplayArrayInTable(Fertiliser_SourceData.Fertiliser_Products_Data1(), FertiliserProducts[[#Headers],[Company]],1)</f>
        <v/>
      </c>
      <c r="T92" s="172" t="str" cm="1">
        <f t="array" ref="T92">Common_InputFunctions.Utility_DisplayArrayInTable(Fertiliser_SourceData.Fertiliser_Products_Data1(), FertiliserProducts[[#Headers],[Company]],1)</f>
        <v/>
      </c>
      <c r="U92" s="172" t="str" cm="1">
        <f t="array" ref="U92">Common_InputFunctions.Utility_DisplayArrayInTable(Fertiliser_SourceData.Fertiliser_Products_Data1(), FertiliserProducts[[#Headers],[Company]],1)</f>
        <v/>
      </c>
      <c r="V92" s="172" t="str" cm="1">
        <f t="array" ref="V92">Common_InputFunctions.Utility_DisplayArrayInTable(Fertiliser_SourceData.Fertiliser_Products_Data1(), FertiliserProducts[[#Headers],[Company]],1)</f>
        <v/>
      </c>
      <c r="W92" s="172" t="str" cm="1">
        <f t="array" ref="W92">Common_InputFunctions.Utility_DisplayArrayInTable(Fertiliser_SourceData.Fertiliser_Products_Data1(), FertiliserProducts[[#Headers],[Company]],1)</f>
        <v/>
      </c>
      <c r="X92" s="172" t="str" cm="1">
        <f t="array" ref="X92">Common_InputFunctions.Utility_DisplayArrayInTable(Fertiliser_SourceData.Fertiliser_Products_Data1(), FertiliserProducts[[#Headers],[Company]],1)</f>
        <v/>
      </c>
      <c r="Y92" s="172" t="str" cm="1">
        <f t="array" ref="Y92">Common_InputFunctions.Utility_DisplayArrayInTable(Fertiliser_SourceData.Fertiliser_Products_Data1(), FertiliserProducts[[#Headers],[Company]],1)</f>
        <v/>
      </c>
      <c r="Z92" s="172" t="str" cm="1">
        <f t="array" ref="Z92">Common_InputFunctions.Utility_DisplayArrayInTable(Fertiliser_SourceData.Fertiliser_Products_Data1(), FertiliserProducts[[#Headers],[Company]],1)</f>
        <v/>
      </c>
      <c r="AA92" s="172" t="str" cm="1">
        <f t="array" ref="AA92">Common_InputFunctions.Utility_DisplayArrayInTable(Fertiliser_SourceData.Fertiliser_Products_Data1(), FertiliserProducts[[#Headers],[Company]],1)</f>
        <v/>
      </c>
      <c r="AB92" s="172" t="str" cm="1">
        <f t="array" ref="AB92">Common_InputFunctions.Utility_DisplayArrayInTable(Fertiliser_SourceData.Fertiliser_Products_Data1(), FertiliserProducts[[#Headers],[Company]],1)</f>
        <v/>
      </c>
      <c r="AC92" s="172" t="str" cm="1">
        <f t="array" ref="AC92">Common_InputFunctions.Utility_DisplayArrayInTable(Fertiliser_SourceData.Fertiliser_Products_Data1(), FertiliserProducts[[#Headers],[Company]],1)</f>
        <v/>
      </c>
      <c r="AD92" s="172" t="str" cm="1">
        <f t="array" ref="AD92">Common_InputFunctions.Utility_DisplayArrayInTable(Fertiliser_SourceData.Fertiliser_Products_Data1(), FertiliserProducts[[#Headers],[Company]],1)</f>
        <v/>
      </c>
      <c r="AE92" s="172" t="str" cm="1">
        <f t="array" ref="AE92">Common_InputFunctions.Utility_DisplayArrayInTable(Fertiliser_SourceData.Fertiliser_Products_Data1(), FertiliserProducts[[#Headers],[Company]],1)</f>
        <v/>
      </c>
      <c r="AF92" s="172" t="str" cm="1">
        <f t="array" ref="AF92">Common_InputFunctions.Utility_DisplayArrayInTable(Fertiliser_SourceData.Fertiliser_Products_Data1(), FertiliserProducts[[#Headers],[Company]],1)</f>
        <v/>
      </c>
      <c r="AG92" s="172" t="str" cm="1">
        <f t="array" ref="AG92">Common_InputFunctions.Utility_DisplayArrayInTable(Fertiliser_SourceData.Fertiliser_Products_Data1(), FertiliserProducts[[#Headers],[Company]],1)</f>
        <v/>
      </c>
      <c r="AH92" s="172" t="str" cm="1">
        <f t="array" ref="AH92">Common_InputFunctions.Utility_DisplayArrayInTable(Fertiliser_SourceData.Fertiliser_Products_Data1(), FertiliserProducts[[#Headers],[Company]],1)</f>
        <v/>
      </c>
      <c r="AK92" s="1"/>
      <c r="AL92" s="1"/>
      <c r="AM92" s="1"/>
    </row>
    <row r="93" spans="4:39" ht="20.100000000000001" customHeight="1" x14ac:dyDescent="0.25">
      <c r="D93" s="172" t="str" cm="1">
        <f t="array" ref="D93">Common_InputFunctions.Utility_DisplayArrayInTable(Fertiliser_SourceData.Fertiliser_Products_Data1(), FertiliserProducts[[#Headers],[Company]],1)</f>
        <v>Campbells fertilisers Australia</v>
      </c>
      <c r="E93" s="172" t="str" cm="1">
        <f t="array" ref="E93">Common_InputFunctions.Utility_DisplayArrayInTable(Fertiliser_SourceData.Fertiliser_Products_Data1(), FertiliserProducts[[#Headers],[Company]],1)</f>
        <v>Aqua NitroCal</v>
      </c>
      <c r="F93" s="172" t="str" cm="1">
        <f t="array" ref="F93">Common_InputFunctions.Utility_DisplayArrayInTable(Fertiliser_SourceData.Fertiliser_Products_Data1(), FertiliserProducts[[#Headers],[Company]],1)</f>
        <v>L</v>
      </c>
      <c r="G93" s="172" cm="1">
        <f t="array" ref="G93">Common_InputFunctions.Utility_DisplayArrayInTable(Fertiliser_SourceData.Fertiliser_Products_Data1(), FertiliserProducts[[#Headers],[Company]],1)</f>
        <v>1.5</v>
      </c>
      <c r="H93" s="172" t="str" cm="1">
        <f t="array" ref="H93">Common_InputFunctions.Utility_DisplayArrayInTable(Fertiliser_SourceData.Fertiliser_Products_Data1(), FertiliserProducts[[#Headers],[Company]],1)</f>
        <v/>
      </c>
      <c r="I93" s="172" t="str" cm="1">
        <f t="array" ref="I93">Common_InputFunctions.Utility_DisplayArrayInTable(Fertiliser_SourceData.Fertiliser_Products_Data1(), FertiliserProducts[[#Headers],[Company]],1)</f>
        <v/>
      </c>
      <c r="J93" s="172" t="str" cm="1">
        <f t="array" ref="J93">Common_InputFunctions.Utility_DisplayArrayInTable(Fertiliser_SourceData.Fertiliser_Products_Data1(), FertiliserProducts[[#Headers],[Company]],1)</f>
        <v/>
      </c>
      <c r="K93" s="172" cm="1">
        <f t="array" ref="K93">Common_InputFunctions.Utility_DisplayArrayInTable(Fertiliser_SourceData.Fertiliser_Products_Data1(), FertiliserProducts[[#Headers],[Company]],1)</f>
        <v>13.2</v>
      </c>
      <c r="L93" s="172" t="str" cm="1">
        <f t="array" ref="L93">Common_InputFunctions.Utility_DisplayArrayInTable(Fertiliser_SourceData.Fertiliser_Products_Data1(), FertiliserProducts[[#Headers],[Company]],1)</f>
        <v/>
      </c>
      <c r="M93" s="172" t="str" cm="1">
        <f t="array" ref="M93">Common_InputFunctions.Utility_DisplayArrayInTable(Fertiliser_SourceData.Fertiliser_Products_Data1(), FertiliserProducts[[#Headers],[Company]],1)</f>
        <v/>
      </c>
      <c r="N93" s="172" t="str" cm="1">
        <f t="array" ref="N93">Common_InputFunctions.Utility_DisplayArrayInTable(Fertiliser_SourceData.Fertiliser_Products_Data1(), FertiliserProducts[[#Headers],[Company]],1)</f>
        <v/>
      </c>
      <c r="O93" s="172" t="str" cm="1">
        <f t="array" ref="O93">Common_InputFunctions.Utility_DisplayArrayInTable(Fertiliser_SourceData.Fertiliser_Products_Data1(), FertiliserProducts[[#Headers],[Company]],1)</f>
        <v>Calcium</v>
      </c>
      <c r="P93" s="172" cm="1">
        <f t="array" ref="P93">Common_InputFunctions.Utility_DisplayArrayInTable(Fertiliser_SourceData.Fertiliser_Products_Data1(), FertiliserProducts[[#Headers],[Company]],1)</f>
        <v>0.16200000000000001</v>
      </c>
      <c r="Q93" s="172" t="str" cm="1">
        <f t="array" ref="Q93">Common_InputFunctions.Utility_DisplayArrayInTable(Fertiliser_SourceData.Fertiliser_Products_Data1(), FertiliserProducts[[#Headers],[Company]],1)</f>
        <v>Nitrogen - Nitrate</v>
      </c>
      <c r="R93" s="172" cm="1">
        <f t="array" ref="R93">Common_InputFunctions.Utility_DisplayArrayInTable(Fertiliser_SourceData.Fertiliser_Products_Data1(), FertiliserProducts[[#Headers],[Company]],1)</f>
        <v>0.13200000000000001</v>
      </c>
      <c r="S93" s="172" t="str" cm="1">
        <f t="array" ref="S93">Common_InputFunctions.Utility_DisplayArrayInTable(Fertiliser_SourceData.Fertiliser_Products_Data1(), FertiliserProducts[[#Headers],[Company]],1)</f>
        <v/>
      </c>
      <c r="T93" s="172" t="str" cm="1">
        <f t="array" ref="T93">Common_InputFunctions.Utility_DisplayArrayInTable(Fertiliser_SourceData.Fertiliser_Products_Data1(), FertiliserProducts[[#Headers],[Company]],1)</f>
        <v/>
      </c>
      <c r="U93" s="172" t="str" cm="1">
        <f t="array" ref="U93">Common_InputFunctions.Utility_DisplayArrayInTable(Fertiliser_SourceData.Fertiliser_Products_Data1(), FertiliserProducts[[#Headers],[Company]],1)</f>
        <v/>
      </c>
      <c r="V93" s="172" t="str" cm="1">
        <f t="array" ref="V93">Common_InputFunctions.Utility_DisplayArrayInTable(Fertiliser_SourceData.Fertiliser_Products_Data1(), FertiliserProducts[[#Headers],[Company]],1)</f>
        <v/>
      </c>
      <c r="W93" s="172" t="str" cm="1">
        <f t="array" ref="W93">Common_InputFunctions.Utility_DisplayArrayInTable(Fertiliser_SourceData.Fertiliser_Products_Data1(), FertiliserProducts[[#Headers],[Company]],1)</f>
        <v/>
      </c>
      <c r="X93" s="172" t="str" cm="1">
        <f t="array" ref="X93">Common_InputFunctions.Utility_DisplayArrayInTable(Fertiliser_SourceData.Fertiliser_Products_Data1(), FertiliserProducts[[#Headers],[Company]],1)</f>
        <v/>
      </c>
      <c r="Y93" s="172" t="str" cm="1">
        <f t="array" ref="Y93">Common_InputFunctions.Utility_DisplayArrayInTable(Fertiliser_SourceData.Fertiliser_Products_Data1(), FertiliserProducts[[#Headers],[Company]],1)</f>
        <v/>
      </c>
      <c r="Z93" s="172" t="str" cm="1">
        <f t="array" ref="Z93">Common_InputFunctions.Utility_DisplayArrayInTable(Fertiliser_SourceData.Fertiliser_Products_Data1(), FertiliserProducts[[#Headers],[Company]],1)</f>
        <v/>
      </c>
      <c r="AA93" s="172" t="str" cm="1">
        <f t="array" ref="AA93">Common_InputFunctions.Utility_DisplayArrayInTable(Fertiliser_SourceData.Fertiliser_Products_Data1(), FertiliserProducts[[#Headers],[Company]],1)</f>
        <v/>
      </c>
      <c r="AB93" s="172" t="str" cm="1">
        <f t="array" ref="AB93">Common_InputFunctions.Utility_DisplayArrayInTable(Fertiliser_SourceData.Fertiliser_Products_Data1(), FertiliserProducts[[#Headers],[Company]],1)</f>
        <v/>
      </c>
      <c r="AC93" s="172" t="str" cm="1">
        <f t="array" ref="AC93">Common_InputFunctions.Utility_DisplayArrayInTable(Fertiliser_SourceData.Fertiliser_Products_Data1(), FertiliserProducts[[#Headers],[Company]],1)</f>
        <v/>
      </c>
      <c r="AD93" s="172" t="str" cm="1">
        <f t="array" ref="AD93">Common_InputFunctions.Utility_DisplayArrayInTable(Fertiliser_SourceData.Fertiliser_Products_Data1(), FertiliserProducts[[#Headers],[Company]],1)</f>
        <v/>
      </c>
      <c r="AE93" s="172" t="str" cm="1">
        <f t="array" ref="AE93">Common_InputFunctions.Utility_DisplayArrayInTable(Fertiliser_SourceData.Fertiliser_Products_Data1(), FertiliserProducts[[#Headers],[Company]],1)</f>
        <v/>
      </c>
      <c r="AF93" s="172" t="str" cm="1">
        <f t="array" ref="AF93">Common_InputFunctions.Utility_DisplayArrayInTable(Fertiliser_SourceData.Fertiliser_Products_Data1(), FertiliserProducts[[#Headers],[Company]],1)</f>
        <v/>
      </c>
      <c r="AG93" s="172" t="str" cm="1">
        <f t="array" ref="AG93">Common_InputFunctions.Utility_DisplayArrayInTable(Fertiliser_SourceData.Fertiliser_Products_Data1(), FertiliserProducts[[#Headers],[Company]],1)</f>
        <v/>
      </c>
      <c r="AH93" s="172" t="str" cm="1">
        <f t="array" ref="AH93">Common_InputFunctions.Utility_DisplayArrayInTable(Fertiliser_SourceData.Fertiliser_Products_Data1(), FertiliserProducts[[#Headers],[Company]],1)</f>
        <v/>
      </c>
      <c r="AK93" s="1"/>
      <c r="AL93" s="1"/>
      <c r="AM93" s="1"/>
    </row>
    <row r="94" spans="4:39" ht="20.100000000000001" customHeight="1" x14ac:dyDescent="0.25">
      <c r="D94" s="172" t="str" cm="1">
        <f t="array" ref="D94">Common_InputFunctions.Utility_DisplayArrayInTable(Fertiliser_SourceData.Fertiliser_Products_Data1(), FertiliserProducts[[#Headers],[Company]],1)</f>
        <v>Campbells fertilisers Australia</v>
      </c>
      <c r="E94" s="172" t="str" cm="1">
        <f t="array" ref="E94">Common_InputFunctions.Utility_DisplayArrayInTable(Fertiliser_SourceData.Fertiliser_Products_Data1(), FertiliserProducts[[#Headers],[Company]],1)</f>
        <v>Aqua NitroCal (VI)</v>
      </c>
      <c r="F94" s="172" t="str" cm="1">
        <f t="array" ref="F94">Common_InputFunctions.Utility_DisplayArrayInTable(Fertiliser_SourceData.Fertiliser_Products_Data1(), FertiliserProducts[[#Headers],[Company]],1)</f>
        <v>L</v>
      </c>
      <c r="G94" s="172" cm="1">
        <f t="array" ref="G94">Common_InputFunctions.Utility_DisplayArrayInTable(Fertiliser_SourceData.Fertiliser_Products_Data1(), FertiliserProducts[[#Headers],[Company]],1)</f>
        <v>1.5</v>
      </c>
      <c r="H94" s="172" t="str" cm="1">
        <f t="array" ref="H94">Common_InputFunctions.Utility_DisplayArrayInTable(Fertiliser_SourceData.Fertiliser_Products_Data1(), FertiliserProducts[[#Headers],[Company]],1)</f>
        <v/>
      </c>
      <c r="I94" s="172" t="str" cm="1">
        <f t="array" ref="I94">Common_InputFunctions.Utility_DisplayArrayInTable(Fertiliser_SourceData.Fertiliser_Products_Data1(), FertiliserProducts[[#Headers],[Company]],1)</f>
        <v/>
      </c>
      <c r="J94" s="172" t="str" cm="1">
        <f t="array" ref="J94">Common_InputFunctions.Utility_DisplayArrayInTable(Fertiliser_SourceData.Fertiliser_Products_Data1(), FertiliserProducts[[#Headers],[Company]],1)</f>
        <v/>
      </c>
      <c r="K94" s="172" cm="1">
        <f t="array" ref="K94">Common_InputFunctions.Utility_DisplayArrayInTable(Fertiliser_SourceData.Fertiliser_Products_Data1(), FertiliserProducts[[#Headers],[Company]],1)</f>
        <v>13.2</v>
      </c>
      <c r="L94" s="172" t="str" cm="1">
        <f t="array" ref="L94">Common_InputFunctions.Utility_DisplayArrayInTable(Fertiliser_SourceData.Fertiliser_Products_Data1(), FertiliserProducts[[#Headers],[Company]],1)</f>
        <v/>
      </c>
      <c r="M94" s="172" t="str" cm="1">
        <f t="array" ref="M94">Common_InputFunctions.Utility_DisplayArrayInTable(Fertiliser_SourceData.Fertiliser_Products_Data1(), FertiliserProducts[[#Headers],[Company]],1)</f>
        <v/>
      </c>
      <c r="N94" s="172" t="str" cm="1">
        <f t="array" ref="N94">Common_InputFunctions.Utility_DisplayArrayInTable(Fertiliser_SourceData.Fertiliser_Products_Data1(), FertiliserProducts[[#Headers],[Company]],1)</f>
        <v/>
      </c>
      <c r="O94" s="172" t="str" cm="1">
        <f t="array" ref="O94">Common_InputFunctions.Utility_DisplayArrayInTable(Fertiliser_SourceData.Fertiliser_Products_Data1(), FertiliserProducts[[#Headers],[Company]],1)</f>
        <v>Calcium</v>
      </c>
      <c r="P94" s="172" cm="1">
        <f t="array" ref="P94">Common_InputFunctions.Utility_DisplayArrayInTable(Fertiliser_SourceData.Fertiliser_Products_Data1(), FertiliserProducts[[#Headers],[Company]],1)</f>
        <v>0.187</v>
      </c>
      <c r="Q94" s="172" t="str" cm="1">
        <f t="array" ref="Q94">Common_InputFunctions.Utility_DisplayArrayInTable(Fertiliser_SourceData.Fertiliser_Products_Data1(), FertiliserProducts[[#Headers],[Company]],1)</f>
        <v>Nitrogen - Nitrate</v>
      </c>
      <c r="R94" s="172" cm="1">
        <f t="array" ref="R94">Common_InputFunctions.Utility_DisplayArrayInTable(Fertiliser_SourceData.Fertiliser_Products_Data1(), FertiliserProducts[[#Headers],[Company]],1)</f>
        <v>0.13200000000000001</v>
      </c>
      <c r="S94" s="172" t="str" cm="1">
        <f t="array" ref="S94">Common_InputFunctions.Utility_DisplayArrayInTable(Fertiliser_SourceData.Fertiliser_Products_Data1(), FertiliserProducts[[#Headers],[Company]],1)</f>
        <v/>
      </c>
      <c r="T94" s="172" t="str" cm="1">
        <f t="array" ref="T94">Common_InputFunctions.Utility_DisplayArrayInTable(Fertiliser_SourceData.Fertiliser_Products_Data1(), FertiliserProducts[[#Headers],[Company]],1)</f>
        <v/>
      </c>
      <c r="U94" s="172" t="str" cm="1">
        <f t="array" ref="U94">Common_InputFunctions.Utility_DisplayArrayInTable(Fertiliser_SourceData.Fertiliser_Products_Data1(), FertiliserProducts[[#Headers],[Company]],1)</f>
        <v/>
      </c>
      <c r="V94" s="172" t="str" cm="1">
        <f t="array" ref="V94">Common_InputFunctions.Utility_DisplayArrayInTable(Fertiliser_SourceData.Fertiliser_Products_Data1(), FertiliserProducts[[#Headers],[Company]],1)</f>
        <v/>
      </c>
      <c r="W94" s="172" t="str" cm="1">
        <f t="array" ref="W94">Common_InputFunctions.Utility_DisplayArrayInTable(Fertiliser_SourceData.Fertiliser_Products_Data1(), FertiliserProducts[[#Headers],[Company]],1)</f>
        <v/>
      </c>
      <c r="X94" s="172" t="str" cm="1">
        <f t="array" ref="X94">Common_InputFunctions.Utility_DisplayArrayInTable(Fertiliser_SourceData.Fertiliser_Products_Data1(), FertiliserProducts[[#Headers],[Company]],1)</f>
        <v/>
      </c>
      <c r="Y94" s="172" t="str" cm="1">
        <f t="array" ref="Y94">Common_InputFunctions.Utility_DisplayArrayInTable(Fertiliser_SourceData.Fertiliser_Products_Data1(), FertiliserProducts[[#Headers],[Company]],1)</f>
        <v/>
      </c>
      <c r="Z94" s="172" t="str" cm="1">
        <f t="array" ref="Z94">Common_InputFunctions.Utility_DisplayArrayInTable(Fertiliser_SourceData.Fertiliser_Products_Data1(), FertiliserProducts[[#Headers],[Company]],1)</f>
        <v/>
      </c>
      <c r="AA94" s="172" t="str" cm="1">
        <f t="array" ref="AA94">Common_InputFunctions.Utility_DisplayArrayInTable(Fertiliser_SourceData.Fertiliser_Products_Data1(), FertiliserProducts[[#Headers],[Company]],1)</f>
        <v/>
      </c>
      <c r="AB94" s="172" t="str" cm="1">
        <f t="array" ref="AB94">Common_InputFunctions.Utility_DisplayArrayInTable(Fertiliser_SourceData.Fertiliser_Products_Data1(), FertiliserProducts[[#Headers],[Company]],1)</f>
        <v/>
      </c>
      <c r="AC94" s="172" t="str" cm="1">
        <f t="array" ref="AC94">Common_InputFunctions.Utility_DisplayArrayInTable(Fertiliser_SourceData.Fertiliser_Products_Data1(), FertiliserProducts[[#Headers],[Company]],1)</f>
        <v/>
      </c>
      <c r="AD94" s="172" t="str" cm="1">
        <f t="array" ref="AD94">Common_InputFunctions.Utility_DisplayArrayInTable(Fertiliser_SourceData.Fertiliser_Products_Data1(), FertiliserProducts[[#Headers],[Company]],1)</f>
        <v/>
      </c>
      <c r="AE94" s="172" t="str" cm="1">
        <f t="array" ref="AE94">Common_InputFunctions.Utility_DisplayArrayInTable(Fertiliser_SourceData.Fertiliser_Products_Data1(), FertiliserProducts[[#Headers],[Company]],1)</f>
        <v/>
      </c>
      <c r="AF94" s="172" t="str" cm="1">
        <f t="array" ref="AF94">Common_InputFunctions.Utility_DisplayArrayInTable(Fertiliser_SourceData.Fertiliser_Products_Data1(), FertiliserProducts[[#Headers],[Company]],1)</f>
        <v/>
      </c>
      <c r="AG94" s="172" t="str" cm="1">
        <f t="array" ref="AG94">Common_InputFunctions.Utility_DisplayArrayInTable(Fertiliser_SourceData.Fertiliser_Products_Data1(), FertiliserProducts[[#Headers],[Company]],1)</f>
        <v/>
      </c>
      <c r="AH94" s="172" t="str" cm="1">
        <f t="array" ref="AH94">Common_InputFunctions.Utility_DisplayArrayInTable(Fertiliser_SourceData.Fertiliser_Products_Data1(), FertiliserProducts[[#Headers],[Company]],1)</f>
        <v/>
      </c>
      <c r="AK94" s="1"/>
      <c r="AL94" s="1"/>
      <c r="AM94" s="1"/>
    </row>
    <row r="95" spans="4:39" ht="20.100000000000001" customHeight="1" x14ac:dyDescent="0.25">
      <c r="D95" s="172" t="str" cm="1">
        <f t="array" ref="D95">Common_InputFunctions.Utility_DisplayArrayInTable(Fertiliser_SourceData.Fertiliser_Products_Data1(), FertiliserProducts[[#Headers],[Company]],1)</f>
        <v>Campbells fertilisers Australia</v>
      </c>
      <c r="E95" s="172" t="str" cm="1">
        <f t="array" ref="E95">Common_InputFunctions.Utility_DisplayArrayInTable(Fertiliser_SourceData.Fertiliser_Products_Data1(), FertiliserProducts[[#Headers],[Company]],1)</f>
        <v>Aqua NitroCal Ultimate</v>
      </c>
      <c r="F95" s="172" t="str" cm="1">
        <f t="array" ref="F95">Common_InputFunctions.Utility_DisplayArrayInTable(Fertiliser_SourceData.Fertiliser_Products_Data1(), FertiliserProducts[[#Headers],[Company]],1)</f>
        <v>L</v>
      </c>
      <c r="G95" s="172" cm="1">
        <f t="array" ref="G95">Common_InputFunctions.Utility_DisplayArrayInTable(Fertiliser_SourceData.Fertiliser_Products_Data1(), FertiliserProducts[[#Headers],[Company]],1)</f>
        <v>1.5</v>
      </c>
      <c r="H95" s="172" t="str" cm="1">
        <f t="array" ref="H95">Common_InputFunctions.Utility_DisplayArrayInTable(Fertiliser_SourceData.Fertiliser_Products_Data1(), FertiliserProducts[[#Headers],[Company]],1)</f>
        <v/>
      </c>
      <c r="I95" s="172" t="str" cm="1">
        <f t="array" ref="I95">Common_InputFunctions.Utility_DisplayArrayInTable(Fertiliser_SourceData.Fertiliser_Products_Data1(), FertiliserProducts[[#Headers],[Company]],1)</f>
        <v/>
      </c>
      <c r="J95" s="172" t="str" cm="1">
        <f t="array" ref="J95">Common_InputFunctions.Utility_DisplayArrayInTable(Fertiliser_SourceData.Fertiliser_Products_Data1(), FertiliserProducts[[#Headers],[Company]],1)</f>
        <v/>
      </c>
      <c r="K95" s="172" cm="1">
        <f t="array" ref="K95">Common_InputFunctions.Utility_DisplayArrayInTable(Fertiliser_SourceData.Fertiliser_Products_Data1(), FertiliserProducts[[#Headers],[Company]],1)</f>
        <v>13.2</v>
      </c>
      <c r="L95" s="172" t="str" cm="1">
        <f t="array" ref="L95">Common_InputFunctions.Utility_DisplayArrayInTable(Fertiliser_SourceData.Fertiliser_Products_Data1(), FertiliserProducts[[#Headers],[Company]],1)</f>
        <v/>
      </c>
      <c r="M95" s="172" t="str" cm="1">
        <f t="array" ref="M95">Common_InputFunctions.Utility_DisplayArrayInTable(Fertiliser_SourceData.Fertiliser_Products_Data1(), FertiliserProducts[[#Headers],[Company]],1)</f>
        <v/>
      </c>
      <c r="N95" s="172" t="str" cm="1">
        <f t="array" ref="N95">Common_InputFunctions.Utility_DisplayArrayInTable(Fertiliser_SourceData.Fertiliser_Products_Data1(), FertiliserProducts[[#Headers],[Company]],1)</f>
        <v/>
      </c>
      <c r="O95" s="172" t="str" cm="1">
        <f t="array" ref="O95">Common_InputFunctions.Utility_DisplayArrayInTable(Fertiliser_SourceData.Fertiliser_Products_Data1(), FertiliserProducts[[#Headers],[Company]],1)</f>
        <v>Calcium</v>
      </c>
      <c r="P95" s="172" cm="1">
        <f t="array" ref="P95">Common_InputFunctions.Utility_DisplayArrayInTable(Fertiliser_SourceData.Fertiliser_Products_Data1(), FertiliserProducts[[#Headers],[Company]],1)</f>
        <v>0.183</v>
      </c>
      <c r="Q95" s="172" t="str" cm="1">
        <f t="array" ref="Q95">Common_InputFunctions.Utility_DisplayArrayInTable(Fertiliser_SourceData.Fertiliser_Products_Data1(), FertiliserProducts[[#Headers],[Company]],1)</f>
        <v>Nitrogen - Nitrate</v>
      </c>
      <c r="R95" s="172" cm="1">
        <f t="array" ref="R95">Common_InputFunctions.Utility_DisplayArrayInTable(Fertiliser_SourceData.Fertiliser_Products_Data1(), FertiliserProducts[[#Headers],[Company]],1)</f>
        <v>0.13200000000000001</v>
      </c>
      <c r="S95" s="172" t="str" cm="1">
        <f t="array" ref="S95">Common_InputFunctions.Utility_DisplayArrayInTable(Fertiliser_SourceData.Fertiliser_Products_Data1(), FertiliserProducts[[#Headers],[Company]],1)</f>
        <v/>
      </c>
      <c r="T95" s="172" t="str" cm="1">
        <f t="array" ref="T95">Common_InputFunctions.Utility_DisplayArrayInTable(Fertiliser_SourceData.Fertiliser_Products_Data1(), FertiliserProducts[[#Headers],[Company]],1)</f>
        <v/>
      </c>
      <c r="U95" s="172" t="str" cm="1">
        <f t="array" ref="U95">Common_InputFunctions.Utility_DisplayArrayInTable(Fertiliser_SourceData.Fertiliser_Products_Data1(), FertiliserProducts[[#Headers],[Company]],1)</f>
        <v/>
      </c>
      <c r="V95" s="172" t="str" cm="1">
        <f t="array" ref="V95">Common_InputFunctions.Utility_DisplayArrayInTable(Fertiliser_SourceData.Fertiliser_Products_Data1(), FertiliserProducts[[#Headers],[Company]],1)</f>
        <v/>
      </c>
      <c r="W95" s="172" t="str" cm="1">
        <f t="array" ref="W95">Common_InputFunctions.Utility_DisplayArrayInTable(Fertiliser_SourceData.Fertiliser_Products_Data1(), FertiliserProducts[[#Headers],[Company]],1)</f>
        <v/>
      </c>
      <c r="X95" s="172" t="str" cm="1">
        <f t="array" ref="X95">Common_InputFunctions.Utility_DisplayArrayInTable(Fertiliser_SourceData.Fertiliser_Products_Data1(), FertiliserProducts[[#Headers],[Company]],1)</f>
        <v/>
      </c>
      <c r="Y95" s="172" t="str" cm="1">
        <f t="array" ref="Y95">Common_InputFunctions.Utility_DisplayArrayInTable(Fertiliser_SourceData.Fertiliser_Products_Data1(), FertiliserProducts[[#Headers],[Company]],1)</f>
        <v/>
      </c>
      <c r="Z95" s="172" t="str" cm="1">
        <f t="array" ref="Z95">Common_InputFunctions.Utility_DisplayArrayInTable(Fertiliser_SourceData.Fertiliser_Products_Data1(), FertiliserProducts[[#Headers],[Company]],1)</f>
        <v/>
      </c>
      <c r="AA95" s="172" t="str" cm="1">
        <f t="array" ref="AA95">Common_InputFunctions.Utility_DisplayArrayInTable(Fertiliser_SourceData.Fertiliser_Products_Data1(), FertiliserProducts[[#Headers],[Company]],1)</f>
        <v/>
      </c>
      <c r="AB95" s="172" t="str" cm="1">
        <f t="array" ref="AB95">Common_InputFunctions.Utility_DisplayArrayInTable(Fertiliser_SourceData.Fertiliser_Products_Data1(), FertiliserProducts[[#Headers],[Company]],1)</f>
        <v/>
      </c>
      <c r="AC95" s="172" t="str" cm="1">
        <f t="array" ref="AC95">Common_InputFunctions.Utility_DisplayArrayInTable(Fertiliser_SourceData.Fertiliser_Products_Data1(), FertiliserProducts[[#Headers],[Company]],1)</f>
        <v/>
      </c>
      <c r="AD95" s="172" t="str" cm="1">
        <f t="array" ref="AD95">Common_InputFunctions.Utility_DisplayArrayInTable(Fertiliser_SourceData.Fertiliser_Products_Data1(), FertiliserProducts[[#Headers],[Company]],1)</f>
        <v/>
      </c>
      <c r="AE95" s="172" t="str" cm="1">
        <f t="array" ref="AE95">Common_InputFunctions.Utility_DisplayArrayInTable(Fertiliser_SourceData.Fertiliser_Products_Data1(), FertiliserProducts[[#Headers],[Company]],1)</f>
        <v/>
      </c>
      <c r="AF95" s="172" t="str" cm="1">
        <f t="array" ref="AF95">Common_InputFunctions.Utility_DisplayArrayInTable(Fertiliser_SourceData.Fertiliser_Products_Data1(), FertiliserProducts[[#Headers],[Company]],1)</f>
        <v/>
      </c>
      <c r="AG95" s="172" t="str" cm="1">
        <f t="array" ref="AG95">Common_InputFunctions.Utility_DisplayArrayInTable(Fertiliser_SourceData.Fertiliser_Products_Data1(), FertiliserProducts[[#Headers],[Company]],1)</f>
        <v/>
      </c>
      <c r="AH95" s="172" t="str" cm="1">
        <f t="array" ref="AH95">Common_InputFunctions.Utility_DisplayArrayInTable(Fertiliser_SourceData.Fertiliser_Products_Data1(), FertiliserProducts[[#Headers],[Company]],1)</f>
        <v/>
      </c>
      <c r="AK95" s="1"/>
      <c r="AL95" s="1"/>
      <c r="AM95" s="1"/>
    </row>
    <row r="96" spans="4:39" ht="20.100000000000001" customHeight="1" x14ac:dyDescent="0.25">
      <c r="D96" s="172" t="str" cm="1">
        <f t="array" ref="D96">Common_InputFunctions.Utility_DisplayArrayInTable(Fertiliser_SourceData.Fertiliser_Products_Data1(), FertiliserProducts[[#Headers],[Company]],1)</f>
        <v>Campbells fertilisers Australia</v>
      </c>
      <c r="E96" s="172" t="str" cm="1">
        <f t="array" ref="E96">Common_InputFunctions.Utility_DisplayArrayInTable(Fertiliser_SourceData.Fertiliser_Products_Data1(), FertiliserProducts[[#Headers],[Company]],1)</f>
        <v>Aqua Start</v>
      </c>
      <c r="F96" s="172" t="str" cm="1">
        <f t="array" ref="F96">Common_InputFunctions.Utility_DisplayArrayInTable(Fertiliser_SourceData.Fertiliser_Products_Data1(), FertiliserProducts[[#Headers],[Company]],1)</f>
        <v>L</v>
      </c>
      <c r="G96" s="172" cm="1">
        <f t="array" ref="G96">Common_InputFunctions.Utility_DisplayArrayInTable(Fertiliser_SourceData.Fertiliser_Products_Data1(), FertiliserProducts[[#Headers],[Company]],1)</f>
        <v>1.25</v>
      </c>
      <c r="H96" s="172" t="str" cm="1">
        <f t="array" ref="H96">Common_InputFunctions.Utility_DisplayArrayInTable(Fertiliser_SourceData.Fertiliser_Products_Data1(), FertiliserProducts[[#Headers],[Company]],1)</f>
        <v/>
      </c>
      <c r="I96" s="172" t="str" cm="1">
        <f t="array" ref="I96">Common_InputFunctions.Utility_DisplayArrayInTable(Fertiliser_SourceData.Fertiliser_Products_Data1(), FertiliserProducts[[#Headers],[Company]],1)</f>
        <v/>
      </c>
      <c r="J96" s="172" t="str" cm="1">
        <f t="array" ref="J96">Common_InputFunctions.Utility_DisplayArrayInTable(Fertiliser_SourceData.Fertiliser_Products_Data1(), FertiliserProducts[[#Headers],[Company]],1)</f>
        <v/>
      </c>
      <c r="K96" s="172" cm="1">
        <f t="array" ref="K96">Common_InputFunctions.Utility_DisplayArrayInTable(Fertiliser_SourceData.Fertiliser_Products_Data1(), FertiliserProducts[[#Headers],[Company]],1)</f>
        <v>10.3</v>
      </c>
      <c r="L96" s="172" cm="1">
        <f t="array" ref="L96">Common_InputFunctions.Utility_DisplayArrayInTable(Fertiliser_SourceData.Fertiliser_Products_Data1(), FertiliserProducts[[#Headers],[Company]],1)</f>
        <v>10</v>
      </c>
      <c r="M96" s="172" cm="1">
        <f t="array" ref="M96">Common_InputFunctions.Utility_DisplayArrayInTable(Fertiliser_SourceData.Fertiliser_Products_Data1(), FertiliserProducts[[#Headers],[Company]],1)</f>
        <v>3.4</v>
      </c>
      <c r="N96" s="172" t="str" cm="1">
        <f t="array" ref="N96">Common_InputFunctions.Utility_DisplayArrayInTable(Fertiliser_SourceData.Fertiliser_Products_Data1(), FertiliserProducts[[#Headers],[Company]],1)</f>
        <v/>
      </c>
      <c r="O96" s="172" t="str" cm="1">
        <f t="array" ref="O96">Common_InputFunctions.Utility_DisplayArrayInTable(Fertiliser_SourceData.Fertiliser_Products_Data1(), FertiliserProducts[[#Headers],[Company]],1)</f>
        <v>Nitrogen - Generic</v>
      </c>
      <c r="P96" s="172" cm="1">
        <f t="array" ref="P96">Common_InputFunctions.Utility_DisplayArrayInTable(Fertiliser_SourceData.Fertiliser_Products_Data1(), FertiliserProducts[[#Headers],[Company]],1)</f>
        <v>0.10299999999999999</v>
      </c>
      <c r="Q96" s="172" t="str" cm="1">
        <f t="array" ref="Q96">Common_InputFunctions.Utility_DisplayArrayInTable(Fertiliser_SourceData.Fertiliser_Products_Data1(), FertiliserProducts[[#Headers],[Company]],1)</f>
        <v>Phosphorus - Generic</v>
      </c>
      <c r="R96" s="172" cm="1">
        <f t="array" ref="R96">Common_InputFunctions.Utility_DisplayArrayInTable(Fertiliser_SourceData.Fertiliser_Products_Data1(), FertiliserProducts[[#Headers],[Company]],1)</f>
        <v>0.1</v>
      </c>
      <c r="S96" s="172" t="str" cm="1">
        <f t="array" ref="S96">Common_InputFunctions.Utility_DisplayArrayInTable(Fertiliser_SourceData.Fertiliser_Products_Data1(), FertiliserProducts[[#Headers],[Company]],1)</f>
        <v>Potassium - Generic</v>
      </c>
      <c r="T96" s="172" cm="1">
        <f t="array" ref="T96">Common_InputFunctions.Utility_DisplayArrayInTable(Fertiliser_SourceData.Fertiliser_Products_Data1(), FertiliserProducts[[#Headers],[Company]],1)</f>
        <v>3.4000000000000002E-2</v>
      </c>
      <c r="U96" s="172" t="str" cm="1">
        <f t="array" ref="U96">Common_InputFunctions.Utility_DisplayArrayInTable(Fertiliser_SourceData.Fertiliser_Products_Data1(), FertiliserProducts[[#Headers],[Company]],1)</f>
        <v/>
      </c>
      <c r="V96" s="172" t="str" cm="1">
        <f t="array" ref="V96">Common_InputFunctions.Utility_DisplayArrayInTable(Fertiliser_SourceData.Fertiliser_Products_Data1(), FertiliserProducts[[#Headers],[Company]],1)</f>
        <v/>
      </c>
      <c r="W96" s="172" t="str" cm="1">
        <f t="array" ref="W96">Common_InputFunctions.Utility_DisplayArrayInTable(Fertiliser_SourceData.Fertiliser_Products_Data1(), FertiliserProducts[[#Headers],[Company]],1)</f>
        <v/>
      </c>
      <c r="X96" s="172" t="str" cm="1">
        <f t="array" ref="X96">Common_InputFunctions.Utility_DisplayArrayInTable(Fertiliser_SourceData.Fertiliser_Products_Data1(), FertiliserProducts[[#Headers],[Company]],1)</f>
        <v/>
      </c>
      <c r="Y96" s="172" t="str" cm="1">
        <f t="array" ref="Y96">Common_InputFunctions.Utility_DisplayArrayInTable(Fertiliser_SourceData.Fertiliser_Products_Data1(), FertiliserProducts[[#Headers],[Company]],1)</f>
        <v/>
      </c>
      <c r="Z96" s="172" t="str" cm="1">
        <f t="array" ref="Z96">Common_InputFunctions.Utility_DisplayArrayInTable(Fertiliser_SourceData.Fertiliser_Products_Data1(), FertiliserProducts[[#Headers],[Company]],1)</f>
        <v/>
      </c>
      <c r="AA96" s="172" t="str" cm="1">
        <f t="array" ref="AA96">Common_InputFunctions.Utility_DisplayArrayInTable(Fertiliser_SourceData.Fertiliser_Products_Data1(), FertiliserProducts[[#Headers],[Company]],1)</f>
        <v/>
      </c>
      <c r="AB96" s="172" t="str" cm="1">
        <f t="array" ref="AB96">Common_InputFunctions.Utility_DisplayArrayInTable(Fertiliser_SourceData.Fertiliser_Products_Data1(), FertiliserProducts[[#Headers],[Company]],1)</f>
        <v/>
      </c>
      <c r="AC96" s="172" t="str" cm="1">
        <f t="array" ref="AC96">Common_InputFunctions.Utility_DisplayArrayInTable(Fertiliser_SourceData.Fertiliser_Products_Data1(), FertiliserProducts[[#Headers],[Company]],1)</f>
        <v/>
      </c>
      <c r="AD96" s="172" t="str" cm="1">
        <f t="array" ref="AD96">Common_InputFunctions.Utility_DisplayArrayInTable(Fertiliser_SourceData.Fertiliser_Products_Data1(), FertiliserProducts[[#Headers],[Company]],1)</f>
        <v/>
      </c>
      <c r="AE96" s="172" t="str" cm="1">
        <f t="array" ref="AE96">Common_InputFunctions.Utility_DisplayArrayInTable(Fertiliser_SourceData.Fertiliser_Products_Data1(), FertiliserProducts[[#Headers],[Company]],1)</f>
        <v/>
      </c>
      <c r="AF96" s="172" t="str" cm="1">
        <f t="array" ref="AF96">Common_InputFunctions.Utility_DisplayArrayInTable(Fertiliser_SourceData.Fertiliser_Products_Data1(), FertiliserProducts[[#Headers],[Company]],1)</f>
        <v/>
      </c>
      <c r="AG96" s="172" t="str" cm="1">
        <f t="array" ref="AG96">Common_InputFunctions.Utility_DisplayArrayInTable(Fertiliser_SourceData.Fertiliser_Products_Data1(), FertiliserProducts[[#Headers],[Company]],1)</f>
        <v/>
      </c>
      <c r="AH96" s="172" t="str" cm="1">
        <f t="array" ref="AH96">Common_InputFunctions.Utility_DisplayArrayInTable(Fertiliser_SourceData.Fertiliser_Products_Data1(), FertiliserProducts[[#Headers],[Company]],1)</f>
        <v/>
      </c>
      <c r="AK96" s="1"/>
      <c r="AL96" s="1"/>
      <c r="AM96" s="1"/>
    </row>
    <row r="97" spans="4:39" ht="20.100000000000001" customHeight="1" x14ac:dyDescent="0.25">
      <c r="D97" s="172" t="str" cm="1">
        <f t="array" ref="D97">Common_InputFunctions.Utility_DisplayArrayInTable(Fertiliser_SourceData.Fertiliser_Products_Data1(), FertiliserProducts[[#Headers],[Company]],1)</f>
        <v>Campbells fertilisers Australia</v>
      </c>
      <c r="E97" s="172" t="str" cm="1">
        <f t="array" ref="E97">Common_InputFunctions.Utility_DisplayArrayInTable(Fertiliser_SourceData.Fertiliser_Products_Data1(), FertiliserProducts[[#Headers],[Company]],1)</f>
        <v>Aqua Thio-Complete</v>
      </c>
      <c r="F97" s="172" t="str" cm="1">
        <f t="array" ref="F97">Common_InputFunctions.Utility_DisplayArrayInTable(Fertiliser_SourceData.Fertiliser_Products_Data1(), FertiliserProducts[[#Headers],[Company]],1)</f>
        <v>L</v>
      </c>
      <c r="G97" s="172" cm="1">
        <f t="array" ref="G97">Common_InputFunctions.Utility_DisplayArrayInTable(Fertiliser_SourceData.Fertiliser_Products_Data1(), FertiliserProducts[[#Headers],[Company]],1)</f>
        <v>1.43</v>
      </c>
      <c r="H97" s="172" t="str" cm="1">
        <f t="array" ref="H97">Common_InputFunctions.Utility_DisplayArrayInTable(Fertiliser_SourceData.Fertiliser_Products_Data1(), FertiliserProducts[[#Headers],[Company]],1)</f>
        <v/>
      </c>
      <c r="I97" s="172" t="str" cm="1">
        <f t="array" ref="I97">Common_InputFunctions.Utility_DisplayArrayInTable(Fertiliser_SourceData.Fertiliser_Products_Data1(), FertiliserProducts[[#Headers],[Company]],1)</f>
        <v/>
      </c>
      <c r="J97" s="172" t="str" cm="1">
        <f t="array" ref="J97">Common_InputFunctions.Utility_DisplayArrayInTable(Fertiliser_SourceData.Fertiliser_Products_Data1(), FertiliserProducts[[#Headers],[Company]],1)</f>
        <v/>
      </c>
      <c r="K97" s="172" cm="1">
        <f t="array" ref="K97">Common_InputFunctions.Utility_DisplayArrayInTable(Fertiliser_SourceData.Fertiliser_Products_Data1(), FertiliserProducts[[#Headers],[Company]],1)</f>
        <v>2.5</v>
      </c>
      <c r="L97" s="172" cm="1">
        <f t="array" ref="L97">Common_InputFunctions.Utility_DisplayArrayInTable(Fertiliser_SourceData.Fertiliser_Products_Data1(), FertiliserProducts[[#Headers],[Company]],1)</f>
        <v>3.8</v>
      </c>
      <c r="M97" s="172" cm="1">
        <f t="array" ref="M97">Common_InputFunctions.Utility_DisplayArrayInTable(Fertiliser_SourceData.Fertiliser_Products_Data1(), FertiliserProducts[[#Headers],[Company]],1)</f>
        <v>22.5</v>
      </c>
      <c r="N97" s="172" t="str" cm="1">
        <f t="array" ref="N97">Common_InputFunctions.Utility_DisplayArrayInTable(Fertiliser_SourceData.Fertiliser_Products_Data1(), FertiliserProducts[[#Headers],[Company]],1)</f>
        <v/>
      </c>
      <c r="O97" s="172" t="str" cm="1">
        <f t="array" ref="O97">Common_InputFunctions.Utility_DisplayArrayInTable(Fertiliser_SourceData.Fertiliser_Products_Data1(), FertiliserProducts[[#Headers],[Company]],1)</f>
        <v>Potassium - Generic</v>
      </c>
      <c r="P97" s="172" cm="1">
        <f t="array" ref="P97">Common_InputFunctions.Utility_DisplayArrayInTable(Fertiliser_SourceData.Fertiliser_Products_Data1(), FertiliserProducts[[#Headers],[Company]],1)</f>
        <v>0.22500000000000001</v>
      </c>
      <c r="Q97" s="172" t="str" cm="1">
        <f t="array" ref="Q97">Common_InputFunctions.Utility_DisplayArrayInTable(Fertiliser_SourceData.Fertiliser_Products_Data1(), FertiliserProducts[[#Headers],[Company]],1)</f>
        <v>Phosphorus - Generic</v>
      </c>
      <c r="R97" s="172" cm="1">
        <f t="array" ref="R97">Common_InputFunctions.Utility_DisplayArrayInTable(Fertiliser_SourceData.Fertiliser_Products_Data1(), FertiliserProducts[[#Headers],[Company]],1)</f>
        <v>3.7999999999999999E-2</v>
      </c>
      <c r="S97" s="172" t="str" cm="1">
        <f t="array" ref="S97">Common_InputFunctions.Utility_DisplayArrayInTable(Fertiliser_SourceData.Fertiliser_Products_Data1(), FertiliserProducts[[#Headers],[Company]],1)</f>
        <v>Nitrogen - Generic</v>
      </c>
      <c r="T97" s="172" cm="1">
        <f t="array" ref="T97">Common_InputFunctions.Utility_DisplayArrayInTable(Fertiliser_SourceData.Fertiliser_Products_Data1(), FertiliserProducts[[#Headers],[Company]],1)</f>
        <v>2.5000000000000001E-2</v>
      </c>
      <c r="U97" s="172" t="str" cm="1">
        <f t="array" ref="U97">Common_InputFunctions.Utility_DisplayArrayInTable(Fertiliser_SourceData.Fertiliser_Products_Data1(), FertiliserProducts[[#Headers],[Company]],1)</f>
        <v/>
      </c>
      <c r="V97" s="172" t="str" cm="1">
        <f t="array" ref="V97">Common_InputFunctions.Utility_DisplayArrayInTable(Fertiliser_SourceData.Fertiliser_Products_Data1(), FertiliserProducts[[#Headers],[Company]],1)</f>
        <v/>
      </c>
      <c r="W97" s="172" t="str" cm="1">
        <f t="array" ref="W97">Common_InputFunctions.Utility_DisplayArrayInTable(Fertiliser_SourceData.Fertiliser_Products_Data1(), FertiliserProducts[[#Headers],[Company]],1)</f>
        <v/>
      </c>
      <c r="X97" s="172" t="str" cm="1">
        <f t="array" ref="X97">Common_InputFunctions.Utility_DisplayArrayInTable(Fertiliser_SourceData.Fertiliser_Products_Data1(), FertiliserProducts[[#Headers],[Company]],1)</f>
        <v/>
      </c>
      <c r="Y97" s="172" t="str" cm="1">
        <f t="array" ref="Y97">Common_InputFunctions.Utility_DisplayArrayInTable(Fertiliser_SourceData.Fertiliser_Products_Data1(), FertiliserProducts[[#Headers],[Company]],1)</f>
        <v/>
      </c>
      <c r="Z97" s="172" t="str" cm="1">
        <f t="array" ref="Z97">Common_InputFunctions.Utility_DisplayArrayInTable(Fertiliser_SourceData.Fertiliser_Products_Data1(), FertiliserProducts[[#Headers],[Company]],1)</f>
        <v/>
      </c>
      <c r="AA97" s="172" t="str" cm="1">
        <f t="array" ref="AA97">Common_InputFunctions.Utility_DisplayArrayInTable(Fertiliser_SourceData.Fertiliser_Products_Data1(), FertiliserProducts[[#Headers],[Company]],1)</f>
        <v/>
      </c>
      <c r="AB97" s="172" t="str" cm="1">
        <f t="array" ref="AB97">Common_InputFunctions.Utility_DisplayArrayInTable(Fertiliser_SourceData.Fertiliser_Products_Data1(), FertiliserProducts[[#Headers],[Company]],1)</f>
        <v/>
      </c>
      <c r="AC97" s="172" t="str" cm="1">
        <f t="array" ref="AC97">Common_InputFunctions.Utility_DisplayArrayInTable(Fertiliser_SourceData.Fertiliser_Products_Data1(), FertiliserProducts[[#Headers],[Company]],1)</f>
        <v/>
      </c>
      <c r="AD97" s="172" t="str" cm="1">
        <f t="array" ref="AD97">Common_InputFunctions.Utility_DisplayArrayInTable(Fertiliser_SourceData.Fertiliser_Products_Data1(), FertiliserProducts[[#Headers],[Company]],1)</f>
        <v/>
      </c>
      <c r="AE97" s="172" t="str" cm="1">
        <f t="array" ref="AE97">Common_InputFunctions.Utility_DisplayArrayInTable(Fertiliser_SourceData.Fertiliser_Products_Data1(), FertiliserProducts[[#Headers],[Company]],1)</f>
        <v/>
      </c>
      <c r="AF97" s="172" t="str" cm="1">
        <f t="array" ref="AF97">Common_InputFunctions.Utility_DisplayArrayInTable(Fertiliser_SourceData.Fertiliser_Products_Data1(), FertiliserProducts[[#Headers],[Company]],1)</f>
        <v/>
      </c>
      <c r="AG97" s="172" t="str" cm="1">
        <f t="array" ref="AG97">Common_InputFunctions.Utility_DisplayArrayInTable(Fertiliser_SourceData.Fertiliser_Products_Data1(), FertiliserProducts[[#Headers],[Company]],1)</f>
        <v/>
      </c>
      <c r="AH97" s="172" t="str" cm="1">
        <f t="array" ref="AH97">Common_InputFunctions.Utility_DisplayArrayInTable(Fertiliser_SourceData.Fertiliser_Products_Data1(), FertiliserProducts[[#Headers],[Company]],1)</f>
        <v/>
      </c>
      <c r="AK97" s="1"/>
      <c r="AL97" s="1"/>
      <c r="AM97" s="1"/>
    </row>
    <row r="98" spans="4:39" ht="20.100000000000001" customHeight="1" x14ac:dyDescent="0.25">
      <c r="D98" s="172" t="str" cm="1">
        <f t="array" ref="D98">Common_InputFunctions.Utility_DisplayArrayInTable(Fertiliser_SourceData.Fertiliser_Products_Data1(), FertiliserProducts[[#Headers],[Company]],1)</f>
        <v>Campbells fertilisers Australia</v>
      </c>
      <c r="E98" s="172" t="str" cm="1">
        <f t="array" ref="E98">Common_InputFunctions.Utility_DisplayArrayInTable(Fertiliser_SourceData.Fertiliser_Products_Data1(), FertiliserProducts[[#Headers],[Company]],1)</f>
        <v>Aqua Thio-Emerge</v>
      </c>
      <c r="F98" s="172" t="str" cm="1">
        <f t="array" ref="F98">Common_InputFunctions.Utility_DisplayArrayInTable(Fertiliser_SourceData.Fertiliser_Products_Data1(), FertiliserProducts[[#Headers],[Company]],1)</f>
        <v>L</v>
      </c>
      <c r="G98" s="172" cm="1">
        <f t="array" ref="G98">Common_InputFunctions.Utility_DisplayArrayInTable(Fertiliser_SourceData.Fertiliser_Products_Data1(), FertiliserProducts[[#Headers],[Company]],1)</f>
        <v>1.29</v>
      </c>
      <c r="H98" s="172" t="str" cm="1">
        <f t="array" ref="H98">Common_InputFunctions.Utility_DisplayArrayInTable(Fertiliser_SourceData.Fertiliser_Products_Data1(), FertiliserProducts[[#Headers],[Company]],1)</f>
        <v/>
      </c>
      <c r="I98" s="172" t="str" cm="1">
        <f t="array" ref="I98">Common_InputFunctions.Utility_DisplayArrayInTable(Fertiliser_SourceData.Fertiliser_Products_Data1(), FertiliserProducts[[#Headers],[Company]],1)</f>
        <v/>
      </c>
      <c r="J98" s="172" t="str" cm="1">
        <f t="array" ref="J98">Common_InputFunctions.Utility_DisplayArrayInTable(Fertiliser_SourceData.Fertiliser_Products_Data1(), FertiliserProducts[[#Headers],[Company]],1)</f>
        <v/>
      </c>
      <c r="K98" s="172" cm="1">
        <f t="array" ref="K98">Common_InputFunctions.Utility_DisplayArrayInTable(Fertiliser_SourceData.Fertiliser_Products_Data1(), FertiliserProducts[[#Headers],[Company]],1)</f>
        <v>10.5</v>
      </c>
      <c r="L98" s="172" cm="1">
        <f t="array" ref="L98">Common_InputFunctions.Utility_DisplayArrayInTable(Fertiliser_SourceData.Fertiliser_Products_Data1(), FertiliserProducts[[#Headers],[Company]],1)</f>
        <v>9.4</v>
      </c>
      <c r="M98" s="172" cm="1">
        <f t="array" ref="M98">Common_InputFunctions.Utility_DisplayArrayInTable(Fertiliser_SourceData.Fertiliser_Products_Data1(), FertiliserProducts[[#Headers],[Company]],1)</f>
        <v>4</v>
      </c>
      <c r="N98" s="172" cm="1">
        <f t="array" ref="N98">Common_InputFunctions.Utility_DisplayArrayInTable(Fertiliser_SourceData.Fertiliser_Products_Data1(), FertiliserProducts[[#Headers],[Company]],1)</f>
        <v>3</v>
      </c>
      <c r="O98" s="172" t="str" cm="1">
        <f t="array" ref="O98">Common_InputFunctions.Utility_DisplayArrayInTable(Fertiliser_SourceData.Fertiliser_Products_Data1(), FertiliserProducts[[#Headers],[Company]],1)</f>
        <v>Nitrogen - Generic</v>
      </c>
      <c r="P98" s="172" cm="1">
        <f t="array" ref="P98">Common_InputFunctions.Utility_DisplayArrayInTable(Fertiliser_SourceData.Fertiliser_Products_Data1(), FertiliserProducts[[#Headers],[Company]],1)</f>
        <v>0.105</v>
      </c>
      <c r="Q98" s="172" t="str" cm="1">
        <f t="array" ref="Q98">Common_InputFunctions.Utility_DisplayArrayInTable(Fertiliser_SourceData.Fertiliser_Products_Data1(), FertiliserProducts[[#Headers],[Company]],1)</f>
        <v>Phosphorus - Generic</v>
      </c>
      <c r="R98" s="172" cm="1">
        <f t="array" ref="R98">Common_InputFunctions.Utility_DisplayArrayInTable(Fertiliser_SourceData.Fertiliser_Products_Data1(), FertiliserProducts[[#Headers],[Company]],1)</f>
        <v>9.4E-2</v>
      </c>
      <c r="S98" s="172" t="str" cm="1">
        <f t="array" ref="S98">Common_InputFunctions.Utility_DisplayArrayInTable(Fertiliser_SourceData.Fertiliser_Products_Data1(), FertiliserProducts[[#Headers],[Company]],1)</f>
        <v>Potassium - Generic</v>
      </c>
      <c r="T98" s="172" cm="1">
        <f t="array" ref="T98">Common_InputFunctions.Utility_DisplayArrayInTable(Fertiliser_SourceData.Fertiliser_Products_Data1(), FertiliserProducts[[#Headers],[Company]],1)</f>
        <v>0.04</v>
      </c>
      <c r="U98" s="172" t="str" cm="1">
        <f t="array" ref="U98">Common_InputFunctions.Utility_DisplayArrayInTable(Fertiliser_SourceData.Fertiliser_Products_Data1(), FertiliserProducts[[#Headers],[Company]],1)</f>
        <v>Sulfur - Generic</v>
      </c>
      <c r="V98" s="172" cm="1">
        <f t="array" ref="V98">Common_InputFunctions.Utility_DisplayArrayInTable(Fertiliser_SourceData.Fertiliser_Products_Data1(), FertiliserProducts[[#Headers],[Company]],1)</f>
        <v>0.03</v>
      </c>
      <c r="W98" s="172" t="str" cm="1">
        <f t="array" ref="W98">Common_InputFunctions.Utility_DisplayArrayInTable(Fertiliser_SourceData.Fertiliser_Products_Data1(), FertiliserProducts[[#Headers],[Company]],1)</f>
        <v/>
      </c>
      <c r="X98" s="172" t="str" cm="1">
        <f t="array" ref="X98">Common_InputFunctions.Utility_DisplayArrayInTable(Fertiliser_SourceData.Fertiliser_Products_Data1(), FertiliserProducts[[#Headers],[Company]],1)</f>
        <v/>
      </c>
      <c r="Y98" s="172" t="str" cm="1">
        <f t="array" ref="Y98">Common_InputFunctions.Utility_DisplayArrayInTable(Fertiliser_SourceData.Fertiliser_Products_Data1(), FertiliserProducts[[#Headers],[Company]],1)</f>
        <v/>
      </c>
      <c r="Z98" s="172" t="str" cm="1">
        <f t="array" ref="Z98">Common_InputFunctions.Utility_DisplayArrayInTable(Fertiliser_SourceData.Fertiliser_Products_Data1(), FertiliserProducts[[#Headers],[Company]],1)</f>
        <v/>
      </c>
      <c r="AA98" s="172" t="str" cm="1">
        <f t="array" ref="AA98">Common_InputFunctions.Utility_DisplayArrayInTable(Fertiliser_SourceData.Fertiliser_Products_Data1(), FertiliserProducts[[#Headers],[Company]],1)</f>
        <v/>
      </c>
      <c r="AB98" s="172" t="str" cm="1">
        <f t="array" ref="AB98">Common_InputFunctions.Utility_DisplayArrayInTable(Fertiliser_SourceData.Fertiliser_Products_Data1(), FertiliserProducts[[#Headers],[Company]],1)</f>
        <v/>
      </c>
      <c r="AC98" s="172" t="str" cm="1">
        <f t="array" ref="AC98">Common_InputFunctions.Utility_DisplayArrayInTable(Fertiliser_SourceData.Fertiliser_Products_Data1(), FertiliserProducts[[#Headers],[Company]],1)</f>
        <v/>
      </c>
      <c r="AD98" s="172" t="str" cm="1">
        <f t="array" ref="AD98">Common_InputFunctions.Utility_DisplayArrayInTable(Fertiliser_SourceData.Fertiliser_Products_Data1(), FertiliserProducts[[#Headers],[Company]],1)</f>
        <v/>
      </c>
      <c r="AE98" s="172" t="str" cm="1">
        <f t="array" ref="AE98">Common_InputFunctions.Utility_DisplayArrayInTable(Fertiliser_SourceData.Fertiliser_Products_Data1(), FertiliserProducts[[#Headers],[Company]],1)</f>
        <v/>
      </c>
      <c r="AF98" s="172" t="str" cm="1">
        <f t="array" ref="AF98">Common_InputFunctions.Utility_DisplayArrayInTable(Fertiliser_SourceData.Fertiliser_Products_Data1(), FertiliserProducts[[#Headers],[Company]],1)</f>
        <v/>
      </c>
      <c r="AG98" s="172" t="str" cm="1">
        <f t="array" ref="AG98">Common_InputFunctions.Utility_DisplayArrayInTable(Fertiliser_SourceData.Fertiliser_Products_Data1(), FertiliserProducts[[#Headers],[Company]],1)</f>
        <v/>
      </c>
      <c r="AH98" s="172" t="str" cm="1">
        <f t="array" ref="AH98">Common_InputFunctions.Utility_DisplayArrayInTable(Fertiliser_SourceData.Fertiliser_Products_Data1(), FertiliserProducts[[#Headers],[Company]],1)</f>
        <v/>
      </c>
      <c r="AK98" s="1"/>
      <c r="AL98" s="1"/>
      <c r="AM98" s="1"/>
    </row>
    <row r="99" spans="4:39" ht="20.100000000000001" customHeight="1" x14ac:dyDescent="0.25">
      <c r="D99" s="172" t="str" cm="1">
        <f t="array" ref="D99">Common_InputFunctions.Utility_DisplayArrayInTable(Fertiliser_SourceData.Fertiliser_Products_Data1(), FertiliserProducts[[#Headers],[Company]],1)</f>
        <v>Campbells fertilisers Australia</v>
      </c>
      <c r="E99" s="172" t="str" cm="1">
        <f t="array" ref="E99">Common_InputFunctions.Utility_DisplayArrayInTable(Fertiliser_SourceData.Fertiliser_Products_Data1(), FertiliserProducts[[#Headers],[Company]],1)</f>
        <v>Aqua Thio-Flourish</v>
      </c>
      <c r="F99" s="172" t="str" cm="1">
        <f t="array" ref="F99">Common_InputFunctions.Utility_DisplayArrayInTable(Fertiliser_SourceData.Fertiliser_Products_Data1(), FertiliserProducts[[#Headers],[Company]],1)</f>
        <v>L</v>
      </c>
      <c r="G99" s="172" cm="1">
        <f t="array" ref="G99">Common_InputFunctions.Utility_DisplayArrayInTable(Fertiliser_SourceData.Fertiliser_Products_Data1(), FertiliserProducts[[#Headers],[Company]],1)</f>
        <v>1.32</v>
      </c>
      <c r="H99" s="172" t="str" cm="1">
        <f t="array" ref="H99">Common_InputFunctions.Utility_DisplayArrayInTable(Fertiliser_SourceData.Fertiliser_Products_Data1(), FertiliserProducts[[#Headers],[Company]],1)</f>
        <v/>
      </c>
      <c r="I99" s="172" t="str" cm="1">
        <f t="array" ref="I99">Common_InputFunctions.Utility_DisplayArrayInTable(Fertiliser_SourceData.Fertiliser_Products_Data1(), FertiliserProducts[[#Headers],[Company]],1)</f>
        <v/>
      </c>
      <c r="J99" s="172" t="str" cm="1">
        <f t="array" ref="J99">Common_InputFunctions.Utility_DisplayArrayInTable(Fertiliser_SourceData.Fertiliser_Products_Data1(), FertiliserProducts[[#Headers],[Company]],1)</f>
        <v/>
      </c>
      <c r="K99" s="172" cm="1">
        <f t="array" ref="K99">Common_InputFunctions.Utility_DisplayArrayInTable(Fertiliser_SourceData.Fertiliser_Products_Data1(), FertiliserProducts[[#Headers],[Company]],1)</f>
        <v>9.5</v>
      </c>
      <c r="L99" s="172" cm="1">
        <f t="array" ref="L99">Common_InputFunctions.Utility_DisplayArrayInTable(Fertiliser_SourceData.Fertiliser_Products_Data1(), FertiliserProducts[[#Headers],[Company]],1)</f>
        <v>4.7</v>
      </c>
      <c r="M99" s="172" cm="1">
        <f t="array" ref="M99">Common_InputFunctions.Utility_DisplayArrayInTable(Fertiliser_SourceData.Fertiliser_Products_Data1(), FertiliserProducts[[#Headers],[Company]],1)</f>
        <v>10.8</v>
      </c>
      <c r="N99" s="172" cm="1">
        <f t="array" ref="N99">Common_InputFunctions.Utility_DisplayArrayInTable(Fertiliser_SourceData.Fertiliser_Products_Data1(), FertiliserProducts[[#Headers],[Company]],1)</f>
        <v>8.1</v>
      </c>
      <c r="O99" s="172" t="str" cm="1">
        <f t="array" ref="O99">Common_InputFunctions.Utility_DisplayArrayInTable(Fertiliser_SourceData.Fertiliser_Products_Data1(), FertiliserProducts[[#Headers],[Company]],1)</f>
        <v>Potassium - Generic</v>
      </c>
      <c r="P99" s="172" cm="1">
        <f t="array" ref="P99">Common_InputFunctions.Utility_DisplayArrayInTable(Fertiliser_SourceData.Fertiliser_Products_Data1(), FertiliserProducts[[#Headers],[Company]],1)</f>
        <v>0.108</v>
      </c>
      <c r="Q99" s="172" t="str" cm="1">
        <f t="array" ref="Q99">Common_InputFunctions.Utility_DisplayArrayInTable(Fertiliser_SourceData.Fertiliser_Products_Data1(), FertiliserProducts[[#Headers],[Company]],1)</f>
        <v>Nitrogen - Generic</v>
      </c>
      <c r="R99" s="172" cm="1">
        <f t="array" ref="R99">Common_InputFunctions.Utility_DisplayArrayInTable(Fertiliser_SourceData.Fertiliser_Products_Data1(), FertiliserProducts[[#Headers],[Company]],1)</f>
        <v>9.5000000000000001E-2</v>
      </c>
      <c r="S99" s="172" t="str" cm="1">
        <f t="array" ref="S99">Common_InputFunctions.Utility_DisplayArrayInTable(Fertiliser_SourceData.Fertiliser_Products_Data1(), FertiliserProducts[[#Headers],[Company]],1)</f>
        <v>Sulfur - Generic</v>
      </c>
      <c r="T99" s="172" cm="1">
        <f t="array" ref="T99">Common_InputFunctions.Utility_DisplayArrayInTable(Fertiliser_SourceData.Fertiliser_Products_Data1(), FertiliserProducts[[#Headers],[Company]],1)</f>
        <v>8.1000000000000003E-2</v>
      </c>
      <c r="U99" s="172" t="str" cm="1">
        <f t="array" ref="U99">Common_InputFunctions.Utility_DisplayArrayInTable(Fertiliser_SourceData.Fertiliser_Products_Data1(), FertiliserProducts[[#Headers],[Company]],1)</f>
        <v>Phosphorus - Generic</v>
      </c>
      <c r="V99" s="172" cm="1">
        <f t="array" ref="V99">Common_InputFunctions.Utility_DisplayArrayInTable(Fertiliser_SourceData.Fertiliser_Products_Data1(), FertiliserProducts[[#Headers],[Company]],1)</f>
        <v>4.7E-2</v>
      </c>
      <c r="W99" s="172" t="str" cm="1">
        <f t="array" ref="W99">Common_InputFunctions.Utility_DisplayArrayInTable(Fertiliser_SourceData.Fertiliser_Products_Data1(), FertiliserProducts[[#Headers],[Company]],1)</f>
        <v/>
      </c>
      <c r="X99" s="172" t="str" cm="1">
        <f t="array" ref="X99">Common_InputFunctions.Utility_DisplayArrayInTable(Fertiliser_SourceData.Fertiliser_Products_Data1(), FertiliserProducts[[#Headers],[Company]],1)</f>
        <v/>
      </c>
      <c r="Y99" s="172" t="str" cm="1">
        <f t="array" ref="Y99">Common_InputFunctions.Utility_DisplayArrayInTable(Fertiliser_SourceData.Fertiliser_Products_Data1(), FertiliserProducts[[#Headers],[Company]],1)</f>
        <v/>
      </c>
      <c r="Z99" s="172" t="str" cm="1">
        <f t="array" ref="Z99">Common_InputFunctions.Utility_DisplayArrayInTable(Fertiliser_SourceData.Fertiliser_Products_Data1(), FertiliserProducts[[#Headers],[Company]],1)</f>
        <v/>
      </c>
      <c r="AA99" s="172" t="str" cm="1">
        <f t="array" ref="AA99">Common_InputFunctions.Utility_DisplayArrayInTable(Fertiliser_SourceData.Fertiliser_Products_Data1(), FertiliserProducts[[#Headers],[Company]],1)</f>
        <v/>
      </c>
      <c r="AB99" s="172" t="str" cm="1">
        <f t="array" ref="AB99">Common_InputFunctions.Utility_DisplayArrayInTable(Fertiliser_SourceData.Fertiliser_Products_Data1(), FertiliserProducts[[#Headers],[Company]],1)</f>
        <v/>
      </c>
      <c r="AC99" s="172" t="str" cm="1">
        <f t="array" ref="AC99">Common_InputFunctions.Utility_DisplayArrayInTable(Fertiliser_SourceData.Fertiliser_Products_Data1(), FertiliserProducts[[#Headers],[Company]],1)</f>
        <v/>
      </c>
      <c r="AD99" s="172" t="str" cm="1">
        <f t="array" ref="AD99">Common_InputFunctions.Utility_DisplayArrayInTable(Fertiliser_SourceData.Fertiliser_Products_Data1(), FertiliserProducts[[#Headers],[Company]],1)</f>
        <v/>
      </c>
      <c r="AE99" s="172" t="str" cm="1">
        <f t="array" ref="AE99">Common_InputFunctions.Utility_DisplayArrayInTable(Fertiliser_SourceData.Fertiliser_Products_Data1(), FertiliserProducts[[#Headers],[Company]],1)</f>
        <v/>
      </c>
      <c r="AF99" s="172" t="str" cm="1">
        <f t="array" ref="AF99">Common_InputFunctions.Utility_DisplayArrayInTable(Fertiliser_SourceData.Fertiliser_Products_Data1(), FertiliserProducts[[#Headers],[Company]],1)</f>
        <v/>
      </c>
      <c r="AG99" s="172" t="str" cm="1">
        <f t="array" ref="AG99">Common_InputFunctions.Utility_DisplayArrayInTable(Fertiliser_SourceData.Fertiliser_Products_Data1(), FertiliserProducts[[#Headers],[Company]],1)</f>
        <v/>
      </c>
      <c r="AH99" s="172" t="str" cm="1">
        <f t="array" ref="AH99">Common_InputFunctions.Utility_DisplayArrayInTable(Fertiliser_SourceData.Fertiliser_Products_Data1(), FertiliserProducts[[#Headers],[Company]],1)</f>
        <v/>
      </c>
      <c r="AK99" s="1"/>
      <c r="AL99" s="1"/>
      <c r="AM99" s="1"/>
    </row>
    <row r="100" spans="4:39" ht="20.100000000000001" customHeight="1" x14ac:dyDescent="0.25">
      <c r="D100" s="172" t="str" cm="1">
        <f t="array" ref="D100">Common_InputFunctions.Utility_DisplayArrayInTable(Fertiliser_SourceData.Fertiliser_Products_Data1(), FertiliserProducts[[#Headers],[Company]],1)</f>
        <v>Campbells fertilisers Australia</v>
      </c>
      <c r="E100" s="172" t="str" cm="1">
        <f t="array" ref="E100">Common_InputFunctions.Utility_DisplayArrayInTable(Fertiliser_SourceData.Fertiliser_Products_Data1(), FertiliserProducts[[#Headers],[Company]],1)</f>
        <v>Boost-It</v>
      </c>
      <c r="F100" s="172" t="str" cm="1">
        <f t="array" ref="F100">Common_InputFunctions.Utility_DisplayArrayInTable(Fertiliser_SourceData.Fertiliser_Products_Data1(), FertiliserProducts[[#Headers],[Company]],1)</f>
        <v>kg</v>
      </c>
      <c r="G100" s="172" cm="1">
        <f t="array" ref="G100">Common_InputFunctions.Utility_DisplayArrayInTable(Fertiliser_SourceData.Fertiliser_Products_Data1(), FertiliserProducts[[#Headers],[Company]],1)</f>
        <v>1</v>
      </c>
      <c r="H100" s="172" t="str" cm="1">
        <f t="array" ref="H100">Common_InputFunctions.Utility_DisplayArrayInTable(Fertiliser_SourceData.Fertiliser_Products_Data1(), FertiliserProducts[[#Headers],[Company]],1)</f>
        <v/>
      </c>
      <c r="I100" s="172" t="str" cm="1">
        <f t="array" ref="I100">Common_InputFunctions.Utility_DisplayArrayInTable(Fertiliser_SourceData.Fertiliser_Products_Data1(), FertiliserProducts[[#Headers],[Company]],1)</f>
        <v/>
      </c>
      <c r="J100" s="172" t="str" cm="1">
        <f t="array" ref="J100">Common_InputFunctions.Utility_DisplayArrayInTable(Fertiliser_SourceData.Fertiliser_Products_Data1(), FertiliserProducts[[#Headers],[Company]],1)</f>
        <v/>
      </c>
      <c r="K100" s="172" cm="1">
        <f t="array" ref="K100">Common_InputFunctions.Utility_DisplayArrayInTable(Fertiliser_SourceData.Fertiliser_Products_Data1(), FertiliserProducts[[#Headers],[Company]],1)</f>
        <v>24</v>
      </c>
      <c r="L100" s="172" cm="1">
        <f t="array" ref="L100">Common_InputFunctions.Utility_DisplayArrayInTable(Fertiliser_SourceData.Fertiliser_Products_Data1(), FertiliserProducts[[#Headers],[Company]],1)</f>
        <v>5.2</v>
      </c>
      <c r="M100" s="172" cm="1">
        <f t="array" ref="M100">Common_InputFunctions.Utility_DisplayArrayInTable(Fertiliser_SourceData.Fertiliser_Products_Data1(), FertiliserProducts[[#Headers],[Company]],1)</f>
        <v>8</v>
      </c>
      <c r="N100" s="172" cm="1">
        <f t="array" ref="N100">Common_InputFunctions.Utility_DisplayArrayInTable(Fertiliser_SourceData.Fertiliser_Products_Data1(), FertiliserProducts[[#Headers],[Company]],1)</f>
        <v>5.3</v>
      </c>
      <c r="O100" s="172" t="str" cm="1">
        <f t="array" ref="O100">Common_InputFunctions.Utility_DisplayArrayInTable(Fertiliser_SourceData.Fertiliser_Products_Data1(), FertiliserProducts[[#Headers],[Company]],1)</f>
        <v>Urea</v>
      </c>
      <c r="P100" s="172" cm="1">
        <f t="array" ref="P100">Common_InputFunctions.Utility_DisplayArrayInTable(Fertiliser_SourceData.Fertiliser_Products_Data1(), FertiliserProducts[[#Headers],[Company]],1)</f>
        <v>0.52173899999999995</v>
      </c>
      <c r="Q100" s="172" t="str" cm="1">
        <f t="array" ref="Q100">Common_InputFunctions.Utility_DisplayArrayInTable(Fertiliser_SourceData.Fertiliser_Products_Data1(), FertiliserProducts[[#Headers],[Company]],1)</f>
        <v>Potassium - Generic</v>
      </c>
      <c r="R100" s="172" cm="1">
        <f t="array" ref="R100">Common_InputFunctions.Utility_DisplayArrayInTable(Fertiliser_SourceData.Fertiliser_Products_Data1(), FertiliserProducts[[#Headers],[Company]],1)</f>
        <v>0.08</v>
      </c>
      <c r="S100" s="172" t="str" cm="1">
        <f t="array" ref="S100">Common_InputFunctions.Utility_DisplayArrayInTable(Fertiliser_SourceData.Fertiliser_Products_Data1(), FertiliserProducts[[#Headers],[Company]],1)</f>
        <v>Sulfur - Generic</v>
      </c>
      <c r="T100" s="172" cm="1">
        <f t="array" ref="T100">Common_InputFunctions.Utility_DisplayArrayInTable(Fertiliser_SourceData.Fertiliser_Products_Data1(), FertiliserProducts[[#Headers],[Company]],1)</f>
        <v>5.2999999999999999E-2</v>
      </c>
      <c r="U100" s="172" t="str" cm="1">
        <f t="array" ref="U100">Common_InputFunctions.Utility_DisplayArrayInTable(Fertiliser_SourceData.Fertiliser_Products_Data1(), FertiliserProducts[[#Headers],[Company]],1)</f>
        <v>Phosphorus - Generic</v>
      </c>
      <c r="V100" s="172" cm="1">
        <f t="array" ref="V100">Common_InputFunctions.Utility_DisplayArrayInTable(Fertiliser_SourceData.Fertiliser_Products_Data1(), FertiliserProducts[[#Headers],[Company]],1)</f>
        <v>5.1999999999999998E-2</v>
      </c>
      <c r="W100" s="172" t="str" cm="1">
        <f t="array" ref="W100">Common_InputFunctions.Utility_DisplayArrayInTable(Fertiliser_SourceData.Fertiliser_Products_Data1(), FertiliserProducts[[#Headers],[Company]],1)</f>
        <v>Magnesium</v>
      </c>
      <c r="X100" s="172" cm="1">
        <f t="array" ref="X100">Common_InputFunctions.Utility_DisplayArrayInTable(Fertiliser_SourceData.Fertiliser_Products_Data1(), FertiliserProducts[[#Headers],[Company]],1)</f>
        <v>1.2999999999999999E-2</v>
      </c>
      <c r="Y100" s="172" t="str" cm="1">
        <f t="array" ref="Y100">Common_InputFunctions.Utility_DisplayArrayInTable(Fertiliser_SourceData.Fertiliser_Products_Data1(), FertiliserProducts[[#Headers],[Company]],1)</f>
        <v>Zinc</v>
      </c>
      <c r="Z100" s="172" cm="1">
        <f t="array" ref="Z100">Common_InputFunctions.Utility_DisplayArrayInTable(Fertiliser_SourceData.Fertiliser_Products_Data1(), FertiliserProducts[[#Headers],[Company]],1)</f>
        <v>2E-3</v>
      </c>
      <c r="AA100" s="172" t="str" cm="1">
        <f t="array" ref="AA100">Common_InputFunctions.Utility_DisplayArrayInTable(Fertiliser_SourceData.Fertiliser_Products_Data1(), FertiliserProducts[[#Headers],[Company]],1)</f>
        <v>Manganese</v>
      </c>
      <c r="AB100" s="172" cm="1">
        <f t="array" ref="AB100">Common_InputFunctions.Utility_DisplayArrayInTable(Fertiliser_SourceData.Fertiliser_Products_Data1(), FertiliserProducts[[#Headers],[Company]],1)</f>
        <v>3.5000000000000001E-3</v>
      </c>
      <c r="AC100" s="172" t="str" cm="1">
        <f t="array" ref="AC100">Common_InputFunctions.Utility_DisplayArrayInTable(Fertiliser_SourceData.Fertiliser_Products_Data1(), FertiliserProducts[[#Headers],[Company]],1)</f>
        <v>Iron</v>
      </c>
      <c r="AD100" s="172" cm="1">
        <f t="array" ref="AD100">Common_InputFunctions.Utility_DisplayArrayInTable(Fertiliser_SourceData.Fertiliser_Products_Data1(), FertiliserProducts[[#Headers],[Company]],1)</f>
        <v>1.2999999999999999E-3</v>
      </c>
      <c r="AE100" s="172" t="str" cm="1">
        <f t="array" ref="AE100">Common_InputFunctions.Utility_DisplayArrayInTable(Fertiliser_SourceData.Fertiliser_Products_Data1(), FertiliserProducts[[#Headers],[Company]],1)</f>
        <v>Copper</v>
      </c>
      <c r="AF100" s="172" cm="1">
        <f t="array" ref="AF100">Common_InputFunctions.Utility_DisplayArrayInTable(Fertiliser_SourceData.Fertiliser_Products_Data1(), FertiliserProducts[[#Headers],[Company]],1)</f>
        <v>6.9999999999999999E-4</v>
      </c>
      <c r="AG100" s="172" t="str" cm="1">
        <f t="array" ref="AG100">Common_InputFunctions.Utility_DisplayArrayInTable(Fertiliser_SourceData.Fertiliser_Products_Data1(), FertiliserProducts[[#Headers],[Company]],1)</f>
        <v>Boron</v>
      </c>
      <c r="AH100" s="172" cm="1">
        <f t="array" ref="AH100">Common_InputFunctions.Utility_DisplayArrayInTable(Fertiliser_SourceData.Fertiliser_Products_Data1(), FertiliserProducts[[#Headers],[Company]],1)</f>
        <v>6.9999999999999999E-4</v>
      </c>
      <c r="AK100" s="1"/>
      <c r="AL100" s="1"/>
      <c r="AM100" s="1"/>
    </row>
    <row r="101" spans="4:39" ht="20.100000000000001" customHeight="1" x14ac:dyDescent="0.25">
      <c r="D101" s="172" t="str" cm="1">
        <f t="array" ref="D101">Common_InputFunctions.Utility_DisplayArrayInTable(Fertiliser_SourceData.Fertiliser_Products_Data1(), FertiliserProducts[[#Headers],[Company]],1)</f>
        <v>Campbells fertilisers Australia</v>
      </c>
      <c r="E101" s="172" t="str" cm="1">
        <f t="array" ref="E101">Common_InputFunctions.Utility_DisplayArrayInTable(Fertiliser_SourceData.Fertiliser_Products_Data1(), FertiliserProducts[[#Headers],[Company]],1)</f>
        <v>Bronze</v>
      </c>
      <c r="F101" s="172" t="str" cm="1">
        <f t="array" ref="F101">Common_InputFunctions.Utility_DisplayArrayInTable(Fertiliser_SourceData.Fertiliser_Products_Data1(), FertiliserProducts[[#Headers],[Company]],1)</f>
        <v>kg</v>
      </c>
      <c r="G101" s="172" cm="1">
        <f t="array" ref="G101">Common_InputFunctions.Utility_DisplayArrayInTable(Fertiliser_SourceData.Fertiliser_Products_Data1(), FertiliserProducts[[#Headers],[Company]],1)</f>
        <v>1</v>
      </c>
      <c r="H101" s="172" t="str" cm="1">
        <f t="array" ref="H101">Common_InputFunctions.Utility_DisplayArrayInTable(Fertiliser_SourceData.Fertiliser_Products_Data1(), FertiliserProducts[[#Headers],[Company]],1)</f>
        <v/>
      </c>
      <c r="I101" s="172" t="str" cm="1">
        <f t="array" ref="I101">Common_InputFunctions.Utility_DisplayArrayInTable(Fertiliser_SourceData.Fertiliser_Products_Data1(), FertiliserProducts[[#Headers],[Company]],1)</f>
        <v/>
      </c>
      <c r="J101" s="172" t="str" cm="1">
        <f t="array" ref="J101">Common_InputFunctions.Utility_DisplayArrayInTable(Fertiliser_SourceData.Fertiliser_Products_Data1(), FertiliserProducts[[#Headers],[Company]],1)</f>
        <v/>
      </c>
      <c r="K101" s="172" cm="1">
        <f t="array" ref="K101">Common_InputFunctions.Utility_DisplayArrayInTable(Fertiliser_SourceData.Fertiliser_Products_Data1(), FertiliserProducts[[#Headers],[Company]],1)</f>
        <v>17</v>
      </c>
      <c r="L101" s="172" cm="1">
        <f t="array" ref="L101">Common_InputFunctions.Utility_DisplayArrayInTable(Fertiliser_SourceData.Fertiliser_Products_Data1(), FertiliserProducts[[#Headers],[Company]],1)</f>
        <v>0.04</v>
      </c>
      <c r="M101" s="172" cm="1">
        <f t="array" ref="M101">Common_InputFunctions.Utility_DisplayArrayInTable(Fertiliser_SourceData.Fertiliser_Products_Data1(), FertiliserProducts[[#Headers],[Company]],1)</f>
        <v>11.6</v>
      </c>
      <c r="N101" s="172" cm="1">
        <f t="array" ref="N101">Common_InputFunctions.Utility_DisplayArrayInTable(Fertiliser_SourceData.Fertiliser_Products_Data1(), FertiliserProducts[[#Headers],[Company]],1)</f>
        <v>0.5</v>
      </c>
      <c r="O101" s="172" t="str" cm="1">
        <f t="array" ref="O101">Common_InputFunctions.Utility_DisplayArrayInTable(Fertiliser_SourceData.Fertiliser_Products_Data1(), FertiliserProducts[[#Headers],[Company]],1)</f>
        <v>Muriate of potash (MOP)</v>
      </c>
      <c r="P101" s="172" cm="1">
        <f t="array" ref="P101">Common_InputFunctions.Utility_DisplayArrayInTable(Fertiliser_SourceData.Fertiliser_Products_Data1(), FertiliserProducts[[#Headers],[Company]],1)</f>
        <v>0.23200000000000001</v>
      </c>
      <c r="Q101" s="172" t="str" cm="1">
        <f t="array" ref="Q101">Common_InputFunctions.Utility_DisplayArrayInTable(Fertiliser_SourceData.Fertiliser_Products_Data1(), FertiliserProducts[[#Headers],[Company]],1)</f>
        <v>Nitrogen - Generic</v>
      </c>
      <c r="R101" s="172" cm="1">
        <f t="array" ref="R101">Common_InputFunctions.Utility_DisplayArrayInTable(Fertiliser_SourceData.Fertiliser_Products_Data1(), FertiliserProducts[[#Headers],[Company]],1)</f>
        <v>0.17</v>
      </c>
      <c r="S101" s="172" t="str" cm="1">
        <f t="array" ref="S101">Common_InputFunctions.Utility_DisplayArrayInTable(Fertiliser_SourceData.Fertiliser_Products_Data1(), FertiliserProducts[[#Headers],[Company]],1)</f>
        <v>Sulfur - Generic</v>
      </c>
      <c r="T101" s="172" cm="1">
        <f t="array" ref="T101">Common_InputFunctions.Utility_DisplayArrayInTable(Fertiliser_SourceData.Fertiliser_Products_Data1(), FertiliserProducts[[#Headers],[Company]],1)</f>
        <v>5.0000000000000001E-3</v>
      </c>
      <c r="U101" s="172" t="str" cm="1">
        <f t="array" ref="U101">Common_InputFunctions.Utility_DisplayArrayInTable(Fertiliser_SourceData.Fertiliser_Products_Data1(), FertiliserProducts[[#Headers],[Company]],1)</f>
        <v>Magnesium</v>
      </c>
      <c r="V101" s="172" cm="1">
        <f t="array" ref="V101">Common_InputFunctions.Utility_DisplayArrayInTable(Fertiliser_SourceData.Fertiliser_Products_Data1(), FertiliserProducts[[#Headers],[Company]],1)</f>
        <v>2.3999999999999998E-3</v>
      </c>
      <c r="W101" s="172" t="str" cm="1">
        <f t="array" ref="W101">Common_InputFunctions.Utility_DisplayArrayInTable(Fertiliser_SourceData.Fertiliser_Products_Data1(), FertiliserProducts[[#Headers],[Company]],1)</f>
        <v>Phosphorus - Generic</v>
      </c>
      <c r="X101" s="172" cm="1">
        <f t="array" ref="X101">Common_InputFunctions.Utility_DisplayArrayInTable(Fertiliser_SourceData.Fertiliser_Products_Data1(), FertiliserProducts[[#Headers],[Company]],1)</f>
        <v>4.0000000000000002E-4</v>
      </c>
      <c r="Y101" s="172" t="str" cm="1">
        <f t="array" ref="Y101">Common_InputFunctions.Utility_DisplayArrayInTable(Fertiliser_SourceData.Fertiliser_Products_Data1(), FertiliserProducts[[#Headers],[Company]],1)</f>
        <v/>
      </c>
      <c r="Z101" s="172" t="str" cm="1">
        <f t="array" ref="Z101">Common_InputFunctions.Utility_DisplayArrayInTable(Fertiliser_SourceData.Fertiliser_Products_Data1(), FertiliserProducts[[#Headers],[Company]],1)</f>
        <v/>
      </c>
      <c r="AA101" s="172" t="str" cm="1">
        <f t="array" ref="AA101">Common_InputFunctions.Utility_DisplayArrayInTable(Fertiliser_SourceData.Fertiliser_Products_Data1(), FertiliserProducts[[#Headers],[Company]],1)</f>
        <v/>
      </c>
      <c r="AB101" s="172" t="str" cm="1">
        <f t="array" ref="AB101">Common_InputFunctions.Utility_DisplayArrayInTable(Fertiliser_SourceData.Fertiliser_Products_Data1(), FertiliserProducts[[#Headers],[Company]],1)</f>
        <v/>
      </c>
      <c r="AC101" s="172" t="str" cm="1">
        <f t="array" ref="AC101">Common_InputFunctions.Utility_DisplayArrayInTable(Fertiliser_SourceData.Fertiliser_Products_Data1(), FertiliserProducts[[#Headers],[Company]],1)</f>
        <v/>
      </c>
      <c r="AD101" s="172" t="str" cm="1">
        <f t="array" ref="AD101">Common_InputFunctions.Utility_DisplayArrayInTable(Fertiliser_SourceData.Fertiliser_Products_Data1(), FertiliserProducts[[#Headers],[Company]],1)</f>
        <v/>
      </c>
      <c r="AE101" s="172" t="str" cm="1">
        <f t="array" ref="AE101">Common_InputFunctions.Utility_DisplayArrayInTable(Fertiliser_SourceData.Fertiliser_Products_Data1(), FertiliserProducts[[#Headers],[Company]],1)</f>
        <v/>
      </c>
      <c r="AF101" s="172" t="str" cm="1">
        <f t="array" ref="AF101">Common_InputFunctions.Utility_DisplayArrayInTable(Fertiliser_SourceData.Fertiliser_Products_Data1(), FertiliserProducts[[#Headers],[Company]],1)</f>
        <v/>
      </c>
      <c r="AG101" s="172" t="str" cm="1">
        <f t="array" ref="AG101">Common_InputFunctions.Utility_DisplayArrayInTable(Fertiliser_SourceData.Fertiliser_Products_Data1(), FertiliserProducts[[#Headers],[Company]],1)</f>
        <v/>
      </c>
      <c r="AH101" s="172" t="str" cm="1">
        <f t="array" ref="AH101">Common_InputFunctions.Utility_DisplayArrayInTable(Fertiliser_SourceData.Fertiliser_Products_Data1(), FertiliserProducts[[#Headers],[Company]],1)</f>
        <v/>
      </c>
      <c r="AK101" s="1"/>
      <c r="AL101" s="1"/>
      <c r="AM101" s="1"/>
    </row>
    <row r="102" spans="4:39" ht="20.100000000000001" customHeight="1" x14ac:dyDescent="0.25">
      <c r="D102" s="172" t="str" cm="1">
        <f t="array" ref="D102">Common_InputFunctions.Utility_DisplayArrayInTable(Fertiliser_SourceData.Fertiliser_Products_Data1(), FertiliserProducts[[#Headers],[Company]],1)</f>
        <v>Campbells fertilisers Australia</v>
      </c>
      <c r="E102" s="172" t="str" cm="1">
        <f t="array" ref="E102">Common_InputFunctions.Utility_DisplayArrayInTable(Fertiliser_SourceData.Fertiliser_Products_Data1(), FertiliserProducts[[#Headers],[Company]],1)</f>
        <v>Calbit C</v>
      </c>
      <c r="F102" s="172" t="str" cm="1">
        <f t="array" ref="F102">Common_InputFunctions.Utility_DisplayArrayInTable(Fertiliser_SourceData.Fertiliser_Products_Data1(), FertiliserProducts[[#Headers],[Company]],1)</f>
        <v>L</v>
      </c>
      <c r="G102" s="172" cm="1">
        <f t="array" ref="G102">Common_InputFunctions.Utility_DisplayArrayInTable(Fertiliser_SourceData.Fertiliser_Products_Data1(), FertiliserProducts[[#Headers],[Company]],1)</f>
        <v>1.45</v>
      </c>
      <c r="H102" s="172" t="str" cm="1">
        <f t="array" ref="H102">Common_InputFunctions.Utility_DisplayArrayInTable(Fertiliser_SourceData.Fertiliser_Products_Data1(), FertiliserProducts[[#Headers],[Company]],1)</f>
        <v/>
      </c>
      <c r="I102" s="172" t="str" cm="1">
        <f t="array" ref="I102">Common_InputFunctions.Utility_DisplayArrayInTable(Fertiliser_SourceData.Fertiliser_Products_Data1(), FertiliserProducts[[#Headers],[Company]],1)</f>
        <v/>
      </c>
      <c r="J102" s="172" t="str" cm="1">
        <f t="array" ref="J102">Common_InputFunctions.Utility_DisplayArrayInTable(Fertiliser_SourceData.Fertiliser_Products_Data1(), FertiliserProducts[[#Headers],[Company]],1)</f>
        <v/>
      </c>
      <c r="K102" s="172" t="str" cm="1">
        <f t="array" ref="K102">Common_InputFunctions.Utility_DisplayArrayInTable(Fertiliser_SourceData.Fertiliser_Products_Data1(), FertiliserProducts[[#Headers],[Company]],1)</f>
        <v/>
      </c>
      <c r="L102" s="172" t="str" cm="1">
        <f t="array" ref="L102">Common_InputFunctions.Utility_DisplayArrayInTable(Fertiliser_SourceData.Fertiliser_Products_Data1(), FertiliserProducts[[#Headers],[Company]],1)</f>
        <v/>
      </c>
      <c r="M102" s="172" t="str" cm="1">
        <f t="array" ref="M102">Common_InputFunctions.Utility_DisplayArrayInTable(Fertiliser_SourceData.Fertiliser_Products_Data1(), FertiliserProducts[[#Headers],[Company]],1)</f>
        <v/>
      </c>
      <c r="N102" s="172" t="str" cm="1">
        <f t="array" ref="N102">Common_InputFunctions.Utility_DisplayArrayInTable(Fertiliser_SourceData.Fertiliser_Products_Data1(), FertiliserProducts[[#Headers],[Company]],1)</f>
        <v/>
      </c>
      <c r="O102" s="172" t="str" cm="1">
        <f t="array" ref="O102">Common_InputFunctions.Utility_DisplayArrayInTable(Fertiliser_SourceData.Fertiliser_Products_Data1(), FertiliserProducts[[#Headers],[Company]],1)</f>
        <v>Calcium</v>
      </c>
      <c r="P102" s="172" cm="1">
        <f t="array" ref="P102">Common_InputFunctions.Utility_DisplayArrayInTable(Fertiliser_SourceData.Fertiliser_Products_Data1(), FertiliserProducts[[#Headers],[Company]],1)</f>
        <v>0.107</v>
      </c>
      <c r="Q102" s="172" t="str" cm="1">
        <f t="array" ref="Q102">Common_InputFunctions.Utility_DisplayArrayInTable(Fertiliser_SourceData.Fertiliser_Products_Data1(), FertiliserProducts[[#Headers],[Company]],1)</f>
        <v/>
      </c>
      <c r="R102" s="172" t="str" cm="1">
        <f t="array" ref="R102">Common_InputFunctions.Utility_DisplayArrayInTable(Fertiliser_SourceData.Fertiliser_Products_Data1(), FertiliserProducts[[#Headers],[Company]],1)</f>
        <v/>
      </c>
      <c r="S102" s="172" t="str" cm="1">
        <f t="array" ref="S102">Common_InputFunctions.Utility_DisplayArrayInTable(Fertiliser_SourceData.Fertiliser_Products_Data1(), FertiliserProducts[[#Headers],[Company]],1)</f>
        <v/>
      </c>
      <c r="T102" s="172" t="str" cm="1">
        <f t="array" ref="T102">Common_InputFunctions.Utility_DisplayArrayInTable(Fertiliser_SourceData.Fertiliser_Products_Data1(), FertiliserProducts[[#Headers],[Company]],1)</f>
        <v/>
      </c>
      <c r="U102" s="172" t="str" cm="1">
        <f t="array" ref="U102">Common_InputFunctions.Utility_DisplayArrayInTable(Fertiliser_SourceData.Fertiliser_Products_Data1(), FertiliserProducts[[#Headers],[Company]],1)</f>
        <v/>
      </c>
      <c r="V102" s="172" t="str" cm="1">
        <f t="array" ref="V102">Common_InputFunctions.Utility_DisplayArrayInTable(Fertiliser_SourceData.Fertiliser_Products_Data1(), FertiliserProducts[[#Headers],[Company]],1)</f>
        <v/>
      </c>
      <c r="W102" s="172" t="str" cm="1">
        <f t="array" ref="W102">Common_InputFunctions.Utility_DisplayArrayInTable(Fertiliser_SourceData.Fertiliser_Products_Data1(), FertiliserProducts[[#Headers],[Company]],1)</f>
        <v/>
      </c>
      <c r="X102" s="172" t="str" cm="1">
        <f t="array" ref="X102">Common_InputFunctions.Utility_DisplayArrayInTable(Fertiliser_SourceData.Fertiliser_Products_Data1(), FertiliserProducts[[#Headers],[Company]],1)</f>
        <v/>
      </c>
      <c r="Y102" s="172" t="str" cm="1">
        <f t="array" ref="Y102">Common_InputFunctions.Utility_DisplayArrayInTable(Fertiliser_SourceData.Fertiliser_Products_Data1(), FertiliserProducts[[#Headers],[Company]],1)</f>
        <v/>
      </c>
      <c r="Z102" s="172" t="str" cm="1">
        <f t="array" ref="Z102">Common_InputFunctions.Utility_DisplayArrayInTable(Fertiliser_SourceData.Fertiliser_Products_Data1(), FertiliserProducts[[#Headers],[Company]],1)</f>
        <v/>
      </c>
      <c r="AA102" s="172" t="str" cm="1">
        <f t="array" ref="AA102">Common_InputFunctions.Utility_DisplayArrayInTable(Fertiliser_SourceData.Fertiliser_Products_Data1(), FertiliserProducts[[#Headers],[Company]],1)</f>
        <v/>
      </c>
      <c r="AB102" s="172" t="str" cm="1">
        <f t="array" ref="AB102">Common_InputFunctions.Utility_DisplayArrayInTable(Fertiliser_SourceData.Fertiliser_Products_Data1(), FertiliserProducts[[#Headers],[Company]],1)</f>
        <v/>
      </c>
      <c r="AC102" s="172" t="str" cm="1">
        <f t="array" ref="AC102">Common_InputFunctions.Utility_DisplayArrayInTable(Fertiliser_SourceData.Fertiliser_Products_Data1(), FertiliserProducts[[#Headers],[Company]],1)</f>
        <v/>
      </c>
      <c r="AD102" s="172" t="str" cm="1">
        <f t="array" ref="AD102">Common_InputFunctions.Utility_DisplayArrayInTable(Fertiliser_SourceData.Fertiliser_Products_Data1(), FertiliserProducts[[#Headers],[Company]],1)</f>
        <v/>
      </c>
      <c r="AE102" s="172" t="str" cm="1">
        <f t="array" ref="AE102">Common_InputFunctions.Utility_DisplayArrayInTable(Fertiliser_SourceData.Fertiliser_Products_Data1(), FertiliserProducts[[#Headers],[Company]],1)</f>
        <v/>
      </c>
      <c r="AF102" s="172" t="str" cm="1">
        <f t="array" ref="AF102">Common_InputFunctions.Utility_DisplayArrayInTable(Fertiliser_SourceData.Fertiliser_Products_Data1(), FertiliserProducts[[#Headers],[Company]],1)</f>
        <v/>
      </c>
      <c r="AG102" s="172" t="str" cm="1">
        <f t="array" ref="AG102">Common_InputFunctions.Utility_DisplayArrayInTable(Fertiliser_SourceData.Fertiliser_Products_Data1(), FertiliserProducts[[#Headers],[Company]],1)</f>
        <v/>
      </c>
      <c r="AH102" s="172" t="str" cm="1">
        <f t="array" ref="AH102">Common_InputFunctions.Utility_DisplayArrayInTable(Fertiliser_SourceData.Fertiliser_Products_Data1(), FertiliserProducts[[#Headers],[Company]],1)</f>
        <v/>
      </c>
      <c r="AK102" s="1"/>
      <c r="AL102" s="1"/>
      <c r="AM102" s="1"/>
    </row>
    <row r="103" spans="4:39" ht="20.100000000000001" customHeight="1" x14ac:dyDescent="0.25">
      <c r="D103" s="172" t="str" cm="1">
        <f t="array" ref="D103">Common_InputFunctions.Utility_DisplayArrayInTable(Fertiliser_SourceData.Fertiliser_Products_Data1(), FertiliserProducts[[#Headers],[Company]],1)</f>
        <v>Campbells fertilisers Australia</v>
      </c>
      <c r="E103" s="172" t="str" cm="1">
        <f t="array" ref="E103">Common_InputFunctions.Utility_DisplayArrayInTable(Fertiliser_SourceData.Fertiliser_Products_Data1(), FertiliserProducts[[#Headers],[Company]],1)</f>
        <v>Compass</v>
      </c>
      <c r="F103" s="172" t="str" cm="1">
        <f t="array" ref="F103">Common_InputFunctions.Utility_DisplayArrayInTable(Fertiliser_SourceData.Fertiliser_Products_Data1(), FertiliserProducts[[#Headers],[Company]],1)</f>
        <v>kg</v>
      </c>
      <c r="G103" s="172" cm="1">
        <f t="array" ref="G103">Common_InputFunctions.Utility_DisplayArrayInTable(Fertiliser_SourceData.Fertiliser_Products_Data1(), FertiliserProducts[[#Headers],[Company]],1)</f>
        <v>1</v>
      </c>
      <c r="H103" s="172" t="str" cm="1">
        <f t="array" ref="H103">Common_InputFunctions.Utility_DisplayArrayInTable(Fertiliser_SourceData.Fertiliser_Products_Data1(), FertiliserProducts[[#Headers],[Company]],1)</f>
        <v/>
      </c>
      <c r="I103" s="172" t="str" cm="1">
        <f t="array" ref="I103">Common_InputFunctions.Utility_DisplayArrayInTable(Fertiliser_SourceData.Fertiliser_Products_Data1(), FertiliserProducts[[#Headers],[Company]],1)</f>
        <v/>
      </c>
      <c r="J103" s="172" t="str" cm="1">
        <f t="array" ref="J103">Common_InputFunctions.Utility_DisplayArrayInTable(Fertiliser_SourceData.Fertiliser_Products_Data1(), FertiliserProducts[[#Headers],[Company]],1)</f>
        <v/>
      </c>
      <c r="K103" s="172" cm="1">
        <f t="array" ref="K103">Common_InputFunctions.Utility_DisplayArrayInTable(Fertiliser_SourceData.Fertiliser_Products_Data1(), FertiliserProducts[[#Headers],[Company]],1)</f>
        <v>15</v>
      </c>
      <c r="L103" s="172" cm="1">
        <f t="array" ref="L103">Common_InputFunctions.Utility_DisplayArrayInTable(Fertiliser_SourceData.Fertiliser_Products_Data1(), FertiliserProducts[[#Headers],[Company]],1)</f>
        <v>6.5</v>
      </c>
      <c r="M103" s="172" cm="1">
        <f t="array" ref="M103">Common_InputFunctions.Utility_DisplayArrayInTable(Fertiliser_SourceData.Fertiliser_Products_Data1(), FertiliserProducts[[#Headers],[Company]],1)</f>
        <v>12.5</v>
      </c>
      <c r="N103" s="172" cm="1">
        <f t="array" ref="N103">Common_InputFunctions.Utility_DisplayArrayInTable(Fertiliser_SourceData.Fertiliser_Products_Data1(), FertiliserProducts[[#Headers],[Company]],1)</f>
        <v>6</v>
      </c>
      <c r="O103" s="172" t="str" cm="1">
        <f t="array" ref="O103">Common_InputFunctions.Utility_DisplayArrayInTable(Fertiliser_SourceData.Fertiliser_Products_Data1(), FertiliserProducts[[#Headers],[Company]],1)</f>
        <v>Nitrogen - Ammoniacal</v>
      </c>
      <c r="P103" s="172" cm="1">
        <f t="array" ref="P103">Common_InputFunctions.Utility_DisplayArrayInTable(Fertiliser_SourceData.Fertiliser_Products_Data1(), FertiliserProducts[[#Headers],[Company]],1)</f>
        <v>7.4999999999999997E-2</v>
      </c>
      <c r="Q103" s="172" t="str" cm="1">
        <f t="array" ref="Q103">Common_InputFunctions.Utility_DisplayArrayInTable(Fertiliser_SourceData.Fertiliser_Products_Data1(), FertiliserProducts[[#Headers],[Company]],1)</f>
        <v>Nitrogen - Nitrate</v>
      </c>
      <c r="R103" s="172" cm="1">
        <f t="array" ref="R103">Common_InputFunctions.Utility_DisplayArrayInTable(Fertiliser_SourceData.Fertiliser_Products_Data1(), FertiliserProducts[[#Headers],[Company]],1)</f>
        <v>7.4999999999999997E-2</v>
      </c>
      <c r="S103" s="172" t="str" cm="1">
        <f t="array" ref="S103">Common_InputFunctions.Utility_DisplayArrayInTable(Fertiliser_SourceData.Fertiliser_Products_Data1(), FertiliserProducts[[#Headers],[Company]],1)</f>
        <v>Potassium - Generic</v>
      </c>
      <c r="T103" s="172" cm="1">
        <f t="array" ref="T103">Common_InputFunctions.Utility_DisplayArrayInTable(Fertiliser_SourceData.Fertiliser_Products_Data1(), FertiliserProducts[[#Headers],[Company]],1)</f>
        <v>0.125</v>
      </c>
      <c r="U103" s="172" t="str" cm="1">
        <f t="array" ref="U103">Common_InputFunctions.Utility_DisplayArrayInTable(Fertiliser_SourceData.Fertiliser_Products_Data1(), FertiliserProducts[[#Headers],[Company]],1)</f>
        <v>Phosphorus - Generic</v>
      </c>
      <c r="V103" s="172" cm="1">
        <f t="array" ref="V103">Common_InputFunctions.Utility_DisplayArrayInTable(Fertiliser_SourceData.Fertiliser_Products_Data1(), FertiliserProducts[[#Headers],[Company]],1)</f>
        <v>6.5000000000000002E-2</v>
      </c>
      <c r="W103" s="172" t="str" cm="1">
        <f t="array" ref="W103">Common_InputFunctions.Utility_DisplayArrayInTable(Fertiliser_SourceData.Fertiliser_Products_Data1(), FertiliserProducts[[#Headers],[Company]],1)</f>
        <v>Sulfur - Generic</v>
      </c>
      <c r="X103" s="172" cm="1">
        <f t="array" ref="X103">Common_InputFunctions.Utility_DisplayArrayInTable(Fertiliser_SourceData.Fertiliser_Products_Data1(), FertiliserProducts[[#Headers],[Company]],1)</f>
        <v>0.06</v>
      </c>
      <c r="Y103" s="172" t="str" cm="1">
        <f t="array" ref="Y103">Common_InputFunctions.Utility_DisplayArrayInTable(Fertiliser_SourceData.Fertiliser_Products_Data1(), FertiliserProducts[[#Headers],[Company]],1)</f>
        <v/>
      </c>
      <c r="Z103" s="172" t="str" cm="1">
        <f t="array" ref="Z103">Common_InputFunctions.Utility_DisplayArrayInTable(Fertiliser_SourceData.Fertiliser_Products_Data1(), FertiliserProducts[[#Headers],[Company]],1)</f>
        <v/>
      </c>
      <c r="AA103" s="172" t="str" cm="1">
        <f t="array" ref="AA103">Common_InputFunctions.Utility_DisplayArrayInTable(Fertiliser_SourceData.Fertiliser_Products_Data1(), FertiliserProducts[[#Headers],[Company]],1)</f>
        <v/>
      </c>
      <c r="AB103" s="172" t="str" cm="1">
        <f t="array" ref="AB103">Common_InputFunctions.Utility_DisplayArrayInTable(Fertiliser_SourceData.Fertiliser_Products_Data1(), FertiliserProducts[[#Headers],[Company]],1)</f>
        <v/>
      </c>
      <c r="AC103" s="172" t="str" cm="1">
        <f t="array" ref="AC103">Common_InputFunctions.Utility_DisplayArrayInTable(Fertiliser_SourceData.Fertiliser_Products_Data1(), FertiliserProducts[[#Headers],[Company]],1)</f>
        <v/>
      </c>
      <c r="AD103" s="172" t="str" cm="1">
        <f t="array" ref="AD103">Common_InputFunctions.Utility_DisplayArrayInTable(Fertiliser_SourceData.Fertiliser_Products_Data1(), FertiliserProducts[[#Headers],[Company]],1)</f>
        <v/>
      </c>
      <c r="AE103" s="172" t="str" cm="1">
        <f t="array" ref="AE103">Common_InputFunctions.Utility_DisplayArrayInTable(Fertiliser_SourceData.Fertiliser_Products_Data1(), FertiliserProducts[[#Headers],[Company]],1)</f>
        <v/>
      </c>
      <c r="AF103" s="172" t="str" cm="1">
        <f t="array" ref="AF103">Common_InputFunctions.Utility_DisplayArrayInTable(Fertiliser_SourceData.Fertiliser_Products_Data1(), FertiliserProducts[[#Headers],[Company]],1)</f>
        <v/>
      </c>
      <c r="AG103" s="172" t="str" cm="1">
        <f t="array" ref="AG103">Common_InputFunctions.Utility_DisplayArrayInTable(Fertiliser_SourceData.Fertiliser_Products_Data1(), FertiliserProducts[[#Headers],[Company]],1)</f>
        <v/>
      </c>
      <c r="AH103" s="172" t="str" cm="1">
        <f t="array" ref="AH103">Common_InputFunctions.Utility_DisplayArrayInTable(Fertiliser_SourceData.Fertiliser_Products_Data1(), FertiliserProducts[[#Headers],[Company]],1)</f>
        <v/>
      </c>
      <c r="AK103" s="1"/>
      <c r="AL103" s="1"/>
      <c r="AM103" s="1"/>
    </row>
    <row r="104" spans="4:39" ht="20.100000000000001" customHeight="1" x14ac:dyDescent="0.25">
      <c r="D104" s="172" t="str" cm="1">
        <f t="array" ref="D104">Common_InputFunctions.Utility_DisplayArrayInTable(Fertiliser_SourceData.Fertiliser_Products_Data1(), FertiliserProducts[[#Headers],[Company]],1)</f>
        <v>Campbells fertilisers Australia</v>
      </c>
      <c r="E104" s="172" t="str" cm="1">
        <f t="array" ref="E104">Common_InputFunctions.Utility_DisplayArrayInTable(Fertiliser_SourceData.Fertiliser_Products_Data1(), FertiliserProducts[[#Headers],[Company]],1)</f>
        <v>CoRoN 12-0-10</v>
      </c>
      <c r="F104" s="172" t="str" cm="1">
        <f t="array" ref="F104">Common_InputFunctions.Utility_DisplayArrayInTable(Fertiliser_SourceData.Fertiliser_Products_Data1(), FertiliserProducts[[#Headers],[Company]],1)</f>
        <v>L</v>
      </c>
      <c r="G104" s="172" cm="1">
        <f t="array" ref="G104">Common_InputFunctions.Utility_DisplayArrayInTable(Fertiliser_SourceData.Fertiliser_Products_Data1(), FertiliserProducts[[#Headers],[Company]],1)</f>
        <v>1.2150000000000001</v>
      </c>
      <c r="H104" s="172" t="str" cm="1">
        <f t="array" ref="H104">Common_InputFunctions.Utility_DisplayArrayInTable(Fertiliser_SourceData.Fertiliser_Products_Data1(), FertiliserProducts[[#Headers],[Company]],1)</f>
        <v/>
      </c>
      <c r="I104" s="172" t="str" cm="1">
        <f t="array" ref="I104">Common_InputFunctions.Utility_DisplayArrayInTable(Fertiliser_SourceData.Fertiliser_Products_Data1(), FertiliserProducts[[#Headers],[Company]],1)</f>
        <v/>
      </c>
      <c r="J104" s="172" t="str" cm="1">
        <f t="array" ref="J104">Common_InputFunctions.Utility_DisplayArrayInTable(Fertiliser_SourceData.Fertiliser_Products_Data1(), FertiliserProducts[[#Headers],[Company]],1)</f>
        <v/>
      </c>
      <c r="K104" s="172" cm="1">
        <f t="array" ref="K104">Common_InputFunctions.Utility_DisplayArrayInTable(Fertiliser_SourceData.Fertiliser_Products_Data1(), FertiliserProducts[[#Headers],[Company]],1)</f>
        <v>12</v>
      </c>
      <c r="L104" s="172" t="str" cm="1">
        <f t="array" ref="L104">Common_InputFunctions.Utility_DisplayArrayInTable(Fertiliser_SourceData.Fertiliser_Products_Data1(), FertiliserProducts[[#Headers],[Company]],1)</f>
        <v/>
      </c>
      <c r="M104" s="172" cm="1">
        <f t="array" ref="M104">Common_InputFunctions.Utility_DisplayArrayInTable(Fertiliser_SourceData.Fertiliser_Products_Data1(), FertiliserProducts[[#Headers],[Company]],1)</f>
        <v>10</v>
      </c>
      <c r="N104" s="172" t="str" cm="1">
        <f t="array" ref="N104">Common_InputFunctions.Utility_DisplayArrayInTable(Fertiliser_SourceData.Fertiliser_Products_Data1(), FertiliserProducts[[#Headers],[Company]],1)</f>
        <v/>
      </c>
      <c r="O104" s="172" t="str" cm="1">
        <f t="array" ref="O104">Common_InputFunctions.Utility_DisplayArrayInTable(Fertiliser_SourceData.Fertiliser_Products_Data1(), FertiliserProducts[[#Headers],[Company]],1)</f>
        <v>Urea</v>
      </c>
      <c r="P104" s="172" cm="1">
        <f t="array" ref="P104">Common_InputFunctions.Utility_DisplayArrayInTable(Fertiliser_SourceData.Fertiliser_Products_Data1(), FertiliserProducts[[#Headers],[Company]],1)</f>
        <v>0.19565199999999999</v>
      </c>
      <c r="Q104" s="172" t="str" cm="1">
        <f t="array" ref="Q104">Common_InputFunctions.Utility_DisplayArrayInTable(Fertiliser_SourceData.Fertiliser_Products_Data1(), FertiliserProducts[[#Headers],[Company]],1)</f>
        <v>Potassium - Generic</v>
      </c>
      <c r="R104" s="172" cm="1">
        <f t="array" ref="R104">Common_InputFunctions.Utility_DisplayArrayInTable(Fertiliser_SourceData.Fertiliser_Products_Data1(), FertiliserProducts[[#Headers],[Company]],1)</f>
        <v>0.1</v>
      </c>
      <c r="S104" s="172" t="str" cm="1">
        <f t="array" ref="S104">Common_InputFunctions.Utility_DisplayArrayInTable(Fertiliser_SourceData.Fertiliser_Products_Data1(), FertiliserProducts[[#Headers],[Company]],1)</f>
        <v>Nitrogen - Generic</v>
      </c>
      <c r="T104" s="172" cm="1">
        <f t="array" ref="T104">Common_InputFunctions.Utility_DisplayArrayInTable(Fertiliser_SourceData.Fertiliser_Products_Data1(), FertiliserProducts[[#Headers],[Company]],1)</f>
        <v>0.03</v>
      </c>
      <c r="U104" s="172" t="str" cm="1">
        <f t="array" ref="U104">Common_InputFunctions.Utility_DisplayArrayInTable(Fertiliser_SourceData.Fertiliser_Products_Data1(), FertiliserProducts[[#Headers],[Company]],1)</f>
        <v>Boron</v>
      </c>
      <c r="V104" s="172" cm="1">
        <f t="array" ref="V104">Common_InputFunctions.Utility_DisplayArrayInTable(Fertiliser_SourceData.Fertiliser_Products_Data1(), FertiliserProducts[[#Headers],[Company]],1)</f>
        <v>5.0000000000000001E-3</v>
      </c>
      <c r="W104" s="172" t="str" cm="1">
        <f t="array" ref="W104">Common_InputFunctions.Utility_DisplayArrayInTable(Fertiliser_SourceData.Fertiliser_Products_Data1(), FertiliserProducts[[#Headers],[Company]],1)</f>
        <v/>
      </c>
      <c r="X104" s="172" t="str" cm="1">
        <f t="array" ref="X104">Common_InputFunctions.Utility_DisplayArrayInTable(Fertiliser_SourceData.Fertiliser_Products_Data1(), FertiliserProducts[[#Headers],[Company]],1)</f>
        <v/>
      </c>
      <c r="Y104" s="172" t="str" cm="1">
        <f t="array" ref="Y104">Common_InputFunctions.Utility_DisplayArrayInTable(Fertiliser_SourceData.Fertiliser_Products_Data1(), FertiliserProducts[[#Headers],[Company]],1)</f>
        <v/>
      </c>
      <c r="Z104" s="172" t="str" cm="1">
        <f t="array" ref="Z104">Common_InputFunctions.Utility_DisplayArrayInTable(Fertiliser_SourceData.Fertiliser_Products_Data1(), FertiliserProducts[[#Headers],[Company]],1)</f>
        <v/>
      </c>
      <c r="AA104" s="172" t="str" cm="1">
        <f t="array" ref="AA104">Common_InputFunctions.Utility_DisplayArrayInTable(Fertiliser_SourceData.Fertiliser_Products_Data1(), FertiliserProducts[[#Headers],[Company]],1)</f>
        <v/>
      </c>
      <c r="AB104" s="172" t="str" cm="1">
        <f t="array" ref="AB104">Common_InputFunctions.Utility_DisplayArrayInTable(Fertiliser_SourceData.Fertiliser_Products_Data1(), FertiliserProducts[[#Headers],[Company]],1)</f>
        <v/>
      </c>
      <c r="AC104" s="172" t="str" cm="1">
        <f t="array" ref="AC104">Common_InputFunctions.Utility_DisplayArrayInTable(Fertiliser_SourceData.Fertiliser_Products_Data1(), FertiliserProducts[[#Headers],[Company]],1)</f>
        <v/>
      </c>
      <c r="AD104" s="172" t="str" cm="1">
        <f t="array" ref="AD104">Common_InputFunctions.Utility_DisplayArrayInTable(Fertiliser_SourceData.Fertiliser_Products_Data1(), FertiliserProducts[[#Headers],[Company]],1)</f>
        <v/>
      </c>
      <c r="AE104" s="172" t="str" cm="1">
        <f t="array" ref="AE104">Common_InputFunctions.Utility_DisplayArrayInTable(Fertiliser_SourceData.Fertiliser_Products_Data1(), FertiliserProducts[[#Headers],[Company]],1)</f>
        <v/>
      </c>
      <c r="AF104" s="172" t="str" cm="1">
        <f t="array" ref="AF104">Common_InputFunctions.Utility_DisplayArrayInTable(Fertiliser_SourceData.Fertiliser_Products_Data1(), FertiliserProducts[[#Headers],[Company]],1)</f>
        <v/>
      </c>
      <c r="AG104" s="172" t="str" cm="1">
        <f t="array" ref="AG104">Common_InputFunctions.Utility_DisplayArrayInTable(Fertiliser_SourceData.Fertiliser_Products_Data1(), FertiliserProducts[[#Headers],[Company]],1)</f>
        <v/>
      </c>
      <c r="AH104" s="172" t="str" cm="1">
        <f t="array" ref="AH104">Common_InputFunctions.Utility_DisplayArrayInTable(Fertiliser_SourceData.Fertiliser_Products_Data1(), FertiliserProducts[[#Headers],[Company]],1)</f>
        <v/>
      </c>
      <c r="AK104" s="1"/>
      <c r="AL104" s="1"/>
      <c r="AM104" s="1"/>
    </row>
    <row r="105" spans="4:39" ht="20.100000000000001" customHeight="1" x14ac:dyDescent="0.25">
      <c r="D105" s="172" t="str" cm="1">
        <f t="array" ref="D105">Common_InputFunctions.Utility_DisplayArrayInTable(Fertiliser_SourceData.Fertiliser_Products_Data1(), FertiliserProducts[[#Headers],[Company]],1)</f>
        <v>Campbells fertilisers Australia</v>
      </c>
      <c r="E105" s="172" t="str" cm="1">
        <f t="array" ref="E105">Common_InputFunctions.Utility_DisplayArrayInTable(Fertiliser_SourceData.Fertiliser_Products_Data1(), FertiliserProducts[[#Headers],[Company]],1)</f>
        <v>Maximum Quick-N</v>
      </c>
      <c r="F105" s="172" t="str" cm="1">
        <f t="array" ref="F105">Common_InputFunctions.Utility_DisplayArrayInTable(Fertiliser_SourceData.Fertiliser_Products_Data1(), FertiliserProducts[[#Headers],[Company]],1)</f>
        <v>kg</v>
      </c>
      <c r="G105" s="172" cm="1">
        <f t="array" ref="G105">Common_InputFunctions.Utility_DisplayArrayInTable(Fertiliser_SourceData.Fertiliser_Products_Data1(), FertiliserProducts[[#Headers],[Company]],1)</f>
        <v>1</v>
      </c>
      <c r="H105" s="172" t="str" cm="1">
        <f t="array" ref="H105">Common_InputFunctions.Utility_DisplayArrayInTable(Fertiliser_SourceData.Fertiliser_Products_Data1(), FertiliserProducts[[#Headers],[Company]],1)</f>
        <v/>
      </c>
      <c r="I105" s="172" t="str" cm="1">
        <f t="array" ref="I105">Common_InputFunctions.Utility_DisplayArrayInTable(Fertiliser_SourceData.Fertiliser_Products_Data1(), FertiliserProducts[[#Headers],[Company]],1)</f>
        <v/>
      </c>
      <c r="J105" s="172" t="str" cm="1">
        <f t="array" ref="J105">Common_InputFunctions.Utility_DisplayArrayInTable(Fertiliser_SourceData.Fertiliser_Products_Data1(), FertiliserProducts[[#Headers],[Company]],1)</f>
        <v/>
      </c>
      <c r="K105" s="172" cm="1">
        <f t="array" ref="K105">Common_InputFunctions.Utility_DisplayArrayInTable(Fertiliser_SourceData.Fertiliser_Products_Data1(), FertiliserProducts[[#Headers],[Company]],1)</f>
        <v>21.66</v>
      </c>
      <c r="L105" s="172" t="str" cm="1">
        <f t="array" ref="L105">Common_InputFunctions.Utility_DisplayArrayInTable(Fertiliser_SourceData.Fertiliser_Products_Data1(), FertiliserProducts[[#Headers],[Company]],1)</f>
        <v/>
      </c>
      <c r="M105" s="172" t="str" cm="1">
        <f t="array" ref="M105">Common_InputFunctions.Utility_DisplayArrayInTable(Fertiliser_SourceData.Fertiliser_Products_Data1(), FertiliserProducts[[#Headers],[Company]],1)</f>
        <v/>
      </c>
      <c r="N105" s="172" cm="1">
        <f t="array" ref="N105">Common_InputFunctions.Utility_DisplayArrayInTable(Fertiliser_SourceData.Fertiliser_Products_Data1(), FertiliserProducts[[#Headers],[Company]],1)</f>
        <v>13.2</v>
      </c>
      <c r="O105" s="172" t="str" cm="1">
        <f t="array" ref="O105">Common_InputFunctions.Utility_DisplayArrayInTable(Fertiliser_SourceData.Fertiliser_Products_Data1(), FertiliserProducts[[#Headers],[Company]],1)</f>
        <v>Sulphate of ammonia (SOA)</v>
      </c>
      <c r="P105" s="172" cm="1">
        <f t="array" ref="P105">Common_InputFunctions.Utility_DisplayArrayInTable(Fertiliser_SourceData.Fertiliser_Products_Data1(), FertiliserProducts[[#Headers],[Company]],1)</f>
        <v>0.55000000000000004</v>
      </c>
      <c r="Q105" s="172" t="str" cm="1">
        <f t="array" ref="Q105">Common_InputFunctions.Utility_DisplayArrayInTable(Fertiliser_SourceData.Fertiliser_Products_Data1(), FertiliserProducts[[#Headers],[Company]],1)</f>
        <v>Ammonium nitrate (AN)</v>
      </c>
      <c r="R105" s="172" cm="1">
        <f t="array" ref="R105">Common_InputFunctions.Utility_DisplayArrayInTable(Fertiliser_SourceData.Fertiliser_Products_Data1(), FertiliserProducts[[#Headers],[Company]],1)</f>
        <v>0.3</v>
      </c>
      <c r="S105" s="172" t="str" cm="1">
        <f t="array" ref="S105">Common_InputFunctions.Utility_DisplayArrayInTable(Fertiliser_SourceData.Fertiliser_Products_Data1(), FertiliserProducts[[#Headers],[Company]],1)</f>
        <v/>
      </c>
      <c r="T105" s="172" t="str" cm="1">
        <f t="array" ref="T105">Common_InputFunctions.Utility_DisplayArrayInTable(Fertiliser_SourceData.Fertiliser_Products_Data1(), FertiliserProducts[[#Headers],[Company]],1)</f>
        <v/>
      </c>
      <c r="U105" s="172" t="str" cm="1">
        <f t="array" ref="U105">Common_InputFunctions.Utility_DisplayArrayInTable(Fertiliser_SourceData.Fertiliser_Products_Data1(), FertiliserProducts[[#Headers],[Company]],1)</f>
        <v/>
      </c>
      <c r="V105" s="172" t="str" cm="1">
        <f t="array" ref="V105">Common_InputFunctions.Utility_DisplayArrayInTable(Fertiliser_SourceData.Fertiliser_Products_Data1(), FertiliserProducts[[#Headers],[Company]],1)</f>
        <v/>
      </c>
      <c r="W105" s="172" t="str" cm="1">
        <f t="array" ref="W105">Common_InputFunctions.Utility_DisplayArrayInTable(Fertiliser_SourceData.Fertiliser_Products_Data1(), FertiliserProducts[[#Headers],[Company]],1)</f>
        <v/>
      </c>
      <c r="X105" s="172" t="str" cm="1">
        <f t="array" ref="X105">Common_InputFunctions.Utility_DisplayArrayInTable(Fertiliser_SourceData.Fertiliser_Products_Data1(), FertiliserProducts[[#Headers],[Company]],1)</f>
        <v/>
      </c>
      <c r="Y105" s="172" t="str" cm="1">
        <f t="array" ref="Y105">Common_InputFunctions.Utility_DisplayArrayInTable(Fertiliser_SourceData.Fertiliser_Products_Data1(), FertiliserProducts[[#Headers],[Company]],1)</f>
        <v/>
      </c>
      <c r="Z105" s="172" t="str" cm="1">
        <f t="array" ref="Z105">Common_InputFunctions.Utility_DisplayArrayInTable(Fertiliser_SourceData.Fertiliser_Products_Data1(), FertiliserProducts[[#Headers],[Company]],1)</f>
        <v/>
      </c>
      <c r="AA105" s="172" t="str" cm="1">
        <f t="array" ref="AA105">Common_InputFunctions.Utility_DisplayArrayInTable(Fertiliser_SourceData.Fertiliser_Products_Data1(), FertiliserProducts[[#Headers],[Company]],1)</f>
        <v/>
      </c>
      <c r="AB105" s="172" t="str" cm="1">
        <f t="array" ref="AB105">Common_InputFunctions.Utility_DisplayArrayInTable(Fertiliser_SourceData.Fertiliser_Products_Data1(), FertiliserProducts[[#Headers],[Company]],1)</f>
        <v/>
      </c>
      <c r="AC105" s="172" t="str" cm="1">
        <f t="array" ref="AC105">Common_InputFunctions.Utility_DisplayArrayInTable(Fertiliser_SourceData.Fertiliser_Products_Data1(), FertiliserProducts[[#Headers],[Company]],1)</f>
        <v/>
      </c>
      <c r="AD105" s="172" t="str" cm="1">
        <f t="array" ref="AD105">Common_InputFunctions.Utility_DisplayArrayInTable(Fertiliser_SourceData.Fertiliser_Products_Data1(), FertiliserProducts[[#Headers],[Company]],1)</f>
        <v/>
      </c>
      <c r="AE105" s="172" t="str" cm="1">
        <f t="array" ref="AE105">Common_InputFunctions.Utility_DisplayArrayInTable(Fertiliser_SourceData.Fertiliser_Products_Data1(), FertiliserProducts[[#Headers],[Company]],1)</f>
        <v/>
      </c>
      <c r="AF105" s="172" t="str" cm="1">
        <f t="array" ref="AF105">Common_InputFunctions.Utility_DisplayArrayInTable(Fertiliser_SourceData.Fertiliser_Products_Data1(), FertiliserProducts[[#Headers],[Company]],1)</f>
        <v/>
      </c>
      <c r="AG105" s="172" t="str" cm="1">
        <f t="array" ref="AG105">Common_InputFunctions.Utility_DisplayArrayInTable(Fertiliser_SourceData.Fertiliser_Products_Data1(), FertiliserProducts[[#Headers],[Company]],1)</f>
        <v/>
      </c>
      <c r="AH105" s="172" t="str" cm="1">
        <f t="array" ref="AH105">Common_InputFunctions.Utility_DisplayArrayInTable(Fertiliser_SourceData.Fertiliser_Products_Data1(), FertiliserProducts[[#Headers],[Company]],1)</f>
        <v/>
      </c>
      <c r="AK105" s="1"/>
      <c r="AL105" s="1"/>
      <c r="AM105" s="1"/>
    </row>
    <row r="106" spans="4:39" ht="20.100000000000001" customHeight="1" x14ac:dyDescent="0.25">
      <c r="D106" s="172" t="str" cm="1">
        <f t="array" ref="D106">Common_InputFunctions.Utility_DisplayArrayInTable(Fertiliser_SourceData.Fertiliser_Products_Data1(), FertiliserProducts[[#Headers],[Company]],1)</f>
        <v>SL Tec</v>
      </c>
      <c r="E106" s="172" t="str" cm="1">
        <f t="array" ref="E106">Common_InputFunctions.Utility_DisplayArrayInTable(Fertiliser_SourceData.Fertiliser_Products_Data1(), FertiliserProducts[[#Headers],[Company]],1)</f>
        <v>Crop Booster PLUS</v>
      </c>
      <c r="F106" s="172" t="str" cm="1">
        <f t="array" ref="F106">Common_InputFunctions.Utility_DisplayArrayInTable(Fertiliser_SourceData.Fertiliser_Products_Data1(), FertiliserProducts[[#Headers],[Company]],1)</f>
        <v>L</v>
      </c>
      <c r="G106" s="172" cm="1">
        <f t="array" ref="G106">Common_InputFunctions.Utility_DisplayArrayInTable(Fertiliser_SourceData.Fertiliser_Products_Data1(), FertiliserProducts[[#Headers],[Company]],1)</f>
        <v>1.319</v>
      </c>
      <c r="H106" s="172" t="str" cm="1">
        <f t="array" ref="H106">Common_InputFunctions.Utility_DisplayArrayInTable(Fertiliser_SourceData.Fertiliser_Products_Data1(), FertiliserProducts[[#Headers],[Company]],1)</f>
        <v/>
      </c>
      <c r="I106" s="172" t="str" cm="1">
        <f t="array" ref="I106">Common_InputFunctions.Utility_DisplayArrayInTable(Fertiliser_SourceData.Fertiliser_Products_Data1(), FertiliserProducts[[#Headers],[Company]],1)</f>
        <v/>
      </c>
      <c r="J106" s="172" t="str" cm="1">
        <f t="array" ref="J106">Common_InputFunctions.Utility_DisplayArrayInTable(Fertiliser_SourceData.Fertiliser_Products_Data1(), FertiliserProducts[[#Headers],[Company]],1)</f>
        <v/>
      </c>
      <c r="K106" s="172" cm="1">
        <f t="array" ref="K106">Common_InputFunctions.Utility_DisplayArrayInTable(Fertiliser_SourceData.Fertiliser_Products_Data1(), FertiliserProducts[[#Headers],[Company]],1)</f>
        <v>5</v>
      </c>
      <c r="L106" s="172" cm="1">
        <f t="array" ref="L106">Common_InputFunctions.Utility_DisplayArrayInTable(Fertiliser_SourceData.Fertiliser_Products_Data1(), FertiliserProducts[[#Headers],[Company]],1)</f>
        <v>15</v>
      </c>
      <c r="M106" s="172" cm="1">
        <f t="array" ref="M106">Common_InputFunctions.Utility_DisplayArrayInTable(Fertiliser_SourceData.Fertiliser_Products_Data1(), FertiliserProducts[[#Headers],[Company]],1)</f>
        <v>2.1</v>
      </c>
      <c r="N106" s="172" t="str" cm="1">
        <f t="array" ref="N106">Common_InputFunctions.Utility_DisplayArrayInTable(Fertiliser_SourceData.Fertiliser_Products_Data1(), FertiliserProducts[[#Headers],[Company]],1)</f>
        <v/>
      </c>
      <c r="O106" s="172" t="str" cm="1">
        <f t="array" ref="O106">Common_InputFunctions.Utility_DisplayArrayInTable(Fertiliser_SourceData.Fertiliser_Products_Data1(), FertiliserProducts[[#Headers],[Company]],1)</f>
        <v>Phosphorus - Generic</v>
      </c>
      <c r="P106" s="172" cm="1">
        <f t="array" ref="P106">Common_InputFunctions.Utility_DisplayArrayInTable(Fertiliser_SourceData.Fertiliser_Products_Data1(), FertiliserProducts[[#Headers],[Company]],1)</f>
        <v>0.15</v>
      </c>
      <c r="Q106" s="172" t="str" cm="1">
        <f t="array" ref="Q106">Common_InputFunctions.Utility_DisplayArrayInTable(Fertiliser_SourceData.Fertiliser_Products_Data1(), FertiliserProducts[[#Headers],[Company]],1)</f>
        <v>Calcium</v>
      </c>
      <c r="R106" s="172" cm="1">
        <f t="array" ref="R106">Common_InputFunctions.Utility_DisplayArrayInTable(Fertiliser_SourceData.Fertiliser_Products_Data1(), FertiliserProducts[[#Headers],[Company]],1)</f>
        <v>0.04</v>
      </c>
      <c r="S106" s="172" t="str" cm="1">
        <f t="array" ref="S106">Common_InputFunctions.Utility_DisplayArrayInTable(Fertiliser_SourceData.Fertiliser_Products_Data1(), FertiliserProducts[[#Headers],[Company]],1)</f>
        <v>Nitrogen - Ammoniacal</v>
      </c>
      <c r="T106" s="172" cm="1">
        <f t="array" ref="T106">Common_InputFunctions.Utility_DisplayArrayInTable(Fertiliser_SourceData.Fertiliser_Products_Data1(), FertiliserProducts[[#Headers],[Company]],1)</f>
        <v>2.9000000000000001E-2</v>
      </c>
      <c r="U106" s="172" t="str" cm="1">
        <f t="array" ref="U106">Common_InputFunctions.Utility_DisplayArrayInTable(Fertiliser_SourceData.Fertiliser_Products_Data1(), FertiliserProducts[[#Headers],[Company]],1)</f>
        <v>Nitrogen - Nitrate</v>
      </c>
      <c r="V106" s="172" cm="1">
        <f t="array" ref="V106">Common_InputFunctions.Utility_DisplayArrayInTable(Fertiliser_SourceData.Fertiliser_Products_Data1(), FertiliserProducts[[#Headers],[Company]],1)</f>
        <v>2.1000000000000001E-2</v>
      </c>
      <c r="W106" s="172" t="str" cm="1">
        <f t="array" ref="W106">Common_InputFunctions.Utility_DisplayArrayInTable(Fertiliser_SourceData.Fertiliser_Products_Data1(), FertiliserProducts[[#Headers],[Company]],1)</f>
        <v>Potassium - Generic</v>
      </c>
      <c r="X106" s="172" cm="1">
        <f t="array" ref="X106">Common_InputFunctions.Utility_DisplayArrayInTable(Fertiliser_SourceData.Fertiliser_Products_Data1(), FertiliserProducts[[#Headers],[Company]],1)</f>
        <v>2.1000000000000001E-2</v>
      </c>
      <c r="Y106" s="172" t="str" cm="1">
        <f t="array" ref="Y106">Common_InputFunctions.Utility_DisplayArrayInTable(Fertiliser_SourceData.Fertiliser_Products_Data1(), FertiliserProducts[[#Headers],[Company]],1)</f>
        <v>Copper</v>
      </c>
      <c r="Z106" s="172" cm="1">
        <f t="array" ref="Z106">Common_InputFunctions.Utility_DisplayArrayInTable(Fertiliser_SourceData.Fertiliser_Products_Data1(), FertiliserProducts[[#Headers],[Company]],1)</f>
        <v>5.0000000000000001E-3</v>
      </c>
      <c r="AA106" s="172" t="str" cm="1">
        <f t="array" ref="AA106">Common_InputFunctions.Utility_DisplayArrayInTable(Fertiliser_SourceData.Fertiliser_Products_Data1(), FertiliserProducts[[#Headers],[Company]],1)</f>
        <v>Zinc</v>
      </c>
      <c r="AB106" s="172" cm="1">
        <f t="array" ref="AB106">Common_InputFunctions.Utility_DisplayArrayInTable(Fertiliser_SourceData.Fertiliser_Products_Data1(), FertiliserProducts[[#Headers],[Company]],1)</f>
        <v>4.0000000000000001E-3</v>
      </c>
      <c r="AC106" s="172" t="str" cm="1">
        <f t="array" ref="AC106">Common_InputFunctions.Utility_DisplayArrayInTable(Fertiliser_SourceData.Fertiliser_Products_Data1(), FertiliserProducts[[#Headers],[Company]],1)</f>
        <v>Manganese</v>
      </c>
      <c r="AD106" s="172" cm="1">
        <f t="array" ref="AD106">Common_InputFunctions.Utility_DisplayArrayInTable(Fertiliser_SourceData.Fertiliser_Products_Data1(), FertiliserProducts[[#Headers],[Company]],1)</f>
        <v>4.0000000000000001E-3</v>
      </c>
      <c r="AE106" s="172" t="str" cm="1">
        <f t="array" ref="AE106">Common_InputFunctions.Utility_DisplayArrayInTable(Fertiliser_SourceData.Fertiliser_Products_Data1(), FertiliserProducts[[#Headers],[Company]],1)</f>
        <v>Magnesium</v>
      </c>
      <c r="AF106" s="172" cm="1">
        <f t="array" ref="AF106">Common_InputFunctions.Utility_DisplayArrayInTable(Fertiliser_SourceData.Fertiliser_Products_Data1(), FertiliserProducts[[#Headers],[Company]],1)</f>
        <v>2E-3</v>
      </c>
      <c r="AG106" s="172" t="str" cm="1">
        <f t="array" ref="AG106">Common_InputFunctions.Utility_DisplayArrayInTable(Fertiliser_SourceData.Fertiliser_Products_Data1(), FertiliserProducts[[#Headers],[Company]],1)</f>
        <v/>
      </c>
      <c r="AH106" s="172" t="str" cm="1">
        <f t="array" ref="AH106">Common_InputFunctions.Utility_DisplayArrayInTable(Fertiliser_SourceData.Fertiliser_Products_Data1(), FertiliserProducts[[#Headers],[Company]],1)</f>
        <v/>
      </c>
      <c r="AK106" s="1"/>
      <c r="AL106" s="1"/>
      <c r="AM106" s="1"/>
    </row>
    <row r="107" spans="4:39" ht="20.100000000000001" customHeight="1" x14ac:dyDescent="0.25">
      <c r="D107" s="172" t="str" cm="1">
        <f t="array" ref="D107">Common_InputFunctions.Utility_DisplayArrayInTable(Fertiliser_SourceData.Fertiliser_Products_Data1(), FertiliserProducts[[#Headers],[Company]],1)</f>
        <v>Risso-Chemical</v>
      </c>
      <c r="E107" s="172" t="str" cm="1">
        <f t="array" ref="E107">Common_InputFunctions.Utility_DisplayArrayInTable(Fertiliser_SourceData.Fertiliser_Products_Data1(), FertiliserProducts[[#Headers],[Company]],1)</f>
        <v>Ammonium Bicarbonate</v>
      </c>
      <c r="F107" s="172" t="str" cm="1">
        <f t="array" ref="F107">Common_InputFunctions.Utility_DisplayArrayInTable(Fertiliser_SourceData.Fertiliser_Products_Data1(), FertiliserProducts[[#Headers],[Company]],1)</f>
        <v>kg</v>
      </c>
      <c r="G107" s="172" cm="1">
        <f t="array" ref="G107">Common_InputFunctions.Utility_DisplayArrayInTable(Fertiliser_SourceData.Fertiliser_Products_Data1(), FertiliserProducts[[#Headers],[Company]],1)</f>
        <v>1</v>
      </c>
      <c r="H107" s="172" t="str" cm="1">
        <f t="array" ref="H107">Common_InputFunctions.Utility_DisplayArrayInTable(Fertiliser_SourceData.Fertiliser_Products_Data1(), FertiliserProducts[[#Headers],[Company]],1)</f>
        <v/>
      </c>
      <c r="I107" s="172" t="str" cm="1">
        <f t="array" ref="I107">Common_InputFunctions.Utility_DisplayArrayInTable(Fertiliser_SourceData.Fertiliser_Products_Data1(), FertiliserProducts[[#Headers],[Company]],1)</f>
        <v/>
      </c>
      <c r="J107" s="172" t="str" cm="1">
        <f t="array" ref="J107">Common_InputFunctions.Utility_DisplayArrayInTable(Fertiliser_SourceData.Fertiliser_Products_Data1(), FertiliserProducts[[#Headers],[Company]],1)</f>
        <v>China</v>
      </c>
      <c r="K107" s="172" cm="1">
        <f t="array" ref="K107">Common_InputFunctions.Utility_DisplayArrayInTable(Fertiliser_SourceData.Fertiliser_Products_Data1(), FertiliserProducts[[#Headers],[Company]],1)</f>
        <v>17.7</v>
      </c>
      <c r="L107" s="172" t="str" cm="1">
        <f t="array" ref="L107">Common_InputFunctions.Utility_DisplayArrayInTable(Fertiliser_SourceData.Fertiliser_Products_Data1(), FertiliserProducts[[#Headers],[Company]],1)</f>
        <v/>
      </c>
      <c r="M107" s="172" t="str" cm="1">
        <f t="array" ref="M107">Common_InputFunctions.Utility_DisplayArrayInTable(Fertiliser_SourceData.Fertiliser_Products_Data1(), FertiliserProducts[[#Headers],[Company]],1)</f>
        <v/>
      </c>
      <c r="N107" s="172" t="str" cm="1">
        <f t="array" ref="N107">Common_InputFunctions.Utility_DisplayArrayInTable(Fertiliser_SourceData.Fertiliser_Products_Data1(), FertiliserProducts[[#Headers],[Company]],1)</f>
        <v/>
      </c>
      <c r="O107" s="172" t="str" cm="1">
        <f t="array" ref="O107">Common_InputFunctions.Utility_DisplayArrayInTable(Fertiliser_SourceData.Fertiliser_Products_Data1(), FertiliserProducts[[#Headers],[Company]],1)</f>
        <v>Nitrogen - Ammoniacal</v>
      </c>
      <c r="P107" s="172" cm="1">
        <f t="array" ref="P107">Common_InputFunctions.Utility_DisplayArrayInTable(Fertiliser_SourceData.Fertiliser_Products_Data1(), FertiliserProducts[[#Headers],[Company]],1)</f>
        <v>0.17699999999999999</v>
      </c>
      <c r="Q107" s="172" t="str" cm="1">
        <f t="array" ref="Q107">Common_InputFunctions.Utility_DisplayArrayInTable(Fertiliser_SourceData.Fertiliser_Products_Data1(), FertiliserProducts[[#Headers],[Company]],1)</f>
        <v/>
      </c>
      <c r="R107" s="172" t="str" cm="1">
        <f t="array" ref="R107">Common_InputFunctions.Utility_DisplayArrayInTable(Fertiliser_SourceData.Fertiliser_Products_Data1(), FertiliserProducts[[#Headers],[Company]],1)</f>
        <v/>
      </c>
      <c r="S107" s="172" t="str" cm="1">
        <f t="array" ref="S107">Common_InputFunctions.Utility_DisplayArrayInTable(Fertiliser_SourceData.Fertiliser_Products_Data1(), FertiliserProducts[[#Headers],[Company]],1)</f>
        <v/>
      </c>
      <c r="T107" s="172" t="str" cm="1">
        <f t="array" ref="T107">Common_InputFunctions.Utility_DisplayArrayInTable(Fertiliser_SourceData.Fertiliser_Products_Data1(), FertiliserProducts[[#Headers],[Company]],1)</f>
        <v/>
      </c>
      <c r="U107" s="172" t="str" cm="1">
        <f t="array" ref="U107">Common_InputFunctions.Utility_DisplayArrayInTable(Fertiliser_SourceData.Fertiliser_Products_Data1(), FertiliserProducts[[#Headers],[Company]],1)</f>
        <v/>
      </c>
      <c r="V107" s="172" t="str" cm="1">
        <f t="array" ref="V107">Common_InputFunctions.Utility_DisplayArrayInTable(Fertiliser_SourceData.Fertiliser_Products_Data1(), FertiliserProducts[[#Headers],[Company]],1)</f>
        <v/>
      </c>
      <c r="W107" s="172" t="str" cm="1">
        <f t="array" ref="W107">Common_InputFunctions.Utility_DisplayArrayInTable(Fertiliser_SourceData.Fertiliser_Products_Data1(), FertiliserProducts[[#Headers],[Company]],1)</f>
        <v/>
      </c>
      <c r="X107" s="172" t="str" cm="1">
        <f t="array" ref="X107">Common_InputFunctions.Utility_DisplayArrayInTable(Fertiliser_SourceData.Fertiliser_Products_Data1(), FertiliserProducts[[#Headers],[Company]],1)</f>
        <v/>
      </c>
      <c r="Y107" s="172" t="str" cm="1">
        <f t="array" ref="Y107">Common_InputFunctions.Utility_DisplayArrayInTable(Fertiliser_SourceData.Fertiliser_Products_Data1(), FertiliserProducts[[#Headers],[Company]],1)</f>
        <v/>
      </c>
      <c r="Z107" s="172" t="str" cm="1">
        <f t="array" ref="Z107">Common_InputFunctions.Utility_DisplayArrayInTable(Fertiliser_SourceData.Fertiliser_Products_Data1(), FertiliserProducts[[#Headers],[Company]],1)</f>
        <v/>
      </c>
      <c r="AA107" s="172" t="str" cm="1">
        <f t="array" ref="AA107">Common_InputFunctions.Utility_DisplayArrayInTable(Fertiliser_SourceData.Fertiliser_Products_Data1(), FertiliserProducts[[#Headers],[Company]],1)</f>
        <v/>
      </c>
      <c r="AB107" s="172" t="str" cm="1">
        <f t="array" ref="AB107">Common_InputFunctions.Utility_DisplayArrayInTable(Fertiliser_SourceData.Fertiliser_Products_Data1(), FertiliserProducts[[#Headers],[Company]],1)</f>
        <v/>
      </c>
      <c r="AC107" s="172" t="str" cm="1">
        <f t="array" ref="AC107">Common_InputFunctions.Utility_DisplayArrayInTable(Fertiliser_SourceData.Fertiliser_Products_Data1(), FertiliserProducts[[#Headers],[Company]],1)</f>
        <v/>
      </c>
      <c r="AD107" s="172" t="str" cm="1">
        <f t="array" ref="AD107">Common_InputFunctions.Utility_DisplayArrayInTable(Fertiliser_SourceData.Fertiliser_Products_Data1(), FertiliserProducts[[#Headers],[Company]],1)</f>
        <v/>
      </c>
      <c r="AE107" s="172" t="str" cm="1">
        <f t="array" ref="AE107">Common_InputFunctions.Utility_DisplayArrayInTable(Fertiliser_SourceData.Fertiliser_Products_Data1(), FertiliserProducts[[#Headers],[Company]],1)</f>
        <v/>
      </c>
      <c r="AF107" s="172" t="str" cm="1">
        <f t="array" ref="AF107">Common_InputFunctions.Utility_DisplayArrayInTable(Fertiliser_SourceData.Fertiliser_Products_Data1(), FertiliserProducts[[#Headers],[Company]],1)</f>
        <v/>
      </c>
      <c r="AG107" s="172" t="str" cm="1">
        <f t="array" ref="AG107">Common_InputFunctions.Utility_DisplayArrayInTable(Fertiliser_SourceData.Fertiliser_Products_Data1(), FertiliserProducts[[#Headers],[Company]],1)</f>
        <v/>
      </c>
      <c r="AH107" s="172" t="str" cm="1">
        <f t="array" ref="AH107">Common_InputFunctions.Utility_DisplayArrayInTable(Fertiliser_SourceData.Fertiliser_Products_Data1(), FertiliserProducts[[#Headers],[Company]],1)</f>
        <v/>
      </c>
      <c r="AK107" s="1"/>
      <c r="AL107" s="1"/>
      <c r="AM107" s="1"/>
    </row>
    <row r="108" spans="4:39" ht="20.100000000000001" customHeight="1" x14ac:dyDescent="0.25">
      <c r="D108" s="172" t="str" cm="1">
        <f t="array" ref="D108">Common_InputFunctions.Utility_DisplayArrayInTable(Fertiliser_SourceData.Fertiliser_Products_Data1(), FertiliserProducts[[#Headers],[Company]],1)</f>
        <v>Risso-Chemical</v>
      </c>
      <c r="E108" s="172" t="str" cm="1">
        <f t="array" ref="E108">Common_InputFunctions.Utility_DisplayArrayInTable(Fertiliser_SourceData.Fertiliser_Products_Data1(), FertiliserProducts[[#Headers],[Company]],1)</f>
        <v>Ammonium Sulfate</v>
      </c>
      <c r="F108" s="172" t="str" cm="1">
        <f t="array" ref="F108">Common_InputFunctions.Utility_DisplayArrayInTable(Fertiliser_SourceData.Fertiliser_Products_Data1(), FertiliserProducts[[#Headers],[Company]],1)</f>
        <v>kg</v>
      </c>
      <c r="G108" s="172" cm="1">
        <f t="array" ref="G108">Common_InputFunctions.Utility_DisplayArrayInTable(Fertiliser_SourceData.Fertiliser_Products_Data1(), FertiliserProducts[[#Headers],[Company]],1)</f>
        <v>1</v>
      </c>
      <c r="H108" s="172" t="str" cm="1">
        <f t="array" ref="H108">Common_InputFunctions.Utility_DisplayArrayInTable(Fertiliser_SourceData.Fertiliser_Products_Data1(), FertiliserProducts[[#Headers],[Company]],1)</f>
        <v/>
      </c>
      <c r="I108" s="172" t="str" cm="1">
        <f t="array" ref="I108">Common_InputFunctions.Utility_DisplayArrayInTable(Fertiliser_SourceData.Fertiliser_Products_Data1(), FertiliserProducts[[#Headers],[Company]],1)</f>
        <v/>
      </c>
      <c r="J108" s="172" t="str" cm="1">
        <f t="array" ref="J108">Common_InputFunctions.Utility_DisplayArrayInTable(Fertiliser_SourceData.Fertiliser_Products_Data1(), FertiliserProducts[[#Headers],[Company]],1)</f>
        <v>China</v>
      </c>
      <c r="K108" s="172" cm="1">
        <f t="array" ref="K108">Common_InputFunctions.Utility_DisplayArrayInTable(Fertiliser_SourceData.Fertiliser_Products_Data1(), FertiliserProducts[[#Headers],[Company]],1)</f>
        <v>21</v>
      </c>
      <c r="L108" s="172" t="str" cm="1">
        <f t="array" ref="L108">Common_InputFunctions.Utility_DisplayArrayInTable(Fertiliser_SourceData.Fertiliser_Products_Data1(), FertiliserProducts[[#Headers],[Company]],1)</f>
        <v/>
      </c>
      <c r="M108" s="172" t="str" cm="1">
        <f t="array" ref="M108">Common_InputFunctions.Utility_DisplayArrayInTable(Fertiliser_SourceData.Fertiliser_Products_Data1(), FertiliserProducts[[#Headers],[Company]],1)</f>
        <v/>
      </c>
      <c r="N108" s="172" cm="1">
        <f t="array" ref="N108">Common_InputFunctions.Utility_DisplayArrayInTable(Fertiliser_SourceData.Fertiliser_Products_Data1(), FertiliserProducts[[#Headers],[Company]],1)</f>
        <v>24</v>
      </c>
      <c r="O108" s="172" t="str" cm="1">
        <f t="array" ref="O108">Common_InputFunctions.Utility_DisplayArrayInTable(Fertiliser_SourceData.Fertiliser_Products_Data1(), FertiliserProducts[[#Headers],[Company]],1)</f>
        <v>Sulfur - Generic</v>
      </c>
      <c r="P108" s="172" cm="1">
        <f t="array" ref="P108">Common_InputFunctions.Utility_DisplayArrayInTable(Fertiliser_SourceData.Fertiliser_Products_Data1(), FertiliserProducts[[#Headers],[Company]],1)</f>
        <v>0.24</v>
      </c>
      <c r="Q108" s="172" t="str" cm="1">
        <f t="array" ref="Q108">Common_InputFunctions.Utility_DisplayArrayInTable(Fertiliser_SourceData.Fertiliser_Products_Data1(), FertiliserProducts[[#Headers],[Company]],1)</f>
        <v>Nitrogen - Ammoniacal</v>
      </c>
      <c r="R108" s="172" cm="1">
        <f t="array" ref="R108">Common_InputFunctions.Utility_DisplayArrayInTable(Fertiliser_SourceData.Fertiliser_Products_Data1(), FertiliserProducts[[#Headers],[Company]],1)</f>
        <v>0.21</v>
      </c>
      <c r="S108" s="172" t="str" cm="1">
        <f t="array" ref="S108">Common_InputFunctions.Utility_DisplayArrayInTable(Fertiliser_SourceData.Fertiliser_Products_Data1(), FertiliserProducts[[#Headers],[Company]],1)</f>
        <v/>
      </c>
      <c r="T108" s="172" t="str" cm="1">
        <f t="array" ref="T108">Common_InputFunctions.Utility_DisplayArrayInTable(Fertiliser_SourceData.Fertiliser_Products_Data1(), FertiliserProducts[[#Headers],[Company]],1)</f>
        <v/>
      </c>
      <c r="U108" s="172" t="str" cm="1">
        <f t="array" ref="U108">Common_InputFunctions.Utility_DisplayArrayInTable(Fertiliser_SourceData.Fertiliser_Products_Data1(), FertiliserProducts[[#Headers],[Company]],1)</f>
        <v/>
      </c>
      <c r="V108" s="172" t="str" cm="1">
        <f t="array" ref="V108">Common_InputFunctions.Utility_DisplayArrayInTable(Fertiliser_SourceData.Fertiliser_Products_Data1(), FertiliserProducts[[#Headers],[Company]],1)</f>
        <v/>
      </c>
      <c r="W108" s="172" t="str" cm="1">
        <f t="array" ref="W108">Common_InputFunctions.Utility_DisplayArrayInTable(Fertiliser_SourceData.Fertiliser_Products_Data1(), FertiliserProducts[[#Headers],[Company]],1)</f>
        <v/>
      </c>
      <c r="X108" s="172" t="str" cm="1">
        <f t="array" ref="X108">Common_InputFunctions.Utility_DisplayArrayInTable(Fertiliser_SourceData.Fertiliser_Products_Data1(), FertiliserProducts[[#Headers],[Company]],1)</f>
        <v/>
      </c>
      <c r="Y108" s="172" t="str" cm="1">
        <f t="array" ref="Y108">Common_InputFunctions.Utility_DisplayArrayInTable(Fertiliser_SourceData.Fertiliser_Products_Data1(), FertiliserProducts[[#Headers],[Company]],1)</f>
        <v/>
      </c>
      <c r="Z108" s="172" t="str" cm="1">
        <f t="array" ref="Z108">Common_InputFunctions.Utility_DisplayArrayInTable(Fertiliser_SourceData.Fertiliser_Products_Data1(), FertiliserProducts[[#Headers],[Company]],1)</f>
        <v/>
      </c>
      <c r="AA108" s="172" t="str" cm="1">
        <f t="array" ref="AA108">Common_InputFunctions.Utility_DisplayArrayInTable(Fertiliser_SourceData.Fertiliser_Products_Data1(), FertiliserProducts[[#Headers],[Company]],1)</f>
        <v/>
      </c>
      <c r="AB108" s="172" t="str" cm="1">
        <f t="array" ref="AB108">Common_InputFunctions.Utility_DisplayArrayInTable(Fertiliser_SourceData.Fertiliser_Products_Data1(), FertiliserProducts[[#Headers],[Company]],1)</f>
        <v/>
      </c>
      <c r="AC108" s="172" t="str" cm="1">
        <f t="array" ref="AC108">Common_InputFunctions.Utility_DisplayArrayInTable(Fertiliser_SourceData.Fertiliser_Products_Data1(), FertiliserProducts[[#Headers],[Company]],1)</f>
        <v/>
      </c>
      <c r="AD108" s="172" t="str" cm="1">
        <f t="array" ref="AD108">Common_InputFunctions.Utility_DisplayArrayInTable(Fertiliser_SourceData.Fertiliser_Products_Data1(), FertiliserProducts[[#Headers],[Company]],1)</f>
        <v/>
      </c>
      <c r="AE108" s="172" t="str" cm="1">
        <f t="array" ref="AE108">Common_InputFunctions.Utility_DisplayArrayInTable(Fertiliser_SourceData.Fertiliser_Products_Data1(), FertiliserProducts[[#Headers],[Company]],1)</f>
        <v/>
      </c>
      <c r="AF108" s="172" t="str" cm="1">
        <f t="array" ref="AF108">Common_InputFunctions.Utility_DisplayArrayInTable(Fertiliser_SourceData.Fertiliser_Products_Data1(), FertiliserProducts[[#Headers],[Company]],1)</f>
        <v/>
      </c>
      <c r="AG108" s="172" t="str" cm="1">
        <f t="array" ref="AG108">Common_InputFunctions.Utility_DisplayArrayInTable(Fertiliser_SourceData.Fertiliser_Products_Data1(), FertiliserProducts[[#Headers],[Company]],1)</f>
        <v/>
      </c>
      <c r="AH108" s="172" t="str" cm="1">
        <f t="array" ref="AH108">Common_InputFunctions.Utility_DisplayArrayInTable(Fertiliser_SourceData.Fertiliser_Products_Data1(), FertiliserProducts[[#Headers],[Company]],1)</f>
        <v/>
      </c>
      <c r="AK108" s="1"/>
      <c r="AL108" s="1"/>
      <c r="AM108" s="1"/>
    </row>
    <row r="109" spans="4:39" ht="20.100000000000001" customHeight="1" x14ac:dyDescent="0.25">
      <c r="D109" s="172" t="str" cm="1">
        <f t="array" ref="D109">Common_InputFunctions.Utility_DisplayArrayInTable(Fertiliser_SourceData.Fertiliser_Products_Data1(), FertiliserProducts[[#Headers],[Company]],1)</f>
        <v>Ravensdown</v>
      </c>
      <c r="E109" s="172" t="str" cm="1">
        <f t="array" ref="E109">Common_InputFunctions.Utility_DisplayArrayInTable(Fertiliser_SourceData.Fertiliser_Products_Data1(), FertiliserProducts[[#Headers],[Company]],1)</f>
        <v>Ammonium Sulphate - Granular</v>
      </c>
      <c r="F109" s="172" t="str" cm="1">
        <f t="array" ref="F109">Common_InputFunctions.Utility_DisplayArrayInTable(Fertiliser_SourceData.Fertiliser_Products_Data1(), FertiliserProducts[[#Headers],[Company]],1)</f>
        <v>kg</v>
      </c>
      <c r="G109" s="172" cm="1">
        <f t="array" ref="G109">Common_InputFunctions.Utility_DisplayArrayInTable(Fertiliser_SourceData.Fertiliser_Products_Data1(), FertiliserProducts[[#Headers],[Company]],1)</f>
        <v>1</v>
      </c>
      <c r="H109" s="172" t="str" cm="1">
        <f t="array" ref="H109">Common_InputFunctions.Utility_DisplayArrayInTable(Fertiliser_SourceData.Fertiliser_Products_Data1(), FertiliserProducts[[#Headers],[Company]],1)</f>
        <v/>
      </c>
      <c r="I109" s="172" t="str" cm="1">
        <f t="array" ref="I109">Common_InputFunctions.Utility_DisplayArrayInTable(Fertiliser_SourceData.Fertiliser_Products_Data1(), FertiliserProducts[[#Headers],[Company]],1)</f>
        <v/>
      </c>
      <c r="J109" s="172" t="str" cm="1">
        <f t="array" ref="J109">Common_InputFunctions.Utility_DisplayArrayInTable(Fertiliser_SourceData.Fertiliser_Products_Data1(), FertiliserProducts[[#Headers],[Company]],1)</f>
        <v/>
      </c>
      <c r="K109" s="172" cm="1">
        <f t="array" ref="K109">Common_InputFunctions.Utility_DisplayArrayInTable(Fertiliser_SourceData.Fertiliser_Products_Data1(), FertiliserProducts[[#Headers],[Company]],1)</f>
        <v>21</v>
      </c>
      <c r="L109" s="172" t="str" cm="1">
        <f t="array" ref="L109">Common_InputFunctions.Utility_DisplayArrayInTable(Fertiliser_SourceData.Fertiliser_Products_Data1(), FertiliserProducts[[#Headers],[Company]],1)</f>
        <v/>
      </c>
      <c r="M109" s="172" t="str" cm="1">
        <f t="array" ref="M109">Common_InputFunctions.Utility_DisplayArrayInTable(Fertiliser_SourceData.Fertiliser_Products_Data1(), FertiliserProducts[[#Headers],[Company]],1)</f>
        <v/>
      </c>
      <c r="N109" s="172" cm="1">
        <f t="array" ref="N109">Common_InputFunctions.Utility_DisplayArrayInTable(Fertiliser_SourceData.Fertiliser_Products_Data1(), FertiliserProducts[[#Headers],[Company]],1)</f>
        <v>24</v>
      </c>
      <c r="O109" s="172" t="str" cm="1">
        <f t="array" ref="O109">Common_InputFunctions.Utility_DisplayArrayInTable(Fertiliser_SourceData.Fertiliser_Products_Data1(), FertiliserProducts[[#Headers],[Company]],1)</f>
        <v>Sulphate of ammonia (SOA)</v>
      </c>
      <c r="P109" s="172" cm="1">
        <f t="array" ref="P109">Common_InputFunctions.Utility_DisplayArrayInTable(Fertiliser_SourceData.Fertiliser_Products_Data1(), FertiliserProducts[[#Headers],[Company]],1)</f>
        <v>1</v>
      </c>
      <c r="Q109" s="172" t="str" cm="1">
        <f t="array" ref="Q109">Common_InputFunctions.Utility_DisplayArrayInTable(Fertiliser_SourceData.Fertiliser_Products_Data1(), FertiliserProducts[[#Headers],[Company]],1)</f>
        <v/>
      </c>
      <c r="R109" s="172" t="str" cm="1">
        <f t="array" ref="R109">Common_InputFunctions.Utility_DisplayArrayInTable(Fertiliser_SourceData.Fertiliser_Products_Data1(), FertiliserProducts[[#Headers],[Company]],1)</f>
        <v/>
      </c>
      <c r="S109" s="172" t="str" cm="1">
        <f t="array" ref="S109">Common_InputFunctions.Utility_DisplayArrayInTable(Fertiliser_SourceData.Fertiliser_Products_Data1(), FertiliserProducts[[#Headers],[Company]],1)</f>
        <v/>
      </c>
      <c r="T109" s="172" t="str" cm="1">
        <f t="array" ref="T109">Common_InputFunctions.Utility_DisplayArrayInTable(Fertiliser_SourceData.Fertiliser_Products_Data1(), FertiliserProducts[[#Headers],[Company]],1)</f>
        <v/>
      </c>
      <c r="U109" s="172" t="str" cm="1">
        <f t="array" ref="U109">Common_InputFunctions.Utility_DisplayArrayInTable(Fertiliser_SourceData.Fertiliser_Products_Data1(), FertiliserProducts[[#Headers],[Company]],1)</f>
        <v/>
      </c>
      <c r="V109" s="172" t="str" cm="1">
        <f t="array" ref="V109">Common_InputFunctions.Utility_DisplayArrayInTable(Fertiliser_SourceData.Fertiliser_Products_Data1(), FertiliserProducts[[#Headers],[Company]],1)</f>
        <v/>
      </c>
      <c r="W109" s="172" t="str" cm="1">
        <f t="array" ref="W109">Common_InputFunctions.Utility_DisplayArrayInTable(Fertiliser_SourceData.Fertiliser_Products_Data1(), FertiliserProducts[[#Headers],[Company]],1)</f>
        <v/>
      </c>
      <c r="X109" s="172" t="str" cm="1">
        <f t="array" ref="X109">Common_InputFunctions.Utility_DisplayArrayInTable(Fertiliser_SourceData.Fertiliser_Products_Data1(), FertiliserProducts[[#Headers],[Company]],1)</f>
        <v/>
      </c>
      <c r="Y109" s="172" t="str" cm="1">
        <f t="array" ref="Y109">Common_InputFunctions.Utility_DisplayArrayInTable(Fertiliser_SourceData.Fertiliser_Products_Data1(), FertiliserProducts[[#Headers],[Company]],1)</f>
        <v/>
      </c>
      <c r="Z109" s="172" t="str" cm="1">
        <f t="array" ref="Z109">Common_InputFunctions.Utility_DisplayArrayInTable(Fertiliser_SourceData.Fertiliser_Products_Data1(), FertiliserProducts[[#Headers],[Company]],1)</f>
        <v/>
      </c>
      <c r="AA109" s="172" t="str" cm="1">
        <f t="array" ref="AA109">Common_InputFunctions.Utility_DisplayArrayInTable(Fertiliser_SourceData.Fertiliser_Products_Data1(), FertiliserProducts[[#Headers],[Company]],1)</f>
        <v/>
      </c>
      <c r="AB109" s="172" t="str" cm="1">
        <f t="array" ref="AB109">Common_InputFunctions.Utility_DisplayArrayInTable(Fertiliser_SourceData.Fertiliser_Products_Data1(), FertiliserProducts[[#Headers],[Company]],1)</f>
        <v/>
      </c>
      <c r="AC109" s="172" t="str" cm="1">
        <f t="array" ref="AC109">Common_InputFunctions.Utility_DisplayArrayInTable(Fertiliser_SourceData.Fertiliser_Products_Data1(), FertiliserProducts[[#Headers],[Company]],1)</f>
        <v/>
      </c>
      <c r="AD109" s="172" t="str" cm="1">
        <f t="array" ref="AD109">Common_InputFunctions.Utility_DisplayArrayInTable(Fertiliser_SourceData.Fertiliser_Products_Data1(), FertiliserProducts[[#Headers],[Company]],1)</f>
        <v/>
      </c>
      <c r="AE109" s="172" t="str" cm="1">
        <f t="array" ref="AE109">Common_InputFunctions.Utility_DisplayArrayInTable(Fertiliser_SourceData.Fertiliser_Products_Data1(), FertiliserProducts[[#Headers],[Company]],1)</f>
        <v/>
      </c>
      <c r="AF109" s="172" t="str" cm="1">
        <f t="array" ref="AF109">Common_InputFunctions.Utility_DisplayArrayInTable(Fertiliser_SourceData.Fertiliser_Products_Data1(), FertiliserProducts[[#Headers],[Company]],1)</f>
        <v/>
      </c>
      <c r="AG109" s="172" t="str" cm="1">
        <f t="array" ref="AG109">Common_InputFunctions.Utility_DisplayArrayInTable(Fertiliser_SourceData.Fertiliser_Products_Data1(), FertiliserProducts[[#Headers],[Company]],1)</f>
        <v/>
      </c>
      <c r="AH109" s="172" t="str" cm="1">
        <f t="array" ref="AH109">Common_InputFunctions.Utility_DisplayArrayInTable(Fertiliser_SourceData.Fertiliser_Products_Data1(), FertiliserProducts[[#Headers],[Company]],1)</f>
        <v/>
      </c>
      <c r="AK109" s="1"/>
      <c r="AL109" s="1"/>
      <c r="AM109" s="1"/>
    </row>
    <row r="110" spans="4:39" ht="20.100000000000001" customHeight="1" x14ac:dyDescent="0.25">
      <c r="D110" s="172" t="str" cm="1">
        <f t="array" ref="D110">Common_InputFunctions.Utility_DisplayArrayInTable(Fertiliser_SourceData.Fertiliser_Products_Data1(), FertiliserProducts[[#Headers],[Company]],1)</f>
        <v>Impact Fertilisers</v>
      </c>
      <c r="E110" s="172" t="str" cm="1">
        <f t="array" ref="E110">Common_InputFunctions.Utility_DisplayArrayInTable(Fertiliser_SourceData.Fertiliser_Products_Data1(), FertiliserProducts[[#Headers],[Company]],1)</f>
        <v>Di-Ammonium Phosphate (DAP)</v>
      </c>
      <c r="F110" s="172" t="str" cm="1">
        <f t="array" ref="F110">Common_InputFunctions.Utility_DisplayArrayInTable(Fertiliser_SourceData.Fertiliser_Products_Data1(), FertiliserProducts[[#Headers],[Company]],1)</f>
        <v>kg</v>
      </c>
      <c r="G110" s="172" cm="1">
        <f t="array" ref="G110">Common_InputFunctions.Utility_DisplayArrayInTable(Fertiliser_SourceData.Fertiliser_Products_Data1(), FertiliserProducts[[#Headers],[Company]],1)</f>
        <v>1</v>
      </c>
      <c r="H110" s="172" t="str" cm="1">
        <f t="array" ref="H110">Common_InputFunctions.Utility_DisplayArrayInTable(Fertiliser_SourceData.Fertiliser_Products_Data1(), FertiliserProducts[[#Headers],[Company]],1)</f>
        <v/>
      </c>
      <c r="I110" s="172" t="str" cm="1">
        <f t="array" ref="I110">Common_InputFunctions.Utility_DisplayArrayInTable(Fertiliser_SourceData.Fertiliser_Products_Data1(), FertiliserProducts[[#Headers],[Company]],1)</f>
        <v/>
      </c>
      <c r="J110" s="172" t="str" cm="1">
        <f t="array" ref="J110">Common_InputFunctions.Utility_DisplayArrayInTable(Fertiliser_SourceData.Fertiliser_Products_Data1(), FertiliserProducts[[#Headers],[Company]],1)</f>
        <v/>
      </c>
      <c r="K110" s="172" cm="1">
        <f t="array" ref="K110">Common_InputFunctions.Utility_DisplayArrayInTable(Fertiliser_SourceData.Fertiliser_Products_Data1(), FertiliserProducts[[#Headers],[Company]],1)</f>
        <v>18</v>
      </c>
      <c r="L110" s="172" cm="1">
        <f t="array" ref="L110">Common_InputFunctions.Utility_DisplayArrayInTable(Fertiliser_SourceData.Fertiliser_Products_Data1(), FertiliserProducts[[#Headers],[Company]],1)</f>
        <v>20</v>
      </c>
      <c r="M110" s="172" t="str" cm="1">
        <f t="array" ref="M110">Common_InputFunctions.Utility_DisplayArrayInTable(Fertiliser_SourceData.Fertiliser_Products_Data1(), FertiliserProducts[[#Headers],[Company]],1)</f>
        <v/>
      </c>
      <c r="N110" s="172" t="str" cm="1">
        <f t="array" ref="N110">Common_InputFunctions.Utility_DisplayArrayInTable(Fertiliser_SourceData.Fertiliser_Products_Data1(), FertiliserProducts[[#Headers],[Company]],1)</f>
        <v/>
      </c>
      <c r="O110" s="172" t="str" cm="1">
        <f t="array" ref="O110">Common_InputFunctions.Utility_DisplayArrayInTable(Fertiliser_SourceData.Fertiliser_Products_Data1(), FertiliserProducts[[#Headers],[Company]],1)</f>
        <v>Diammonium phosphate (DAP)</v>
      </c>
      <c r="P110" s="172" cm="1">
        <f t="array" ref="P110">Common_InputFunctions.Utility_DisplayArrayInTable(Fertiliser_SourceData.Fertiliser_Products_Data1(), FertiliserProducts[[#Headers],[Company]],1)</f>
        <v>1</v>
      </c>
      <c r="Q110" s="172" t="str" cm="1">
        <f t="array" ref="Q110">Common_InputFunctions.Utility_DisplayArrayInTable(Fertiliser_SourceData.Fertiliser_Products_Data1(), FertiliserProducts[[#Headers],[Company]],1)</f>
        <v/>
      </c>
      <c r="R110" s="172" t="str" cm="1">
        <f t="array" ref="R110">Common_InputFunctions.Utility_DisplayArrayInTable(Fertiliser_SourceData.Fertiliser_Products_Data1(), FertiliserProducts[[#Headers],[Company]],1)</f>
        <v/>
      </c>
      <c r="S110" s="172" t="str" cm="1">
        <f t="array" ref="S110">Common_InputFunctions.Utility_DisplayArrayInTable(Fertiliser_SourceData.Fertiliser_Products_Data1(), FertiliserProducts[[#Headers],[Company]],1)</f>
        <v/>
      </c>
      <c r="T110" s="172" t="str" cm="1">
        <f t="array" ref="T110">Common_InputFunctions.Utility_DisplayArrayInTable(Fertiliser_SourceData.Fertiliser_Products_Data1(), FertiliserProducts[[#Headers],[Company]],1)</f>
        <v/>
      </c>
      <c r="U110" s="172" t="str" cm="1">
        <f t="array" ref="U110">Common_InputFunctions.Utility_DisplayArrayInTable(Fertiliser_SourceData.Fertiliser_Products_Data1(), FertiliserProducts[[#Headers],[Company]],1)</f>
        <v/>
      </c>
      <c r="V110" s="172" t="str" cm="1">
        <f t="array" ref="V110">Common_InputFunctions.Utility_DisplayArrayInTable(Fertiliser_SourceData.Fertiliser_Products_Data1(), FertiliserProducts[[#Headers],[Company]],1)</f>
        <v/>
      </c>
      <c r="W110" s="172" t="str" cm="1">
        <f t="array" ref="W110">Common_InputFunctions.Utility_DisplayArrayInTable(Fertiliser_SourceData.Fertiliser_Products_Data1(), FertiliserProducts[[#Headers],[Company]],1)</f>
        <v/>
      </c>
      <c r="X110" s="172" t="str" cm="1">
        <f t="array" ref="X110">Common_InputFunctions.Utility_DisplayArrayInTable(Fertiliser_SourceData.Fertiliser_Products_Data1(), FertiliserProducts[[#Headers],[Company]],1)</f>
        <v/>
      </c>
      <c r="Y110" s="172" t="str" cm="1">
        <f t="array" ref="Y110">Common_InputFunctions.Utility_DisplayArrayInTable(Fertiliser_SourceData.Fertiliser_Products_Data1(), FertiliserProducts[[#Headers],[Company]],1)</f>
        <v/>
      </c>
      <c r="Z110" s="172" t="str" cm="1">
        <f t="array" ref="Z110">Common_InputFunctions.Utility_DisplayArrayInTable(Fertiliser_SourceData.Fertiliser_Products_Data1(), FertiliserProducts[[#Headers],[Company]],1)</f>
        <v/>
      </c>
      <c r="AA110" s="172" t="str" cm="1">
        <f t="array" ref="AA110">Common_InputFunctions.Utility_DisplayArrayInTable(Fertiliser_SourceData.Fertiliser_Products_Data1(), FertiliserProducts[[#Headers],[Company]],1)</f>
        <v/>
      </c>
      <c r="AB110" s="172" t="str" cm="1">
        <f t="array" ref="AB110">Common_InputFunctions.Utility_DisplayArrayInTable(Fertiliser_SourceData.Fertiliser_Products_Data1(), FertiliserProducts[[#Headers],[Company]],1)</f>
        <v/>
      </c>
      <c r="AC110" s="172" t="str" cm="1">
        <f t="array" ref="AC110">Common_InputFunctions.Utility_DisplayArrayInTable(Fertiliser_SourceData.Fertiliser_Products_Data1(), FertiliserProducts[[#Headers],[Company]],1)</f>
        <v/>
      </c>
      <c r="AD110" s="172" t="str" cm="1">
        <f t="array" ref="AD110">Common_InputFunctions.Utility_DisplayArrayInTable(Fertiliser_SourceData.Fertiliser_Products_Data1(), FertiliserProducts[[#Headers],[Company]],1)</f>
        <v/>
      </c>
      <c r="AE110" s="172" t="str" cm="1">
        <f t="array" ref="AE110">Common_InputFunctions.Utility_DisplayArrayInTable(Fertiliser_SourceData.Fertiliser_Products_Data1(), FertiliserProducts[[#Headers],[Company]],1)</f>
        <v/>
      </c>
      <c r="AF110" s="172" t="str" cm="1">
        <f t="array" ref="AF110">Common_InputFunctions.Utility_DisplayArrayInTable(Fertiliser_SourceData.Fertiliser_Products_Data1(), FertiliserProducts[[#Headers],[Company]],1)</f>
        <v/>
      </c>
      <c r="AG110" s="172" t="str" cm="1">
        <f t="array" ref="AG110">Common_InputFunctions.Utility_DisplayArrayInTable(Fertiliser_SourceData.Fertiliser_Products_Data1(), FertiliserProducts[[#Headers],[Company]],1)</f>
        <v/>
      </c>
      <c r="AH110" s="172" t="str" cm="1">
        <f t="array" ref="AH110">Common_InputFunctions.Utility_DisplayArrayInTable(Fertiliser_SourceData.Fertiliser_Products_Data1(), FertiliserProducts[[#Headers],[Company]],1)</f>
        <v/>
      </c>
      <c r="AK110" s="1"/>
      <c r="AL110" s="1"/>
      <c r="AM110" s="1"/>
    </row>
    <row r="111" spans="4:39" ht="20.100000000000001" customHeight="1" x14ac:dyDescent="0.25">
      <c r="D111" s="172" t="str" cm="1">
        <f t="array" ref="D111">Common_InputFunctions.Utility_DisplayArrayInTable(Fertiliser_SourceData.Fertiliser_Products_Data1(), FertiliserProducts[[#Headers],[Company]],1)</f>
        <v>Incitec Pivot Fertilisers</v>
      </c>
      <c r="E111" s="172" t="str" cm="1">
        <f t="array" ref="E111">Common_InputFunctions.Utility_DisplayArrayInTable(Fertiliser_SourceData.Fertiliser_Products_Data1(), FertiliserProducts[[#Headers],[Company]],1)</f>
        <v>Basalt BooSSta</v>
      </c>
      <c r="F111" s="172" t="str" cm="1">
        <f t="array" ref="F111">Common_InputFunctions.Utility_DisplayArrayInTable(Fertiliser_SourceData.Fertiliser_Products_Data1(), FertiliserProducts[[#Headers],[Company]],1)</f>
        <v>kg</v>
      </c>
      <c r="G111" s="172" cm="1">
        <f t="array" ref="G111">Common_InputFunctions.Utility_DisplayArrayInTable(Fertiliser_SourceData.Fertiliser_Products_Data1(), FertiliserProducts[[#Headers],[Company]],1)</f>
        <v>1</v>
      </c>
      <c r="H111" s="172" t="str" cm="1">
        <f t="array" ref="H111">Common_InputFunctions.Utility_DisplayArrayInTable(Fertiliser_SourceData.Fertiliser_Products_Data1(), FertiliserProducts[[#Headers],[Company]],1)</f>
        <v/>
      </c>
      <c r="I111" s="172" t="str" cm="1">
        <f t="array" ref="I111">Common_InputFunctions.Utility_DisplayArrayInTable(Fertiliser_SourceData.Fertiliser_Products_Data1(), FertiliserProducts[[#Headers],[Company]],1)</f>
        <v/>
      </c>
      <c r="J111" s="172" t="str" cm="1">
        <f t="array" ref="J111">Common_InputFunctions.Utility_DisplayArrayInTable(Fertiliser_SourceData.Fertiliser_Products_Data1(), FertiliserProducts[[#Headers],[Company]],1)</f>
        <v/>
      </c>
      <c r="K111" s="172" cm="1">
        <f t="array" ref="K111">Common_InputFunctions.Utility_DisplayArrayInTable(Fertiliser_SourceData.Fertiliser_Products_Data1(), FertiliserProducts[[#Headers],[Company]],1)</f>
        <v>8</v>
      </c>
      <c r="L111" s="172" cm="1">
        <f t="array" ref="L111">Common_InputFunctions.Utility_DisplayArrayInTable(Fertiliser_SourceData.Fertiliser_Products_Data1(), FertiliserProducts[[#Headers],[Company]],1)</f>
        <v>14</v>
      </c>
      <c r="M111" s="172" t="str" cm="1">
        <f t="array" ref="M111">Common_InputFunctions.Utility_DisplayArrayInTable(Fertiliser_SourceData.Fertiliser_Products_Data1(), FertiliserProducts[[#Headers],[Company]],1)</f>
        <v/>
      </c>
      <c r="N111" s="172" cm="1">
        <f t="array" ref="N111">Common_InputFunctions.Utility_DisplayArrayInTable(Fertiliser_SourceData.Fertiliser_Products_Data1(), FertiliserProducts[[#Headers],[Company]],1)</f>
        <v>27.6</v>
      </c>
      <c r="O111" s="172" t="str" cm="1">
        <f t="array" ref="O111">Common_InputFunctions.Utility_DisplayArrayInTable(Fertiliser_SourceData.Fertiliser_Products_Data1(), FertiliserProducts[[#Headers],[Company]],1)</f>
        <v>Sulfur - Generic</v>
      </c>
      <c r="P111" s="172" cm="1">
        <f t="array" ref="P111">Common_InputFunctions.Utility_DisplayArrayInTable(Fertiliser_SourceData.Fertiliser_Products_Data1(), FertiliserProducts[[#Headers],[Company]],1)</f>
        <v>0.27600000000000002</v>
      </c>
      <c r="Q111" s="172" t="str" cm="1">
        <f t="array" ref="Q111">Common_InputFunctions.Utility_DisplayArrayInTable(Fertiliser_SourceData.Fertiliser_Products_Data1(), FertiliserProducts[[#Headers],[Company]],1)</f>
        <v>Phosphorus - Generic</v>
      </c>
      <c r="R111" s="172" cm="1">
        <f t="array" ref="R111">Common_InputFunctions.Utility_DisplayArrayInTable(Fertiliser_SourceData.Fertiliser_Products_Data1(), FertiliserProducts[[#Headers],[Company]],1)</f>
        <v>0.14000000000000001</v>
      </c>
      <c r="S111" s="172" t="str" cm="1">
        <f t="array" ref="S111">Common_InputFunctions.Utility_DisplayArrayInTable(Fertiliser_SourceData.Fertiliser_Products_Data1(), FertiliserProducts[[#Headers],[Company]],1)</f>
        <v>Nitrogen - Generic</v>
      </c>
      <c r="T111" s="172" cm="1">
        <f t="array" ref="T111">Common_InputFunctions.Utility_DisplayArrayInTable(Fertiliser_SourceData.Fertiliser_Products_Data1(), FertiliserProducts[[#Headers],[Company]],1)</f>
        <v>0.08</v>
      </c>
      <c r="U111" s="172" t="str" cm="1">
        <f t="array" ref="U111">Common_InputFunctions.Utility_DisplayArrayInTable(Fertiliser_SourceData.Fertiliser_Products_Data1(), FertiliserProducts[[#Headers],[Company]],1)</f>
        <v>Fluoride</v>
      </c>
      <c r="V111" s="172" cm="1">
        <f t="array" ref="V111">Common_InputFunctions.Utility_DisplayArrayInTable(Fertiliser_SourceData.Fertiliser_Products_Data1(), FertiliserProducts[[#Headers],[Company]],1)</f>
        <v>2.4E-2</v>
      </c>
      <c r="W111" s="172" t="str" cm="1">
        <f t="array" ref="W111">Common_InputFunctions.Utility_DisplayArrayInTable(Fertiliser_SourceData.Fertiliser_Products_Data1(), FertiliserProducts[[#Headers],[Company]],1)</f>
        <v/>
      </c>
      <c r="X111" s="172" t="str" cm="1">
        <f t="array" ref="X111">Common_InputFunctions.Utility_DisplayArrayInTable(Fertiliser_SourceData.Fertiliser_Products_Data1(), FertiliserProducts[[#Headers],[Company]],1)</f>
        <v/>
      </c>
      <c r="Y111" s="172" t="str" cm="1">
        <f t="array" ref="Y111">Common_InputFunctions.Utility_DisplayArrayInTable(Fertiliser_SourceData.Fertiliser_Products_Data1(), FertiliserProducts[[#Headers],[Company]],1)</f>
        <v/>
      </c>
      <c r="Z111" s="172" t="str" cm="1">
        <f t="array" ref="Z111">Common_InputFunctions.Utility_DisplayArrayInTable(Fertiliser_SourceData.Fertiliser_Products_Data1(), FertiliserProducts[[#Headers],[Company]],1)</f>
        <v/>
      </c>
      <c r="AA111" s="172" t="str" cm="1">
        <f t="array" ref="AA111">Common_InputFunctions.Utility_DisplayArrayInTable(Fertiliser_SourceData.Fertiliser_Products_Data1(), FertiliserProducts[[#Headers],[Company]],1)</f>
        <v/>
      </c>
      <c r="AB111" s="172" t="str" cm="1">
        <f t="array" ref="AB111">Common_InputFunctions.Utility_DisplayArrayInTable(Fertiliser_SourceData.Fertiliser_Products_Data1(), FertiliserProducts[[#Headers],[Company]],1)</f>
        <v/>
      </c>
      <c r="AC111" s="172" t="str" cm="1">
        <f t="array" ref="AC111">Common_InputFunctions.Utility_DisplayArrayInTable(Fertiliser_SourceData.Fertiliser_Products_Data1(), FertiliserProducts[[#Headers],[Company]],1)</f>
        <v/>
      </c>
      <c r="AD111" s="172" t="str" cm="1">
        <f t="array" ref="AD111">Common_InputFunctions.Utility_DisplayArrayInTable(Fertiliser_SourceData.Fertiliser_Products_Data1(), FertiliserProducts[[#Headers],[Company]],1)</f>
        <v/>
      </c>
      <c r="AE111" s="172" t="str" cm="1">
        <f t="array" ref="AE111">Common_InputFunctions.Utility_DisplayArrayInTable(Fertiliser_SourceData.Fertiliser_Products_Data1(), FertiliserProducts[[#Headers],[Company]],1)</f>
        <v/>
      </c>
      <c r="AF111" s="172" t="str" cm="1">
        <f t="array" ref="AF111">Common_InputFunctions.Utility_DisplayArrayInTable(Fertiliser_SourceData.Fertiliser_Products_Data1(), FertiliserProducts[[#Headers],[Company]],1)</f>
        <v/>
      </c>
      <c r="AG111" s="172" t="str" cm="1">
        <f t="array" ref="AG111">Common_InputFunctions.Utility_DisplayArrayInTable(Fertiliser_SourceData.Fertiliser_Products_Data1(), FertiliserProducts[[#Headers],[Company]],1)</f>
        <v/>
      </c>
      <c r="AH111" s="172" t="str" cm="1">
        <f t="array" ref="AH111">Common_InputFunctions.Utility_DisplayArrayInTable(Fertiliser_SourceData.Fertiliser_Products_Data1(), FertiliserProducts[[#Headers],[Company]],1)</f>
        <v/>
      </c>
      <c r="AK111" s="1"/>
      <c r="AL111" s="1"/>
      <c r="AM111" s="1"/>
    </row>
    <row r="112" spans="4:39" ht="20.100000000000001" customHeight="1" x14ac:dyDescent="0.25">
      <c r="D112" s="172" t="str" cm="1">
        <f t="array" ref="D112">Common_InputFunctions.Utility_DisplayArrayInTable(Fertiliser_SourceData.Fertiliser_Products_Data1(), FertiliserProducts[[#Headers],[Company]],1)</f>
        <v>Summit Fertilizers</v>
      </c>
      <c r="E112" s="172" t="str" cm="1">
        <f t="array" ref="E112">Common_InputFunctions.Utility_DisplayArrayInTable(Fertiliser_SourceData.Fertiliser_Products_Data1(), FertiliserProducts[[#Headers],[Company]],1)</f>
        <v>DAPSZC</v>
      </c>
      <c r="F112" s="172" t="str" cm="1">
        <f t="array" ref="F112">Common_InputFunctions.Utility_DisplayArrayInTable(Fertiliser_SourceData.Fertiliser_Products_Data1(), FertiliserProducts[[#Headers],[Company]],1)</f>
        <v>kg</v>
      </c>
      <c r="G112" s="172" cm="1">
        <f t="array" ref="G112">Common_InputFunctions.Utility_DisplayArrayInTable(Fertiliser_SourceData.Fertiliser_Products_Data1(), FertiliserProducts[[#Headers],[Company]],1)</f>
        <v>1</v>
      </c>
      <c r="H112" s="172" t="str" cm="1">
        <f t="array" ref="H112">Common_InputFunctions.Utility_DisplayArrayInTable(Fertiliser_SourceData.Fertiliser_Products_Data1(), FertiliserProducts[[#Headers],[Company]],1)</f>
        <v/>
      </c>
      <c r="I112" s="172" t="str" cm="1">
        <f t="array" ref="I112">Common_InputFunctions.Utility_DisplayArrayInTable(Fertiliser_SourceData.Fertiliser_Products_Data1(), FertiliserProducts[[#Headers],[Company]],1)</f>
        <v/>
      </c>
      <c r="J112" s="172" t="str" cm="1">
        <f t="array" ref="J112">Common_InputFunctions.Utility_DisplayArrayInTable(Fertiliser_SourceData.Fertiliser_Products_Data1(), FertiliserProducts[[#Headers],[Company]],1)</f>
        <v/>
      </c>
      <c r="K112" s="172" cm="1">
        <f t="array" ref="K112">Common_InputFunctions.Utility_DisplayArrayInTable(Fertiliser_SourceData.Fertiliser_Products_Data1(), FertiliserProducts[[#Headers],[Company]],1)</f>
        <v>16.899999999999999</v>
      </c>
      <c r="L112" s="172" cm="1">
        <f t="array" ref="L112">Common_InputFunctions.Utility_DisplayArrayInTable(Fertiliser_SourceData.Fertiliser_Products_Data1(), FertiliserProducts[[#Headers],[Company]],1)</f>
        <v>18.2</v>
      </c>
      <c r="M112" s="172" t="str" cm="1">
        <f t="array" ref="M112">Common_InputFunctions.Utility_DisplayArrayInTable(Fertiliser_SourceData.Fertiliser_Products_Data1(), FertiliserProducts[[#Headers],[Company]],1)</f>
        <v/>
      </c>
      <c r="N112" s="172" cm="1">
        <f t="array" ref="N112">Common_InputFunctions.Utility_DisplayArrayInTable(Fertiliser_SourceData.Fertiliser_Products_Data1(), FertiliserProducts[[#Headers],[Company]],1)</f>
        <v>8</v>
      </c>
      <c r="O112" s="172" t="str" cm="1">
        <f t="array" ref="O112">Common_InputFunctions.Utility_DisplayArrayInTable(Fertiliser_SourceData.Fertiliser_Products_Data1(), FertiliserProducts[[#Headers],[Company]],1)</f>
        <v>Phosphorus - Generic</v>
      </c>
      <c r="P112" s="172" cm="1">
        <f t="array" ref="P112">Common_InputFunctions.Utility_DisplayArrayInTable(Fertiliser_SourceData.Fertiliser_Products_Data1(), FertiliserProducts[[#Headers],[Company]],1)</f>
        <v>0.182</v>
      </c>
      <c r="Q112" s="172" t="str" cm="1">
        <f t="array" ref="Q112">Common_InputFunctions.Utility_DisplayArrayInTable(Fertiliser_SourceData.Fertiliser_Products_Data1(), FertiliserProducts[[#Headers],[Company]],1)</f>
        <v>Nitrogen - Generic</v>
      </c>
      <c r="R112" s="172" cm="1">
        <f t="array" ref="R112">Common_InputFunctions.Utility_DisplayArrayInTable(Fertiliser_SourceData.Fertiliser_Products_Data1(), FertiliserProducts[[#Headers],[Company]],1)</f>
        <v>0.16900000000000001</v>
      </c>
      <c r="S112" s="172" t="str" cm="1">
        <f t="array" ref="S112">Common_InputFunctions.Utility_DisplayArrayInTable(Fertiliser_SourceData.Fertiliser_Products_Data1(), FertiliserProducts[[#Headers],[Company]],1)</f>
        <v>Sulfur - Generic</v>
      </c>
      <c r="T112" s="172" cm="1">
        <f t="array" ref="T112">Common_InputFunctions.Utility_DisplayArrayInTable(Fertiliser_SourceData.Fertiliser_Products_Data1(), FertiliserProducts[[#Headers],[Company]],1)</f>
        <v>0.08</v>
      </c>
      <c r="U112" s="172" t="str" cm="1">
        <f t="array" ref="U112">Common_InputFunctions.Utility_DisplayArrayInTable(Fertiliser_SourceData.Fertiliser_Products_Data1(), FertiliserProducts[[#Headers],[Company]],1)</f>
        <v>Zinc</v>
      </c>
      <c r="V112" s="172" cm="1">
        <f t="array" ref="V112">Common_InputFunctions.Utility_DisplayArrayInTable(Fertiliser_SourceData.Fertiliser_Products_Data1(), FertiliserProducts[[#Headers],[Company]],1)</f>
        <v>2E-3</v>
      </c>
      <c r="W112" s="172" t="str" cm="1">
        <f t="array" ref="W112">Common_InputFunctions.Utility_DisplayArrayInTable(Fertiliser_SourceData.Fertiliser_Products_Data1(), FertiliserProducts[[#Headers],[Company]],1)</f>
        <v>Copper</v>
      </c>
      <c r="X112" s="172" cm="1">
        <f t="array" ref="X112">Common_InputFunctions.Utility_DisplayArrayInTable(Fertiliser_SourceData.Fertiliser_Products_Data1(), FertiliserProducts[[#Headers],[Company]],1)</f>
        <v>1E-3</v>
      </c>
      <c r="Y112" s="172" t="str" cm="1">
        <f t="array" ref="Y112">Common_InputFunctions.Utility_DisplayArrayInTable(Fertiliser_SourceData.Fertiliser_Products_Data1(), FertiliserProducts[[#Headers],[Company]],1)</f>
        <v/>
      </c>
      <c r="Z112" s="172" t="str" cm="1">
        <f t="array" ref="Z112">Common_InputFunctions.Utility_DisplayArrayInTable(Fertiliser_SourceData.Fertiliser_Products_Data1(), FertiliserProducts[[#Headers],[Company]],1)</f>
        <v/>
      </c>
      <c r="AA112" s="172" t="str" cm="1">
        <f t="array" ref="AA112">Common_InputFunctions.Utility_DisplayArrayInTable(Fertiliser_SourceData.Fertiliser_Products_Data1(), FertiliserProducts[[#Headers],[Company]],1)</f>
        <v/>
      </c>
      <c r="AB112" s="172" t="str" cm="1">
        <f t="array" ref="AB112">Common_InputFunctions.Utility_DisplayArrayInTable(Fertiliser_SourceData.Fertiliser_Products_Data1(), FertiliserProducts[[#Headers],[Company]],1)</f>
        <v/>
      </c>
      <c r="AC112" s="172" t="str" cm="1">
        <f t="array" ref="AC112">Common_InputFunctions.Utility_DisplayArrayInTable(Fertiliser_SourceData.Fertiliser_Products_Data1(), FertiliserProducts[[#Headers],[Company]],1)</f>
        <v/>
      </c>
      <c r="AD112" s="172" t="str" cm="1">
        <f t="array" ref="AD112">Common_InputFunctions.Utility_DisplayArrayInTable(Fertiliser_SourceData.Fertiliser_Products_Data1(), FertiliserProducts[[#Headers],[Company]],1)</f>
        <v/>
      </c>
      <c r="AE112" s="172" t="str" cm="1">
        <f t="array" ref="AE112">Common_InputFunctions.Utility_DisplayArrayInTable(Fertiliser_SourceData.Fertiliser_Products_Data1(), FertiliserProducts[[#Headers],[Company]],1)</f>
        <v/>
      </c>
      <c r="AF112" s="172" t="str" cm="1">
        <f t="array" ref="AF112">Common_InputFunctions.Utility_DisplayArrayInTable(Fertiliser_SourceData.Fertiliser_Products_Data1(), FertiliserProducts[[#Headers],[Company]],1)</f>
        <v/>
      </c>
      <c r="AG112" s="172" t="str" cm="1">
        <f t="array" ref="AG112">Common_InputFunctions.Utility_DisplayArrayInTable(Fertiliser_SourceData.Fertiliser_Products_Data1(), FertiliserProducts[[#Headers],[Company]],1)</f>
        <v/>
      </c>
      <c r="AH112" s="172" t="str" cm="1">
        <f t="array" ref="AH112">Common_InputFunctions.Utility_DisplayArrayInTable(Fertiliser_SourceData.Fertiliser_Products_Data1(), FertiliserProducts[[#Headers],[Company]],1)</f>
        <v/>
      </c>
      <c r="AK112" s="1"/>
      <c r="AL112" s="1"/>
      <c r="AM112" s="1"/>
    </row>
    <row r="113" spans="4:39" ht="20.100000000000001" customHeight="1" x14ac:dyDescent="0.25">
      <c r="D113" s="172" t="str" cm="1">
        <f t="array" ref="D113">Common_InputFunctions.Utility_DisplayArrayInTable(Fertiliser_SourceData.Fertiliser_Products_Data1(), FertiliserProducts[[#Headers],[Company]],1)</f>
        <v>Incitec Pivot Fertilisers</v>
      </c>
      <c r="E113" s="172" t="str" cm="1">
        <f t="array" ref="E113">Common_InputFunctions.Utility_DisplayArrayInTable(Fertiliser_SourceData.Fertiliser_Products_Data1(), FertiliserProducts[[#Headers],[Company]],1)</f>
        <v>Easy N</v>
      </c>
      <c r="F113" s="172" t="str" cm="1">
        <f t="array" ref="F113">Common_InputFunctions.Utility_DisplayArrayInTable(Fertiliser_SourceData.Fertiliser_Products_Data1(), FertiliserProducts[[#Headers],[Company]],1)</f>
        <v>L</v>
      </c>
      <c r="G113" s="172" cm="1">
        <f t="array" ref="G113">Common_InputFunctions.Utility_DisplayArrayInTable(Fertiliser_SourceData.Fertiliser_Products_Data1(), FertiliserProducts[[#Headers],[Company]],1)</f>
        <v>1.32</v>
      </c>
      <c r="H113" s="172" t="str" cm="1">
        <f t="array" ref="H113">Common_InputFunctions.Utility_DisplayArrayInTable(Fertiliser_SourceData.Fertiliser_Products_Data1(), FertiliserProducts[[#Headers],[Company]],1)</f>
        <v/>
      </c>
      <c r="I113" s="172" t="str" cm="1">
        <f t="array" ref="I113">Common_InputFunctions.Utility_DisplayArrayInTable(Fertiliser_SourceData.Fertiliser_Products_Data1(), FertiliserProducts[[#Headers],[Company]],1)</f>
        <v/>
      </c>
      <c r="J113" s="172" t="str" cm="1">
        <f t="array" ref="J113">Common_InputFunctions.Utility_DisplayArrayInTable(Fertiliser_SourceData.Fertiliser_Products_Data1(), FertiliserProducts[[#Headers],[Company]],1)</f>
        <v/>
      </c>
      <c r="K113" s="172" cm="1">
        <f t="array" ref="K113">Common_InputFunctions.Utility_DisplayArrayInTable(Fertiliser_SourceData.Fertiliser_Products_Data1(), FertiliserProducts[[#Headers],[Company]],1)</f>
        <v>42.5</v>
      </c>
      <c r="L113" s="172" t="str" cm="1">
        <f t="array" ref="L113">Common_InputFunctions.Utility_DisplayArrayInTable(Fertiliser_SourceData.Fertiliser_Products_Data1(), FertiliserProducts[[#Headers],[Company]],1)</f>
        <v/>
      </c>
      <c r="M113" s="172" t="str" cm="1">
        <f t="array" ref="M113">Common_InputFunctions.Utility_DisplayArrayInTable(Fertiliser_SourceData.Fertiliser_Products_Data1(), FertiliserProducts[[#Headers],[Company]],1)</f>
        <v/>
      </c>
      <c r="N113" s="172" t="str" cm="1">
        <f t="array" ref="N113">Common_InputFunctions.Utility_DisplayArrayInTable(Fertiliser_SourceData.Fertiliser_Products_Data1(), FertiliserProducts[[#Headers],[Company]],1)</f>
        <v/>
      </c>
      <c r="O113" s="172" t="str" cm="1">
        <f t="array" ref="O113">Common_InputFunctions.Utility_DisplayArrayInTable(Fertiliser_SourceData.Fertiliser_Products_Data1(), FertiliserProducts[[#Headers],[Company]],1)</f>
        <v>Urea</v>
      </c>
      <c r="P113" s="172" cm="1">
        <f t="array" ref="P113">Common_InputFunctions.Utility_DisplayArrayInTable(Fertiliser_SourceData.Fertiliser_Products_Data1(), FertiliserProducts[[#Headers],[Company]],1)</f>
        <v>0.467391</v>
      </c>
      <c r="Q113" s="172" t="str" cm="1">
        <f t="array" ref="Q113">Common_InputFunctions.Utility_DisplayArrayInTable(Fertiliser_SourceData.Fertiliser_Products_Data1(), FertiliserProducts[[#Headers],[Company]],1)</f>
        <v>Nitrogen - Nitrate</v>
      </c>
      <c r="R113" s="172" cm="1">
        <f t="array" ref="R113">Common_InputFunctions.Utility_DisplayArrayInTable(Fertiliser_SourceData.Fertiliser_Products_Data1(), FertiliserProducts[[#Headers],[Company]],1)</f>
        <v>0.105</v>
      </c>
      <c r="S113" s="172" t="str" cm="1">
        <f t="array" ref="S113">Common_InputFunctions.Utility_DisplayArrayInTable(Fertiliser_SourceData.Fertiliser_Products_Data1(), FertiliserProducts[[#Headers],[Company]],1)</f>
        <v>Nitrogen - Ammoniacal</v>
      </c>
      <c r="T113" s="172" cm="1">
        <f t="array" ref="T113">Common_InputFunctions.Utility_DisplayArrayInTable(Fertiliser_SourceData.Fertiliser_Products_Data1(), FertiliserProducts[[#Headers],[Company]],1)</f>
        <v>0.105</v>
      </c>
      <c r="U113" s="172" t="str" cm="1">
        <f t="array" ref="U113">Common_InputFunctions.Utility_DisplayArrayInTable(Fertiliser_SourceData.Fertiliser_Products_Data1(), FertiliserProducts[[#Headers],[Company]],1)</f>
        <v>Biuret</v>
      </c>
      <c r="V113" s="172" cm="1">
        <f t="array" ref="V113">Common_InputFunctions.Utility_DisplayArrayInTable(Fertiliser_SourceData.Fertiliser_Products_Data1(), FertiliserProducts[[#Headers],[Company]],1)</f>
        <v>6.0000000000000001E-3</v>
      </c>
      <c r="W113" s="172" t="str" cm="1">
        <f t="array" ref="W113">Common_InputFunctions.Utility_DisplayArrayInTable(Fertiliser_SourceData.Fertiliser_Products_Data1(), FertiliserProducts[[#Headers],[Company]],1)</f>
        <v/>
      </c>
      <c r="X113" s="172" t="str" cm="1">
        <f t="array" ref="X113">Common_InputFunctions.Utility_DisplayArrayInTable(Fertiliser_SourceData.Fertiliser_Products_Data1(), FertiliserProducts[[#Headers],[Company]],1)</f>
        <v/>
      </c>
      <c r="Y113" s="172" t="str" cm="1">
        <f t="array" ref="Y113">Common_InputFunctions.Utility_DisplayArrayInTable(Fertiliser_SourceData.Fertiliser_Products_Data1(), FertiliserProducts[[#Headers],[Company]],1)</f>
        <v/>
      </c>
      <c r="Z113" s="172" t="str" cm="1">
        <f t="array" ref="Z113">Common_InputFunctions.Utility_DisplayArrayInTable(Fertiliser_SourceData.Fertiliser_Products_Data1(), FertiliserProducts[[#Headers],[Company]],1)</f>
        <v/>
      </c>
      <c r="AA113" s="172" t="str" cm="1">
        <f t="array" ref="AA113">Common_InputFunctions.Utility_DisplayArrayInTable(Fertiliser_SourceData.Fertiliser_Products_Data1(), FertiliserProducts[[#Headers],[Company]],1)</f>
        <v/>
      </c>
      <c r="AB113" s="172" t="str" cm="1">
        <f t="array" ref="AB113">Common_InputFunctions.Utility_DisplayArrayInTable(Fertiliser_SourceData.Fertiliser_Products_Data1(), FertiliserProducts[[#Headers],[Company]],1)</f>
        <v/>
      </c>
      <c r="AC113" s="172" t="str" cm="1">
        <f t="array" ref="AC113">Common_InputFunctions.Utility_DisplayArrayInTable(Fertiliser_SourceData.Fertiliser_Products_Data1(), FertiliserProducts[[#Headers],[Company]],1)</f>
        <v/>
      </c>
      <c r="AD113" s="172" t="str" cm="1">
        <f t="array" ref="AD113">Common_InputFunctions.Utility_DisplayArrayInTable(Fertiliser_SourceData.Fertiliser_Products_Data1(), FertiliserProducts[[#Headers],[Company]],1)</f>
        <v/>
      </c>
      <c r="AE113" s="172" t="str" cm="1">
        <f t="array" ref="AE113">Common_InputFunctions.Utility_DisplayArrayInTable(Fertiliser_SourceData.Fertiliser_Products_Data1(), FertiliserProducts[[#Headers],[Company]],1)</f>
        <v/>
      </c>
      <c r="AF113" s="172" t="str" cm="1">
        <f t="array" ref="AF113">Common_InputFunctions.Utility_DisplayArrayInTable(Fertiliser_SourceData.Fertiliser_Products_Data1(), FertiliserProducts[[#Headers],[Company]],1)</f>
        <v/>
      </c>
      <c r="AG113" s="172" t="str" cm="1">
        <f t="array" ref="AG113">Common_InputFunctions.Utility_DisplayArrayInTable(Fertiliser_SourceData.Fertiliser_Products_Data1(), FertiliserProducts[[#Headers],[Company]],1)</f>
        <v/>
      </c>
      <c r="AH113" s="172" t="str" cm="1">
        <f t="array" ref="AH113">Common_InputFunctions.Utility_DisplayArrayInTable(Fertiliser_SourceData.Fertiliser_Products_Data1(), FertiliserProducts[[#Headers],[Company]],1)</f>
        <v/>
      </c>
      <c r="AK113" s="1"/>
      <c r="AL113" s="1"/>
      <c r="AM113" s="1"/>
    </row>
    <row r="114" spans="4:39" ht="20.100000000000001" customHeight="1" x14ac:dyDescent="0.25">
      <c r="D114" s="172" t="str" cm="1">
        <f t="array" ref="D114">Common_InputFunctions.Utility_DisplayArrayInTable(Fertiliser_SourceData.Fertiliser_Products_Data1(), FertiliserProducts[[#Headers],[Company]],1)</f>
        <v>Risso-Chemical</v>
      </c>
      <c r="E114" s="172" t="str" cm="1">
        <f t="array" ref="E114">Common_InputFunctions.Utility_DisplayArrayInTable(Fertiliser_SourceData.Fertiliser_Products_Data1(), FertiliserProducts[[#Headers],[Company]],1)</f>
        <v>Calcium Ammonium nitrate</v>
      </c>
      <c r="F114" s="172" t="str" cm="1">
        <f t="array" ref="F114">Common_InputFunctions.Utility_DisplayArrayInTable(Fertiliser_SourceData.Fertiliser_Products_Data1(), FertiliserProducts[[#Headers],[Company]],1)</f>
        <v>kg</v>
      </c>
      <c r="G114" s="172" cm="1">
        <f t="array" ref="G114">Common_InputFunctions.Utility_DisplayArrayInTable(Fertiliser_SourceData.Fertiliser_Products_Data1(), FertiliserProducts[[#Headers],[Company]],1)</f>
        <v>1</v>
      </c>
      <c r="H114" s="172" t="str" cm="1">
        <f t="array" ref="H114">Common_InputFunctions.Utility_DisplayArrayInTable(Fertiliser_SourceData.Fertiliser_Products_Data1(), FertiliserProducts[[#Headers],[Company]],1)</f>
        <v/>
      </c>
      <c r="I114" s="172" t="str" cm="1">
        <f t="array" ref="I114">Common_InputFunctions.Utility_DisplayArrayInTable(Fertiliser_SourceData.Fertiliser_Products_Data1(), FertiliserProducts[[#Headers],[Company]],1)</f>
        <v/>
      </c>
      <c r="J114" s="172" t="str" cm="1">
        <f t="array" ref="J114">Common_InputFunctions.Utility_DisplayArrayInTable(Fertiliser_SourceData.Fertiliser_Products_Data1(), FertiliserProducts[[#Headers],[Company]],1)</f>
        <v>China</v>
      </c>
      <c r="K114" s="172" cm="1">
        <f t="array" ref="K114">Common_InputFunctions.Utility_DisplayArrayInTable(Fertiliser_SourceData.Fertiliser_Products_Data1(), FertiliserProducts[[#Headers],[Company]],1)</f>
        <v>40.5</v>
      </c>
      <c r="L114" s="172" t="str" cm="1">
        <f t="array" ref="L114">Common_InputFunctions.Utility_DisplayArrayInTable(Fertiliser_SourceData.Fertiliser_Products_Data1(), FertiliserProducts[[#Headers],[Company]],1)</f>
        <v/>
      </c>
      <c r="M114" s="172" t="str" cm="1">
        <f t="array" ref="M114">Common_InputFunctions.Utility_DisplayArrayInTable(Fertiliser_SourceData.Fertiliser_Products_Data1(), FertiliserProducts[[#Headers],[Company]],1)</f>
        <v/>
      </c>
      <c r="N114" s="172" t="str" cm="1">
        <f t="array" ref="N114">Common_InputFunctions.Utility_DisplayArrayInTable(Fertiliser_SourceData.Fertiliser_Products_Data1(), FertiliserProducts[[#Headers],[Company]],1)</f>
        <v/>
      </c>
      <c r="O114" s="172" t="str" cm="1">
        <f t="array" ref="O114">Common_InputFunctions.Utility_DisplayArrayInTable(Fertiliser_SourceData.Fertiliser_Products_Data1(), FertiliserProducts[[#Headers],[Company]],1)</f>
        <v>Nitrogen - Ammoniacal</v>
      </c>
      <c r="P114" s="172" cm="1">
        <f t="array" ref="P114">Common_InputFunctions.Utility_DisplayArrayInTable(Fertiliser_SourceData.Fertiliser_Products_Data1(), FertiliserProducts[[#Headers],[Company]],1)</f>
        <v>0.27</v>
      </c>
      <c r="Q114" s="172" t="str" cm="1">
        <f t="array" ref="Q114">Common_InputFunctions.Utility_DisplayArrayInTable(Fertiliser_SourceData.Fertiliser_Products_Data1(), FertiliserProducts[[#Headers],[Company]],1)</f>
        <v>Nitrogen - Nitrate</v>
      </c>
      <c r="R114" s="172" cm="1">
        <f t="array" ref="R114">Common_InputFunctions.Utility_DisplayArrayInTable(Fertiliser_SourceData.Fertiliser_Products_Data1(), FertiliserProducts[[#Headers],[Company]],1)</f>
        <v>0.13500000000000001</v>
      </c>
      <c r="S114" s="172" t="str" cm="1">
        <f t="array" ref="S114">Common_InputFunctions.Utility_DisplayArrayInTable(Fertiliser_SourceData.Fertiliser_Products_Data1(), FertiliserProducts[[#Headers],[Company]],1)</f>
        <v>Calcium</v>
      </c>
      <c r="T114" s="172" cm="1">
        <f t="array" ref="T114">Common_InputFunctions.Utility_DisplayArrayInTable(Fertiliser_SourceData.Fertiliser_Products_Data1(), FertiliserProducts[[#Headers],[Company]],1)</f>
        <v>0.12</v>
      </c>
      <c r="U114" s="172" t="str" cm="1">
        <f t="array" ref="U114">Common_InputFunctions.Utility_DisplayArrayInTable(Fertiliser_SourceData.Fertiliser_Products_Data1(), FertiliserProducts[[#Headers],[Company]],1)</f>
        <v/>
      </c>
      <c r="V114" s="172" t="str" cm="1">
        <f t="array" ref="V114">Common_InputFunctions.Utility_DisplayArrayInTable(Fertiliser_SourceData.Fertiliser_Products_Data1(), FertiliserProducts[[#Headers],[Company]],1)</f>
        <v/>
      </c>
      <c r="W114" s="172" t="str" cm="1">
        <f t="array" ref="W114">Common_InputFunctions.Utility_DisplayArrayInTable(Fertiliser_SourceData.Fertiliser_Products_Data1(), FertiliserProducts[[#Headers],[Company]],1)</f>
        <v/>
      </c>
      <c r="X114" s="172" t="str" cm="1">
        <f t="array" ref="X114">Common_InputFunctions.Utility_DisplayArrayInTable(Fertiliser_SourceData.Fertiliser_Products_Data1(), FertiliserProducts[[#Headers],[Company]],1)</f>
        <v/>
      </c>
      <c r="Y114" s="172" t="str" cm="1">
        <f t="array" ref="Y114">Common_InputFunctions.Utility_DisplayArrayInTable(Fertiliser_SourceData.Fertiliser_Products_Data1(), FertiliserProducts[[#Headers],[Company]],1)</f>
        <v/>
      </c>
      <c r="Z114" s="172" t="str" cm="1">
        <f t="array" ref="Z114">Common_InputFunctions.Utility_DisplayArrayInTable(Fertiliser_SourceData.Fertiliser_Products_Data1(), FertiliserProducts[[#Headers],[Company]],1)</f>
        <v/>
      </c>
      <c r="AA114" s="172" t="str" cm="1">
        <f t="array" ref="AA114">Common_InputFunctions.Utility_DisplayArrayInTable(Fertiliser_SourceData.Fertiliser_Products_Data1(), FertiliserProducts[[#Headers],[Company]],1)</f>
        <v/>
      </c>
      <c r="AB114" s="172" t="str" cm="1">
        <f t="array" ref="AB114">Common_InputFunctions.Utility_DisplayArrayInTable(Fertiliser_SourceData.Fertiliser_Products_Data1(), FertiliserProducts[[#Headers],[Company]],1)</f>
        <v/>
      </c>
      <c r="AC114" s="172" t="str" cm="1">
        <f t="array" ref="AC114">Common_InputFunctions.Utility_DisplayArrayInTable(Fertiliser_SourceData.Fertiliser_Products_Data1(), FertiliserProducts[[#Headers],[Company]],1)</f>
        <v/>
      </c>
      <c r="AD114" s="172" t="str" cm="1">
        <f t="array" ref="AD114">Common_InputFunctions.Utility_DisplayArrayInTable(Fertiliser_SourceData.Fertiliser_Products_Data1(), FertiliserProducts[[#Headers],[Company]],1)</f>
        <v/>
      </c>
      <c r="AE114" s="172" t="str" cm="1">
        <f t="array" ref="AE114">Common_InputFunctions.Utility_DisplayArrayInTable(Fertiliser_SourceData.Fertiliser_Products_Data1(), FertiliserProducts[[#Headers],[Company]],1)</f>
        <v/>
      </c>
      <c r="AF114" s="172" t="str" cm="1">
        <f t="array" ref="AF114">Common_InputFunctions.Utility_DisplayArrayInTable(Fertiliser_SourceData.Fertiliser_Products_Data1(), FertiliserProducts[[#Headers],[Company]],1)</f>
        <v/>
      </c>
      <c r="AG114" s="172" t="str" cm="1">
        <f t="array" ref="AG114">Common_InputFunctions.Utility_DisplayArrayInTable(Fertiliser_SourceData.Fertiliser_Products_Data1(), FertiliserProducts[[#Headers],[Company]],1)</f>
        <v/>
      </c>
      <c r="AH114" s="172" t="str" cm="1">
        <f t="array" ref="AH114">Common_InputFunctions.Utility_DisplayArrayInTable(Fertiliser_SourceData.Fertiliser_Products_Data1(), FertiliserProducts[[#Headers],[Company]],1)</f>
        <v/>
      </c>
      <c r="AK114" s="1"/>
      <c r="AL114" s="1"/>
      <c r="AM114" s="1"/>
    </row>
    <row r="115" spans="4:39" ht="20.100000000000001" customHeight="1" x14ac:dyDescent="0.25">
      <c r="D115" s="172" t="str" cm="1">
        <f t="array" ref="D115">Common_InputFunctions.Utility_DisplayArrayInTable(Fertiliser_SourceData.Fertiliser_Products_Data1(), FertiliserProducts[[#Headers],[Company]],1)</f>
        <v>SL Tec</v>
      </c>
      <c r="E115" s="172" t="str" cm="1">
        <f t="array" ref="E115">Common_InputFunctions.Utility_DisplayArrayInTable(Fertiliser_SourceData.Fertiliser_Products_Data1(), FertiliserProducts[[#Headers],[Company]],1)</f>
        <v>CellCAL Plus</v>
      </c>
      <c r="F115" s="172" t="str" cm="1">
        <f t="array" ref="F115">Common_InputFunctions.Utility_DisplayArrayInTable(Fertiliser_SourceData.Fertiliser_Products_Data1(), FertiliserProducts[[#Headers],[Company]],1)</f>
        <v>L</v>
      </c>
      <c r="G115" s="172" cm="1">
        <f t="array" ref="G115">Common_InputFunctions.Utility_DisplayArrayInTable(Fertiliser_SourceData.Fertiliser_Products_Data1(), FertiliserProducts[[#Headers],[Company]],1)</f>
        <v>1.1379999999999999</v>
      </c>
      <c r="H115" s="172" t="str" cm="1">
        <f t="array" ref="H115">Common_InputFunctions.Utility_DisplayArrayInTable(Fertiliser_SourceData.Fertiliser_Products_Data1(), FertiliserProducts[[#Headers],[Company]],1)</f>
        <v/>
      </c>
      <c r="I115" s="172" t="str" cm="1">
        <f t="array" ref="I115">Common_InputFunctions.Utility_DisplayArrayInTable(Fertiliser_SourceData.Fertiliser_Products_Data1(), FertiliserProducts[[#Headers],[Company]],1)</f>
        <v/>
      </c>
      <c r="J115" s="172" t="str" cm="1">
        <f t="array" ref="J115">Common_InputFunctions.Utility_DisplayArrayInTable(Fertiliser_SourceData.Fertiliser_Products_Data1(), FertiliserProducts[[#Headers],[Company]],1)</f>
        <v/>
      </c>
      <c r="K115" s="172" t="str" cm="1">
        <f t="array" ref="K115">Common_InputFunctions.Utility_DisplayArrayInTable(Fertiliser_SourceData.Fertiliser_Products_Data1(), FertiliserProducts[[#Headers],[Company]],1)</f>
        <v/>
      </c>
      <c r="L115" s="172" t="str" cm="1">
        <f t="array" ref="L115">Common_InputFunctions.Utility_DisplayArrayInTable(Fertiliser_SourceData.Fertiliser_Products_Data1(), FertiliserProducts[[#Headers],[Company]],1)</f>
        <v/>
      </c>
      <c r="M115" s="172" t="str" cm="1">
        <f t="array" ref="M115">Common_InputFunctions.Utility_DisplayArrayInTable(Fertiliser_SourceData.Fertiliser_Products_Data1(), FertiliserProducts[[#Headers],[Company]],1)</f>
        <v/>
      </c>
      <c r="N115" s="172" t="str" cm="1">
        <f t="array" ref="N115">Common_InputFunctions.Utility_DisplayArrayInTable(Fertiliser_SourceData.Fertiliser_Products_Data1(), FertiliserProducts[[#Headers],[Company]],1)</f>
        <v/>
      </c>
      <c r="O115" s="172" t="str" cm="1">
        <f t="array" ref="O115">Common_InputFunctions.Utility_DisplayArrayInTable(Fertiliser_SourceData.Fertiliser_Products_Data1(), FertiliserProducts[[#Headers],[Company]],1)</f>
        <v>Calcium</v>
      </c>
      <c r="P115" s="172" cm="1">
        <f t="array" ref="P115">Common_InputFunctions.Utility_DisplayArrayInTable(Fertiliser_SourceData.Fertiliser_Products_Data1(), FertiliserProducts[[#Headers],[Company]],1)</f>
        <v>5.8999999999999997E-2</v>
      </c>
      <c r="Q115" s="172" t="str" cm="1">
        <f t="array" ref="Q115">Common_InputFunctions.Utility_DisplayArrayInTable(Fertiliser_SourceData.Fertiliser_Products_Data1(), FertiliserProducts[[#Headers],[Company]],1)</f>
        <v>Copper</v>
      </c>
      <c r="R115" s="172" cm="1">
        <f t="array" ref="R115">Common_InputFunctions.Utility_DisplayArrayInTable(Fertiliser_SourceData.Fertiliser_Products_Data1(), FertiliserProducts[[#Headers],[Company]],1)</f>
        <v>3.0000000000000001E-3</v>
      </c>
      <c r="S115" s="172" t="str" cm="1">
        <f t="array" ref="S115">Common_InputFunctions.Utility_DisplayArrayInTable(Fertiliser_SourceData.Fertiliser_Products_Data1(), FertiliserProducts[[#Headers],[Company]],1)</f>
        <v>Boron</v>
      </c>
      <c r="T115" s="172" cm="1">
        <f t="array" ref="T115">Common_InputFunctions.Utility_DisplayArrayInTable(Fertiliser_SourceData.Fertiliser_Products_Data1(), FertiliserProducts[[#Headers],[Company]],1)</f>
        <v>1E-3</v>
      </c>
      <c r="U115" s="172" t="str" cm="1">
        <f t="array" ref="U115">Common_InputFunctions.Utility_DisplayArrayInTable(Fertiliser_SourceData.Fertiliser_Products_Data1(), FertiliserProducts[[#Headers],[Company]],1)</f>
        <v/>
      </c>
      <c r="V115" s="172" t="str" cm="1">
        <f t="array" ref="V115">Common_InputFunctions.Utility_DisplayArrayInTable(Fertiliser_SourceData.Fertiliser_Products_Data1(), FertiliserProducts[[#Headers],[Company]],1)</f>
        <v/>
      </c>
      <c r="W115" s="172" t="str" cm="1">
        <f t="array" ref="W115">Common_InputFunctions.Utility_DisplayArrayInTable(Fertiliser_SourceData.Fertiliser_Products_Data1(), FertiliserProducts[[#Headers],[Company]],1)</f>
        <v/>
      </c>
      <c r="X115" s="172" t="str" cm="1">
        <f t="array" ref="X115">Common_InputFunctions.Utility_DisplayArrayInTable(Fertiliser_SourceData.Fertiliser_Products_Data1(), FertiliserProducts[[#Headers],[Company]],1)</f>
        <v/>
      </c>
      <c r="Y115" s="172" t="str" cm="1">
        <f t="array" ref="Y115">Common_InputFunctions.Utility_DisplayArrayInTable(Fertiliser_SourceData.Fertiliser_Products_Data1(), FertiliserProducts[[#Headers],[Company]],1)</f>
        <v/>
      </c>
      <c r="Z115" s="172" t="str" cm="1">
        <f t="array" ref="Z115">Common_InputFunctions.Utility_DisplayArrayInTable(Fertiliser_SourceData.Fertiliser_Products_Data1(), FertiliserProducts[[#Headers],[Company]],1)</f>
        <v/>
      </c>
      <c r="AA115" s="172" t="str" cm="1">
        <f t="array" ref="AA115">Common_InputFunctions.Utility_DisplayArrayInTable(Fertiliser_SourceData.Fertiliser_Products_Data1(), FertiliserProducts[[#Headers],[Company]],1)</f>
        <v/>
      </c>
      <c r="AB115" s="172" t="str" cm="1">
        <f t="array" ref="AB115">Common_InputFunctions.Utility_DisplayArrayInTable(Fertiliser_SourceData.Fertiliser_Products_Data1(), FertiliserProducts[[#Headers],[Company]],1)</f>
        <v/>
      </c>
      <c r="AC115" s="172" t="str" cm="1">
        <f t="array" ref="AC115">Common_InputFunctions.Utility_DisplayArrayInTable(Fertiliser_SourceData.Fertiliser_Products_Data1(), FertiliserProducts[[#Headers],[Company]],1)</f>
        <v/>
      </c>
      <c r="AD115" s="172" t="str" cm="1">
        <f t="array" ref="AD115">Common_InputFunctions.Utility_DisplayArrayInTable(Fertiliser_SourceData.Fertiliser_Products_Data1(), FertiliserProducts[[#Headers],[Company]],1)</f>
        <v/>
      </c>
      <c r="AE115" s="172" t="str" cm="1">
        <f t="array" ref="AE115">Common_InputFunctions.Utility_DisplayArrayInTable(Fertiliser_SourceData.Fertiliser_Products_Data1(), FertiliserProducts[[#Headers],[Company]],1)</f>
        <v/>
      </c>
      <c r="AF115" s="172" t="str" cm="1">
        <f t="array" ref="AF115">Common_InputFunctions.Utility_DisplayArrayInTable(Fertiliser_SourceData.Fertiliser_Products_Data1(), FertiliserProducts[[#Headers],[Company]],1)</f>
        <v/>
      </c>
      <c r="AG115" s="172" t="str" cm="1">
        <f t="array" ref="AG115">Common_InputFunctions.Utility_DisplayArrayInTable(Fertiliser_SourceData.Fertiliser_Products_Data1(), FertiliserProducts[[#Headers],[Company]],1)</f>
        <v/>
      </c>
      <c r="AH115" s="172" t="str" cm="1">
        <f t="array" ref="AH115">Common_InputFunctions.Utility_DisplayArrayInTable(Fertiliser_SourceData.Fertiliser_Products_Data1(), FertiliserProducts[[#Headers],[Company]],1)</f>
        <v/>
      </c>
      <c r="AK115" s="1"/>
      <c r="AL115" s="1"/>
      <c r="AM115" s="1"/>
    </row>
    <row r="116" spans="4:39" ht="20.100000000000001" customHeight="1" x14ac:dyDescent="0.25">
      <c r="D116" s="172" t="str" cm="1">
        <f t="array" ref="D116">Common_InputFunctions.Utility_DisplayArrayInTable(Fertiliser_SourceData.Fertiliser_Products_Data1(), FertiliserProducts[[#Headers],[Company]],1)</f>
        <v>Incitec Pivot Fertilisers</v>
      </c>
      <c r="E116" s="172" t="str" cm="1">
        <f t="array" ref="E116">Common_InputFunctions.Utility_DisplayArrayInTable(Fertiliser_SourceData.Fertiliser_Products_Data1(), FertiliserProducts[[#Headers],[Company]],1)</f>
        <v>CK55</v>
      </c>
      <c r="F116" s="172" t="str" cm="1">
        <f t="array" ref="F116">Common_InputFunctions.Utility_DisplayArrayInTable(Fertiliser_SourceData.Fertiliser_Products_Data1(), FertiliserProducts[[#Headers],[Company]],1)</f>
        <v>kg</v>
      </c>
      <c r="G116" s="172" cm="1">
        <f t="array" ref="G116">Common_InputFunctions.Utility_DisplayArrayInTable(Fertiliser_SourceData.Fertiliser_Products_Data1(), FertiliserProducts[[#Headers],[Company]],1)</f>
        <v>1</v>
      </c>
      <c r="H116" s="172" t="str" cm="1">
        <f t="array" ref="H116">Common_InputFunctions.Utility_DisplayArrayInTable(Fertiliser_SourceData.Fertiliser_Products_Data1(), FertiliserProducts[[#Headers],[Company]],1)</f>
        <v/>
      </c>
      <c r="I116" s="172" t="str" cm="1">
        <f t="array" ref="I116">Common_InputFunctions.Utility_DisplayArrayInTable(Fertiliser_SourceData.Fertiliser_Products_Data1(), FertiliserProducts[[#Headers],[Company]],1)</f>
        <v/>
      </c>
      <c r="J116" s="172" t="str" cm="1">
        <f t="array" ref="J116">Common_InputFunctions.Utility_DisplayArrayInTable(Fertiliser_SourceData.Fertiliser_Products_Data1(), FertiliserProducts[[#Headers],[Company]],1)</f>
        <v/>
      </c>
      <c r="K116" s="172" cm="1">
        <f t="array" ref="K116">Common_InputFunctions.Utility_DisplayArrayInTable(Fertiliser_SourceData.Fertiliser_Products_Data1(), FertiliserProducts[[#Headers],[Company]],1)</f>
        <v>13.5</v>
      </c>
      <c r="L116" s="172" cm="1">
        <f t="array" ref="L116">Common_InputFunctions.Utility_DisplayArrayInTable(Fertiliser_SourceData.Fertiliser_Products_Data1(), FertiliserProducts[[#Headers],[Company]],1)</f>
        <v>15</v>
      </c>
      <c r="M116" s="172" cm="1">
        <f t="array" ref="M116">Common_InputFunctions.Utility_DisplayArrayInTable(Fertiliser_SourceData.Fertiliser_Products_Data1(), FertiliserProducts[[#Headers],[Company]],1)</f>
        <v>6.25</v>
      </c>
      <c r="N116" s="172" cm="1">
        <f t="array" ref="N116">Common_InputFunctions.Utility_DisplayArrayInTable(Fertiliser_SourceData.Fertiliser_Products_Data1(), FertiliserProducts[[#Headers],[Company]],1)</f>
        <v>1.2</v>
      </c>
      <c r="O116" s="172" t="str" cm="1">
        <f t="array" ref="O116">Common_InputFunctions.Utility_DisplayArrayInTable(Fertiliser_SourceData.Fertiliser_Products_Data1(), FertiliserProducts[[#Headers],[Company]],1)</f>
        <v>Phosphorus - Generic</v>
      </c>
      <c r="P116" s="172" cm="1">
        <f t="array" ref="P116">Common_InputFunctions.Utility_DisplayArrayInTable(Fertiliser_SourceData.Fertiliser_Products_Data1(), FertiliserProducts[[#Headers],[Company]],1)</f>
        <v>0.15</v>
      </c>
      <c r="Q116" s="172" t="str" cm="1">
        <f t="array" ref="Q116">Common_InputFunctions.Utility_DisplayArrayInTable(Fertiliser_SourceData.Fertiliser_Products_Data1(), FertiliserProducts[[#Headers],[Company]],1)</f>
        <v>Nitrogen - Ammoniacal</v>
      </c>
      <c r="R116" s="172" cm="1">
        <f t="array" ref="R116">Common_InputFunctions.Utility_DisplayArrayInTable(Fertiliser_SourceData.Fertiliser_Products_Data1(), FertiliserProducts[[#Headers],[Company]],1)</f>
        <v>0.13500000000000001</v>
      </c>
      <c r="S116" s="172" t="str" cm="1">
        <f t="array" ref="S116">Common_InputFunctions.Utility_DisplayArrayInTable(Fertiliser_SourceData.Fertiliser_Products_Data1(), FertiliserProducts[[#Headers],[Company]],1)</f>
        <v>Muriate of potash (MOP)</v>
      </c>
      <c r="T116" s="172" cm="1">
        <f t="array" ref="T116">Common_InputFunctions.Utility_DisplayArrayInTable(Fertiliser_SourceData.Fertiliser_Products_Data1(), FertiliserProducts[[#Headers],[Company]],1)</f>
        <v>0.125</v>
      </c>
      <c r="U116" s="172" t="str" cm="1">
        <f t="array" ref="U116">Common_InputFunctions.Utility_DisplayArrayInTable(Fertiliser_SourceData.Fertiliser_Products_Data1(), FertiliserProducts[[#Headers],[Company]],1)</f>
        <v>Fluoride</v>
      </c>
      <c r="V116" s="172" cm="1">
        <f t="array" ref="V116">Common_InputFunctions.Utility_DisplayArrayInTable(Fertiliser_SourceData.Fertiliser_Products_Data1(), FertiliserProducts[[#Headers],[Company]],1)</f>
        <v>2.3E-2</v>
      </c>
      <c r="W116" s="172" t="str" cm="1">
        <f t="array" ref="W116">Common_InputFunctions.Utility_DisplayArrayInTable(Fertiliser_SourceData.Fertiliser_Products_Data1(), FertiliserProducts[[#Headers],[Company]],1)</f>
        <v>Sulfur - Generic</v>
      </c>
      <c r="X116" s="172" cm="1">
        <f t="array" ref="X116">Common_InputFunctions.Utility_DisplayArrayInTable(Fertiliser_SourceData.Fertiliser_Products_Data1(), FertiliserProducts[[#Headers],[Company]],1)</f>
        <v>1.2E-2</v>
      </c>
      <c r="Y116" s="172" t="str" cm="1">
        <f t="array" ref="Y116">Common_InputFunctions.Utility_DisplayArrayInTable(Fertiliser_SourceData.Fertiliser_Products_Data1(), FertiliserProducts[[#Headers],[Company]],1)</f>
        <v/>
      </c>
      <c r="Z116" s="172" t="str" cm="1">
        <f t="array" ref="Z116">Common_InputFunctions.Utility_DisplayArrayInTable(Fertiliser_SourceData.Fertiliser_Products_Data1(), FertiliserProducts[[#Headers],[Company]],1)</f>
        <v/>
      </c>
      <c r="AA116" s="172" t="str" cm="1">
        <f t="array" ref="AA116">Common_InputFunctions.Utility_DisplayArrayInTable(Fertiliser_SourceData.Fertiliser_Products_Data1(), FertiliserProducts[[#Headers],[Company]],1)</f>
        <v/>
      </c>
      <c r="AB116" s="172" t="str" cm="1">
        <f t="array" ref="AB116">Common_InputFunctions.Utility_DisplayArrayInTable(Fertiliser_SourceData.Fertiliser_Products_Data1(), FertiliserProducts[[#Headers],[Company]],1)</f>
        <v/>
      </c>
      <c r="AC116" s="172" t="str" cm="1">
        <f t="array" ref="AC116">Common_InputFunctions.Utility_DisplayArrayInTable(Fertiliser_SourceData.Fertiliser_Products_Data1(), FertiliserProducts[[#Headers],[Company]],1)</f>
        <v/>
      </c>
      <c r="AD116" s="172" t="str" cm="1">
        <f t="array" ref="AD116">Common_InputFunctions.Utility_DisplayArrayInTable(Fertiliser_SourceData.Fertiliser_Products_Data1(), FertiliserProducts[[#Headers],[Company]],1)</f>
        <v/>
      </c>
      <c r="AE116" s="172" t="str" cm="1">
        <f t="array" ref="AE116">Common_InputFunctions.Utility_DisplayArrayInTable(Fertiliser_SourceData.Fertiliser_Products_Data1(), FertiliserProducts[[#Headers],[Company]],1)</f>
        <v/>
      </c>
      <c r="AF116" s="172" t="str" cm="1">
        <f t="array" ref="AF116">Common_InputFunctions.Utility_DisplayArrayInTable(Fertiliser_SourceData.Fertiliser_Products_Data1(), FertiliserProducts[[#Headers],[Company]],1)</f>
        <v/>
      </c>
      <c r="AG116" s="172" t="str" cm="1">
        <f t="array" ref="AG116">Common_InputFunctions.Utility_DisplayArrayInTable(Fertiliser_SourceData.Fertiliser_Products_Data1(), FertiliserProducts[[#Headers],[Company]],1)</f>
        <v/>
      </c>
      <c r="AH116" s="172" t="str" cm="1">
        <f t="array" ref="AH116">Common_InputFunctions.Utility_DisplayArrayInTable(Fertiliser_SourceData.Fertiliser_Products_Data1(), FertiliserProducts[[#Headers],[Company]],1)</f>
        <v/>
      </c>
      <c r="AK116" s="1"/>
      <c r="AL116" s="1"/>
      <c r="AM116" s="1"/>
    </row>
    <row r="117" spans="4:39" ht="20.100000000000001" customHeight="1" x14ac:dyDescent="0.25">
      <c r="D117" s="172" t="str" cm="1">
        <f t="array" ref="D117">Common_InputFunctions.Utility_DisplayArrayInTable(Fertiliser_SourceData.Fertiliser_Products_Data1(), FertiliserProducts[[#Headers],[Company]],1)</f>
        <v>Switch Ag</v>
      </c>
      <c r="E117" s="172" t="str" cm="1">
        <f t="array" ref="E117">Common_InputFunctions.Utility_DisplayArrayInTable(Fertiliser_SourceData.Fertiliser_Products_Data1(), FertiliserProducts[[#Headers],[Company]],1)</f>
        <v>Crop K</v>
      </c>
      <c r="F117" s="172" t="str" cm="1">
        <f t="array" ref="F117">Common_InputFunctions.Utility_DisplayArrayInTable(Fertiliser_SourceData.Fertiliser_Products_Data1(), FertiliserProducts[[#Headers],[Company]],1)</f>
        <v>L</v>
      </c>
      <c r="G117" s="172" cm="1">
        <f t="array" ref="G117">Common_InputFunctions.Utility_DisplayArrayInTable(Fertiliser_SourceData.Fertiliser_Products_Data1(), FertiliserProducts[[#Headers],[Company]],1)</f>
        <v>1.25</v>
      </c>
      <c r="H117" s="172" t="str" cm="1">
        <f t="array" ref="H117">Common_InputFunctions.Utility_DisplayArrayInTable(Fertiliser_SourceData.Fertiliser_Products_Data1(), FertiliserProducts[[#Headers],[Company]],1)</f>
        <v/>
      </c>
      <c r="I117" s="172" t="str" cm="1">
        <f t="array" ref="I117">Common_InputFunctions.Utility_DisplayArrayInTable(Fertiliser_SourceData.Fertiliser_Products_Data1(), FertiliserProducts[[#Headers],[Company]],1)</f>
        <v/>
      </c>
      <c r="J117" s="172" t="str" cm="1">
        <f t="array" ref="J117">Common_InputFunctions.Utility_DisplayArrayInTable(Fertiliser_SourceData.Fertiliser_Products_Data1(), FertiliserProducts[[#Headers],[Company]],1)</f>
        <v/>
      </c>
      <c r="K117" s="172" cm="1">
        <f t="array" ref="K117">Common_InputFunctions.Utility_DisplayArrayInTable(Fertiliser_SourceData.Fertiliser_Products_Data1(), FertiliserProducts[[#Headers],[Company]],1)</f>
        <v>3</v>
      </c>
      <c r="L117" s="172" t="str" cm="1">
        <f t="array" ref="L117">Common_InputFunctions.Utility_DisplayArrayInTable(Fertiliser_SourceData.Fertiliser_Products_Data1(), FertiliserProducts[[#Headers],[Company]],1)</f>
        <v/>
      </c>
      <c r="M117" s="172" cm="1">
        <f t="array" ref="M117">Common_InputFunctions.Utility_DisplayArrayInTable(Fertiliser_SourceData.Fertiliser_Products_Data1(), FertiliserProducts[[#Headers],[Company]],1)</f>
        <v>21</v>
      </c>
      <c r="N117" s="172" t="str" cm="1">
        <f t="array" ref="N117">Common_InputFunctions.Utility_DisplayArrayInTable(Fertiliser_SourceData.Fertiliser_Products_Data1(), FertiliserProducts[[#Headers],[Company]],1)</f>
        <v/>
      </c>
      <c r="O117" s="172" t="str" cm="1">
        <f t="array" ref="O117">Common_InputFunctions.Utility_DisplayArrayInTable(Fertiliser_SourceData.Fertiliser_Products_Data1(), FertiliserProducts[[#Headers],[Company]],1)</f>
        <v>Potassium - Generic</v>
      </c>
      <c r="P117" s="172" cm="1">
        <f t="array" ref="P117">Common_InputFunctions.Utility_DisplayArrayInTable(Fertiliser_SourceData.Fertiliser_Products_Data1(), FertiliserProducts[[#Headers],[Company]],1)</f>
        <v>0.21</v>
      </c>
      <c r="Q117" s="172" t="str" cm="1">
        <f t="array" ref="Q117">Common_InputFunctions.Utility_DisplayArrayInTable(Fertiliser_SourceData.Fertiliser_Products_Data1(), FertiliserProducts[[#Headers],[Company]],1)</f>
        <v>Nitrogen - Generic</v>
      </c>
      <c r="R117" s="172" cm="1">
        <f t="array" ref="R117">Common_InputFunctions.Utility_DisplayArrayInTable(Fertiliser_SourceData.Fertiliser_Products_Data1(), FertiliserProducts[[#Headers],[Company]],1)</f>
        <v>0.03</v>
      </c>
      <c r="S117" s="172" t="str" cm="1">
        <f t="array" ref="S117">Common_InputFunctions.Utility_DisplayArrayInTable(Fertiliser_SourceData.Fertiliser_Products_Data1(), FertiliserProducts[[#Headers],[Company]],1)</f>
        <v/>
      </c>
      <c r="T117" s="172" t="str" cm="1">
        <f t="array" ref="T117">Common_InputFunctions.Utility_DisplayArrayInTable(Fertiliser_SourceData.Fertiliser_Products_Data1(), FertiliserProducts[[#Headers],[Company]],1)</f>
        <v/>
      </c>
      <c r="U117" s="172" t="str" cm="1">
        <f t="array" ref="U117">Common_InputFunctions.Utility_DisplayArrayInTable(Fertiliser_SourceData.Fertiliser_Products_Data1(), FertiliserProducts[[#Headers],[Company]],1)</f>
        <v/>
      </c>
      <c r="V117" s="172" t="str" cm="1">
        <f t="array" ref="V117">Common_InputFunctions.Utility_DisplayArrayInTable(Fertiliser_SourceData.Fertiliser_Products_Data1(), FertiliserProducts[[#Headers],[Company]],1)</f>
        <v/>
      </c>
      <c r="W117" s="172" t="str" cm="1">
        <f t="array" ref="W117">Common_InputFunctions.Utility_DisplayArrayInTable(Fertiliser_SourceData.Fertiliser_Products_Data1(), FertiliserProducts[[#Headers],[Company]],1)</f>
        <v/>
      </c>
      <c r="X117" s="172" t="str" cm="1">
        <f t="array" ref="X117">Common_InputFunctions.Utility_DisplayArrayInTable(Fertiliser_SourceData.Fertiliser_Products_Data1(), FertiliserProducts[[#Headers],[Company]],1)</f>
        <v/>
      </c>
      <c r="Y117" s="172" t="str" cm="1">
        <f t="array" ref="Y117">Common_InputFunctions.Utility_DisplayArrayInTable(Fertiliser_SourceData.Fertiliser_Products_Data1(), FertiliserProducts[[#Headers],[Company]],1)</f>
        <v/>
      </c>
      <c r="Z117" s="172" t="str" cm="1">
        <f t="array" ref="Z117">Common_InputFunctions.Utility_DisplayArrayInTable(Fertiliser_SourceData.Fertiliser_Products_Data1(), FertiliserProducts[[#Headers],[Company]],1)</f>
        <v/>
      </c>
      <c r="AA117" s="172" t="str" cm="1">
        <f t="array" ref="AA117">Common_InputFunctions.Utility_DisplayArrayInTable(Fertiliser_SourceData.Fertiliser_Products_Data1(), FertiliserProducts[[#Headers],[Company]],1)</f>
        <v/>
      </c>
      <c r="AB117" s="172" t="str" cm="1">
        <f t="array" ref="AB117">Common_InputFunctions.Utility_DisplayArrayInTable(Fertiliser_SourceData.Fertiliser_Products_Data1(), FertiliserProducts[[#Headers],[Company]],1)</f>
        <v/>
      </c>
      <c r="AC117" s="172" t="str" cm="1">
        <f t="array" ref="AC117">Common_InputFunctions.Utility_DisplayArrayInTable(Fertiliser_SourceData.Fertiliser_Products_Data1(), FertiliserProducts[[#Headers],[Company]],1)</f>
        <v/>
      </c>
      <c r="AD117" s="172" t="str" cm="1">
        <f t="array" ref="AD117">Common_InputFunctions.Utility_DisplayArrayInTable(Fertiliser_SourceData.Fertiliser_Products_Data1(), FertiliserProducts[[#Headers],[Company]],1)</f>
        <v/>
      </c>
      <c r="AE117" s="172" t="str" cm="1">
        <f t="array" ref="AE117">Common_InputFunctions.Utility_DisplayArrayInTable(Fertiliser_SourceData.Fertiliser_Products_Data1(), FertiliserProducts[[#Headers],[Company]],1)</f>
        <v/>
      </c>
      <c r="AF117" s="172" t="str" cm="1">
        <f t="array" ref="AF117">Common_InputFunctions.Utility_DisplayArrayInTable(Fertiliser_SourceData.Fertiliser_Products_Data1(), FertiliserProducts[[#Headers],[Company]],1)</f>
        <v/>
      </c>
      <c r="AG117" s="172" t="str" cm="1">
        <f t="array" ref="AG117">Common_InputFunctions.Utility_DisplayArrayInTable(Fertiliser_SourceData.Fertiliser_Products_Data1(), FertiliserProducts[[#Headers],[Company]],1)</f>
        <v/>
      </c>
      <c r="AH117" s="172" t="str" cm="1">
        <f t="array" ref="AH117">Common_InputFunctions.Utility_DisplayArrayInTable(Fertiliser_SourceData.Fertiliser_Products_Data1(), FertiliserProducts[[#Headers],[Company]],1)</f>
        <v/>
      </c>
      <c r="AK117" s="1"/>
      <c r="AL117" s="1"/>
      <c r="AM117" s="1"/>
    </row>
    <row r="118" spans="4:39" ht="20.100000000000001" customHeight="1" x14ac:dyDescent="0.25">
      <c r="D118" s="172" t="str" cm="1">
        <f t="array" ref="D118">Common_InputFunctions.Utility_DisplayArrayInTable(Fertiliser_SourceData.Fertiliser_Products_Data1(), FertiliserProducts[[#Headers],[Company]],1)</f>
        <v>Switch Ag</v>
      </c>
      <c r="E118" s="172" t="str" cm="1">
        <f t="array" ref="E118">Common_InputFunctions.Utility_DisplayArrayInTable(Fertiliser_SourceData.Fertiliser_Products_Data1(), FertiliserProducts[[#Headers],[Company]],1)</f>
        <v>Crop Starter</v>
      </c>
      <c r="F118" s="172" t="str" cm="1">
        <f t="array" ref="F118">Common_InputFunctions.Utility_DisplayArrayInTable(Fertiliser_SourceData.Fertiliser_Products_Data1(), FertiliserProducts[[#Headers],[Company]],1)</f>
        <v>L</v>
      </c>
      <c r="G118" s="172" cm="1">
        <f t="array" ref="G118">Common_InputFunctions.Utility_DisplayArrayInTable(Fertiliser_SourceData.Fertiliser_Products_Data1(), FertiliserProducts[[#Headers],[Company]],1)</f>
        <v>1.2</v>
      </c>
      <c r="H118" s="172" t="str" cm="1">
        <f t="array" ref="H118">Common_InputFunctions.Utility_DisplayArrayInTable(Fertiliser_SourceData.Fertiliser_Products_Data1(), FertiliserProducts[[#Headers],[Company]],1)</f>
        <v/>
      </c>
      <c r="I118" s="172" t="str" cm="1">
        <f t="array" ref="I118">Common_InputFunctions.Utility_DisplayArrayInTable(Fertiliser_SourceData.Fertiliser_Products_Data1(), FertiliserProducts[[#Headers],[Company]],1)</f>
        <v/>
      </c>
      <c r="J118" s="172" t="str" cm="1">
        <f t="array" ref="J118">Common_InputFunctions.Utility_DisplayArrayInTable(Fertiliser_SourceData.Fertiliser_Products_Data1(), FertiliserProducts[[#Headers],[Company]],1)</f>
        <v/>
      </c>
      <c r="K118" s="172" cm="1">
        <f t="array" ref="K118">Common_InputFunctions.Utility_DisplayArrayInTable(Fertiliser_SourceData.Fertiliser_Products_Data1(), FertiliserProducts[[#Headers],[Company]],1)</f>
        <v>5</v>
      </c>
      <c r="L118" s="172" cm="1">
        <f t="array" ref="L118">Common_InputFunctions.Utility_DisplayArrayInTable(Fertiliser_SourceData.Fertiliser_Products_Data1(), FertiliserProducts[[#Headers],[Company]],1)</f>
        <v>3</v>
      </c>
      <c r="M118" s="172" cm="1">
        <f t="array" ref="M118">Common_InputFunctions.Utility_DisplayArrayInTable(Fertiliser_SourceData.Fertiliser_Products_Data1(), FertiliserProducts[[#Headers],[Company]],1)</f>
        <v>8</v>
      </c>
      <c r="N118" s="172" t="str" cm="1">
        <f t="array" ref="N118">Common_InputFunctions.Utility_DisplayArrayInTable(Fertiliser_SourceData.Fertiliser_Products_Data1(), FertiliserProducts[[#Headers],[Company]],1)</f>
        <v/>
      </c>
      <c r="O118" s="172" t="str" cm="1">
        <f t="array" ref="O118">Common_InputFunctions.Utility_DisplayArrayInTable(Fertiliser_SourceData.Fertiliser_Products_Data1(), FertiliserProducts[[#Headers],[Company]],1)</f>
        <v>Potassium - Generic</v>
      </c>
      <c r="P118" s="172" cm="1">
        <f t="array" ref="P118">Common_InputFunctions.Utility_DisplayArrayInTable(Fertiliser_SourceData.Fertiliser_Products_Data1(), FertiliserProducts[[#Headers],[Company]],1)</f>
        <v>0.08</v>
      </c>
      <c r="Q118" s="172" t="str" cm="1">
        <f t="array" ref="Q118">Common_InputFunctions.Utility_DisplayArrayInTable(Fertiliser_SourceData.Fertiliser_Products_Data1(), FertiliserProducts[[#Headers],[Company]],1)</f>
        <v>Nitrogen - Generic</v>
      </c>
      <c r="R118" s="172" cm="1">
        <f t="array" ref="R118">Common_InputFunctions.Utility_DisplayArrayInTable(Fertiliser_SourceData.Fertiliser_Products_Data1(), FertiliserProducts[[#Headers],[Company]],1)</f>
        <v>0.05</v>
      </c>
      <c r="S118" s="172" t="str" cm="1">
        <f t="array" ref="S118">Common_InputFunctions.Utility_DisplayArrayInTable(Fertiliser_SourceData.Fertiliser_Products_Data1(), FertiliserProducts[[#Headers],[Company]],1)</f>
        <v>Phosphorus - Generic</v>
      </c>
      <c r="T118" s="172" cm="1">
        <f t="array" ref="T118">Common_InputFunctions.Utility_DisplayArrayInTable(Fertiliser_SourceData.Fertiliser_Products_Data1(), FertiliserProducts[[#Headers],[Company]],1)</f>
        <v>0.03</v>
      </c>
      <c r="U118" s="172" t="str" cm="1">
        <f t="array" ref="U118">Common_InputFunctions.Utility_DisplayArrayInTable(Fertiliser_SourceData.Fertiliser_Products_Data1(), FertiliserProducts[[#Headers],[Company]],1)</f>
        <v/>
      </c>
      <c r="V118" s="172" t="str" cm="1">
        <f t="array" ref="V118">Common_InputFunctions.Utility_DisplayArrayInTable(Fertiliser_SourceData.Fertiliser_Products_Data1(), FertiliserProducts[[#Headers],[Company]],1)</f>
        <v/>
      </c>
      <c r="W118" s="172" t="str" cm="1">
        <f t="array" ref="W118">Common_InputFunctions.Utility_DisplayArrayInTable(Fertiliser_SourceData.Fertiliser_Products_Data1(), FertiliserProducts[[#Headers],[Company]],1)</f>
        <v/>
      </c>
      <c r="X118" s="172" t="str" cm="1">
        <f t="array" ref="X118">Common_InputFunctions.Utility_DisplayArrayInTable(Fertiliser_SourceData.Fertiliser_Products_Data1(), FertiliserProducts[[#Headers],[Company]],1)</f>
        <v/>
      </c>
      <c r="Y118" s="172" t="str" cm="1">
        <f t="array" ref="Y118">Common_InputFunctions.Utility_DisplayArrayInTable(Fertiliser_SourceData.Fertiliser_Products_Data1(), FertiliserProducts[[#Headers],[Company]],1)</f>
        <v/>
      </c>
      <c r="Z118" s="172" t="str" cm="1">
        <f t="array" ref="Z118">Common_InputFunctions.Utility_DisplayArrayInTable(Fertiliser_SourceData.Fertiliser_Products_Data1(), FertiliserProducts[[#Headers],[Company]],1)</f>
        <v/>
      </c>
      <c r="AA118" s="172" t="str" cm="1">
        <f t="array" ref="AA118">Common_InputFunctions.Utility_DisplayArrayInTable(Fertiliser_SourceData.Fertiliser_Products_Data1(), FertiliserProducts[[#Headers],[Company]],1)</f>
        <v/>
      </c>
      <c r="AB118" s="172" t="str" cm="1">
        <f t="array" ref="AB118">Common_InputFunctions.Utility_DisplayArrayInTable(Fertiliser_SourceData.Fertiliser_Products_Data1(), FertiliserProducts[[#Headers],[Company]],1)</f>
        <v/>
      </c>
      <c r="AC118" s="172" t="str" cm="1">
        <f t="array" ref="AC118">Common_InputFunctions.Utility_DisplayArrayInTable(Fertiliser_SourceData.Fertiliser_Products_Data1(), FertiliserProducts[[#Headers],[Company]],1)</f>
        <v/>
      </c>
      <c r="AD118" s="172" t="str" cm="1">
        <f t="array" ref="AD118">Common_InputFunctions.Utility_DisplayArrayInTable(Fertiliser_SourceData.Fertiliser_Products_Data1(), FertiliserProducts[[#Headers],[Company]],1)</f>
        <v/>
      </c>
      <c r="AE118" s="172" t="str" cm="1">
        <f t="array" ref="AE118">Common_InputFunctions.Utility_DisplayArrayInTable(Fertiliser_SourceData.Fertiliser_Products_Data1(), FertiliserProducts[[#Headers],[Company]],1)</f>
        <v/>
      </c>
      <c r="AF118" s="172" t="str" cm="1">
        <f t="array" ref="AF118">Common_InputFunctions.Utility_DisplayArrayInTable(Fertiliser_SourceData.Fertiliser_Products_Data1(), FertiliserProducts[[#Headers],[Company]],1)</f>
        <v/>
      </c>
      <c r="AG118" s="172" t="str" cm="1">
        <f t="array" ref="AG118">Common_InputFunctions.Utility_DisplayArrayInTable(Fertiliser_SourceData.Fertiliser_Products_Data1(), FertiliserProducts[[#Headers],[Company]],1)</f>
        <v/>
      </c>
      <c r="AH118" s="172" t="str" cm="1">
        <f t="array" ref="AH118">Common_InputFunctions.Utility_DisplayArrayInTable(Fertiliser_SourceData.Fertiliser_Products_Data1(), FertiliserProducts[[#Headers],[Company]],1)</f>
        <v/>
      </c>
      <c r="AK118" s="1"/>
      <c r="AL118" s="1"/>
      <c r="AM118" s="1"/>
    </row>
    <row r="119" spans="4:39" ht="20.100000000000001" customHeight="1" x14ac:dyDescent="0.25">
      <c r="D119" s="172" t="str" cm="1">
        <f t="array" ref="D119">Common_InputFunctions.Utility_DisplayArrayInTable(Fertiliser_SourceData.Fertiliser_Products_Data1(), FertiliserProducts[[#Headers],[Company]],1)</f>
        <v>Incitec Pivot Fertilisers</v>
      </c>
      <c r="E119" s="172" t="str" cm="1">
        <f t="array" ref="E119">Common_InputFunctions.Utility_DisplayArrayInTable(Fertiliser_SourceData.Fertiliser_Products_Data1(), FertiliserProducts[[#Headers],[Company]],1)</f>
        <v>Gran-Am</v>
      </c>
      <c r="F119" s="172" t="str" cm="1">
        <f t="array" ref="F119">Common_InputFunctions.Utility_DisplayArrayInTable(Fertiliser_SourceData.Fertiliser_Products_Data1(), FertiliserProducts[[#Headers],[Company]],1)</f>
        <v>kg</v>
      </c>
      <c r="G119" s="172" cm="1">
        <f t="array" ref="G119">Common_InputFunctions.Utility_DisplayArrayInTable(Fertiliser_SourceData.Fertiliser_Products_Data1(), FertiliserProducts[[#Headers],[Company]],1)</f>
        <v>1</v>
      </c>
      <c r="H119" s="172" t="str" cm="1">
        <f t="array" ref="H119">Common_InputFunctions.Utility_DisplayArrayInTable(Fertiliser_SourceData.Fertiliser_Products_Data1(), FertiliserProducts[[#Headers],[Company]],1)</f>
        <v/>
      </c>
      <c r="I119" s="172" t="str" cm="1">
        <f t="array" ref="I119">Common_InputFunctions.Utility_DisplayArrayInTable(Fertiliser_SourceData.Fertiliser_Products_Data1(), FertiliserProducts[[#Headers],[Company]],1)</f>
        <v/>
      </c>
      <c r="J119" s="172" t="str" cm="1">
        <f t="array" ref="J119">Common_InputFunctions.Utility_DisplayArrayInTable(Fertiliser_SourceData.Fertiliser_Products_Data1(), FertiliserProducts[[#Headers],[Company]],1)</f>
        <v/>
      </c>
      <c r="K119" s="172" cm="1">
        <f t="array" ref="K119">Common_InputFunctions.Utility_DisplayArrayInTable(Fertiliser_SourceData.Fertiliser_Products_Data1(), FertiliserProducts[[#Headers],[Company]],1)</f>
        <v>21</v>
      </c>
      <c r="L119" s="172" t="str" cm="1">
        <f t="array" ref="L119">Common_InputFunctions.Utility_DisplayArrayInTable(Fertiliser_SourceData.Fertiliser_Products_Data1(), FertiliserProducts[[#Headers],[Company]],1)</f>
        <v/>
      </c>
      <c r="M119" s="172" t="str" cm="1">
        <f t="array" ref="M119">Common_InputFunctions.Utility_DisplayArrayInTable(Fertiliser_SourceData.Fertiliser_Products_Data1(), FertiliserProducts[[#Headers],[Company]],1)</f>
        <v/>
      </c>
      <c r="N119" s="172" cm="1">
        <f t="array" ref="N119">Common_InputFunctions.Utility_DisplayArrayInTable(Fertiliser_SourceData.Fertiliser_Products_Data1(), FertiliserProducts[[#Headers],[Company]],1)</f>
        <v>24</v>
      </c>
      <c r="O119" s="172" t="str" cm="1">
        <f t="array" ref="O119">Common_InputFunctions.Utility_DisplayArrayInTable(Fertiliser_SourceData.Fertiliser_Products_Data1(), FertiliserProducts[[#Headers],[Company]],1)</f>
        <v>Sulphate of ammonia (SOA)</v>
      </c>
      <c r="P119" s="172" cm="1">
        <f t="array" ref="P119">Common_InputFunctions.Utility_DisplayArrayInTable(Fertiliser_SourceData.Fertiliser_Products_Data1(), FertiliserProducts[[#Headers],[Company]],1)</f>
        <v>1</v>
      </c>
      <c r="Q119" s="172" t="str" cm="1">
        <f t="array" ref="Q119">Common_InputFunctions.Utility_DisplayArrayInTable(Fertiliser_SourceData.Fertiliser_Products_Data1(), FertiliserProducts[[#Headers],[Company]],1)</f>
        <v/>
      </c>
      <c r="R119" s="172" t="str" cm="1">
        <f t="array" ref="R119">Common_InputFunctions.Utility_DisplayArrayInTable(Fertiliser_SourceData.Fertiliser_Products_Data1(), FertiliserProducts[[#Headers],[Company]],1)</f>
        <v/>
      </c>
      <c r="S119" s="172" t="str" cm="1">
        <f t="array" ref="S119">Common_InputFunctions.Utility_DisplayArrayInTable(Fertiliser_SourceData.Fertiliser_Products_Data1(), FertiliserProducts[[#Headers],[Company]],1)</f>
        <v/>
      </c>
      <c r="T119" s="172" t="str" cm="1">
        <f t="array" ref="T119">Common_InputFunctions.Utility_DisplayArrayInTable(Fertiliser_SourceData.Fertiliser_Products_Data1(), FertiliserProducts[[#Headers],[Company]],1)</f>
        <v/>
      </c>
      <c r="U119" s="172" t="str" cm="1">
        <f t="array" ref="U119">Common_InputFunctions.Utility_DisplayArrayInTable(Fertiliser_SourceData.Fertiliser_Products_Data1(), FertiliserProducts[[#Headers],[Company]],1)</f>
        <v/>
      </c>
      <c r="V119" s="172" t="str" cm="1">
        <f t="array" ref="V119">Common_InputFunctions.Utility_DisplayArrayInTable(Fertiliser_SourceData.Fertiliser_Products_Data1(), FertiliserProducts[[#Headers],[Company]],1)</f>
        <v/>
      </c>
      <c r="W119" s="172" t="str" cm="1">
        <f t="array" ref="W119">Common_InputFunctions.Utility_DisplayArrayInTable(Fertiliser_SourceData.Fertiliser_Products_Data1(), FertiliserProducts[[#Headers],[Company]],1)</f>
        <v/>
      </c>
      <c r="X119" s="172" t="str" cm="1">
        <f t="array" ref="X119">Common_InputFunctions.Utility_DisplayArrayInTable(Fertiliser_SourceData.Fertiliser_Products_Data1(), FertiliserProducts[[#Headers],[Company]],1)</f>
        <v/>
      </c>
      <c r="Y119" s="172" t="str" cm="1">
        <f t="array" ref="Y119">Common_InputFunctions.Utility_DisplayArrayInTable(Fertiliser_SourceData.Fertiliser_Products_Data1(), FertiliserProducts[[#Headers],[Company]],1)</f>
        <v/>
      </c>
      <c r="Z119" s="172" t="str" cm="1">
        <f t="array" ref="Z119">Common_InputFunctions.Utility_DisplayArrayInTable(Fertiliser_SourceData.Fertiliser_Products_Data1(), FertiliserProducts[[#Headers],[Company]],1)</f>
        <v/>
      </c>
      <c r="AA119" s="172" t="str" cm="1">
        <f t="array" ref="AA119">Common_InputFunctions.Utility_DisplayArrayInTable(Fertiliser_SourceData.Fertiliser_Products_Data1(), FertiliserProducts[[#Headers],[Company]],1)</f>
        <v/>
      </c>
      <c r="AB119" s="172" t="str" cm="1">
        <f t="array" ref="AB119">Common_InputFunctions.Utility_DisplayArrayInTable(Fertiliser_SourceData.Fertiliser_Products_Data1(), FertiliserProducts[[#Headers],[Company]],1)</f>
        <v/>
      </c>
      <c r="AC119" s="172" t="str" cm="1">
        <f t="array" ref="AC119">Common_InputFunctions.Utility_DisplayArrayInTable(Fertiliser_SourceData.Fertiliser_Products_Data1(), FertiliserProducts[[#Headers],[Company]],1)</f>
        <v/>
      </c>
      <c r="AD119" s="172" t="str" cm="1">
        <f t="array" ref="AD119">Common_InputFunctions.Utility_DisplayArrayInTable(Fertiliser_SourceData.Fertiliser_Products_Data1(), FertiliserProducts[[#Headers],[Company]],1)</f>
        <v/>
      </c>
      <c r="AE119" s="172" t="str" cm="1">
        <f t="array" ref="AE119">Common_InputFunctions.Utility_DisplayArrayInTable(Fertiliser_SourceData.Fertiliser_Products_Data1(), FertiliserProducts[[#Headers],[Company]],1)</f>
        <v/>
      </c>
      <c r="AF119" s="172" t="str" cm="1">
        <f t="array" ref="AF119">Common_InputFunctions.Utility_DisplayArrayInTable(Fertiliser_SourceData.Fertiliser_Products_Data1(), FertiliserProducts[[#Headers],[Company]],1)</f>
        <v/>
      </c>
      <c r="AG119" s="172" t="str" cm="1">
        <f t="array" ref="AG119">Common_InputFunctions.Utility_DisplayArrayInTable(Fertiliser_SourceData.Fertiliser_Products_Data1(), FertiliserProducts[[#Headers],[Company]],1)</f>
        <v/>
      </c>
      <c r="AH119" s="172" t="str" cm="1">
        <f t="array" ref="AH119">Common_InputFunctions.Utility_DisplayArrayInTable(Fertiliser_SourceData.Fertiliser_Products_Data1(), FertiliserProducts[[#Headers],[Company]],1)</f>
        <v/>
      </c>
      <c r="AK119" s="1"/>
      <c r="AL119" s="1"/>
      <c r="AM119" s="1"/>
    </row>
    <row r="120" spans="4:39" ht="20.100000000000001" customHeight="1" x14ac:dyDescent="0.25">
      <c r="D120" s="172" t="str" cm="1">
        <f t="array" ref="D120">Common_InputFunctions.Utility_DisplayArrayInTable(Fertiliser_SourceData.Fertiliser_Products_Data2(), FertiliserProducts[[#Headers],[Company]],31)</f>
        <v>Campbells fertilisers Australia</v>
      </c>
      <c r="E120" s="172" t="str" cm="1">
        <f t="array" ref="E120">Common_InputFunctions.Utility_DisplayArrayInTable(Fertiliser_SourceData.Fertiliser_Products_Data2(), FertiliserProducts[[#Headers],[Company]],31)</f>
        <v>Encal</v>
      </c>
      <c r="F120" s="172" t="str" cm="1">
        <f t="array" ref="F120">Common_InputFunctions.Utility_DisplayArrayInTable(Fertiliser_SourceData.Fertiliser_Products_Data2(), FertiliserProducts[[#Headers],[Company]],31)</f>
        <v>L</v>
      </c>
      <c r="G120" s="172" cm="1">
        <f t="array" ref="G120">Common_InputFunctions.Utility_DisplayArrayInTable(Fertiliser_SourceData.Fertiliser_Products_Data2(), FertiliserProducts[[#Headers],[Company]],31)</f>
        <v>1.5</v>
      </c>
      <c r="H120" s="172" t="str" cm="1">
        <f t="array" ref="H120">Common_InputFunctions.Utility_DisplayArrayInTable(Fertiliser_SourceData.Fertiliser_Products_Data2(), FertiliserProducts[[#Headers],[Company]],31)</f>
        <v/>
      </c>
      <c r="I120" s="172" t="str" cm="1">
        <f t="array" ref="I120">Common_InputFunctions.Utility_DisplayArrayInTable(Fertiliser_SourceData.Fertiliser_Products_Data2(), FertiliserProducts[[#Headers],[Company]],31)</f>
        <v/>
      </c>
      <c r="J120" s="172" t="str" cm="1">
        <f t="array" ref="J120">Common_InputFunctions.Utility_DisplayArrayInTable(Fertiliser_SourceData.Fertiliser_Products_Data2(), FertiliserProducts[[#Headers],[Company]],31)</f>
        <v/>
      </c>
      <c r="K120" s="172" cm="1">
        <f t="array" ref="K120">Common_InputFunctions.Utility_DisplayArrayInTable(Fertiliser_SourceData.Fertiliser_Products_Data2(), FertiliserProducts[[#Headers],[Company]],31)</f>
        <v>9</v>
      </c>
      <c r="L120" s="172" t="str" cm="1">
        <f t="array" ref="L120">Common_InputFunctions.Utility_DisplayArrayInTable(Fertiliser_SourceData.Fertiliser_Products_Data2(), FertiliserProducts[[#Headers],[Company]],31)</f>
        <v/>
      </c>
      <c r="M120" s="172" t="str" cm="1">
        <f t="array" ref="M120">Common_InputFunctions.Utility_DisplayArrayInTable(Fertiliser_SourceData.Fertiliser_Products_Data2(), FertiliserProducts[[#Headers],[Company]],31)</f>
        <v/>
      </c>
      <c r="N120" s="172" cm="1">
        <f t="array" ref="N120">Common_InputFunctions.Utility_DisplayArrayInTable(Fertiliser_SourceData.Fertiliser_Products_Data2(), FertiliserProducts[[#Headers],[Company]],31)</f>
        <v>13.94</v>
      </c>
      <c r="O120" s="172" t="str" cm="1">
        <f t="array" ref="O120">Common_InputFunctions.Utility_DisplayArrayInTable(Fertiliser_SourceData.Fertiliser_Products_Data2(), FertiliserProducts[[#Headers],[Company]],31)</f>
        <v>Sulphate of ammonia (SOA)</v>
      </c>
      <c r="P120" s="172" cm="1">
        <f t="array" ref="P120">Common_InputFunctions.Utility_DisplayArrayInTable(Fertiliser_SourceData.Fertiliser_Products_Data2(), FertiliserProducts[[#Headers],[Company]],31)</f>
        <v>0.58064499999999997</v>
      </c>
      <c r="Q120" s="172" t="str" cm="1">
        <f t="array" ref="Q120">Common_InputFunctions.Utility_DisplayArrayInTable(Fertiliser_SourceData.Fertiliser_Products_Data2(), FertiliserProducts[[#Headers],[Company]],31)</f>
        <v>Magnesium</v>
      </c>
      <c r="R120" s="172" cm="1">
        <f t="array" ref="R120">Common_InputFunctions.Utility_DisplayArrayInTable(Fertiliser_SourceData.Fertiliser_Products_Data2(), FertiliserProducts[[#Headers],[Company]],31)</f>
        <v>1.2E-2</v>
      </c>
      <c r="S120" s="172" t="str" cm="1">
        <f t="array" ref="S120">Common_InputFunctions.Utility_DisplayArrayInTable(Fertiliser_SourceData.Fertiliser_Products_Data2(), FertiliserProducts[[#Headers],[Company]],31)</f>
        <v/>
      </c>
      <c r="T120" s="172" t="str" cm="1">
        <f t="array" ref="T120">Common_InputFunctions.Utility_DisplayArrayInTable(Fertiliser_SourceData.Fertiliser_Products_Data2(), FertiliserProducts[[#Headers],[Company]],31)</f>
        <v/>
      </c>
      <c r="U120" s="172" t="str" cm="1">
        <f t="array" ref="U120">Common_InputFunctions.Utility_DisplayArrayInTable(Fertiliser_SourceData.Fertiliser_Products_Data2(), FertiliserProducts[[#Headers],[Company]],31)</f>
        <v/>
      </c>
      <c r="V120" s="172" t="str" cm="1">
        <f t="array" ref="V120">Common_InputFunctions.Utility_DisplayArrayInTable(Fertiliser_SourceData.Fertiliser_Products_Data2(), FertiliserProducts[[#Headers],[Company]],31)</f>
        <v/>
      </c>
      <c r="W120" s="172" t="str" cm="1">
        <f t="array" ref="W120">Common_InputFunctions.Utility_DisplayArrayInTable(Fertiliser_SourceData.Fertiliser_Products_Data2(), FertiliserProducts[[#Headers],[Company]],31)</f>
        <v/>
      </c>
      <c r="X120" s="172" t="str" cm="1">
        <f t="array" ref="X120">Common_InputFunctions.Utility_DisplayArrayInTable(Fertiliser_SourceData.Fertiliser_Products_Data2(), FertiliserProducts[[#Headers],[Company]],31)</f>
        <v/>
      </c>
      <c r="Y120" s="172" t="str" cm="1">
        <f t="array" ref="Y120">Common_InputFunctions.Utility_DisplayArrayInTable(Fertiliser_SourceData.Fertiliser_Products_Data2(), FertiliserProducts[[#Headers],[Company]],31)</f>
        <v/>
      </c>
      <c r="Z120" s="172" t="str" cm="1">
        <f t="array" ref="Z120">Common_InputFunctions.Utility_DisplayArrayInTable(Fertiliser_SourceData.Fertiliser_Products_Data2(), FertiliserProducts[[#Headers],[Company]],31)</f>
        <v/>
      </c>
      <c r="AA120" s="172" t="str" cm="1">
        <f t="array" ref="AA120">Common_InputFunctions.Utility_DisplayArrayInTable(Fertiliser_SourceData.Fertiliser_Products_Data2(), FertiliserProducts[[#Headers],[Company]],31)</f>
        <v/>
      </c>
      <c r="AB120" s="172" t="str" cm="1">
        <f t="array" ref="AB120">Common_InputFunctions.Utility_DisplayArrayInTable(Fertiliser_SourceData.Fertiliser_Products_Data2(), FertiliserProducts[[#Headers],[Company]],31)</f>
        <v/>
      </c>
      <c r="AC120" s="172" t="str" cm="1">
        <f t="array" ref="AC120">Common_InputFunctions.Utility_DisplayArrayInTable(Fertiliser_SourceData.Fertiliser_Products_Data2(), FertiliserProducts[[#Headers],[Company]],31)</f>
        <v/>
      </c>
      <c r="AD120" s="172" t="str" cm="1">
        <f t="array" ref="AD120">Common_InputFunctions.Utility_DisplayArrayInTable(Fertiliser_SourceData.Fertiliser_Products_Data2(), FertiliserProducts[[#Headers],[Company]],31)</f>
        <v/>
      </c>
      <c r="AE120" s="172" t="str" cm="1">
        <f t="array" ref="AE120">Common_InputFunctions.Utility_DisplayArrayInTable(Fertiliser_SourceData.Fertiliser_Products_Data2(), FertiliserProducts[[#Headers],[Company]],31)</f>
        <v/>
      </c>
      <c r="AF120" s="172" t="str" cm="1">
        <f t="array" ref="AF120">Common_InputFunctions.Utility_DisplayArrayInTable(Fertiliser_SourceData.Fertiliser_Products_Data2(), FertiliserProducts[[#Headers],[Company]],31)</f>
        <v/>
      </c>
      <c r="AG120" s="172" t="str" cm="1">
        <f t="array" ref="AG120">Common_InputFunctions.Utility_DisplayArrayInTable(Fertiliser_SourceData.Fertiliser_Products_Data2(), FertiliserProducts[[#Headers],[Company]],31)</f>
        <v/>
      </c>
      <c r="AH120" s="172" t="str" cm="1">
        <f t="array" ref="AH120">Common_InputFunctions.Utility_DisplayArrayInTable(Fertiliser_SourceData.Fertiliser_Products_Data2(), FertiliserProducts[[#Headers],[Company]],31)</f>
        <v/>
      </c>
      <c r="AK120" s="1"/>
      <c r="AL120" s="1"/>
      <c r="AM120" s="1"/>
    </row>
    <row r="121" spans="4:39" ht="20.100000000000001" customHeight="1" x14ac:dyDescent="0.25">
      <c r="D121" s="172" t="str" cm="1">
        <f t="array" ref="D121">Common_InputFunctions.Utility_DisplayArrayInTable(Fertiliser_SourceData.Fertiliser_Products_Data2(), FertiliserProducts[[#Headers],[Company]],31)</f>
        <v>Incitec Pivot Fertilisers</v>
      </c>
      <c r="E121" s="172" t="str" cm="1">
        <f t="array" ref="E121">Common_InputFunctions.Utility_DisplayArrayInTable(Fertiliser_SourceData.Fertiliser_Products_Data2(), FertiliserProducts[[#Headers],[Company]],31)</f>
        <v>Granulock SS</v>
      </c>
      <c r="F121" s="172" t="str" cm="1">
        <f t="array" ref="F121">Common_InputFunctions.Utility_DisplayArrayInTable(Fertiliser_SourceData.Fertiliser_Products_Data2(), FertiliserProducts[[#Headers],[Company]],31)</f>
        <v>kg</v>
      </c>
      <c r="G121" s="172" cm="1">
        <f t="array" ref="G121">Common_InputFunctions.Utility_DisplayArrayInTable(Fertiliser_SourceData.Fertiliser_Products_Data2(), FertiliserProducts[[#Headers],[Company]],31)</f>
        <v>1</v>
      </c>
      <c r="H121" s="172" t="str" cm="1">
        <f t="array" ref="H121">Common_InputFunctions.Utility_DisplayArrayInTable(Fertiliser_SourceData.Fertiliser_Products_Data2(), FertiliserProducts[[#Headers],[Company]],31)</f>
        <v/>
      </c>
      <c r="I121" s="172" t="str" cm="1">
        <f t="array" ref="I121">Common_InputFunctions.Utility_DisplayArrayInTable(Fertiliser_SourceData.Fertiliser_Products_Data2(), FertiliserProducts[[#Headers],[Company]],31)</f>
        <v/>
      </c>
      <c r="J121" s="172" t="str" cm="1">
        <f t="array" ref="J121">Common_InputFunctions.Utility_DisplayArrayInTable(Fertiliser_SourceData.Fertiliser_Products_Data2(), FertiliserProducts[[#Headers],[Company]],31)</f>
        <v/>
      </c>
      <c r="K121" s="172" cm="1">
        <f t="array" ref="K121">Common_InputFunctions.Utility_DisplayArrayInTable(Fertiliser_SourceData.Fertiliser_Products_Data2(), FertiliserProducts[[#Headers],[Company]],31)</f>
        <v>10</v>
      </c>
      <c r="L121" s="172" cm="1">
        <f t="array" ref="L121">Common_InputFunctions.Utility_DisplayArrayInTable(Fertiliser_SourceData.Fertiliser_Products_Data2(), FertiliserProducts[[#Headers],[Company]],31)</f>
        <v>17.5</v>
      </c>
      <c r="M121" s="172" t="str" cm="1">
        <f t="array" ref="M121">Common_InputFunctions.Utility_DisplayArrayInTable(Fertiliser_SourceData.Fertiliser_Products_Data2(), FertiliserProducts[[#Headers],[Company]],31)</f>
        <v/>
      </c>
      <c r="N121" s="172" cm="1">
        <f t="array" ref="N121">Common_InputFunctions.Utility_DisplayArrayInTable(Fertiliser_SourceData.Fertiliser_Products_Data2(), FertiliserProducts[[#Headers],[Company]],31)</f>
        <v>12</v>
      </c>
      <c r="O121" s="172" t="str" cm="1">
        <f t="array" ref="O121">Common_InputFunctions.Utility_DisplayArrayInTable(Fertiliser_SourceData.Fertiliser_Products_Data2(), FertiliserProducts[[#Headers],[Company]],31)</f>
        <v>Phosphorus - Generic</v>
      </c>
      <c r="P121" s="172" cm="1">
        <f t="array" ref="P121">Common_InputFunctions.Utility_DisplayArrayInTable(Fertiliser_SourceData.Fertiliser_Products_Data2(), FertiliserProducts[[#Headers],[Company]],31)</f>
        <v>0.17499999999999999</v>
      </c>
      <c r="Q121" s="172" t="str" cm="1">
        <f t="array" ref="Q121">Common_InputFunctions.Utility_DisplayArrayInTable(Fertiliser_SourceData.Fertiliser_Products_Data2(), FertiliserProducts[[#Headers],[Company]],31)</f>
        <v>Sulfur - Generic</v>
      </c>
      <c r="R121" s="172" cm="1">
        <f t="array" ref="R121">Common_InputFunctions.Utility_DisplayArrayInTable(Fertiliser_SourceData.Fertiliser_Products_Data2(), FertiliserProducts[[#Headers],[Company]],31)</f>
        <v>0.12</v>
      </c>
      <c r="S121" s="172" t="str" cm="1">
        <f t="array" ref="S121">Common_InputFunctions.Utility_DisplayArrayInTable(Fertiliser_SourceData.Fertiliser_Products_Data2(), FertiliserProducts[[#Headers],[Company]],31)</f>
        <v>Nitrogen - Ammoniacal</v>
      </c>
      <c r="T121" s="172" cm="1">
        <f t="array" ref="T121">Common_InputFunctions.Utility_DisplayArrayInTable(Fertiliser_SourceData.Fertiliser_Products_Data2(), FertiliserProducts[[#Headers],[Company]],31)</f>
        <v>0.1</v>
      </c>
      <c r="U121" s="172" t="str" cm="1">
        <f t="array" ref="U121">Common_InputFunctions.Utility_DisplayArrayInTable(Fertiliser_SourceData.Fertiliser_Products_Data2(), FertiliserProducts[[#Headers],[Company]],31)</f>
        <v>Fluoride</v>
      </c>
      <c r="V121" s="172" cm="1">
        <f t="array" ref="V121">Common_InputFunctions.Utility_DisplayArrayInTable(Fertiliser_SourceData.Fertiliser_Products_Data2(), FertiliserProducts[[#Headers],[Company]],31)</f>
        <v>0.03</v>
      </c>
      <c r="W121" s="172" t="str" cm="1">
        <f t="array" ref="W121">Common_InputFunctions.Utility_DisplayArrayInTable(Fertiliser_SourceData.Fertiliser_Products_Data2(), FertiliserProducts[[#Headers],[Company]],31)</f>
        <v/>
      </c>
      <c r="X121" s="172" t="str" cm="1">
        <f t="array" ref="X121">Common_InputFunctions.Utility_DisplayArrayInTable(Fertiliser_SourceData.Fertiliser_Products_Data2(), FertiliserProducts[[#Headers],[Company]],31)</f>
        <v/>
      </c>
      <c r="Y121" s="172" t="str" cm="1">
        <f t="array" ref="Y121">Common_InputFunctions.Utility_DisplayArrayInTable(Fertiliser_SourceData.Fertiliser_Products_Data2(), FertiliserProducts[[#Headers],[Company]],31)</f>
        <v/>
      </c>
      <c r="Z121" s="172" t="str" cm="1">
        <f t="array" ref="Z121">Common_InputFunctions.Utility_DisplayArrayInTable(Fertiliser_SourceData.Fertiliser_Products_Data2(), FertiliserProducts[[#Headers],[Company]],31)</f>
        <v/>
      </c>
      <c r="AA121" s="172" t="str" cm="1">
        <f t="array" ref="AA121">Common_InputFunctions.Utility_DisplayArrayInTable(Fertiliser_SourceData.Fertiliser_Products_Data2(), FertiliserProducts[[#Headers],[Company]],31)</f>
        <v/>
      </c>
      <c r="AB121" s="172" t="str" cm="1">
        <f t="array" ref="AB121">Common_InputFunctions.Utility_DisplayArrayInTable(Fertiliser_SourceData.Fertiliser_Products_Data2(), FertiliserProducts[[#Headers],[Company]],31)</f>
        <v/>
      </c>
      <c r="AC121" s="172" t="str" cm="1">
        <f t="array" ref="AC121">Common_InputFunctions.Utility_DisplayArrayInTable(Fertiliser_SourceData.Fertiliser_Products_Data2(), FertiliserProducts[[#Headers],[Company]],31)</f>
        <v/>
      </c>
      <c r="AD121" s="172" t="str" cm="1">
        <f t="array" ref="AD121">Common_InputFunctions.Utility_DisplayArrayInTable(Fertiliser_SourceData.Fertiliser_Products_Data2(), FertiliserProducts[[#Headers],[Company]],31)</f>
        <v/>
      </c>
      <c r="AE121" s="172" t="str" cm="1">
        <f t="array" ref="AE121">Common_InputFunctions.Utility_DisplayArrayInTable(Fertiliser_SourceData.Fertiliser_Products_Data2(), FertiliserProducts[[#Headers],[Company]],31)</f>
        <v/>
      </c>
      <c r="AF121" s="172" t="str" cm="1">
        <f t="array" ref="AF121">Common_InputFunctions.Utility_DisplayArrayInTable(Fertiliser_SourceData.Fertiliser_Products_Data2(), FertiliserProducts[[#Headers],[Company]],31)</f>
        <v/>
      </c>
      <c r="AG121" s="172" t="str" cm="1">
        <f t="array" ref="AG121">Common_InputFunctions.Utility_DisplayArrayInTable(Fertiliser_SourceData.Fertiliser_Products_Data2(), FertiliserProducts[[#Headers],[Company]],31)</f>
        <v/>
      </c>
      <c r="AH121" s="172" t="str" cm="1">
        <f t="array" ref="AH121">Common_InputFunctions.Utility_DisplayArrayInTable(Fertiliser_SourceData.Fertiliser_Products_Data2(), FertiliserProducts[[#Headers],[Company]],31)</f>
        <v/>
      </c>
      <c r="AK121" s="1"/>
      <c r="AL121" s="1"/>
      <c r="AM121" s="1"/>
    </row>
    <row r="122" spans="4:39" ht="20.100000000000001" customHeight="1" x14ac:dyDescent="0.25">
      <c r="D122" s="172" t="str" cm="1">
        <f t="array" ref="D122">Common_InputFunctions.Utility_DisplayArrayInTable(Fertiliser_SourceData.Fertiliser_Products_Data2(), FertiliserProducts[[#Headers],[Company]],31)</f>
        <v>Incitec Pivot Fertilisers</v>
      </c>
      <c r="E122" s="172" t="str" cm="1">
        <f t="array" ref="E122">Common_InputFunctions.Utility_DisplayArrayInTable(Fertiliser_SourceData.Fertiliser_Products_Data2(), FertiliserProducts[[#Headers],[Company]],31)</f>
        <v>Granulock Z</v>
      </c>
      <c r="F122" s="172" t="str" cm="1">
        <f t="array" ref="F122">Common_InputFunctions.Utility_DisplayArrayInTable(Fertiliser_SourceData.Fertiliser_Products_Data2(), FertiliserProducts[[#Headers],[Company]],31)</f>
        <v>kg</v>
      </c>
      <c r="G122" s="172" cm="1">
        <f t="array" ref="G122">Common_InputFunctions.Utility_DisplayArrayInTable(Fertiliser_SourceData.Fertiliser_Products_Data2(), FertiliserProducts[[#Headers],[Company]],31)</f>
        <v>1</v>
      </c>
      <c r="H122" s="172" t="str" cm="1">
        <f t="array" ref="H122">Common_InputFunctions.Utility_DisplayArrayInTable(Fertiliser_SourceData.Fertiliser_Products_Data2(), FertiliserProducts[[#Headers],[Company]],31)</f>
        <v/>
      </c>
      <c r="I122" s="172" t="str" cm="1">
        <f t="array" ref="I122">Common_InputFunctions.Utility_DisplayArrayInTable(Fertiliser_SourceData.Fertiliser_Products_Data2(), FertiliserProducts[[#Headers],[Company]],31)</f>
        <v/>
      </c>
      <c r="J122" s="172" t="str" cm="1">
        <f t="array" ref="J122">Common_InputFunctions.Utility_DisplayArrayInTable(Fertiliser_SourceData.Fertiliser_Products_Data2(), FertiliserProducts[[#Headers],[Company]],31)</f>
        <v/>
      </c>
      <c r="K122" s="172" cm="1">
        <f t="array" ref="K122">Common_InputFunctions.Utility_DisplayArrayInTable(Fertiliser_SourceData.Fertiliser_Products_Data2(), FertiliserProducts[[#Headers],[Company]],31)</f>
        <v>11</v>
      </c>
      <c r="L122" s="172" cm="1">
        <f t="array" ref="L122">Common_InputFunctions.Utility_DisplayArrayInTable(Fertiliser_SourceData.Fertiliser_Products_Data2(), FertiliserProducts[[#Headers],[Company]],31)</f>
        <v>21.8</v>
      </c>
      <c r="M122" s="172" t="str" cm="1">
        <f t="array" ref="M122">Common_InputFunctions.Utility_DisplayArrayInTable(Fertiliser_SourceData.Fertiliser_Products_Data2(), FertiliserProducts[[#Headers],[Company]],31)</f>
        <v/>
      </c>
      <c r="N122" s="172" cm="1">
        <f t="array" ref="N122">Common_InputFunctions.Utility_DisplayArrayInTable(Fertiliser_SourceData.Fertiliser_Products_Data2(), FertiliserProducts[[#Headers],[Company]],31)</f>
        <v>4</v>
      </c>
      <c r="O122" s="172" t="str" cm="1">
        <f t="array" ref="O122">Common_InputFunctions.Utility_DisplayArrayInTable(Fertiliser_SourceData.Fertiliser_Products_Data2(), FertiliserProducts[[#Headers],[Company]],31)</f>
        <v>Phosphorus - Generic</v>
      </c>
      <c r="P122" s="172" cm="1">
        <f t="array" ref="P122">Common_InputFunctions.Utility_DisplayArrayInTable(Fertiliser_SourceData.Fertiliser_Products_Data2(), FertiliserProducts[[#Headers],[Company]],31)</f>
        <v>0.218</v>
      </c>
      <c r="Q122" s="172" t="str" cm="1">
        <f t="array" ref="Q122">Common_InputFunctions.Utility_DisplayArrayInTable(Fertiliser_SourceData.Fertiliser_Products_Data2(), FertiliserProducts[[#Headers],[Company]],31)</f>
        <v>Nitrogen - Generic</v>
      </c>
      <c r="R122" s="172" cm="1">
        <f t="array" ref="R122">Common_InputFunctions.Utility_DisplayArrayInTable(Fertiliser_SourceData.Fertiliser_Products_Data2(), FertiliserProducts[[#Headers],[Company]],31)</f>
        <v>0.11</v>
      </c>
      <c r="S122" s="172" t="str" cm="1">
        <f t="array" ref="S122">Common_InputFunctions.Utility_DisplayArrayInTable(Fertiliser_SourceData.Fertiliser_Products_Data2(), FertiliserProducts[[#Headers],[Company]],31)</f>
        <v>Sulfur - Generic</v>
      </c>
      <c r="T122" s="172" cm="1">
        <f t="array" ref="T122">Common_InputFunctions.Utility_DisplayArrayInTable(Fertiliser_SourceData.Fertiliser_Products_Data2(), FertiliserProducts[[#Headers],[Company]],31)</f>
        <v>0.04</v>
      </c>
      <c r="U122" s="172" t="str" cm="1">
        <f t="array" ref="U122">Common_InputFunctions.Utility_DisplayArrayInTable(Fertiliser_SourceData.Fertiliser_Products_Data2(), FertiliserProducts[[#Headers],[Company]],31)</f>
        <v>Fluoride</v>
      </c>
      <c r="V122" s="172" cm="1">
        <f t="array" ref="V122">Common_InputFunctions.Utility_DisplayArrayInTable(Fertiliser_SourceData.Fertiliser_Products_Data2(), FertiliserProducts[[#Headers],[Company]],31)</f>
        <v>0.03</v>
      </c>
      <c r="W122" s="172" t="str" cm="1">
        <f t="array" ref="W122">Common_InputFunctions.Utility_DisplayArrayInTable(Fertiliser_SourceData.Fertiliser_Products_Data2(), FertiliserProducts[[#Headers],[Company]],31)</f>
        <v>Zinc</v>
      </c>
      <c r="X122" s="172" cm="1">
        <f t="array" ref="X122">Common_InputFunctions.Utility_DisplayArrayInTable(Fertiliser_SourceData.Fertiliser_Products_Data2(), FertiliserProducts[[#Headers],[Company]],31)</f>
        <v>0.01</v>
      </c>
      <c r="Y122" s="172" t="str" cm="1">
        <f t="array" ref="Y122">Common_InputFunctions.Utility_DisplayArrayInTable(Fertiliser_SourceData.Fertiliser_Products_Data2(), FertiliserProducts[[#Headers],[Company]],31)</f>
        <v/>
      </c>
      <c r="Z122" s="172" t="str" cm="1">
        <f t="array" ref="Z122">Common_InputFunctions.Utility_DisplayArrayInTable(Fertiliser_SourceData.Fertiliser_Products_Data2(), FertiliserProducts[[#Headers],[Company]],31)</f>
        <v/>
      </c>
      <c r="AA122" s="172" t="str" cm="1">
        <f t="array" ref="AA122">Common_InputFunctions.Utility_DisplayArrayInTable(Fertiliser_SourceData.Fertiliser_Products_Data2(), FertiliserProducts[[#Headers],[Company]],31)</f>
        <v/>
      </c>
      <c r="AB122" s="172" t="str" cm="1">
        <f t="array" ref="AB122">Common_InputFunctions.Utility_DisplayArrayInTable(Fertiliser_SourceData.Fertiliser_Products_Data2(), FertiliserProducts[[#Headers],[Company]],31)</f>
        <v/>
      </c>
      <c r="AC122" s="172" t="str" cm="1">
        <f t="array" ref="AC122">Common_InputFunctions.Utility_DisplayArrayInTable(Fertiliser_SourceData.Fertiliser_Products_Data2(), FertiliserProducts[[#Headers],[Company]],31)</f>
        <v/>
      </c>
      <c r="AD122" s="172" t="str" cm="1">
        <f t="array" ref="AD122">Common_InputFunctions.Utility_DisplayArrayInTable(Fertiliser_SourceData.Fertiliser_Products_Data2(), FertiliserProducts[[#Headers],[Company]],31)</f>
        <v/>
      </c>
      <c r="AE122" s="172" t="str" cm="1">
        <f t="array" ref="AE122">Common_InputFunctions.Utility_DisplayArrayInTable(Fertiliser_SourceData.Fertiliser_Products_Data2(), FertiliserProducts[[#Headers],[Company]],31)</f>
        <v/>
      </c>
      <c r="AF122" s="172" t="str" cm="1">
        <f t="array" ref="AF122">Common_InputFunctions.Utility_DisplayArrayInTable(Fertiliser_SourceData.Fertiliser_Products_Data2(), FertiliserProducts[[#Headers],[Company]],31)</f>
        <v/>
      </c>
      <c r="AG122" s="172" t="str" cm="1">
        <f t="array" ref="AG122">Common_InputFunctions.Utility_DisplayArrayInTable(Fertiliser_SourceData.Fertiliser_Products_Data2(), FertiliserProducts[[#Headers],[Company]],31)</f>
        <v/>
      </c>
      <c r="AH122" s="172" t="str" cm="1">
        <f t="array" ref="AH122">Common_InputFunctions.Utility_DisplayArrayInTable(Fertiliser_SourceData.Fertiliser_Products_Data2(), FertiliserProducts[[#Headers],[Company]],31)</f>
        <v/>
      </c>
      <c r="AK122" s="1"/>
      <c r="AL122" s="1"/>
      <c r="AM122" s="1"/>
    </row>
    <row r="123" spans="4:39" ht="20.100000000000001" customHeight="1" x14ac:dyDescent="0.25">
      <c r="D123" s="172" t="str" cm="1">
        <f t="array" ref="D123">Common_InputFunctions.Utility_DisplayArrayInTable(Fertiliser_SourceData.Fertiliser_Products_Data2(), FertiliserProducts[[#Headers],[Company]],31)</f>
        <v>Incitec Pivot Fertilisers</v>
      </c>
      <c r="E123" s="172" t="str" cm="1">
        <f t="array" ref="E123">Common_InputFunctions.Utility_DisplayArrayInTable(Fertiliser_SourceData.Fertiliser_Products_Data2(), FertiliserProducts[[#Headers],[Company]],31)</f>
        <v>Farm Ag Leichhardt</v>
      </c>
      <c r="F123" s="172" t="str" cm="1">
        <f t="array" ref="F123">Common_InputFunctions.Utility_DisplayArrayInTable(Fertiliser_SourceData.Fertiliser_Products_Data2(), FertiliserProducts[[#Headers],[Company]],31)</f>
        <v>kg</v>
      </c>
      <c r="G123" s="172" cm="1">
        <f t="array" ref="G123">Common_InputFunctions.Utility_DisplayArrayInTable(Fertiliser_SourceData.Fertiliser_Products_Data2(), FertiliserProducts[[#Headers],[Company]],31)</f>
        <v>1</v>
      </c>
      <c r="H123" s="172" t="str" cm="1">
        <f t="array" ref="H123">Common_InputFunctions.Utility_DisplayArrayInTable(Fertiliser_SourceData.Fertiliser_Products_Data2(), FertiliserProducts[[#Headers],[Company]],31)</f>
        <v/>
      </c>
      <c r="I123" s="172" t="str" cm="1">
        <f t="array" ref="I123">Common_InputFunctions.Utility_DisplayArrayInTable(Fertiliser_SourceData.Fertiliser_Products_Data2(), FertiliserProducts[[#Headers],[Company]],31)</f>
        <v/>
      </c>
      <c r="J123" s="172" t="str" cm="1">
        <f t="array" ref="J123">Common_InputFunctions.Utility_DisplayArrayInTable(Fertiliser_SourceData.Fertiliser_Products_Data2(), FertiliserProducts[[#Headers],[Company]],31)</f>
        <v/>
      </c>
      <c r="K123" s="172" cm="1">
        <f t="array" ref="K123">Common_InputFunctions.Utility_DisplayArrayInTable(Fertiliser_SourceData.Fertiliser_Products_Data2(), FertiliserProducts[[#Headers],[Company]],31)</f>
        <v>32.5</v>
      </c>
      <c r="L123" s="172" cm="1">
        <f t="array" ref="L123">Common_InputFunctions.Utility_DisplayArrayInTable(Fertiliser_SourceData.Fertiliser_Products_Data2(), FertiliserProducts[[#Headers],[Company]],31)</f>
        <v>5.4</v>
      </c>
      <c r="M123" s="172" cm="1">
        <f t="array" ref="M123">Common_InputFunctions.Utility_DisplayArrayInTable(Fertiliser_SourceData.Fertiliser_Products_Data2(), FertiliserProducts[[#Headers],[Company]],31)</f>
        <v>6.25</v>
      </c>
      <c r="N123" s="172" t="str" cm="1">
        <f t="array" ref="N123">Common_InputFunctions.Utility_DisplayArrayInTable(Fertiliser_SourceData.Fertiliser_Products_Data2(), FertiliserProducts[[#Headers],[Company]],31)</f>
        <v/>
      </c>
      <c r="O123" s="172" t="str" cm="1">
        <f t="array" ref="O123">Common_InputFunctions.Utility_DisplayArrayInTable(Fertiliser_SourceData.Fertiliser_Products_Data2(), FertiliserProducts[[#Headers],[Company]],31)</f>
        <v>Urea</v>
      </c>
      <c r="P123" s="172" cm="1">
        <f t="array" ref="P123">Common_InputFunctions.Utility_DisplayArrayInTable(Fertiliser_SourceData.Fertiliser_Products_Data2(), FertiliserProducts[[#Headers],[Company]],31)</f>
        <v>0.6</v>
      </c>
      <c r="Q123" s="172" t="str" cm="1">
        <f t="array" ref="Q123">Common_InputFunctions.Utility_DisplayArrayInTable(Fertiliser_SourceData.Fertiliser_Products_Data2(), FertiliserProducts[[#Headers],[Company]],31)</f>
        <v>Nitrogen - Ammoniacal</v>
      </c>
      <c r="R123" s="172" cm="1">
        <f t="array" ref="R123">Common_InputFunctions.Utility_DisplayArrayInTable(Fertiliser_SourceData.Fertiliser_Products_Data2(), FertiliserProducts[[#Headers],[Company]],31)</f>
        <v>4.9000000000000002E-2</v>
      </c>
      <c r="S123" s="172" t="str" cm="1">
        <f t="array" ref="S123">Common_InputFunctions.Utility_DisplayArrayInTable(Fertiliser_SourceData.Fertiliser_Products_Data2(), FertiliserProducts[[#Headers],[Company]],31)</f>
        <v>Phosphorus - Generic</v>
      </c>
      <c r="T123" s="172" cm="1">
        <f t="array" ref="T123">Common_InputFunctions.Utility_DisplayArrayInTable(Fertiliser_SourceData.Fertiliser_Products_Data2(), FertiliserProducts[[#Headers],[Company]],31)</f>
        <v>5.3999999999999999E-2</v>
      </c>
      <c r="U123" s="172" t="str" cm="1">
        <f t="array" ref="U123">Common_InputFunctions.Utility_DisplayArrayInTable(Fertiliser_SourceData.Fertiliser_Products_Data2(), FertiliserProducts[[#Headers],[Company]],31)</f>
        <v>Muriate of potash (MOP)</v>
      </c>
      <c r="V123" s="172" cm="1">
        <f t="array" ref="V123">Common_InputFunctions.Utility_DisplayArrayInTable(Fertiliser_SourceData.Fertiliser_Products_Data2(), FertiliserProducts[[#Headers],[Company]],31)</f>
        <v>0.125</v>
      </c>
      <c r="W123" s="172" t="str" cm="1">
        <f t="array" ref="W123">Common_InputFunctions.Utility_DisplayArrayInTable(Fertiliser_SourceData.Fertiliser_Products_Data2(), FertiliserProducts[[#Headers],[Company]],31)</f>
        <v/>
      </c>
      <c r="X123" s="172" t="str" cm="1">
        <f t="array" ref="X123">Common_InputFunctions.Utility_DisplayArrayInTable(Fertiliser_SourceData.Fertiliser_Products_Data2(), FertiliserProducts[[#Headers],[Company]],31)</f>
        <v/>
      </c>
      <c r="Y123" s="172" t="str" cm="1">
        <f t="array" ref="Y123">Common_InputFunctions.Utility_DisplayArrayInTable(Fertiliser_SourceData.Fertiliser_Products_Data2(), FertiliserProducts[[#Headers],[Company]],31)</f>
        <v/>
      </c>
      <c r="Z123" s="172" t="str" cm="1">
        <f t="array" ref="Z123">Common_InputFunctions.Utility_DisplayArrayInTable(Fertiliser_SourceData.Fertiliser_Products_Data2(), FertiliserProducts[[#Headers],[Company]],31)</f>
        <v/>
      </c>
      <c r="AA123" s="172" t="str" cm="1">
        <f t="array" ref="AA123">Common_InputFunctions.Utility_DisplayArrayInTable(Fertiliser_SourceData.Fertiliser_Products_Data2(), FertiliserProducts[[#Headers],[Company]],31)</f>
        <v/>
      </c>
      <c r="AB123" s="172" t="str" cm="1">
        <f t="array" ref="AB123">Common_InputFunctions.Utility_DisplayArrayInTable(Fertiliser_SourceData.Fertiliser_Products_Data2(), FertiliserProducts[[#Headers],[Company]],31)</f>
        <v/>
      </c>
      <c r="AC123" s="172" t="str" cm="1">
        <f t="array" ref="AC123">Common_InputFunctions.Utility_DisplayArrayInTable(Fertiliser_SourceData.Fertiliser_Products_Data2(), FertiliserProducts[[#Headers],[Company]],31)</f>
        <v/>
      </c>
      <c r="AD123" s="172" t="str" cm="1">
        <f t="array" ref="AD123">Common_InputFunctions.Utility_DisplayArrayInTable(Fertiliser_SourceData.Fertiliser_Products_Data2(), FertiliserProducts[[#Headers],[Company]],31)</f>
        <v/>
      </c>
      <c r="AE123" s="172" t="str" cm="1">
        <f t="array" ref="AE123">Common_InputFunctions.Utility_DisplayArrayInTable(Fertiliser_SourceData.Fertiliser_Products_Data2(), FertiliserProducts[[#Headers],[Company]],31)</f>
        <v/>
      </c>
      <c r="AF123" s="172" t="str" cm="1">
        <f t="array" ref="AF123">Common_InputFunctions.Utility_DisplayArrayInTable(Fertiliser_SourceData.Fertiliser_Products_Data2(), FertiliserProducts[[#Headers],[Company]],31)</f>
        <v/>
      </c>
      <c r="AG123" s="172" t="str" cm="1">
        <f t="array" ref="AG123">Common_InputFunctions.Utility_DisplayArrayInTable(Fertiliser_SourceData.Fertiliser_Products_Data2(), FertiliserProducts[[#Headers],[Company]],31)</f>
        <v/>
      </c>
      <c r="AH123" s="172" t="str" cm="1">
        <f t="array" ref="AH123">Common_InputFunctions.Utility_DisplayArrayInTable(Fertiliser_SourceData.Fertiliser_Products_Data2(), FertiliserProducts[[#Headers],[Company]],31)</f>
        <v/>
      </c>
      <c r="AK123" s="1"/>
      <c r="AL123" s="1"/>
      <c r="AM123" s="1"/>
    </row>
    <row r="124" spans="4:39" ht="20.100000000000001" customHeight="1" x14ac:dyDescent="0.25">
      <c r="D124" s="172" t="str" cm="1">
        <f t="array" ref="D124">Common_InputFunctions.Utility_DisplayArrayInTable(Fertiliser_SourceData.Fertiliser_Products_Data2(), FertiliserProducts[[#Headers],[Company]],31)</f>
        <v>Ravensdown</v>
      </c>
      <c r="E124" s="172" t="str" cm="1">
        <f t="array" ref="E124">Common_InputFunctions.Utility_DisplayArrayInTable(Fertiliser_SourceData.Fertiliser_Products_Data2(), FertiliserProducts[[#Headers],[Company]],31)</f>
        <v>Flexi-N NBPT</v>
      </c>
      <c r="F124" s="172" t="str" cm="1">
        <f t="array" ref="F124">Common_InputFunctions.Utility_DisplayArrayInTable(Fertiliser_SourceData.Fertiliser_Products_Data2(), FertiliserProducts[[#Headers],[Company]],31)</f>
        <v>kg</v>
      </c>
      <c r="G124" s="172" cm="1">
        <f t="array" ref="G124">Common_InputFunctions.Utility_DisplayArrayInTable(Fertiliser_SourceData.Fertiliser_Products_Data2(), FertiliserProducts[[#Headers],[Company]],31)</f>
        <v>1</v>
      </c>
      <c r="H124" s="172" t="str" cm="1">
        <f t="array" ref="H124">Common_InputFunctions.Utility_DisplayArrayInTable(Fertiliser_SourceData.Fertiliser_Products_Data2(), FertiliserProducts[[#Headers],[Company]],31)</f>
        <v>Yes</v>
      </c>
      <c r="I124" s="172" t="str" cm="1">
        <f t="array" ref="I124">Common_InputFunctions.Utility_DisplayArrayInTable(Fertiliser_SourceData.Fertiliser_Products_Data2(), FertiliserProducts[[#Headers],[Company]],31)</f>
        <v/>
      </c>
      <c r="J124" s="172" t="str" cm="1">
        <f t="array" ref="J124">Common_InputFunctions.Utility_DisplayArrayInTable(Fertiliser_SourceData.Fertiliser_Products_Data2(), FertiliserProducts[[#Headers],[Company]],31)</f>
        <v/>
      </c>
      <c r="K124" s="172" cm="1">
        <f t="array" ref="K124">Common_InputFunctions.Utility_DisplayArrayInTable(Fertiliser_SourceData.Fertiliser_Products_Data2(), FertiliserProducts[[#Headers],[Company]],31)</f>
        <v>45.54</v>
      </c>
      <c r="L124" s="172" t="str" cm="1">
        <f t="array" ref="L124">Common_InputFunctions.Utility_DisplayArrayInTable(Fertiliser_SourceData.Fertiliser_Products_Data2(), FertiliserProducts[[#Headers],[Company]],31)</f>
        <v/>
      </c>
      <c r="M124" s="172" t="str" cm="1">
        <f t="array" ref="M124">Common_InputFunctions.Utility_DisplayArrayInTable(Fertiliser_SourceData.Fertiliser_Products_Data2(), FertiliserProducts[[#Headers],[Company]],31)</f>
        <v/>
      </c>
      <c r="N124" s="172" t="str" cm="1">
        <f t="array" ref="N124">Common_InputFunctions.Utility_DisplayArrayInTable(Fertiliser_SourceData.Fertiliser_Products_Data2(), FertiliserProducts[[#Headers],[Company]],31)</f>
        <v/>
      </c>
      <c r="O124" s="172" t="str" cm="1">
        <f t="array" ref="O124">Common_InputFunctions.Utility_DisplayArrayInTable(Fertiliser_SourceData.Fertiliser_Products_Data2(), FertiliserProducts[[#Headers],[Company]],31)</f>
        <v>Urea</v>
      </c>
      <c r="P124" s="172" cm="1">
        <f t="array" ref="P124">Common_InputFunctions.Utility_DisplayArrayInTable(Fertiliser_SourceData.Fertiliser_Products_Data2(), FertiliserProducts[[#Headers],[Company]],31)</f>
        <v>0.99</v>
      </c>
      <c r="Q124" s="172" t="str" cm="1">
        <f t="array" ref="Q124">Common_InputFunctions.Utility_DisplayArrayInTable(Fertiliser_SourceData.Fertiliser_Products_Data2(), FertiliserProducts[[#Headers],[Company]],31)</f>
        <v/>
      </c>
      <c r="R124" s="172" t="str" cm="1">
        <f t="array" ref="R124">Common_InputFunctions.Utility_DisplayArrayInTable(Fertiliser_SourceData.Fertiliser_Products_Data2(), FertiliserProducts[[#Headers],[Company]],31)</f>
        <v/>
      </c>
      <c r="S124" s="172" t="str" cm="1">
        <f t="array" ref="S124">Common_InputFunctions.Utility_DisplayArrayInTable(Fertiliser_SourceData.Fertiliser_Products_Data2(), FertiliserProducts[[#Headers],[Company]],31)</f>
        <v/>
      </c>
      <c r="T124" s="172" t="str" cm="1">
        <f t="array" ref="T124">Common_InputFunctions.Utility_DisplayArrayInTable(Fertiliser_SourceData.Fertiliser_Products_Data2(), FertiliserProducts[[#Headers],[Company]],31)</f>
        <v/>
      </c>
      <c r="U124" s="172" t="str" cm="1">
        <f t="array" ref="U124">Common_InputFunctions.Utility_DisplayArrayInTable(Fertiliser_SourceData.Fertiliser_Products_Data2(), FertiliserProducts[[#Headers],[Company]],31)</f>
        <v/>
      </c>
      <c r="V124" s="172" t="str" cm="1">
        <f t="array" ref="V124">Common_InputFunctions.Utility_DisplayArrayInTable(Fertiliser_SourceData.Fertiliser_Products_Data2(), FertiliserProducts[[#Headers],[Company]],31)</f>
        <v/>
      </c>
      <c r="W124" s="172" t="str" cm="1">
        <f t="array" ref="W124">Common_InputFunctions.Utility_DisplayArrayInTable(Fertiliser_SourceData.Fertiliser_Products_Data2(), FertiliserProducts[[#Headers],[Company]],31)</f>
        <v/>
      </c>
      <c r="X124" s="172" t="str" cm="1">
        <f t="array" ref="X124">Common_InputFunctions.Utility_DisplayArrayInTable(Fertiliser_SourceData.Fertiliser_Products_Data2(), FertiliserProducts[[#Headers],[Company]],31)</f>
        <v/>
      </c>
      <c r="Y124" s="172" t="str" cm="1">
        <f t="array" ref="Y124">Common_InputFunctions.Utility_DisplayArrayInTable(Fertiliser_SourceData.Fertiliser_Products_Data2(), FertiliserProducts[[#Headers],[Company]],31)</f>
        <v/>
      </c>
      <c r="Z124" s="172" t="str" cm="1">
        <f t="array" ref="Z124">Common_InputFunctions.Utility_DisplayArrayInTable(Fertiliser_SourceData.Fertiliser_Products_Data2(), FertiliserProducts[[#Headers],[Company]],31)</f>
        <v/>
      </c>
      <c r="AA124" s="172" t="str" cm="1">
        <f t="array" ref="AA124">Common_InputFunctions.Utility_DisplayArrayInTable(Fertiliser_SourceData.Fertiliser_Products_Data2(), FertiliserProducts[[#Headers],[Company]],31)</f>
        <v/>
      </c>
      <c r="AB124" s="172" t="str" cm="1">
        <f t="array" ref="AB124">Common_InputFunctions.Utility_DisplayArrayInTable(Fertiliser_SourceData.Fertiliser_Products_Data2(), FertiliserProducts[[#Headers],[Company]],31)</f>
        <v/>
      </c>
      <c r="AC124" s="172" t="str" cm="1">
        <f t="array" ref="AC124">Common_InputFunctions.Utility_DisplayArrayInTable(Fertiliser_SourceData.Fertiliser_Products_Data2(), FertiliserProducts[[#Headers],[Company]],31)</f>
        <v/>
      </c>
      <c r="AD124" s="172" t="str" cm="1">
        <f t="array" ref="AD124">Common_InputFunctions.Utility_DisplayArrayInTable(Fertiliser_SourceData.Fertiliser_Products_Data2(), FertiliserProducts[[#Headers],[Company]],31)</f>
        <v/>
      </c>
      <c r="AE124" s="172" t="str" cm="1">
        <f t="array" ref="AE124">Common_InputFunctions.Utility_DisplayArrayInTable(Fertiliser_SourceData.Fertiliser_Products_Data2(), FertiliserProducts[[#Headers],[Company]],31)</f>
        <v/>
      </c>
      <c r="AF124" s="172" t="str" cm="1">
        <f t="array" ref="AF124">Common_InputFunctions.Utility_DisplayArrayInTable(Fertiliser_SourceData.Fertiliser_Products_Data2(), FertiliserProducts[[#Headers],[Company]],31)</f>
        <v/>
      </c>
      <c r="AG124" s="172" t="str" cm="1">
        <f t="array" ref="AG124">Common_InputFunctions.Utility_DisplayArrayInTable(Fertiliser_SourceData.Fertiliser_Products_Data2(), FertiliserProducts[[#Headers],[Company]],31)</f>
        <v/>
      </c>
      <c r="AH124" s="172" t="str" cm="1">
        <f t="array" ref="AH124">Common_InputFunctions.Utility_DisplayArrayInTable(Fertiliser_SourceData.Fertiliser_Products_Data2(), FertiliserProducts[[#Headers],[Company]],31)</f>
        <v/>
      </c>
      <c r="AK124" s="1"/>
      <c r="AL124" s="1"/>
      <c r="AM124" s="1"/>
    </row>
    <row r="125" spans="4:39" ht="20.100000000000001" customHeight="1" x14ac:dyDescent="0.25">
      <c r="D125" s="172" t="str" cm="1">
        <f t="array" ref="D125">Common_InputFunctions.Utility_DisplayArrayInTable(Fertiliser_SourceData.Fertiliser_Products_Data2(), FertiliserProducts[[#Headers],[Company]],31)</f>
        <v>Campbells fertilisers Australia</v>
      </c>
      <c r="E125" s="172" t="str" cm="1">
        <f t="array" ref="E125">Common_InputFunctions.Utility_DisplayArrayInTable(Fertiliser_SourceData.Fertiliser_Products_Data2(), FertiliserProducts[[#Headers],[Company]],31)</f>
        <v>Gold Premium</v>
      </c>
      <c r="F125" s="172" t="str" cm="1">
        <f t="array" ref="F125">Common_InputFunctions.Utility_DisplayArrayInTable(Fertiliser_SourceData.Fertiliser_Products_Data2(), FertiliserProducts[[#Headers],[Company]],31)</f>
        <v>kg</v>
      </c>
      <c r="G125" s="172" cm="1">
        <f t="array" ref="G125">Common_InputFunctions.Utility_DisplayArrayInTable(Fertiliser_SourceData.Fertiliser_Products_Data2(), FertiliserProducts[[#Headers],[Company]],31)</f>
        <v>1</v>
      </c>
      <c r="H125" s="172" t="str" cm="1">
        <f t="array" ref="H125">Common_InputFunctions.Utility_DisplayArrayInTable(Fertiliser_SourceData.Fertiliser_Products_Data2(), FertiliserProducts[[#Headers],[Company]],31)</f>
        <v/>
      </c>
      <c r="I125" s="172" t="str" cm="1">
        <f t="array" ref="I125">Common_InputFunctions.Utility_DisplayArrayInTable(Fertiliser_SourceData.Fertiliser_Products_Data2(), FertiliserProducts[[#Headers],[Company]],31)</f>
        <v/>
      </c>
      <c r="J125" s="172" t="str" cm="1">
        <f t="array" ref="J125">Common_InputFunctions.Utility_DisplayArrayInTable(Fertiliser_SourceData.Fertiliser_Products_Data2(), FertiliserProducts[[#Headers],[Company]],31)</f>
        <v/>
      </c>
      <c r="K125" s="172" cm="1">
        <f t="array" ref="K125">Common_InputFunctions.Utility_DisplayArrayInTable(Fertiliser_SourceData.Fertiliser_Products_Data2(), FertiliserProducts[[#Headers],[Company]],31)</f>
        <v>14.87</v>
      </c>
      <c r="L125" s="172" cm="1">
        <f t="array" ref="L125">Common_InputFunctions.Utility_DisplayArrayInTable(Fertiliser_SourceData.Fertiliser_Products_Data2(), FertiliserProducts[[#Headers],[Company]],31)</f>
        <v>2.2000000000000002</v>
      </c>
      <c r="M125" s="172" cm="1">
        <f t="array" ref="M125">Common_InputFunctions.Utility_DisplayArrayInTable(Fertiliser_SourceData.Fertiliser_Products_Data2(), FertiliserProducts[[#Headers],[Company]],31)</f>
        <v>16.600000000000001</v>
      </c>
      <c r="N125" s="172" cm="1">
        <f t="array" ref="N125">Common_InputFunctions.Utility_DisplayArrayInTable(Fertiliser_SourceData.Fertiliser_Products_Data2(), FertiliserProducts[[#Headers],[Company]],31)</f>
        <v>8</v>
      </c>
      <c r="O125" s="172" t="str" cm="1">
        <f t="array" ref="O125">Common_InputFunctions.Utility_DisplayArrayInTable(Fertiliser_SourceData.Fertiliser_Products_Data2(), FertiliserProducts[[#Headers],[Company]],31)</f>
        <v>Ammonium nitrate (AN)</v>
      </c>
      <c r="P125" s="172" cm="1">
        <f t="array" ref="P125">Common_InputFunctions.Utility_DisplayArrayInTable(Fertiliser_SourceData.Fertiliser_Products_Data2(), FertiliserProducts[[#Headers],[Company]],31)</f>
        <v>0.44117600000000001</v>
      </c>
      <c r="Q125" s="172" t="str" cm="1">
        <f t="array" ref="Q125">Common_InputFunctions.Utility_DisplayArrayInTable(Fertiliser_SourceData.Fertiliser_Products_Data2(), FertiliserProducts[[#Headers],[Company]],31)</f>
        <v>Potassium - Generic</v>
      </c>
      <c r="R125" s="172" cm="1">
        <f t="array" ref="R125">Common_InputFunctions.Utility_DisplayArrayInTable(Fertiliser_SourceData.Fertiliser_Products_Data2(), FertiliserProducts[[#Headers],[Company]],31)</f>
        <v>0.16600000000000001</v>
      </c>
      <c r="S125" s="172" t="str" cm="1">
        <f t="array" ref="S125">Common_InputFunctions.Utility_DisplayArrayInTable(Fertiliser_SourceData.Fertiliser_Products_Data2(), FertiliserProducts[[#Headers],[Company]],31)</f>
        <v>Sulfur - Generic</v>
      </c>
      <c r="T125" s="172" cm="1">
        <f t="array" ref="T125">Common_InputFunctions.Utility_DisplayArrayInTable(Fertiliser_SourceData.Fertiliser_Products_Data2(), FertiliserProducts[[#Headers],[Company]],31)</f>
        <v>0.08</v>
      </c>
      <c r="U125" s="172" t="str" cm="1">
        <f t="array" ref="U125">Common_InputFunctions.Utility_DisplayArrayInTable(Fertiliser_SourceData.Fertiliser_Products_Data2(), FertiliserProducts[[#Headers],[Company]],31)</f>
        <v>Phosphorus - Generic</v>
      </c>
      <c r="V125" s="172" cm="1">
        <f t="array" ref="V125">Common_InputFunctions.Utility_DisplayArrayInTable(Fertiliser_SourceData.Fertiliser_Products_Data2(), FertiliserProducts[[#Headers],[Company]],31)</f>
        <v>2.1999999999999999E-2</v>
      </c>
      <c r="W125" s="172" t="str" cm="1">
        <f t="array" ref="W125">Common_InputFunctions.Utility_DisplayArrayInTable(Fertiliser_SourceData.Fertiliser_Products_Data2(), FertiliserProducts[[#Headers],[Company]],31)</f>
        <v>Magnesium</v>
      </c>
      <c r="X125" s="172" cm="1">
        <f t="array" ref="X125">Common_InputFunctions.Utility_DisplayArrayInTable(Fertiliser_SourceData.Fertiliser_Products_Data2(), FertiliserProducts[[#Headers],[Company]],31)</f>
        <v>1.2E-2</v>
      </c>
      <c r="Y125" s="172" t="str" cm="1">
        <f t="array" ref="Y125">Common_InputFunctions.Utility_DisplayArrayInTable(Fertiliser_SourceData.Fertiliser_Products_Data2(), FertiliserProducts[[#Headers],[Company]],31)</f>
        <v>Boron</v>
      </c>
      <c r="Z125" s="172" cm="1">
        <f t="array" ref="Z125">Common_InputFunctions.Utility_DisplayArrayInTable(Fertiliser_SourceData.Fertiliser_Products_Data2(), FertiliserProducts[[#Headers],[Company]],31)</f>
        <v>2.0000000000000001E-4</v>
      </c>
      <c r="AA125" s="172" t="str" cm="1">
        <f t="array" ref="AA125">Common_InputFunctions.Utility_DisplayArrayInTable(Fertiliser_SourceData.Fertiliser_Products_Data2(), FertiliserProducts[[#Headers],[Company]],31)</f>
        <v>Zinc</v>
      </c>
      <c r="AB125" s="172" cm="1">
        <f t="array" ref="AB125">Common_InputFunctions.Utility_DisplayArrayInTable(Fertiliser_SourceData.Fertiliser_Products_Data2(), FertiliserProducts[[#Headers],[Company]],31)</f>
        <v>1E-4</v>
      </c>
      <c r="AC125" s="172" t="str" cm="1">
        <f t="array" ref="AC125">Common_InputFunctions.Utility_DisplayArrayInTable(Fertiliser_SourceData.Fertiliser_Products_Data2(), FertiliserProducts[[#Headers],[Company]],31)</f>
        <v/>
      </c>
      <c r="AD125" s="172" t="str" cm="1">
        <f t="array" ref="AD125">Common_InputFunctions.Utility_DisplayArrayInTable(Fertiliser_SourceData.Fertiliser_Products_Data2(), FertiliserProducts[[#Headers],[Company]],31)</f>
        <v/>
      </c>
      <c r="AE125" s="172" t="str" cm="1">
        <f t="array" ref="AE125">Common_InputFunctions.Utility_DisplayArrayInTable(Fertiliser_SourceData.Fertiliser_Products_Data2(), FertiliserProducts[[#Headers],[Company]],31)</f>
        <v/>
      </c>
      <c r="AF125" s="172" t="str" cm="1">
        <f t="array" ref="AF125">Common_InputFunctions.Utility_DisplayArrayInTable(Fertiliser_SourceData.Fertiliser_Products_Data2(), FertiliserProducts[[#Headers],[Company]],31)</f>
        <v/>
      </c>
      <c r="AG125" s="172" t="str" cm="1">
        <f t="array" ref="AG125">Common_InputFunctions.Utility_DisplayArrayInTable(Fertiliser_SourceData.Fertiliser_Products_Data2(), FertiliserProducts[[#Headers],[Company]],31)</f>
        <v/>
      </c>
      <c r="AH125" s="172" t="str" cm="1">
        <f t="array" ref="AH125">Common_InputFunctions.Utility_DisplayArrayInTable(Fertiliser_SourceData.Fertiliser_Products_Data2(), FertiliserProducts[[#Headers],[Company]],31)</f>
        <v/>
      </c>
      <c r="AK125" s="1"/>
      <c r="AL125" s="1"/>
      <c r="AM125" s="1"/>
    </row>
    <row r="126" spans="4:39" ht="20.100000000000001" customHeight="1" x14ac:dyDescent="0.25">
      <c r="D126" s="172" t="str" cm="1">
        <f t="array" ref="D126">Common_InputFunctions.Utility_DisplayArrayInTable(Fertiliser_SourceData.Fertiliser_Products_Data2(), FertiliserProducts[[#Headers],[Company]],31)</f>
        <v>SL Tec</v>
      </c>
      <c r="E126" s="172" t="str" cm="1">
        <f t="array" ref="E126">Common_InputFunctions.Utility_DisplayArrayInTable(Fertiliser_SourceData.Fertiliser_Products_Data2(), FertiliserProducts[[#Headers],[Company]],31)</f>
        <v>High NS</v>
      </c>
      <c r="F126" s="172" t="str" cm="1">
        <f t="array" ref="F126">Common_InputFunctions.Utility_DisplayArrayInTable(Fertiliser_SourceData.Fertiliser_Products_Data2(), FertiliserProducts[[#Headers],[Company]],31)</f>
        <v>L</v>
      </c>
      <c r="G126" s="172" cm="1">
        <f t="array" ref="G126">Common_InputFunctions.Utility_DisplayArrayInTable(Fertiliser_SourceData.Fertiliser_Products_Data2(), FertiliserProducts[[#Headers],[Company]],31)</f>
        <v>1.2989999999999999</v>
      </c>
      <c r="H126" s="172" t="str" cm="1">
        <f t="array" ref="H126">Common_InputFunctions.Utility_DisplayArrayInTable(Fertiliser_SourceData.Fertiliser_Products_Data2(), FertiliserProducts[[#Headers],[Company]],31)</f>
        <v/>
      </c>
      <c r="I126" s="172" t="str" cm="1">
        <f t="array" ref="I126">Common_InputFunctions.Utility_DisplayArrayInTable(Fertiliser_SourceData.Fertiliser_Products_Data2(), FertiliserProducts[[#Headers],[Company]],31)</f>
        <v/>
      </c>
      <c r="J126" s="172" t="str" cm="1">
        <f t="array" ref="J126">Common_InputFunctions.Utility_DisplayArrayInTable(Fertiliser_SourceData.Fertiliser_Products_Data2(), FertiliserProducts[[#Headers],[Company]],31)</f>
        <v/>
      </c>
      <c r="K126" s="172" cm="1">
        <f t="array" ref="K126">Common_InputFunctions.Utility_DisplayArrayInTable(Fertiliser_SourceData.Fertiliser_Products_Data2(), FertiliserProducts[[#Headers],[Company]],31)</f>
        <v>38</v>
      </c>
      <c r="L126" s="172" t="str" cm="1">
        <f t="array" ref="L126">Common_InputFunctions.Utility_DisplayArrayInTable(Fertiliser_SourceData.Fertiliser_Products_Data2(), FertiliserProducts[[#Headers],[Company]],31)</f>
        <v/>
      </c>
      <c r="M126" s="172" t="str" cm="1">
        <f t="array" ref="M126">Common_InputFunctions.Utility_DisplayArrayInTable(Fertiliser_SourceData.Fertiliser_Products_Data2(), FertiliserProducts[[#Headers],[Company]],31)</f>
        <v/>
      </c>
      <c r="N126" s="172" cm="1">
        <f t="array" ref="N126">Common_InputFunctions.Utility_DisplayArrayInTable(Fertiliser_SourceData.Fertiliser_Products_Data2(), FertiliserProducts[[#Headers],[Company]],31)</f>
        <v>2</v>
      </c>
      <c r="O126" s="172" t="str" cm="1">
        <f t="array" ref="O126">Common_InputFunctions.Utility_DisplayArrayInTable(Fertiliser_SourceData.Fertiliser_Products_Data2(), FertiliserProducts[[#Headers],[Company]],31)</f>
        <v>Urea</v>
      </c>
      <c r="P126" s="172" cm="1">
        <f t="array" ref="P126">Common_InputFunctions.Utility_DisplayArrayInTable(Fertiliser_SourceData.Fertiliser_Products_Data2(), FertiliserProducts[[#Headers],[Company]],31)</f>
        <v>0.46087</v>
      </c>
      <c r="Q126" s="172" t="str" cm="1">
        <f t="array" ref="Q126">Common_InputFunctions.Utility_DisplayArrayInTable(Fertiliser_SourceData.Fertiliser_Products_Data2(), FertiliserProducts[[#Headers],[Company]],31)</f>
        <v>Nitrogen - Ammoniacal</v>
      </c>
      <c r="R126" s="172" cm="1">
        <f t="array" ref="R126">Common_InputFunctions.Utility_DisplayArrayInTable(Fertiliser_SourceData.Fertiliser_Products_Data2(), FertiliserProducts[[#Headers],[Company]],31)</f>
        <v>9.1999999999999998E-2</v>
      </c>
      <c r="S126" s="172" t="str" cm="1">
        <f t="array" ref="S126">Common_InputFunctions.Utility_DisplayArrayInTable(Fertiliser_SourceData.Fertiliser_Products_Data2(), FertiliserProducts[[#Headers],[Company]],31)</f>
        <v>Nitrogen - Nitrate</v>
      </c>
      <c r="T126" s="172" cm="1">
        <f t="array" ref="T126">Common_InputFunctions.Utility_DisplayArrayInTable(Fertiliser_SourceData.Fertiliser_Products_Data2(), FertiliserProducts[[#Headers],[Company]],31)</f>
        <v>7.5999999999999998E-2</v>
      </c>
      <c r="U126" s="172" t="str" cm="1">
        <f t="array" ref="U126">Common_InputFunctions.Utility_DisplayArrayInTable(Fertiliser_SourceData.Fertiliser_Products_Data2(), FertiliserProducts[[#Headers],[Company]],31)</f>
        <v>Sulfur - Generic</v>
      </c>
      <c r="V126" s="172" cm="1">
        <f t="array" ref="V126">Common_InputFunctions.Utility_DisplayArrayInTable(Fertiliser_SourceData.Fertiliser_Products_Data2(), FertiliserProducts[[#Headers],[Company]],31)</f>
        <v>0.02</v>
      </c>
      <c r="W126" s="172" t="str" cm="1">
        <f t="array" ref="W126">Common_InputFunctions.Utility_DisplayArrayInTable(Fertiliser_SourceData.Fertiliser_Products_Data2(), FertiliserProducts[[#Headers],[Company]],31)</f>
        <v/>
      </c>
      <c r="X126" s="172" t="str" cm="1">
        <f t="array" ref="X126">Common_InputFunctions.Utility_DisplayArrayInTable(Fertiliser_SourceData.Fertiliser_Products_Data2(), FertiliserProducts[[#Headers],[Company]],31)</f>
        <v/>
      </c>
      <c r="Y126" s="172" t="str" cm="1">
        <f t="array" ref="Y126">Common_InputFunctions.Utility_DisplayArrayInTable(Fertiliser_SourceData.Fertiliser_Products_Data2(), FertiliserProducts[[#Headers],[Company]],31)</f>
        <v/>
      </c>
      <c r="Z126" s="172" t="str" cm="1">
        <f t="array" ref="Z126">Common_InputFunctions.Utility_DisplayArrayInTable(Fertiliser_SourceData.Fertiliser_Products_Data2(), FertiliserProducts[[#Headers],[Company]],31)</f>
        <v/>
      </c>
      <c r="AA126" s="172" t="str" cm="1">
        <f t="array" ref="AA126">Common_InputFunctions.Utility_DisplayArrayInTable(Fertiliser_SourceData.Fertiliser_Products_Data2(), FertiliserProducts[[#Headers],[Company]],31)</f>
        <v/>
      </c>
      <c r="AB126" s="172" t="str" cm="1">
        <f t="array" ref="AB126">Common_InputFunctions.Utility_DisplayArrayInTable(Fertiliser_SourceData.Fertiliser_Products_Data2(), FertiliserProducts[[#Headers],[Company]],31)</f>
        <v/>
      </c>
      <c r="AC126" s="172" t="str" cm="1">
        <f t="array" ref="AC126">Common_InputFunctions.Utility_DisplayArrayInTable(Fertiliser_SourceData.Fertiliser_Products_Data2(), FertiliserProducts[[#Headers],[Company]],31)</f>
        <v/>
      </c>
      <c r="AD126" s="172" t="str" cm="1">
        <f t="array" ref="AD126">Common_InputFunctions.Utility_DisplayArrayInTable(Fertiliser_SourceData.Fertiliser_Products_Data2(), FertiliserProducts[[#Headers],[Company]],31)</f>
        <v/>
      </c>
      <c r="AE126" s="172" t="str" cm="1">
        <f t="array" ref="AE126">Common_InputFunctions.Utility_DisplayArrayInTable(Fertiliser_SourceData.Fertiliser_Products_Data2(), FertiliserProducts[[#Headers],[Company]],31)</f>
        <v/>
      </c>
      <c r="AF126" s="172" t="str" cm="1">
        <f t="array" ref="AF126">Common_InputFunctions.Utility_DisplayArrayInTable(Fertiliser_SourceData.Fertiliser_Products_Data2(), FertiliserProducts[[#Headers],[Company]],31)</f>
        <v/>
      </c>
      <c r="AG126" s="172" t="str" cm="1">
        <f t="array" ref="AG126">Common_InputFunctions.Utility_DisplayArrayInTable(Fertiliser_SourceData.Fertiliser_Products_Data2(), FertiliserProducts[[#Headers],[Company]],31)</f>
        <v/>
      </c>
      <c r="AH126" s="172" t="str" cm="1">
        <f t="array" ref="AH126">Common_InputFunctions.Utility_DisplayArrayInTable(Fertiliser_SourceData.Fertiliser_Products_Data2(), FertiliserProducts[[#Headers],[Company]],31)</f>
        <v/>
      </c>
      <c r="AK126" s="1"/>
      <c r="AL126" s="1"/>
      <c r="AM126" s="1"/>
    </row>
    <row r="127" spans="4:39" ht="20.100000000000001" customHeight="1" x14ac:dyDescent="0.25">
      <c r="D127" s="172" t="str" cm="1">
        <f t="array" ref="D127">Common_InputFunctions.Utility_DisplayArrayInTable(Fertiliser_SourceData.Fertiliser_Products_Data2(), FertiliserProducts[[#Headers],[Company]],31)</f>
        <v>Impact Fertilisers</v>
      </c>
      <c r="E127" s="172" t="str" cm="1">
        <f t="array" ref="E127">Common_InputFunctions.Utility_DisplayArrayInTable(Fertiliser_SourceData.Fertiliser_Products_Data2(), FertiliserProducts[[#Headers],[Company]],31)</f>
        <v>Impact SSP</v>
      </c>
      <c r="F127" s="172" t="str" cm="1">
        <f t="array" ref="F127">Common_InputFunctions.Utility_DisplayArrayInTable(Fertiliser_SourceData.Fertiliser_Products_Data2(), FertiliserProducts[[#Headers],[Company]],31)</f>
        <v>kg</v>
      </c>
      <c r="G127" s="172" cm="1">
        <f t="array" ref="G127">Common_InputFunctions.Utility_DisplayArrayInTable(Fertiliser_SourceData.Fertiliser_Products_Data2(), FertiliserProducts[[#Headers],[Company]],31)</f>
        <v>1</v>
      </c>
      <c r="H127" s="172" t="str" cm="1">
        <f t="array" ref="H127">Common_InputFunctions.Utility_DisplayArrayInTable(Fertiliser_SourceData.Fertiliser_Products_Data2(), FertiliserProducts[[#Headers],[Company]],31)</f>
        <v/>
      </c>
      <c r="I127" s="172" t="str" cm="1">
        <f t="array" ref="I127">Common_InputFunctions.Utility_DisplayArrayInTable(Fertiliser_SourceData.Fertiliser_Products_Data2(), FertiliserProducts[[#Headers],[Company]],31)</f>
        <v/>
      </c>
      <c r="J127" s="172" t="str" cm="1">
        <f t="array" ref="J127">Common_InputFunctions.Utility_DisplayArrayInTable(Fertiliser_SourceData.Fertiliser_Products_Data2(), FertiliserProducts[[#Headers],[Company]],31)</f>
        <v/>
      </c>
      <c r="K127" s="172" t="str" cm="1">
        <f t="array" ref="K127">Common_InputFunctions.Utility_DisplayArrayInTable(Fertiliser_SourceData.Fertiliser_Products_Data2(), FertiliserProducts[[#Headers],[Company]],31)</f>
        <v/>
      </c>
      <c r="L127" s="172" cm="1">
        <f t="array" ref="L127">Common_InputFunctions.Utility_DisplayArrayInTable(Fertiliser_SourceData.Fertiliser_Products_Data2(), FertiliserProducts[[#Headers],[Company]],31)</f>
        <v>8.8000000000000007</v>
      </c>
      <c r="M127" s="172" t="str" cm="1">
        <f t="array" ref="M127">Common_InputFunctions.Utility_DisplayArrayInTable(Fertiliser_SourceData.Fertiliser_Products_Data2(), FertiliserProducts[[#Headers],[Company]],31)</f>
        <v/>
      </c>
      <c r="N127" s="172" cm="1">
        <f t="array" ref="N127">Common_InputFunctions.Utility_DisplayArrayInTable(Fertiliser_SourceData.Fertiliser_Products_Data2(), FertiliserProducts[[#Headers],[Company]],31)</f>
        <v>11</v>
      </c>
      <c r="O127" s="172" t="str" cm="1">
        <f t="array" ref="O127">Common_InputFunctions.Utility_DisplayArrayInTable(Fertiliser_SourceData.Fertiliser_Products_Data2(), FertiliserProducts[[#Headers],[Company]],31)</f>
        <v>Single superphosphate (SSP)</v>
      </c>
      <c r="P127" s="172" cm="1">
        <f t="array" ref="P127">Common_InputFunctions.Utility_DisplayArrayInTable(Fertiliser_SourceData.Fertiliser_Products_Data2(), FertiliserProducts[[#Headers],[Company]],31)</f>
        <v>1</v>
      </c>
      <c r="Q127" s="172" t="str" cm="1">
        <f t="array" ref="Q127">Common_InputFunctions.Utility_DisplayArrayInTable(Fertiliser_SourceData.Fertiliser_Products_Data2(), FertiliserProducts[[#Headers],[Company]],31)</f>
        <v/>
      </c>
      <c r="R127" s="172" t="str" cm="1">
        <f t="array" ref="R127">Common_InputFunctions.Utility_DisplayArrayInTable(Fertiliser_SourceData.Fertiliser_Products_Data2(), FertiliserProducts[[#Headers],[Company]],31)</f>
        <v/>
      </c>
      <c r="S127" s="172" t="str" cm="1">
        <f t="array" ref="S127">Common_InputFunctions.Utility_DisplayArrayInTable(Fertiliser_SourceData.Fertiliser_Products_Data2(), FertiliserProducts[[#Headers],[Company]],31)</f>
        <v/>
      </c>
      <c r="T127" s="172" t="str" cm="1">
        <f t="array" ref="T127">Common_InputFunctions.Utility_DisplayArrayInTable(Fertiliser_SourceData.Fertiliser_Products_Data2(), FertiliserProducts[[#Headers],[Company]],31)</f>
        <v/>
      </c>
      <c r="U127" s="172" t="str" cm="1">
        <f t="array" ref="U127">Common_InputFunctions.Utility_DisplayArrayInTable(Fertiliser_SourceData.Fertiliser_Products_Data2(), FertiliserProducts[[#Headers],[Company]],31)</f>
        <v/>
      </c>
      <c r="V127" s="172" t="str" cm="1">
        <f t="array" ref="V127">Common_InputFunctions.Utility_DisplayArrayInTable(Fertiliser_SourceData.Fertiliser_Products_Data2(), FertiliserProducts[[#Headers],[Company]],31)</f>
        <v/>
      </c>
      <c r="W127" s="172" t="str" cm="1">
        <f t="array" ref="W127">Common_InputFunctions.Utility_DisplayArrayInTable(Fertiliser_SourceData.Fertiliser_Products_Data2(), FertiliserProducts[[#Headers],[Company]],31)</f>
        <v/>
      </c>
      <c r="X127" s="172" t="str" cm="1">
        <f t="array" ref="X127">Common_InputFunctions.Utility_DisplayArrayInTable(Fertiliser_SourceData.Fertiliser_Products_Data2(), FertiliserProducts[[#Headers],[Company]],31)</f>
        <v/>
      </c>
      <c r="Y127" s="172" t="str" cm="1">
        <f t="array" ref="Y127">Common_InputFunctions.Utility_DisplayArrayInTable(Fertiliser_SourceData.Fertiliser_Products_Data2(), FertiliserProducts[[#Headers],[Company]],31)</f>
        <v/>
      </c>
      <c r="Z127" s="172" t="str" cm="1">
        <f t="array" ref="Z127">Common_InputFunctions.Utility_DisplayArrayInTable(Fertiliser_SourceData.Fertiliser_Products_Data2(), FertiliserProducts[[#Headers],[Company]],31)</f>
        <v/>
      </c>
      <c r="AA127" s="172" t="str" cm="1">
        <f t="array" ref="AA127">Common_InputFunctions.Utility_DisplayArrayInTable(Fertiliser_SourceData.Fertiliser_Products_Data2(), FertiliserProducts[[#Headers],[Company]],31)</f>
        <v/>
      </c>
      <c r="AB127" s="172" t="str" cm="1">
        <f t="array" ref="AB127">Common_InputFunctions.Utility_DisplayArrayInTable(Fertiliser_SourceData.Fertiliser_Products_Data2(), FertiliserProducts[[#Headers],[Company]],31)</f>
        <v/>
      </c>
      <c r="AC127" s="172" t="str" cm="1">
        <f t="array" ref="AC127">Common_InputFunctions.Utility_DisplayArrayInTable(Fertiliser_SourceData.Fertiliser_Products_Data2(), FertiliserProducts[[#Headers],[Company]],31)</f>
        <v/>
      </c>
      <c r="AD127" s="172" t="str" cm="1">
        <f t="array" ref="AD127">Common_InputFunctions.Utility_DisplayArrayInTable(Fertiliser_SourceData.Fertiliser_Products_Data2(), FertiliserProducts[[#Headers],[Company]],31)</f>
        <v/>
      </c>
      <c r="AE127" s="172" t="str" cm="1">
        <f t="array" ref="AE127">Common_InputFunctions.Utility_DisplayArrayInTable(Fertiliser_SourceData.Fertiliser_Products_Data2(), FertiliserProducts[[#Headers],[Company]],31)</f>
        <v/>
      </c>
      <c r="AF127" s="172" t="str" cm="1">
        <f t="array" ref="AF127">Common_InputFunctions.Utility_DisplayArrayInTable(Fertiliser_SourceData.Fertiliser_Products_Data2(), FertiliserProducts[[#Headers],[Company]],31)</f>
        <v/>
      </c>
      <c r="AG127" s="172" t="str" cm="1">
        <f t="array" ref="AG127">Common_InputFunctions.Utility_DisplayArrayInTable(Fertiliser_SourceData.Fertiliser_Products_Data2(), FertiliserProducts[[#Headers],[Company]],31)</f>
        <v/>
      </c>
      <c r="AH127" s="172" t="str" cm="1">
        <f t="array" ref="AH127">Common_InputFunctions.Utility_DisplayArrayInTable(Fertiliser_SourceData.Fertiliser_Products_Data2(), FertiliserProducts[[#Headers],[Company]],31)</f>
        <v/>
      </c>
      <c r="AK127" s="1"/>
      <c r="AL127" s="1"/>
      <c r="AM127" s="1"/>
    </row>
    <row r="128" spans="4:39" ht="20.100000000000001" customHeight="1" x14ac:dyDescent="0.25">
      <c r="D128" s="172" t="str" cm="1">
        <f t="array" ref="D128">Common_InputFunctions.Utility_DisplayArrayInTable(Fertiliser_SourceData.Fertiliser_Products_Data2(), FertiliserProducts[[#Headers],[Company]],31)</f>
        <v>Switch Ag</v>
      </c>
      <c r="E128" s="172" t="str" cm="1">
        <f t="array" ref="E128">Common_InputFunctions.Utility_DisplayArrayInTable(Fertiliser_SourceData.Fertiliser_Products_Data2(), FertiliserProducts[[#Headers],[Company]],31)</f>
        <v>In Crop</v>
      </c>
      <c r="F128" s="172" t="str" cm="1">
        <f t="array" ref="F128">Common_InputFunctions.Utility_DisplayArrayInTable(Fertiliser_SourceData.Fertiliser_Products_Data2(), FertiliserProducts[[#Headers],[Company]],31)</f>
        <v>L</v>
      </c>
      <c r="G128" s="172" cm="1">
        <f t="array" ref="G128">Common_InputFunctions.Utility_DisplayArrayInTable(Fertiliser_SourceData.Fertiliser_Products_Data2(), FertiliserProducts[[#Headers],[Company]],31)</f>
        <v>1.2</v>
      </c>
      <c r="H128" s="172" t="str" cm="1">
        <f t="array" ref="H128">Common_InputFunctions.Utility_DisplayArrayInTable(Fertiliser_SourceData.Fertiliser_Products_Data2(), FertiliserProducts[[#Headers],[Company]],31)</f>
        <v/>
      </c>
      <c r="I128" s="172" t="str" cm="1">
        <f t="array" ref="I128">Common_InputFunctions.Utility_DisplayArrayInTable(Fertiliser_SourceData.Fertiliser_Products_Data2(), FertiliserProducts[[#Headers],[Company]],31)</f>
        <v/>
      </c>
      <c r="J128" s="172" t="str" cm="1">
        <f t="array" ref="J128">Common_InputFunctions.Utility_DisplayArrayInTable(Fertiliser_SourceData.Fertiliser_Products_Data2(), FertiliserProducts[[#Headers],[Company]],31)</f>
        <v/>
      </c>
      <c r="K128" s="172" cm="1">
        <f t="array" ref="K128">Common_InputFunctions.Utility_DisplayArrayInTable(Fertiliser_SourceData.Fertiliser_Products_Data2(), FertiliserProducts[[#Headers],[Company]],31)</f>
        <v>10</v>
      </c>
      <c r="L128" s="172" cm="1">
        <f t="array" ref="L128">Common_InputFunctions.Utility_DisplayArrayInTable(Fertiliser_SourceData.Fertiliser_Products_Data2(), FertiliserProducts[[#Headers],[Company]],31)</f>
        <v>1</v>
      </c>
      <c r="M128" s="172" cm="1">
        <f t="array" ref="M128">Common_InputFunctions.Utility_DisplayArrayInTable(Fertiliser_SourceData.Fertiliser_Products_Data2(), FertiliserProducts[[#Headers],[Company]],31)</f>
        <v>11</v>
      </c>
      <c r="N128" s="172" t="str" cm="1">
        <f t="array" ref="N128">Common_InputFunctions.Utility_DisplayArrayInTable(Fertiliser_SourceData.Fertiliser_Products_Data2(), FertiliserProducts[[#Headers],[Company]],31)</f>
        <v/>
      </c>
      <c r="O128" s="172" t="str" cm="1">
        <f t="array" ref="O128">Common_InputFunctions.Utility_DisplayArrayInTable(Fertiliser_SourceData.Fertiliser_Products_Data2(), FertiliserProducts[[#Headers],[Company]],31)</f>
        <v>Potassium - Generic</v>
      </c>
      <c r="P128" s="172" cm="1">
        <f t="array" ref="P128">Common_InputFunctions.Utility_DisplayArrayInTable(Fertiliser_SourceData.Fertiliser_Products_Data2(), FertiliserProducts[[#Headers],[Company]],31)</f>
        <v>0.11</v>
      </c>
      <c r="Q128" s="172" t="str" cm="1">
        <f t="array" ref="Q128">Common_InputFunctions.Utility_DisplayArrayInTable(Fertiliser_SourceData.Fertiliser_Products_Data2(), FertiliserProducts[[#Headers],[Company]],31)</f>
        <v>Nitrogen - Generic</v>
      </c>
      <c r="R128" s="172" cm="1">
        <f t="array" ref="R128">Common_InputFunctions.Utility_DisplayArrayInTable(Fertiliser_SourceData.Fertiliser_Products_Data2(), FertiliserProducts[[#Headers],[Company]],31)</f>
        <v>0.1</v>
      </c>
      <c r="S128" s="172" t="str" cm="1">
        <f t="array" ref="S128">Common_InputFunctions.Utility_DisplayArrayInTable(Fertiliser_SourceData.Fertiliser_Products_Data2(), FertiliserProducts[[#Headers],[Company]],31)</f>
        <v>Phosphorus - Generic</v>
      </c>
      <c r="T128" s="172" cm="1">
        <f t="array" ref="T128">Common_InputFunctions.Utility_DisplayArrayInTable(Fertiliser_SourceData.Fertiliser_Products_Data2(), FertiliserProducts[[#Headers],[Company]],31)</f>
        <v>0.01</v>
      </c>
      <c r="U128" s="172" t="str" cm="1">
        <f t="array" ref="U128">Common_InputFunctions.Utility_DisplayArrayInTable(Fertiliser_SourceData.Fertiliser_Products_Data2(), FertiliserProducts[[#Headers],[Company]],31)</f>
        <v/>
      </c>
      <c r="V128" s="172" t="str" cm="1">
        <f t="array" ref="V128">Common_InputFunctions.Utility_DisplayArrayInTable(Fertiliser_SourceData.Fertiliser_Products_Data2(), FertiliserProducts[[#Headers],[Company]],31)</f>
        <v/>
      </c>
      <c r="W128" s="172" t="str" cm="1">
        <f t="array" ref="W128">Common_InputFunctions.Utility_DisplayArrayInTable(Fertiliser_SourceData.Fertiliser_Products_Data2(), FertiliserProducts[[#Headers],[Company]],31)</f>
        <v/>
      </c>
      <c r="X128" s="172" t="str" cm="1">
        <f t="array" ref="X128">Common_InputFunctions.Utility_DisplayArrayInTable(Fertiliser_SourceData.Fertiliser_Products_Data2(), FertiliserProducts[[#Headers],[Company]],31)</f>
        <v/>
      </c>
      <c r="Y128" s="172" t="str" cm="1">
        <f t="array" ref="Y128">Common_InputFunctions.Utility_DisplayArrayInTable(Fertiliser_SourceData.Fertiliser_Products_Data2(), FertiliserProducts[[#Headers],[Company]],31)</f>
        <v/>
      </c>
      <c r="Z128" s="172" t="str" cm="1">
        <f t="array" ref="Z128">Common_InputFunctions.Utility_DisplayArrayInTable(Fertiliser_SourceData.Fertiliser_Products_Data2(), FertiliserProducts[[#Headers],[Company]],31)</f>
        <v/>
      </c>
      <c r="AA128" s="172" t="str" cm="1">
        <f t="array" ref="AA128">Common_InputFunctions.Utility_DisplayArrayInTable(Fertiliser_SourceData.Fertiliser_Products_Data2(), FertiliserProducts[[#Headers],[Company]],31)</f>
        <v/>
      </c>
      <c r="AB128" s="172" t="str" cm="1">
        <f t="array" ref="AB128">Common_InputFunctions.Utility_DisplayArrayInTable(Fertiliser_SourceData.Fertiliser_Products_Data2(), FertiliserProducts[[#Headers],[Company]],31)</f>
        <v/>
      </c>
      <c r="AC128" s="172" t="str" cm="1">
        <f t="array" ref="AC128">Common_InputFunctions.Utility_DisplayArrayInTable(Fertiliser_SourceData.Fertiliser_Products_Data2(), FertiliserProducts[[#Headers],[Company]],31)</f>
        <v/>
      </c>
      <c r="AD128" s="172" t="str" cm="1">
        <f t="array" ref="AD128">Common_InputFunctions.Utility_DisplayArrayInTable(Fertiliser_SourceData.Fertiliser_Products_Data2(), FertiliserProducts[[#Headers],[Company]],31)</f>
        <v/>
      </c>
      <c r="AE128" s="172" t="str" cm="1">
        <f t="array" ref="AE128">Common_InputFunctions.Utility_DisplayArrayInTable(Fertiliser_SourceData.Fertiliser_Products_Data2(), FertiliserProducts[[#Headers],[Company]],31)</f>
        <v/>
      </c>
      <c r="AF128" s="172" t="str" cm="1">
        <f t="array" ref="AF128">Common_InputFunctions.Utility_DisplayArrayInTable(Fertiliser_SourceData.Fertiliser_Products_Data2(), FertiliserProducts[[#Headers],[Company]],31)</f>
        <v/>
      </c>
      <c r="AG128" s="172" t="str" cm="1">
        <f t="array" ref="AG128">Common_InputFunctions.Utility_DisplayArrayInTable(Fertiliser_SourceData.Fertiliser_Products_Data2(), FertiliserProducts[[#Headers],[Company]],31)</f>
        <v/>
      </c>
      <c r="AH128" s="172" t="str" cm="1">
        <f t="array" ref="AH128">Common_InputFunctions.Utility_DisplayArrayInTable(Fertiliser_SourceData.Fertiliser_Products_Data2(), FertiliserProducts[[#Headers],[Company]],31)</f>
        <v/>
      </c>
      <c r="AK128" s="1"/>
      <c r="AL128" s="1"/>
      <c r="AM128" s="1"/>
    </row>
    <row r="129" spans="4:39" ht="20.100000000000001" customHeight="1" x14ac:dyDescent="0.25">
      <c r="D129" s="172" t="str" cm="1">
        <f t="array" ref="D129">Common_InputFunctions.Utility_DisplayArrayInTable(Fertiliser_SourceData.Fertiliser_Products_Data2(), FertiliserProducts[[#Headers],[Company]],31)</f>
        <v>Switch Ag</v>
      </c>
      <c r="E129" s="172" t="str" cm="1">
        <f t="array" ref="E129">Common_InputFunctions.Utility_DisplayArrayInTable(Fertiliser_SourceData.Fertiliser_Products_Data2(), FertiliserProducts[[#Headers],[Company]],31)</f>
        <v>K20</v>
      </c>
      <c r="F129" s="172" t="str" cm="1">
        <f t="array" ref="F129">Common_InputFunctions.Utility_DisplayArrayInTable(Fertiliser_SourceData.Fertiliser_Products_Data2(), FertiliserProducts[[#Headers],[Company]],31)</f>
        <v>L</v>
      </c>
      <c r="G129" s="172" cm="1">
        <f t="array" ref="G129">Common_InputFunctions.Utility_DisplayArrayInTable(Fertiliser_SourceData.Fertiliser_Products_Data2(), FertiliserProducts[[#Headers],[Company]],31)</f>
        <v>1.3</v>
      </c>
      <c r="H129" s="172" t="str" cm="1">
        <f t="array" ref="H129">Common_InputFunctions.Utility_DisplayArrayInTable(Fertiliser_SourceData.Fertiliser_Products_Data2(), FertiliserProducts[[#Headers],[Company]],31)</f>
        <v/>
      </c>
      <c r="I129" s="172" t="str" cm="1">
        <f t="array" ref="I129">Common_InputFunctions.Utility_DisplayArrayInTable(Fertiliser_SourceData.Fertiliser_Products_Data2(), FertiliserProducts[[#Headers],[Company]],31)</f>
        <v/>
      </c>
      <c r="J129" s="172" t="str" cm="1">
        <f t="array" ref="J129">Common_InputFunctions.Utility_DisplayArrayInTable(Fertiliser_SourceData.Fertiliser_Products_Data2(), FertiliserProducts[[#Headers],[Company]],31)</f>
        <v/>
      </c>
      <c r="K129" s="172" cm="1">
        <f t="array" ref="K129">Common_InputFunctions.Utility_DisplayArrayInTable(Fertiliser_SourceData.Fertiliser_Products_Data2(), FertiliserProducts[[#Headers],[Company]],31)</f>
        <v>3</v>
      </c>
      <c r="L129" s="172" t="str" cm="1">
        <f t="array" ref="L129">Common_InputFunctions.Utility_DisplayArrayInTable(Fertiliser_SourceData.Fertiliser_Products_Data2(), FertiliserProducts[[#Headers],[Company]],31)</f>
        <v/>
      </c>
      <c r="M129" s="172" cm="1">
        <f t="array" ref="M129">Common_InputFunctions.Utility_DisplayArrayInTable(Fertiliser_SourceData.Fertiliser_Products_Data2(), FertiliserProducts[[#Headers],[Company]],31)</f>
        <v>22</v>
      </c>
      <c r="N129" s="172" t="str" cm="1">
        <f t="array" ref="N129">Common_InputFunctions.Utility_DisplayArrayInTable(Fertiliser_SourceData.Fertiliser_Products_Data2(), FertiliserProducts[[#Headers],[Company]],31)</f>
        <v/>
      </c>
      <c r="O129" s="172" t="str" cm="1">
        <f t="array" ref="O129">Common_InputFunctions.Utility_DisplayArrayInTable(Fertiliser_SourceData.Fertiliser_Products_Data2(), FertiliserProducts[[#Headers],[Company]],31)</f>
        <v>Potassium - Generic</v>
      </c>
      <c r="P129" s="172" cm="1">
        <f t="array" ref="P129">Common_InputFunctions.Utility_DisplayArrayInTable(Fertiliser_SourceData.Fertiliser_Products_Data2(), FertiliserProducts[[#Headers],[Company]],31)</f>
        <v>0.22</v>
      </c>
      <c r="Q129" s="172" t="str" cm="1">
        <f t="array" ref="Q129">Common_InputFunctions.Utility_DisplayArrayInTable(Fertiliser_SourceData.Fertiliser_Products_Data2(), FertiliserProducts[[#Headers],[Company]],31)</f>
        <v>Nitrogen - Generic</v>
      </c>
      <c r="R129" s="172" cm="1">
        <f t="array" ref="R129">Common_InputFunctions.Utility_DisplayArrayInTable(Fertiliser_SourceData.Fertiliser_Products_Data2(), FertiliserProducts[[#Headers],[Company]],31)</f>
        <v>0.03</v>
      </c>
      <c r="S129" s="172" t="str" cm="1">
        <f t="array" ref="S129">Common_InputFunctions.Utility_DisplayArrayInTable(Fertiliser_SourceData.Fertiliser_Products_Data2(), FertiliserProducts[[#Headers],[Company]],31)</f>
        <v/>
      </c>
      <c r="T129" s="172" t="str" cm="1">
        <f t="array" ref="T129">Common_InputFunctions.Utility_DisplayArrayInTable(Fertiliser_SourceData.Fertiliser_Products_Data2(), FertiliserProducts[[#Headers],[Company]],31)</f>
        <v/>
      </c>
      <c r="U129" s="172" t="str" cm="1">
        <f t="array" ref="U129">Common_InputFunctions.Utility_DisplayArrayInTable(Fertiliser_SourceData.Fertiliser_Products_Data2(), FertiliserProducts[[#Headers],[Company]],31)</f>
        <v/>
      </c>
      <c r="V129" s="172" t="str" cm="1">
        <f t="array" ref="V129">Common_InputFunctions.Utility_DisplayArrayInTable(Fertiliser_SourceData.Fertiliser_Products_Data2(), FertiliserProducts[[#Headers],[Company]],31)</f>
        <v/>
      </c>
      <c r="W129" s="172" t="str" cm="1">
        <f t="array" ref="W129">Common_InputFunctions.Utility_DisplayArrayInTable(Fertiliser_SourceData.Fertiliser_Products_Data2(), FertiliserProducts[[#Headers],[Company]],31)</f>
        <v/>
      </c>
      <c r="X129" s="172" t="str" cm="1">
        <f t="array" ref="X129">Common_InputFunctions.Utility_DisplayArrayInTable(Fertiliser_SourceData.Fertiliser_Products_Data2(), FertiliserProducts[[#Headers],[Company]],31)</f>
        <v/>
      </c>
      <c r="Y129" s="172" t="str" cm="1">
        <f t="array" ref="Y129">Common_InputFunctions.Utility_DisplayArrayInTable(Fertiliser_SourceData.Fertiliser_Products_Data2(), FertiliserProducts[[#Headers],[Company]],31)</f>
        <v/>
      </c>
      <c r="Z129" s="172" t="str" cm="1">
        <f t="array" ref="Z129">Common_InputFunctions.Utility_DisplayArrayInTable(Fertiliser_SourceData.Fertiliser_Products_Data2(), FertiliserProducts[[#Headers],[Company]],31)</f>
        <v/>
      </c>
      <c r="AA129" s="172" t="str" cm="1">
        <f t="array" ref="AA129">Common_InputFunctions.Utility_DisplayArrayInTable(Fertiliser_SourceData.Fertiliser_Products_Data2(), FertiliserProducts[[#Headers],[Company]],31)</f>
        <v/>
      </c>
      <c r="AB129" s="172" t="str" cm="1">
        <f t="array" ref="AB129">Common_InputFunctions.Utility_DisplayArrayInTable(Fertiliser_SourceData.Fertiliser_Products_Data2(), FertiliserProducts[[#Headers],[Company]],31)</f>
        <v/>
      </c>
      <c r="AC129" s="172" t="str" cm="1">
        <f t="array" ref="AC129">Common_InputFunctions.Utility_DisplayArrayInTable(Fertiliser_SourceData.Fertiliser_Products_Data2(), FertiliserProducts[[#Headers],[Company]],31)</f>
        <v/>
      </c>
      <c r="AD129" s="172" t="str" cm="1">
        <f t="array" ref="AD129">Common_InputFunctions.Utility_DisplayArrayInTable(Fertiliser_SourceData.Fertiliser_Products_Data2(), FertiliserProducts[[#Headers],[Company]],31)</f>
        <v/>
      </c>
      <c r="AE129" s="172" t="str" cm="1">
        <f t="array" ref="AE129">Common_InputFunctions.Utility_DisplayArrayInTable(Fertiliser_SourceData.Fertiliser_Products_Data2(), FertiliserProducts[[#Headers],[Company]],31)</f>
        <v/>
      </c>
      <c r="AF129" s="172" t="str" cm="1">
        <f t="array" ref="AF129">Common_InputFunctions.Utility_DisplayArrayInTable(Fertiliser_SourceData.Fertiliser_Products_Data2(), FertiliserProducts[[#Headers],[Company]],31)</f>
        <v/>
      </c>
      <c r="AG129" s="172" t="str" cm="1">
        <f t="array" ref="AG129">Common_InputFunctions.Utility_DisplayArrayInTable(Fertiliser_SourceData.Fertiliser_Products_Data2(), FertiliserProducts[[#Headers],[Company]],31)</f>
        <v/>
      </c>
      <c r="AH129" s="172" t="str" cm="1">
        <f t="array" ref="AH129">Common_InputFunctions.Utility_DisplayArrayInTable(Fertiliser_SourceData.Fertiliser_Products_Data2(), FertiliserProducts[[#Headers],[Company]],31)</f>
        <v/>
      </c>
      <c r="AK129" s="1"/>
      <c r="AL129" s="1"/>
      <c r="AM129" s="1"/>
    </row>
    <row r="130" spans="4:39" ht="20.100000000000001" customHeight="1" x14ac:dyDescent="0.25">
      <c r="D130" s="172" t="str" cm="1">
        <f t="array" ref="D130">Common_InputFunctions.Utility_DisplayArrayInTable(Fertiliser_SourceData.Fertiliser_Products_Data2(), FertiliserProducts[[#Headers],[Company]],31)</f>
        <v>Loveland Agriproducts</v>
      </c>
      <c r="E130" s="172" t="str" cm="1">
        <f t="array" ref="E130">Common_InputFunctions.Utility_DisplayArrayInTable(Fertiliser_SourceData.Fertiliser_Products_Data2(), FertiliserProducts[[#Headers],[Company]],31)</f>
        <v>Maximum N-Pact</v>
      </c>
      <c r="F130" s="172" t="str" cm="1">
        <f t="array" ref="F130">Common_InputFunctions.Utility_DisplayArrayInTable(Fertiliser_SourceData.Fertiliser_Products_Data2(), FertiliserProducts[[#Headers],[Company]],31)</f>
        <v>L</v>
      </c>
      <c r="G130" s="172" cm="1">
        <f t="array" ref="G130">Common_InputFunctions.Utility_DisplayArrayInTable(Fertiliser_SourceData.Fertiliser_Products_Data2(), FertiliserProducts[[#Headers],[Company]],31)</f>
        <v>1.1850000000000001</v>
      </c>
      <c r="H130" s="172" t="str" cm="1">
        <f t="array" ref="H130">Common_InputFunctions.Utility_DisplayArrayInTable(Fertiliser_SourceData.Fertiliser_Products_Data2(), FertiliserProducts[[#Headers],[Company]],31)</f>
        <v/>
      </c>
      <c r="I130" s="172" t="str" cm="1">
        <f t="array" ref="I130">Common_InputFunctions.Utility_DisplayArrayInTable(Fertiliser_SourceData.Fertiliser_Products_Data2(), FertiliserProducts[[#Headers],[Company]],31)</f>
        <v/>
      </c>
      <c r="J130" s="172" t="str" cm="1">
        <f t="array" ref="J130">Common_InputFunctions.Utility_DisplayArrayInTable(Fertiliser_SourceData.Fertiliser_Products_Data2(), FertiliserProducts[[#Headers],[Company]],31)</f>
        <v/>
      </c>
      <c r="K130" s="172" cm="1">
        <f t="array" ref="K130">Common_InputFunctions.Utility_DisplayArrayInTable(Fertiliser_SourceData.Fertiliser_Products_Data2(), FertiliserProducts[[#Headers],[Company]],31)</f>
        <v>23.8</v>
      </c>
      <c r="L130" s="172" t="str" cm="1">
        <f t="array" ref="L130">Common_InputFunctions.Utility_DisplayArrayInTable(Fertiliser_SourceData.Fertiliser_Products_Data2(), FertiliserProducts[[#Headers],[Company]],31)</f>
        <v/>
      </c>
      <c r="M130" s="172" t="str" cm="1">
        <f t="array" ref="M130">Common_InputFunctions.Utility_DisplayArrayInTable(Fertiliser_SourceData.Fertiliser_Products_Data2(), FertiliserProducts[[#Headers],[Company]],31)</f>
        <v/>
      </c>
      <c r="N130" s="172" t="str" cm="1">
        <f t="array" ref="N130">Common_InputFunctions.Utility_DisplayArrayInTable(Fertiliser_SourceData.Fertiliser_Products_Data2(), FertiliserProducts[[#Headers],[Company]],31)</f>
        <v/>
      </c>
      <c r="O130" s="172" t="str" cm="1">
        <f t="array" ref="O130">Common_InputFunctions.Utility_DisplayArrayInTable(Fertiliser_SourceData.Fertiliser_Products_Data2(), FertiliserProducts[[#Headers],[Company]],31)</f>
        <v>Urea</v>
      </c>
      <c r="P130" s="172" cm="1">
        <f t="array" ref="P130">Common_InputFunctions.Utility_DisplayArrayInTable(Fertiliser_SourceData.Fertiliser_Products_Data2(), FertiliserProducts[[#Headers],[Company]],31)</f>
        <v>0.51739100000000005</v>
      </c>
      <c r="Q130" s="172" t="str" cm="1">
        <f t="array" ref="Q130">Common_InputFunctions.Utility_DisplayArrayInTable(Fertiliser_SourceData.Fertiliser_Products_Data2(), FertiliserProducts[[#Headers],[Company]],31)</f>
        <v/>
      </c>
      <c r="R130" s="172" t="str" cm="1">
        <f t="array" ref="R130">Common_InputFunctions.Utility_DisplayArrayInTable(Fertiliser_SourceData.Fertiliser_Products_Data2(), FertiliserProducts[[#Headers],[Company]],31)</f>
        <v/>
      </c>
      <c r="S130" s="172" t="str" cm="1">
        <f t="array" ref="S130">Common_InputFunctions.Utility_DisplayArrayInTable(Fertiliser_SourceData.Fertiliser_Products_Data2(), FertiliserProducts[[#Headers],[Company]],31)</f>
        <v/>
      </c>
      <c r="T130" s="172" t="str" cm="1">
        <f t="array" ref="T130">Common_InputFunctions.Utility_DisplayArrayInTable(Fertiliser_SourceData.Fertiliser_Products_Data2(), FertiliserProducts[[#Headers],[Company]],31)</f>
        <v/>
      </c>
      <c r="U130" s="172" t="str" cm="1">
        <f t="array" ref="U130">Common_InputFunctions.Utility_DisplayArrayInTable(Fertiliser_SourceData.Fertiliser_Products_Data2(), FertiliserProducts[[#Headers],[Company]],31)</f>
        <v/>
      </c>
      <c r="V130" s="172" t="str" cm="1">
        <f t="array" ref="V130">Common_InputFunctions.Utility_DisplayArrayInTable(Fertiliser_SourceData.Fertiliser_Products_Data2(), FertiliserProducts[[#Headers],[Company]],31)</f>
        <v/>
      </c>
      <c r="W130" s="172" t="str" cm="1">
        <f t="array" ref="W130">Common_InputFunctions.Utility_DisplayArrayInTable(Fertiliser_SourceData.Fertiliser_Products_Data2(), FertiliserProducts[[#Headers],[Company]],31)</f>
        <v/>
      </c>
      <c r="X130" s="172" t="str" cm="1">
        <f t="array" ref="X130">Common_InputFunctions.Utility_DisplayArrayInTable(Fertiliser_SourceData.Fertiliser_Products_Data2(), FertiliserProducts[[#Headers],[Company]],31)</f>
        <v/>
      </c>
      <c r="Y130" s="172" t="str" cm="1">
        <f t="array" ref="Y130">Common_InputFunctions.Utility_DisplayArrayInTable(Fertiliser_SourceData.Fertiliser_Products_Data2(), FertiliserProducts[[#Headers],[Company]],31)</f>
        <v/>
      </c>
      <c r="Z130" s="172" t="str" cm="1">
        <f t="array" ref="Z130">Common_InputFunctions.Utility_DisplayArrayInTable(Fertiliser_SourceData.Fertiliser_Products_Data2(), FertiliserProducts[[#Headers],[Company]],31)</f>
        <v/>
      </c>
      <c r="AA130" s="172" t="str" cm="1">
        <f t="array" ref="AA130">Common_InputFunctions.Utility_DisplayArrayInTable(Fertiliser_SourceData.Fertiliser_Products_Data2(), FertiliserProducts[[#Headers],[Company]],31)</f>
        <v/>
      </c>
      <c r="AB130" s="172" t="str" cm="1">
        <f t="array" ref="AB130">Common_InputFunctions.Utility_DisplayArrayInTable(Fertiliser_SourceData.Fertiliser_Products_Data2(), FertiliserProducts[[#Headers],[Company]],31)</f>
        <v/>
      </c>
      <c r="AC130" s="172" t="str" cm="1">
        <f t="array" ref="AC130">Common_InputFunctions.Utility_DisplayArrayInTable(Fertiliser_SourceData.Fertiliser_Products_Data2(), FertiliserProducts[[#Headers],[Company]],31)</f>
        <v/>
      </c>
      <c r="AD130" s="172" t="str" cm="1">
        <f t="array" ref="AD130">Common_InputFunctions.Utility_DisplayArrayInTable(Fertiliser_SourceData.Fertiliser_Products_Data2(), FertiliserProducts[[#Headers],[Company]],31)</f>
        <v/>
      </c>
      <c r="AE130" s="172" t="str" cm="1">
        <f t="array" ref="AE130">Common_InputFunctions.Utility_DisplayArrayInTable(Fertiliser_SourceData.Fertiliser_Products_Data2(), FertiliserProducts[[#Headers],[Company]],31)</f>
        <v/>
      </c>
      <c r="AF130" s="172" t="str" cm="1">
        <f t="array" ref="AF130">Common_InputFunctions.Utility_DisplayArrayInTable(Fertiliser_SourceData.Fertiliser_Products_Data2(), FertiliserProducts[[#Headers],[Company]],31)</f>
        <v/>
      </c>
      <c r="AG130" s="172" t="str" cm="1">
        <f t="array" ref="AG130">Common_InputFunctions.Utility_DisplayArrayInTable(Fertiliser_SourceData.Fertiliser_Products_Data2(), FertiliserProducts[[#Headers],[Company]],31)</f>
        <v/>
      </c>
      <c r="AH130" s="172" t="str" cm="1">
        <f t="array" ref="AH130">Common_InputFunctions.Utility_DisplayArrayInTable(Fertiliser_SourceData.Fertiliser_Products_Data2(), FertiliserProducts[[#Headers],[Company]],31)</f>
        <v/>
      </c>
      <c r="AK130" s="1"/>
      <c r="AL130" s="1"/>
      <c r="AM130" s="1"/>
    </row>
    <row r="131" spans="4:39" ht="20.100000000000001" customHeight="1" x14ac:dyDescent="0.25">
      <c r="D131" s="172" t="str" cm="1">
        <f t="array" ref="D131">Common_InputFunctions.Utility_DisplayArrayInTable(Fertiliser_SourceData.Fertiliser_Products_Data2(), FertiliserProducts[[#Headers],[Company]],31)</f>
        <v>SL Tec</v>
      </c>
      <c r="E131" s="172" t="str" cm="1">
        <f t="array" ref="E131">Common_InputFunctions.Utility_DisplayArrayInTable(Fertiliser_SourceData.Fertiliser_Products_Data2(), FertiliserProducts[[#Headers],[Company]],31)</f>
        <v>Nitro Combi TE</v>
      </c>
      <c r="F131" s="172" t="str" cm="1">
        <f t="array" ref="F131">Common_InputFunctions.Utility_DisplayArrayInTable(Fertiliser_SourceData.Fertiliser_Products_Data2(), FertiliserProducts[[#Headers],[Company]],31)</f>
        <v>L</v>
      </c>
      <c r="G131" s="172" cm="1">
        <f t="array" ref="G131">Common_InputFunctions.Utility_DisplayArrayInTable(Fertiliser_SourceData.Fertiliser_Products_Data2(), FertiliserProducts[[#Headers],[Company]],31)</f>
        <v>1.2549999999999999</v>
      </c>
      <c r="H131" s="172" t="str" cm="1">
        <f t="array" ref="H131">Common_InputFunctions.Utility_DisplayArrayInTable(Fertiliser_SourceData.Fertiliser_Products_Data2(), FertiliserProducts[[#Headers],[Company]],31)</f>
        <v/>
      </c>
      <c r="I131" s="172" t="str" cm="1">
        <f t="array" ref="I131">Common_InputFunctions.Utility_DisplayArrayInTable(Fertiliser_SourceData.Fertiliser_Products_Data2(), FertiliserProducts[[#Headers],[Company]],31)</f>
        <v/>
      </c>
      <c r="J131" s="172" t="str" cm="1">
        <f t="array" ref="J131">Common_InputFunctions.Utility_DisplayArrayInTable(Fertiliser_SourceData.Fertiliser_Products_Data2(), FertiliserProducts[[#Headers],[Company]],31)</f>
        <v/>
      </c>
      <c r="K131" s="172" t="str" cm="1">
        <f t="array" ref="K131">Common_InputFunctions.Utility_DisplayArrayInTable(Fertiliser_SourceData.Fertiliser_Products_Data2(), FertiliserProducts[[#Headers],[Company]],31)</f>
        <v/>
      </c>
      <c r="L131" s="172" t="str" cm="1">
        <f t="array" ref="L131">Common_InputFunctions.Utility_DisplayArrayInTable(Fertiliser_SourceData.Fertiliser_Products_Data2(), FertiliserProducts[[#Headers],[Company]],31)</f>
        <v/>
      </c>
      <c r="M131" s="172" cm="1">
        <f t="array" ref="M131">Common_InputFunctions.Utility_DisplayArrayInTable(Fertiliser_SourceData.Fertiliser_Products_Data2(), FertiliserProducts[[#Headers],[Company]],31)</f>
        <v>0.1</v>
      </c>
      <c r="N131" s="172" cm="1">
        <f t="array" ref="N131">Common_InputFunctions.Utility_DisplayArrayInTable(Fertiliser_SourceData.Fertiliser_Products_Data2(), FertiliserProducts[[#Headers],[Company]],31)</f>
        <v>4.4000000000000004</v>
      </c>
      <c r="O131" s="172" t="str" cm="1">
        <f t="array" ref="O131">Common_InputFunctions.Utility_DisplayArrayInTable(Fertiliser_SourceData.Fertiliser_Products_Data2(), FertiliserProducts[[#Headers],[Company]],31)</f>
        <v>Sulfur - Generic</v>
      </c>
      <c r="P131" s="172" cm="1">
        <f t="array" ref="P131">Common_InputFunctions.Utility_DisplayArrayInTable(Fertiliser_SourceData.Fertiliser_Products_Data2(), FertiliserProducts[[#Headers],[Company]],31)</f>
        <v>4.3999999999999997E-2</v>
      </c>
      <c r="Q131" s="172" t="str" cm="1">
        <f t="array" ref="Q131">Common_InputFunctions.Utility_DisplayArrayInTable(Fertiliser_SourceData.Fertiliser_Products_Data2(), FertiliserProducts[[#Headers],[Company]],31)</f>
        <v>Zinc</v>
      </c>
      <c r="R131" s="172" cm="1">
        <f t="array" ref="R131">Common_InputFunctions.Utility_DisplayArrayInTable(Fertiliser_SourceData.Fertiliser_Products_Data2(), FertiliserProducts[[#Headers],[Company]],31)</f>
        <v>2.1999999999999999E-2</v>
      </c>
      <c r="S131" s="172" t="str" cm="1">
        <f t="array" ref="S131">Common_InputFunctions.Utility_DisplayArrayInTable(Fertiliser_SourceData.Fertiliser_Products_Data2(), FertiliserProducts[[#Headers],[Company]],31)</f>
        <v>Iron</v>
      </c>
      <c r="T131" s="172" cm="1">
        <f t="array" ref="T131">Common_InputFunctions.Utility_DisplayArrayInTable(Fertiliser_SourceData.Fertiliser_Products_Data2(), FertiliserProducts[[#Headers],[Company]],31)</f>
        <v>2.1999999999999999E-2</v>
      </c>
      <c r="U131" s="172" t="str" cm="1">
        <f t="array" ref="U131">Common_InputFunctions.Utility_DisplayArrayInTable(Fertiliser_SourceData.Fertiliser_Products_Data2(), FertiliserProducts[[#Headers],[Company]],31)</f>
        <v>Manganese</v>
      </c>
      <c r="V131" s="172" cm="1">
        <f t="array" ref="V131">Common_InputFunctions.Utility_DisplayArrayInTable(Fertiliser_SourceData.Fertiliser_Products_Data2(), FertiliserProducts[[#Headers],[Company]],31)</f>
        <v>1.6E-2</v>
      </c>
      <c r="W131" s="172" t="str" cm="1">
        <f t="array" ref="W131">Common_InputFunctions.Utility_DisplayArrayInTable(Fertiliser_SourceData.Fertiliser_Products_Data2(), FertiliserProducts[[#Headers],[Company]],31)</f>
        <v>Boron</v>
      </c>
      <c r="X131" s="172" cm="1">
        <f t="array" ref="X131">Common_InputFunctions.Utility_DisplayArrayInTable(Fertiliser_SourceData.Fertiliser_Products_Data2(), FertiliserProducts[[#Headers],[Company]],31)</f>
        <v>8.0000000000000002E-3</v>
      </c>
      <c r="Y131" s="172" t="str" cm="1">
        <f t="array" ref="Y131">Common_InputFunctions.Utility_DisplayArrayInTable(Fertiliser_SourceData.Fertiliser_Products_Data2(), FertiliserProducts[[#Headers],[Company]],31)</f>
        <v>Magnesium</v>
      </c>
      <c r="Z131" s="172" cm="1">
        <f t="array" ref="Z131">Common_InputFunctions.Utility_DisplayArrayInTable(Fertiliser_SourceData.Fertiliser_Products_Data2(), FertiliserProducts[[#Headers],[Company]],31)</f>
        <v>7.0000000000000001E-3</v>
      </c>
      <c r="AA131" s="172" t="str" cm="1">
        <f t="array" ref="AA131">Common_InputFunctions.Utility_DisplayArrayInTable(Fertiliser_SourceData.Fertiliser_Products_Data2(), FertiliserProducts[[#Headers],[Company]],31)</f>
        <v>Fulvic acid (organic)</v>
      </c>
      <c r="AB131" s="172" cm="1">
        <f t="array" ref="AB131">Common_InputFunctions.Utility_DisplayArrayInTable(Fertiliser_SourceData.Fertiliser_Products_Data2(), FertiliserProducts[[#Headers],[Company]],31)</f>
        <v>5.0000000000000001E-3</v>
      </c>
      <c r="AC131" s="172" t="str" cm="1">
        <f t="array" ref="AC131">Common_InputFunctions.Utility_DisplayArrayInTable(Fertiliser_SourceData.Fertiliser_Products_Data2(), FertiliserProducts[[#Headers],[Company]],31)</f>
        <v>Copper</v>
      </c>
      <c r="AD131" s="172" cm="1">
        <f t="array" ref="AD131">Common_InputFunctions.Utility_DisplayArrayInTable(Fertiliser_SourceData.Fertiliser_Products_Data2(), FertiliserProducts[[#Headers],[Company]],31)</f>
        <v>3.0000000000000001E-3</v>
      </c>
      <c r="AE131" s="172" t="str" cm="1">
        <f t="array" ref="AE131">Common_InputFunctions.Utility_DisplayArrayInTable(Fertiliser_SourceData.Fertiliser_Products_Data2(), FertiliserProducts[[#Headers],[Company]],31)</f>
        <v>Potassium - Generic</v>
      </c>
      <c r="AF131" s="172" cm="1">
        <f t="array" ref="AF131">Common_InputFunctions.Utility_DisplayArrayInTable(Fertiliser_SourceData.Fertiliser_Products_Data2(), FertiliserProducts[[#Headers],[Company]],31)</f>
        <v>1E-3</v>
      </c>
      <c r="AG131" s="172" t="str" cm="1">
        <f t="array" ref="AG131">Common_InputFunctions.Utility_DisplayArrayInTable(Fertiliser_SourceData.Fertiliser_Products_Data2(), FertiliserProducts[[#Headers],[Company]],31)</f>
        <v>Molybdenum</v>
      </c>
      <c r="AH131" s="172" cm="1">
        <f t="array" ref="AH131">Common_InputFunctions.Utility_DisplayArrayInTable(Fertiliser_SourceData.Fertiliser_Products_Data2(), FertiliserProducts[[#Headers],[Company]],31)</f>
        <v>2.9999999999999997E-4</v>
      </c>
      <c r="AK131" s="1"/>
      <c r="AL131" s="1"/>
      <c r="AM131" s="1"/>
    </row>
    <row r="132" spans="4:39" ht="20.100000000000001" customHeight="1" x14ac:dyDescent="0.25">
      <c r="D132" s="172" t="str" cm="1">
        <f t="array" ref="D132">Common_InputFunctions.Utility_DisplayArrayInTable(Fertiliser_SourceData.Fertiliser_Products_Data2(), FertiliserProducts[[#Headers],[Company]],31)</f>
        <v>Switch Ag</v>
      </c>
      <c r="E132" s="172" t="str" cm="1">
        <f t="array" ref="E132">Common_InputFunctions.Utility_DisplayArrayInTable(Fertiliser_SourceData.Fertiliser_Products_Data2(), FertiliserProducts[[#Headers],[Company]],31)</f>
        <v>PastureMAXX</v>
      </c>
      <c r="F132" s="172" t="str" cm="1">
        <f t="array" ref="F132">Common_InputFunctions.Utility_DisplayArrayInTable(Fertiliser_SourceData.Fertiliser_Products_Data2(), FertiliserProducts[[#Headers],[Company]],31)</f>
        <v>L</v>
      </c>
      <c r="G132" s="172" cm="1">
        <f t="array" ref="G132">Common_InputFunctions.Utility_DisplayArrayInTable(Fertiliser_SourceData.Fertiliser_Products_Data2(), FertiliserProducts[[#Headers],[Company]],31)</f>
        <v>1.23</v>
      </c>
      <c r="H132" s="172" t="str" cm="1">
        <f t="array" ref="H132">Common_InputFunctions.Utility_DisplayArrayInTable(Fertiliser_SourceData.Fertiliser_Products_Data2(), FertiliserProducts[[#Headers],[Company]],31)</f>
        <v/>
      </c>
      <c r="I132" s="172" t="str" cm="1">
        <f t="array" ref="I132">Common_InputFunctions.Utility_DisplayArrayInTable(Fertiliser_SourceData.Fertiliser_Products_Data2(), FertiliserProducts[[#Headers],[Company]],31)</f>
        <v/>
      </c>
      <c r="J132" s="172" t="str" cm="1">
        <f t="array" ref="J132">Common_InputFunctions.Utility_DisplayArrayInTable(Fertiliser_SourceData.Fertiliser_Products_Data2(), FertiliserProducts[[#Headers],[Company]],31)</f>
        <v/>
      </c>
      <c r="K132" s="172" cm="1">
        <f t="array" ref="K132">Common_InputFunctions.Utility_DisplayArrayInTable(Fertiliser_SourceData.Fertiliser_Products_Data2(), FertiliserProducts[[#Headers],[Company]],31)</f>
        <v>9.7100000000000009</v>
      </c>
      <c r="L132" s="172" t="str" cm="1">
        <f t="array" ref="L132">Common_InputFunctions.Utility_DisplayArrayInTable(Fertiliser_SourceData.Fertiliser_Products_Data2(), FertiliserProducts[[#Headers],[Company]],31)</f>
        <v/>
      </c>
      <c r="M132" s="172" cm="1">
        <f t="array" ref="M132">Common_InputFunctions.Utility_DisplayArrayInTable(Fertiliser_SourceData.Fertiliser_Products_Data2(), FertiliserProducts[[#Headers],[Company]],31)</f>
        <v>3.25</v>
      </c>
      <c r="N132" s="172" cm="1">
        <f t="array" ref="N132">Common_InputFunctions.Utility_DisplayArrayInTable(Fertiliser_SourceData.Fertiliser_Products_Data2(), FertiliserProducts[[#Headers],[Company]],31)</f>
        <v>2.11</v>
      </c>
      <c r="O132" s="172" t="str" cm="1">
        <f t="array" ref="O132">Common_InputFunctions.Utility_DisplayArrayInTable(Fertiliser_SourceData.Fertiliser_Products_Data2(), FertiliserProducts[[#Headers],[Company]],31)</f>
        <v>Nitrogen - Generic</v>
      </c>
      <c r="P132" s="172" cm="1">
        <f t="array" ref="P132">Common_InputFunctions.Utility_DisplayArrayInTable(Fertiliser_SourceData.Fertiliser_Products_Data2(), FertiliserProducts[[#Headers],[Company]],31)</f>
        <v>9.7100000000000006E-2</v>
      </c>
      <c r="Q132" s="172" t="str" cm="1">
        <f t="array" ref="Q132">Common_InputFunctions.Utility_DisplayArrayInTable(Fertiliser_SourceData.Fertiliser_Products_Data2(), FertiliserProducts[[#Headers],[Company]],31)</f>
        <v>Potassium - Generic</v>
      </c>
      <c r="R132" s="172" cm="1">
        <f t="array" ref="R132">Common_InputFunctions.Utility_DisplayArrayInTable(Fertiliser_SourceData.Fertiliser_Products_Data2(), FertiliserProducts[[#Headers],[Company]],31)</f>
        <v>3.2500000000000001E-2</v>
      </c>
      <c r="S132" s="172" t="str" cm="1">
        <f t="array" ref="S132">Common_InputFunctions.Utility_DisplayArrayInTable(Fertiliser_SourceData.Fertiliser_Products_Data2(), FertiliserProducts[[#Headers],[Company]],31)</f>
        <v>Sulfur - Generic</v>
      </c>
      <c r="T132" s="172" cm="1">
        <f t="array" ref="T132">Common_InputFunctions.Utility_DisplayArrayInTable(Fertiliser_SourceData.Fertiliser_Products_Data2(), FertiliserProducts[[#Headers],[Company]],31)</f>
        <v>2.1100000000000001E-2</v>
      </c>
      <c r="U132" s="172" t="str" cm="1">
        <f t="array" ref="U132">Common_InputFunctions.Utility_DisplayArrayInTable(Fertiliser_SourceData.Fertiliser_Products_Data2(), FertiliserProducts[[#Headers],[Company]],31)</f>
        <v>Zinc</v>
      </c>
      <c r="V132" s="172" cm="1">
        <f t="array" ref="V132">Common_InputFunctions.Utility_DisplayArrayInTable(Fertiliser_SourceData.Fertiliser_Products_Data2(), FertiliserProducts[[#Headers],[Company]],31)</f>
        <v>1.4999999999999999E-2</v>
      </c>
      <c r="W132" s="172" t="str" cm="1">
        <f t="array" ref="W132">Common_InputFunctions.Utility_DisplayArrayInTable(Fertiliser_SourceData.Fertiliser_Products_Data2(), FertiliserProducts[[#Headers],[Company]],31)</f>
        <v>Iron</v>
      </c>
      <c r="X132" s="172" cm="1">
        <f t="array" ref="X132">Common_InputFunctions.Utility_DisplayArrayInTable(Fertiliser_SourceData.Fertiliser_Products_Data2(), FertiliserProducts[[#Headers],[Company]],31)</f>
        <v>1.11E-2</v>
      </c>
      <c r="Y132" s="172" t="str" cm="1">
        <f t="array" ref="Y132">Common_InputFunctions.Utility_DisplayArrayInTable(Fertiliser_SourceData.Fertiliser_Products_Data2(), FertiliserProducts[[#Headers],[Company]],31)</f>
        <v>Manganese</v>
      </c>
      <c r="Z132" s="172" cm="1">
        <f t="array" ref="Z132">Common_InputFunctions.Utility_DisplayArrayInTable(Fertiliser_SourceData.Fertiliser_Products_Data2(), FertiliserProducts[[#Headers],[Company]],31)</f>
        <v>1.15E-2</v>
      </c>
      <c r="AA132" s="172" t="str" cm="1">
        <f t="array" ref="AA132">Common_InputFunctions.Utility_DisplayArrayInTable(Fertiliser_SourceData.Fertiliser_Products_Data2(), FertiliserProducts[[#Headers],[Company]],31)</f>
        <v>Magnesium</v>
      </c>
      <c r="AB132" s="172" cm="1">
        <f t="array" ref="AB132">Common_InputFunctions.Utility_DisplayArrayInTable(Fertiliser_SourceData.Fertiliser_Products_Data2(), FertiliserProducts[[#Headers],[Company]],31)</f>
        <v>4.4999999999999997E-3</v>
      </c>
      <c r="AC132" s="172" t="str" cm="1">
        <f t="array" ref="AC132">Common_InputFunctions.Utility_DisplayArrayInTable(Fertiliser_SourceData.Fertiliser_Products_Data2(), FertiliserProducts[[#Headers],[Company]],31)</f>
        <v>Boron</v>
      </c>
      <c r="AD132" s="172" cm="1">
        <f t="array" ref="AD132">Common_InputFunctions.Utility_DisplayArrayInTable(Fertiliser_SourceData.Fertiliser_Products_Data2(), FertiliserProducts[[#Headers],[Company]],31)</f>
        <v>2E-3</v>
      </c>
      <c r="AE132" s="172" t="str" cm="1">
        <f t="array" ref="AE132">Common_InputFunctions.Utility_DisplayArrayInTable(Fertiliser_SourceData.Fertiliser_Products_Data2(), FertiliserProducts[[#Headers],[Company]],31)</f>
        <v/>
      </c>
      <c r="AF132" s="172" t="str" cm="1">
        <f t="array" ref="AF132">Common_InputFunctions.Utility_DisplayArrayInTable(Fertiliser_SourceData.Fertiliser_Products_Data2(), FertiliserProducts[[#Headers],[Company]],31)</f>
        <v/>
      </c>
      <c r="AG132" s="172" t="str" cm="1">
        <f t="array" ref="AG132">Common_InputFunctions.Utility_DisplayArrayInTable(Fertiliser_SourceData.Fertiliser_Products_Data2(), FertiliserProducts[[#Headers],[Company]],31)</f>
        <v/>
      </c>
      <c r="AH132" s="172" t="str" cm="1">
        <f t="array" ref="AH132">Common_InputFunctions.Utility_DisplayArrayInTable(Fertiliser_SourceData.Fertiliser_Products_Data2(), FertiliserProducts[[#Headers],[Company]],31)</f>
        <v/>
      </c>
      <c r="AK132" s="1"/>
      <c r="AL132" s="1"/>
      <c r="AM132" s="1"/>
    </row>
    <row r="133" spans="4:39" ht="20.100000000000001" customHeight="1" x14ac:dyDescent="0.25">
      <c r="D133" s="172" t="str" cm="1">
        <f t="array" ref="D133">Common_InputFunctions.Utility_DisplayArrayInTable(Fertiliser_SourceData.Fertiliser_Products_Data2(), FertiliserProducts[[#Headers],[Company]],31)</f>
        <v>Campbells fertilisers Australia</v>
      </c>
      <c r="E133" s="172" t="str" cm="1">
        <f t="array" ref="E133">Common_InputFunctions.Utility_DisplayArrayInTable(Fertiliser_SourceData.Fertiliser_Products_Data2(), FertiliserProducts[[#Headers],[Company]],31)</f>
        <v>Platinum Nergetic</v>
      </c>
      <c r="F133" s="172" t="str" cm="1">
        <f t="array" ref="F133">Common_InputFunctions.Utility_DisplayArrayInTable(Fertiliser_SourceData.Fertiliser_Products_Data2(), FertiliserProducts[[#Headers],[Company]],31)</f>
        <v>kg</v>
      </c>
      <c r="G133" s="172" cm="1">
        <f t="array" ref="G133">Common_InputFunctions.Utility_DisplayArrayInTable(Fertiliser_SourceData.Fertiliser_Products_Data2(), FertiliserProducts[[#Headers],[Company]],31)</f>
        <v>1</v>
      </c>
      <c r="H133" s="172" t="str" cm="1">
        <f t="array" ref="H133">Common_InputFunctions.Utility_DisplayArrayInTable(Fertiliser_SourceData.Fertiliser_Products_Data2(), FertiliserProducts[[#Headers],[Company]],31)</f>
        <v/>
      </c>
      <c r="I133" s="172" t="str" cm="1">
        <f t="array" ref="I133">Common_InputFunctions.Utility_DisplayArrayInTable(Fertiliser_SourceData.Fertiliser_Products_Data2(), FertiliserProducts[[#Headers],[Company]],31)</f>
        <v/>
      </c>
      <c r="J133" s="172" t="str" cm="1">
        <f t="array" ref="J133">Common_InputFunctions.Utility_DisplayArrayInTable(Fertiliser_SourceData.Fertiliser_Products_Data2(), FertiliserProducts[[#Headers],[Company]],31)</f>
        <v/>
      </c>
      <c r="K133" s="172" cm="1">
        <f t="array" ref="K133">Common_InputFunctions.Utility_DisplayArrayInTable(Fertiliser_SourceData.Fertiliser_Products_Data2(), FertiliserProducts[[#Headers],[Company]],31)</f>
        <v>10</v>
      </c>
      <c r="L133" s="172" cm="1">
        <f t="array" ref="L133">Common_InputFunctions.Utility_DisplayArrayInTable(Fertiliser_SourceData.Fertiliser_Products_Data2(), FertiliserProducts[[#Headers],[Company]],31)</f>
        <v>10.9</v>
      </c>
      <c r="M133" s="172" cm="1">
        <f t="array" ref="M133">Common_InputFunctions.Utility_DisplayArrayInTable(Fertiliser_SourceData.Fertiliser_Products_Data2(), FertiliserProducts[[#Headers],[Company]],31)</f>
        <v>10</v>
      </c>
      <c r="N133" s="172" cm="1">
        <f t="array" ref="N133">Common_InputFunctions.Utility_DisplayArrayInTable(Fertiliser_SourceData.Fertiliser_Products_Data2(), FertiliserProducts[[#Headers],[Company]],31)</f>
        <v>4.34</v>
      </c>
      <c r="O133" s="172" t="str" cm="1">
        <f t="array" ref="O133">Common_InputFunctions.Utility_DisplayArrayInTable(Fertiliser_SourceData.Fertiliser_Products_Data2(), FertiliserProducts[[#Headers],[Company]],31)</f>
        <v>Monoammonium phosphate (MAP)</v>
      </c>
      <c r="P133" s="172" cm="1">
        <f t="array" ref="P133">Common_InputFunctions.Utility_DisplayArrayInTable(Fertiliser_SourceData.Fertiliser_Products_Data2(), FertiliserProducts[[#Headers],[Company]],31)</f>
        <v>0.4178</v>
      </c>
      <c r="Q133" s="172" t="str" cm="1">
        <f t="array" ref="Q133">Common_InputFunctions.Utility_DisplayArrayInTable(Fertiliser_SourceData.Fertiliser_Products_Data2(), FertiliserProducts[[#Headers],[Company]],31)</f>
        <v>Ammonium nitrate (AN)</v>
      </c>
      <c r="R133" s="172" cm="1">
        <f t="array" ref="R133">Common_InputFunctions.Utility_DisplayArrayInTable(Fertiliser_SourceData.Fertiliser_Products_Data2(), FertiliserProducts[[#Headers],[Company]],31)</f>
        <v>0.17280000000000001</v>
      </c>
      <c r="S133" s="172" t="str" cm="1">
        <f t="array" ref="S133">Common_InputFunctions.Utility_DisplayArrayInTable(Fertiliser_SourceData.Fertiliser_Products_Data2(), FertiliserProducts[[#Headers],[Company]],31)</f>
        <v>Potassium sulphate</v>
      </c>
      <c r="T133" s="172" cm="1">
        <f t="array" ref="T133">Common_InputFunctions.Utility_DisplayArrayInTable(Fertiliser_SourceData.Fertiliser_Products_Data2(), FertiliserProducts[[#Headers],[Company]],31)</f>
        <v>0.24096400000000001</v>
      </c>
      <c r="U133" s="172" t="str" cm="1">
        <f t="array" ref="U133">Common_InputFunctions.Utility_DisplayArrayInTable(Fertiliser_SourceData.Fertiliser_Products_Data2(), FertiliserProducts[[#Headers],[Company]],31)</f>
        <v>Double superphosphate</v>
      </c>
      <c r="V133" s="172" cm="1">
        <f t="array" ref="V133">Common_InputFunctions.Utility_DisplayArrayInTable(Fertiliser_SourceData.Fertiliser_Products_Data2(), FertiliserProducts[[#Headers],[Company]],31)</f>
        <v>0.1</v>
      </c>
      <c r="W133" s="172" t="str" cm="1">
        <f t="array" ref="W133">Common_InputFunctions.Utility_DisplayArrayInTable(Fertiliser_SourceData.Fertiliser_Products_Data2(), FertiliserProducts[[#Headers],[Company]],31)</f>
        <v>Magnesium</v>
      </c>
      <c r="X133" s="172" cm="1">
        <f t="array" ref="X133">Common_InputFunctions.Utility_DisplayArrayInTable(Fertiliser_SourceData.Fertiliser_Products_Data2(), FertiliserProducts[[#Headers],[Company]],31)</f>
        <v>1.2E-2</v>
      </c>
      <c r="Y133" s="172" t="str" cm="1">
        <f t="array" ref="Y133">Common_InputFunctions.Utility_DisplayArrayInTable(Fertiliser_SourceData.Fertiliser_Products_Data2(), FertiliserProducts[[#Headers],[Company]],31)</f>
        <v>Zinc</v>
      </c>
      <c r="Z133" s="172" cm="1">
        <f t="array" ref="Z133">Common_InputFunctions.Utility_DisplayArrayInTable(Fertiliser_SourceData.Fertiliser_Products_Data2(), FertiliserProducts[[#Headers],[Company]],31)</f>
        <v>3.5999999999999999E-3</v>
      </c>
      <c r="AA133" s="172" t="str" cm="1">
        <f t="array" ref="AA133">Common_InputFunctions.Utility_DisplayArrayInTable(Fertiliser_SourceData.Fertiliser_Products_Data2(), FertiliserProducts[[#Headers],[Company]],31)</f>
        <v>Boron</v>
      </c>
      <c r="AB133" s="172" cm="1">
        <f t="array" ref="AB133">Common_InputFunctions.Utility_DisplayArrayInTable(Fertiliser_SourceData.Fertiliser_Products_Data2(), FertiliserProducts[[#Headers],[Company]],31)</f>
        <v>1E-3</v>
      </c>
      <c r="AC133" s="172" t="str" cm="1">
        <f t="array" ref="AC133">Common_InputFunctions.Utility_DisplayArrayInTable(Fertiliser_SourceData.Fertiliser_Products_Data2(), FertiliserProducts[[#Headers],[Company]],31)</f>
        <v>Glaze Extend G3 Flexi</v>
      </c>
      <c r="AD133" s="172" cm="1">
        <f t="array" ref="AD133">Common_InputFunctions.Utility_DisplayArrayInTable(Fertiliser_SourceData.Fertiliser_Products_Data2(), FertiliserProducts[[#Headers],[Company]],31)</f>
        <v>5.1900000000000002E-2</v>
      </c>
      <c r="AE133" s="172" t="str" cm="1">
        <f t="array" ref="AE133">Common_InputFunctions.Utility_DisplayArrayInTable(Fertiliser_SourceData.Fertiliser_Products_Data2(), FertiliserProducts[[#Headers],[Company]],31)</f>
        <v/>
      </c>
      <c r="AF133" s="172" t="str" cm="1">
        <f t="array" ref="AF133">Common_InputFunctions.Utility_DisplayArrayInTable(Fertiliser_SourceData.Fertiliser_Products_Data2(), FertiliserProducts[[#Headers],[Company]],31)</f>
        <v/>
      </c>
      <c r="AG133" s="172" t="str" cm="1">
        <f t="array" ref="AG133">Common_InputFunctions.Utility_DisplayArrayInTable(Fertiliser_SourceData.Fertiliser_Products_Data2(), FertiliserProducts[[#Headers],[Company]],31)</f>
        <v/>
      </c>
      <c r="AH133" s="172" t="str" cm="1">
        <f t="array" ref="AH133">Common_InputFunctions.Utility_DisplayArrayInTable(Fertiliser_SourceData.Fertiliser_Products_Data2(), FertiliserProducts[[#Headers],[Company]],31)</f>
        <v/>
      </c>
      <c r="AK133" s="1"/>
      <c r="AL133" s="1"/>
      <c r="AM133" s="1"/>
    </row>
    <row r="134" spans="4:39" ht="20.100000000000001" customHeight="1" x14ac:dyDescent="0.25">
      <c r="D134" s="172" t="str" cm="1">
        <f t="array" ref="D134">Common_InputFunctions.Utility_DisplayArrayInTable(Fertiliser_SourceData.Fertiliser_Products_Data2(), FertiliserProducts[[#Headers],[Company]],31)</f>
        <v>Impact Fertilisers</v>
      </c>
      <c r="E134" s="172" t="str" cm="1">
        <f t="array" ref="E134">Common_InputFunctions.Utility_DisplayArrayInTable(Fertiliser_SourceData.Fertiliser_Products_Data2(), FertiliserProducts[[#Headers],[Company]],31)</f>
        <v>Sulphate of ammonia (SOA)</v>
      </c>
      <c r="F134" s="172" t="str" cm="1">
        <f t="array" ref="F134">Common_InputFunctions.Utility_DisplayArrayInTable(Fertiliser_SourceData.Fertiliser_Products_Data2(), FertiliserProducts[[#Headers],[Company]],31)</f>
        <v>kg</v>
      </c>
      <c r="G134" s="172" cm="1">
        <f t="array" ref="G134">Common_InputFunctions.Utility_DisplayArrayInTable(Fertiliser_SourceData.Fertiliser_Products_Data2(), FertiliserProducts[[#Headers],[Company]],31)</f>
        <v>1</v>
      </c>
      <c r="H134" s="172" t="str" cm="1">
        <f t="array" ref="H134">Common_InputFunctions.Utility_DisplayArrayInTable(Fertiliser_SourceData.Fertiliser_Products_Data2(), FertiliserProducts[[#Headers],[Company]],31)</f>
        <v/>
      </c>
      <c r="I134" s="172" t="str" cm="1">
        <f t="array" ref="I134">Common_InputFunctions.Utility_DisplayArrayInTable(Fertiliser_SourceData.Fertiliser_Products_Data2(), FertiliserProducts[[#Headers],[Company]],31)</f>
        <v/>
      </c>
      <c r="J134" s="172" t="str" cm="1">
        <f t="array" ref="J134">Common_InputFunctions.Utility_DisplayArrayInTable(Fertiliser_SourceData.Fertiliser_Products_Data2(), FertiliserProducts[[#Headers],[Company]],31)</f>
        <v/>
      </c>
      <c r="K134" s="172" cm="1">
        <f t="array" ref="K134">Common_InputFunctions.Utility_DisplayArrayInTable(Fertiliser_SourceData.Fertiliser_Products_Data2(), FertiliserProducts[[#Headers],[Company]],31)</f>
        <v>21</v>
      </c>
      <c r="L134" s="172" t="str" cm="1">
        <f t="array" ref="L134">Common_InputFunctions.Utility_DisplayArrayInTable(Fertiliser_SourceData.Fertiliser_Products_Data2(), FertiliserProducts[[#Headers],[Company]],31)</f>
        <v/>
      </c>
      <c r="M134" s="172" t="str" cm="1">
        <f t="array" ref="M134">Common_InputFunctions.Utility_DisplayArrayInTable(Fertiliser_SourceData.Fertiliser_Products_Data2(), FertiliserProducts[[#Headers],[Company]],31)</f>
        <v/>
      </c>
      <c r="N134" s="172" cm="1">
        <f t="array" ref="N134">Common_InputFunctions.Utility_DisplayArrayInTable(Fertiliser_SourceData.Fertiliser_Products_Data2(), FertiliserProducts[[#Headers],[Company]],31)</f>
        <v>24</v>
      </c>
      <c r="O134" s="172" t="str" cm="1">
        <f t="array" ref="O134">Common_InputFunctions.Utility_DisplayArrayInTable(Fertiliser_SourceData.Fertiliser_Products_Data2(), FertiliserProducts[[#Headers],[Company]],31)</f>
        <v>Sulphate of ammonia (SOA)</v>
      </c>
      <c r="P134" s="172" cm="1">
        <f t="array" ref="P134">Common_InputFunctions.Utility_DisplayArrayInTable(Fertiliser_SourceData.Fertiliser_Products_Data2(), FertiliserProducts[[#Headers],[Company]],31)</f>
        <v>1</v>
      </c>
      <c r="Q134" s="172" t="str" cm="1">
        <f t="array" ref="Q134">Common_InputFunctions.Utility_DisplayArrayInTable(Fertiliser_SourceData.Fertiliser_Products_Data2(), FertiliserProducts[[#Headers],[Company]],31)</f>
        <v/>
      </c>
      <c r="R134" s="172" t="str" cm="1">
        <f t="array" ref="R134">Common_InputFunctions.Utility_DisplayArrayInTable(Fertiliser_SourceData.Fertiliser_Products_Data2(), FertiliserProducts[[#Headers],[Company]],31)</f>
        <v/>
      </c>
      <c r="S134" s="172" t="str" cm="1">
        <f t="array" ref="S134">Common_InputFunctions.Utility_DisplayArrayInTable(Fertiliser_SourceData.Fertiliser_Products_Data2(), FertiliserProducts[[#Headers],[Company]],31)</f>
        <v/>
      </c>
      <c r="T134" s="172" t="str" cm="1">
        <f t="array" ref="T134">Common_InputFunctions.Utility_DisplayArrayInTable(Fertiliser_SourceData.Fertiliser_Products_Data2(), FertiliserProducts[[#Headers],[Company]],31)</f>
        <v/>
      </c>
      <c r="U134" s="172" t="str" cm="1">
        <f t="array" ref="U134">Common_InputFunctions.Utility_DisplayArrayInTable(Fertiliser_SourceData.Fertiliser_Products_Data2(), FertiliserProducts[[#Headers],[Company]],31)</f>
        <v/>
      </c>
      <c r="V134" s="172" t="str" cm="1">
        <f t="array" ref="V134">Common_InputFunctions.Utility_DisplayArrayInTable(Fertiliser_SourceData.Fertiliser_Products_Data2(), FertiliserProducts[[#Headers],[Company]],31)</f>
        <v/>
      </c>
      <c r="W134" s="172" t="str" cm="1">
        <f t="array" ref="W134">Common_InputFunctions.Utility_DisplayArrayInTable(Fertiliser_SourceData.Fertiliser_Products_Data2(), FertiliserProducts[[#Headers],[Company]],31)</f>
        <v/>
      </c>
      <c r="X134" s="172" t="str" cm="1">
        <f t="array" ref="X134">Common_InputFunctions.Utility_DisplayArrayInTable(Fertiliser_SourceData.Fertiliser_Products_Data2(), FertiliserProducts[[#Headers],[Company]],31)</f>
        <v/>
      </c>
      <c r="Y134" s="172" t="str" cm="1">
        <f t="array" ref="Y134">Common_InputFunctions.Utility_DisplayArrayInTable(Fertiliser_SourceData.Fertiliser_Products_Data2(), FertiliserProducts[[#Headers],[Company]],31)</f>
        <v/>
      </c>
      <c r="Z134" s="172" t="str" cm="1">
        <f t="array" ref="Z134">Common_InputFunctions.Utility_DisplayArrayInTable(Fertiliser_SourceData.Fertiliser_Products_Data2(), FertiliserProducts[[#Headers],[Company]],31)</f>
        <v/>
      </c>
      <c r="AA134" s="172" t="str" cm="1">
        <f t="array" ref="AA134">Common_InputFunctions.Utility_DisplayArrayInTable(Fertiliser_SourceData.Fertiliser_Products_Data2(), FertiliserProducts[[#Headers],[Company]],31)</f>
        <v/>
      </c>
      <c r="AB134" s="172" t="str" cm="1">
        <f t="array" ref="AB134">Common_InputFunctions.Utility_DisplayArrayInTable(Fertiliser_SourceData.Fertiliser_Products_Data2(), FertiliserProducts[[#Headers],[Company]],31)</f>
        <v/>
      </c>
      <c r="AC134" s="172" t="str" cm="1">
        <f t="array" ref="AC134">Common_InputFunctions.Utility_DisplayArrayInTable(Fertiliser_SourceData.Fertiliser_Products_Data2(), FertiliserProducts[[#Headers],[Company]],31)</f>
        <v/>
      </c>
      <c r="AD134" s="172" t="str" cm="1">
        <f t="array" ref="AD134">Common_InputFunctions.Utility_DisplayArrayInTable(Fertiliser_SourceData.Fertiliser_Products_Data2(), FertiliserProducts[[#Headers],[Company]],31)</f>
        <v/>
      </c>
      <c r="AE134" s="172" t="str" cm="1">
        <f t="array" ref="AE134">Common_InputFunctions.Utility_DisplayArrayInTable(Fertiliser_SourceData.Fertiliser_Products_Data2(), FertiliserProducts[[#Headers],[Company]],31)</f>
        <v/>
      </c>
      <c r="AF134" s="172" t="str" cm="1">
        <f t="array" ref="AF134">Common_InputFunctions.Utility_DisplayArrayInTable(Fertiliser_SourceData.Fertiliser_Products_Data2(), FertiliserProducts[[#Headers],[Company]],31)</f>
        <v/>
      </c>
      <c r="AG134" s="172" t="str" cm="1">
        <f t="array" ref="AG134">Common_InputFunctions.Utility_DisplayArrayInTable(Fertiliser_SourceData.Fertiliser_Products_Data2(), FertiliserProducts[[#Headers],[Company]],31)</f>
        <v/>
      </c>
      <c r="AH134" s="172" t="str" cm="1">
        <f t="array" ref="AH134">Common_InputFunctions.Utility_DisplayArrayInTable(Fertiliser_SourceData.Fertiliser_Products_Data2(), FertiliserProducts[[#Headers],[Company]],31)</f>
        <v/>
      </c>
      <c r="AK134" s="1"/>
      <c r="AL134" s="1"/>
      <c r="AM134" s="1"/>
    </row>
    <row r="135" spans="4:39" ht="20.100000000000001" customHeight="1" x14ac:dyDescent="0.25">
      <c r="D135" s="172" t="str" cm="1">
        <f t="array" ref="D135">Common_InputFunctions.Utility_DisplayArrayInTable(Fertiliser_SourceData.Fertiliser_Products_Data2(), FertiliserProducts[[#Headers],[Company]],31)</f>
        <v>Impact Fertilisers</v>
      </c>
      <c r="E135" s="172" t="str" cm="1">
        <f t="array" ref="E135">Common_InputFunctions.Utility_DisplayArrayInTable(Fertiliser_SourceData.Fertiliser_Products_Data2(), FertiliserProducts[[#Headers],[Company]],31)</f>
        <v>Mono-Ammonium Phosphate (MAP)</v>
      </c>
      <c r="F135" s="172" t="str" cm="1">
        <f t="array" ref="F135">Common_InputFunctions.Utility_DisplayArrayInTable(Fertiliser_SourceData.Fertiliser_Products_Data2(), FertiliserProducts[[#Headers],[Company]],31)</f>
        <v>kg</v>
      </c>
      <c r="G135" s="172" cm="1">
        <f t="array" ref="G135">Common_InputFunctions.Utility_DisplayArrayInTable(Fertiliser_SourceData.Fertiliser_Products_Data2(), FertiliserProducts[[#Headers],[Company]],31)</f>
        <v>1</v>
      </c>
      <c r="H135" s="172" t="str" cm="1">
        <f t="array" ref="H135">Common_InputFunctions.Utility_DisplayArrayInTable(Fertiliser_SourceData.Fertiliser_Products_Data2(), FertiliserProducts[[#Headers],[Company]],31)</f>
        <v/>
      </c>
      <c r="I135" s="172" t="str" cm="1">
        <f t="array" ref="I135">Common_InputFunctions.Utility_DisplayArrayInTable(Fertiliser_SourceData.Fertiliser_Products_Data2(), FertiliserProducts[[#Headers],[Company]],31)</f>
        <v/>
      </c>
      <c r="J135" s="172" t="str" cm="1">
        <f t="array" ref="J135">Common_InputFunctions.Utility_DisplayArrayInTable(Fertiliser_SourceData.Fertiliser_Products_Data2(), FertiliserProducts[[#Headers],[Company]],31)</f>
        <v/>
      </c>
      <c r="K135" s="172" cm="1">
        <f t="array" ref="K135">Common_InputFunctions.Utility_DisplayArrayInTable(Fertiliser_SourceData.Fertiliser_Products_Data2(), FertiliserProducts[[#Headers],[Company]],31)</f>
        <v>10</v>
      </c>
      <c r="L135" s="172" cm="1">
        <f t="array" ref="L135">Common_InputFunctions.Utility_DisplayArrayInTable(Fertiliser_SourceData.Fertiliser_Products_Data2(), FertiliserProducts[[#Headers],[Company]],31)</f>
        <v>21.9</v>
      </c>
      <c r="M135" s="172" t="str" cm="1">
        <f t="array" ref="M135">Common_InputFunctions.Utility_DisplayArrayInTable(Fertiliser_SourceData.Fertiliser_Products_Data2(), FertiliserProducts[[#Headers],[Company]],31)</f>
        <v/>
      </c>
      <c r="N135" s="172" cm="1">
        <f t="array" ref="N135">Common_InputFunctions.Utility_DisplayArrayInTable(Fertiliser_SourceData.Fertiliser_Products_Data2(), FertiliserProducts[[#Headers],[Company]],31)</f>
        <v>1.5</v>
      </c>
      <c r="O135" s="172" t="str" cm="1">
        <f t="array" ref="O135">Common_InputFunctions.Utility_DisplayArrayInTable(Fertiliser_SourceData.Fertiliser_Products_Data2(), FertiliserProducts[[#Headers],[Company]],31)</f>
        <v>Monoammonium phosphate (MAP)</v>
      </c>
      <c r="P135" s="172" cm="1">
        <f t="array" ref="P135">Common_InputFunctions.Utility_DisplayArrayInTable(Fertiliser_SourceData.Fertiliser_Products_Data2(), FertiliserProducts[[#Headers],[Company]],31)</f>
        <v>1</v>
      </c>
      <c r="Q135" s="172" t="str" cm="1">
        <f t="array" ref="Q135">Common_InputFunctions.Utility_DisplayArrayInTable(Fertiliser_SourceData.Fertiliser_Products_Data2(), FertiliserProducts[[#Headers],[Company]],31)</f>
        <v/>
      </c>
      <c r="R135" s="172" t="str" cm="1">
        <f t="array" ref="R135">Common_InputFunctions.Utility_DisplayArrayInTable(Fertiliser_SourceData.Fertiliser_Products_Data2(), FertiliserProducts[[#Headers],[Company]],31)</f>
        <v/>
      </c>
      <c r="S135" s="172" t="str" cm="1">
        <f t="array" ref="S135">Common_InputFunctions.Utility_DisplayArrayInTable(Fertiliser_SourceData.Fertiliser_Products_Data2(), FertiliserProducts[[#Headers],[Company]],31)</f>
        <v/>
      </c>
      <c r="T135" s="172" t="str" cm="1">
        <f t="array" ref="T135">Common_InputFunctions.Utility_DisplayArrayInTable(Fertiliser_SourceData.Fertiliser_Products_Data2(), FertiliserProducts[[#Headers],[Company]],31)</f>
        <v/>
      </c>
      <c r="U135" s="172" t="str" cm="1">
        <f t="array" ref="U135">Common_InputFunctions.Utility_DisplayArrayInTable(Fertiliser_SourceData.Fertiliser_Products_Data2(), FertiliserProducts[[#Headers],[Company]],31)</f>
        <v/>
      </c>
      <c r="V135" s="172" t="str" cm="1">
        <f t="array" ref="V135">Common_InputFunctions.Utility_DisplayArrayInTable(Fertiliser_SourceData.Fertiliser_Products_Data2(), FertiliserProducts[[#Headers],[Company]],31)</f>
        <v/>
      </c>
      <c r="W135" s="172" t="str" cm="1">
        <f t="array" ref="W135">Common_InputFunctions.Utility_DisplayArrayInTable(Fertiliser_SourceData.Fertiliser_Products_Data2(), FertiliserProducts[[#Headers],[Company]],31)</f>
        <v/>
      </c>
      <c r="X135" s="172" t="str" cm="1">
        <f t="array" ref="X135">Common_InputFunctions.Utility_DisplayArrayInTable(Fertiliser_SourceData.Fertiliser_Products_Data2(), FertiliserProducts[[#Headers],[Company]],31)</f>
        <v/>
      </c>
      <c r="Y135" s="172" t="str" cm="1">
        <f t="array" ref="Y135">Common_InputFunctions.Utility_DisplayArrayInTable(Fertiliser_SourceData.Fertiliser_Products_Data2(), FertiliserProducts[[#Headers],[Company]],31)</f>
        <v/>
      </c>
      <c r="Z135" s="172" t="str" cm="1">
        <f t="array" ref="Z135">Common_InputFunctions.Utility_DisplayArrayInTable(Fertiliser_SourceData.Fertiliser_Products_Data2(), FertiliserProducts[[#Headers],[Company]],31)</f>
        <v/>
      </c>
      <c r="AA135" s="172" t="str" cm="1">
        <f t="array" ref="AA135">Common_InputFunctions.Utility_DisplayArrayInTable(Fertiliser_SourceData.Fertiliser_Products_Data2(), FertiliserProducts[[#Headers],[Company]],31)</f>
        <v/>
      </c>
      <c r="AB135" s="172" t="str" cm="1">
        <f t="array" ref="AB135">Common_InputFunctions.Utility_DisplayArrayInTable(Fertiliser_SourceData.Fertiliser_Products_Data2(), FertiliserProducts[[#Headers],[Company]],31)</f>
        <v/>
      </c>
      <c r="AC135" s="172" t="str" cm="1">
        <f t="array" ref="AC135">Common_InputFunctions.Utility_DisplayArrayInTable(Fertiliser_SourceData.Fertiliser_Products_Data2(), FertiliserProducts[[#Headers],[Company]],31)</f>
        <v/>
      </c>
      <c r="AD135" s="172" t="str" cm="1">
        <f t="array" ref="AD135">Common_InputFunctions.Utility_DisplayArrayInTable(Fertiliser_SourceData.Fertiliser_Products_Data2(), FertiliserProducts[[#Headers],[Company]],31)</f>
        <v/>
      </c>
      <c r="AE135" s="172" t="str" cm="1">
        <f t="array" ref="AE135">Common_InputFunctions.Utility_DisplayArrayInTable(Fertiliser_SourceData.Fertiliser_Products_Data2(), FertiliserProducts[[#Headers],[Company]],31)</f>
        <v/>
      </c>
      <c r="AF135" s="172" t="str" cm="1">
        <f t="array" ref="AF135">Common_InputFunctions.Utility_DisplayArrayInTable(Fertiliser_SourceData.Fertiliser_Products_Data2(), FertiliserProducts[[#Headers],[Company]],31)</f>
        <v/>
      </c>
      <c r="AG135" s="172" t="str" cm="1">
        <f t="array" ref="AG135">Common_InputFunctions.Utility_DisplayArrayInTable(Fertiliser_SourceData.Fertiliser_Products_Data2(), FertiliserProducts[[#Headers],[Company]],31)</f>
        <v/>
      </c>
      <c r="AH135" s="172" t="str" cm="1">
        <f t="array" ref="AH135">Common_InputFunctions.Utility_DisplayArrayInTable(Fertiliser_SourceData.Fertiliser_Products_Data2(), FertiliserProducts[[#Headers],[Company]],31)</f>
        <v/>
      </c>
      <c r="AK135" s="1"/>
      <c r="AL135" s="1"/>
      <c r="AM135" s="1"/>
    </row>
    <row r="136" spans="4:39" ht="20.100000000000001" customHeight="1" x14ac:dyDescent="0.25">
      <c r="D136" s="172" t="str" cm="1">
        <f t="array" ref="D136">Common_InputFunctions.Utility_DisplayArrayInTable(Fertiliser_SourceData.Fertiliser_Products_Data2(), FertiliserProducts[[#Headers],[Company]],31)</f>
        <v>Impact Fertilisers</v>
      </c>
      <c r="E136" s="172" t="str" cm="1">
        <f t="array" ref="E136">Common_InputFunctions.Utility_DisplayArrayInTable(Fertiliser_SourceData.Fertiliser_Products_Data2(), FertiliserProducts[[#Headers],[Company]],31)</f>
        <v>Urea</v>
      </c>
      <c r="F136" s="172" t="str" cm="1">
        <f t="array" ref="F136">Common_InputFunctions.Utility_DisplayArrayInTable(Fertiliser_SourceData.Fertiliser_Products_Data2(), FertiliserProducts[[#Headers],[Company]],31)</f>
        <v>kg</v>
      </c>
      <c r="G136" s="172" cm="1">
        <f t="array" ref="G136">Common_InputFunctions.Utility_DisplayArrayInTable(Fertiliser_SourceData.Fertiliser_Products_Data2(), FertiliserProducts[[#Headers],[Company]],31)</f>
        <v>1</v>
      </c>
      <c r="H136" s="172" t="str" cm="1">
        <f t="array" ref="H136">Common_InputFunctions.Utility_DisplayArrayInTable(Fertiliser_SourceData.Fertiliser_Products_Data2(), FertiliserProducts[[#Headers],[Company]],31)</f>
        <v/>
      </c>
      <c r="I136" s="172" t="str" cm="1">
        <f t="array" ref="I136">Common_InputFunctions.Utility_DisplayArrayInTable(Fertiliser_SourceData.Fertiliser_Products_Data2(), FertiliserProducts[[#Headers],[Company]],31)</f>
        <v/>
      </c>
      <c r="J136" s="172" t="str" cm="1">
        <f t="array" ref="J136">Common_InputFunctions.Utility_DisplayArrayInTable(Fertiliser_SourceData.Fertiliser_Products_Data2(), FertiliserProducts[[#Headers],[Company]],31)</f>
        <v/>
      </c>
      <c r="K136" s="172" cm="1">
        <f t="array" ref="K136">Common_InputFunctions.Utility_DisplayArrayInTable(Fertiliser_SourceData.Fertiliser_Products_Data2(), FertiliserProducts[[#Headers],[Company]],31)</f>
        <v>46</v>
      </c>
      <c r="L136" s="172" t="str" cm="1">
        <f t="array" ref="L136">Common_InputFunctions.Utility_DisplayArrayInTable(Fertiliser_SourceData.Fertiliser_Products_Data2(), FertiliserProducts[[#Headers],[Company]],31)</f>
        <v/>
      </c>
      <c r="M136" s="172" t="str" cm="1">
        <f t="array" ref="M136">Common_InputFunctions.Utility_DisplayArrayInTable(Fertiliser_SourceData.Fertiliser_Products_Data2(), FertiliserProducts[[#Headers],[Company]],31)</f>
        <v/>
      </c>
      <c r="N136" s="172" t="str" cm="1">
        <f t="array" ref="N136">Common_InputFunctions.Utility_DisplayArrayInTable(Fertiliser_SourceData.Fertiliser_Products_Data2(), FertiliserProducts[[#Headers],[Company]],31)</f>
        <v/>
      </c>
      <c r="O136" s="172" t="str" cm="1">
        <f t="array" ref="O136">Common_InputFunctions.Utility_DisplayArrayInTable(Fertiliser_SourceData.Fertiliser_Products_Data2(), FertiliserProducts[[#Headers],[Company]],31)</f>
        <v>Urea</v>
      </c>
      <c r="P136" s="172" cm="1">
        <f t="array" ref="P136">Common_InputFunctions.Utility_DisplayArrayInTable(Fertiliser_SourceData.Fertiliser_Products_Data2(), FertiliserProducts[[#Headers],[Company]],31)</f>
        <v>1</v>
      </c>
      <c r="Q136" s="172" t="str" cm="1">
        <f t="array" ref="Q136">Common_InputFunctions.Utility_DisplayArrayInTable(Fertiliser_SourceData.Fertiliser_Products_Data2(), FertiliserProducts[[#Headers],[Company]],31)</f>
        <v/>
      </c>
      <c r="R136" s="172" t="str" cm="1">
        <f t="array" ref="R136">Common_InputFunctions.Utility_DisplayArrayInTable(Fertiliser_SourceData.Fertiliser_Products_Data2(), FertiliserProducts[[#Headers],[Company]],31)</f>
        <v/>
      </c>
      <c r="S136" s="172" t="str" cm="1">
        <f t="array" ref="S136">Common_InputFunctions.Utility_DisplayArrayInTable(Fertiliser_SourceData.Fertiliser_Products_Data2(), FertiliserProducts[[#Headers],[Company]],31)</f>
        <v/>
      </c>
      <c r="T136" s="172" t="str" cm="1">
        <f t="array" ref="T136">Common_InputFunctions.Utility_DisplayArrayInTable(Fertiliser_SourceData.Fertiliser_Products_Data2(), FertiliserProducts[[#Headers],[Company]],31)</f>
        <v/>
      </c>
      <c r="U136" s="172" t="str" cm="1">
        <f t="array" ref="U136">Common_InputFunctions.Utility_DisplayArrayInTable(Fertiliser_SourceData.Fertiliser_Products_Data2(), FertiliserProducts[[#Headers],[Company]],31)</f>
        <v/>
      </c>
      <c r="V136" s="172" t="str" cm="1">
        <f t="array" ref="V136">Common_InputFunctions.Utility_DisplayArrayInTable(Fertiliser_SourceData.Fertiliser_Products_Data2(), FertiliserProducts[[#Headers],[Company]],31)</f>
        <v/>
      </c>
      <c r="W136" s="172" t="str" cm="1">
        <f t="array" ref="W136">Common_InputFunctions.Utility_DisplayArrayInTable(Fertiliser_SourceData.Fertiliser_Products_Data2(), FertiliserProducts[[#Headers],[Company]],31)</f>
        <v/>
      </c>
      <c r="X136" s="172" t="str" cm="1">
        <f t="array" ref="X136">Common_InputFunctions.Utility_DisplayArrayInTable(Fertiliser_SourceData.Fertiliser_Products_Data2(), FertiliserProducts[[#Headers],[Company]],31)</f>
        <v/>
      </c>
      <c r="Y136" s="172" t="str" cm="1">
        <f t="array" ref="Y136">Common_InputFunctions.Utility_DisplayArrayInTable(Fertiliser_SourceData.Fertiliser_Products_Data2(), FertiliserProducts[[#Headers],[Company]],31)</f>
        <v/>
      </c>
      <c r="Z136" s="172" t="str" cm="1">
        <f t="array" ref="Z136">Common_InputFunctions.Utility_DisplayArrayInTable(Fertiliser_SourceData.Fertiliser_Products_Data2(), FertiliserProducts[[#Headers],[Company]],31)</f>
        <v/>
      </c>
      <c r="AA136" s="172" t="str" cm="1">
        <f t="array" ref="AA136">Common_InputFunctions.Utility_DisplayArrayInTable(Fertiliser_SourceData.Fertiliser_Products_Data2(), FertiliserProducts[[#Headers],[Company]],31)</f>
        <v/>
      </c>
      <c r="AB136" s="172" t="str" cm="1">
        <f t="array" ref="AB136">Common_InputFunctions.Utility_DisplayArrayInTable(Fertiliser_SourceData.Fertiliser_Products_Data2(), FertiliserProducts[[#Headers],[Company]],31)</f>
        <v/>
      </c>
      <c r="AC136" s="172" t="str" cm="1">
        <f t="array" ref="AC136">Common_InputFunctions.Utility_DisplayArrayInTable(Fertiliser_SourceData.Fertiliser_Products_Data2(), FertiliserProducts[[#Headers],[Company]],31)</f>
        <v/>
      </c>
      <c r="AD136" s="172" t="str" cm="1">
        <f t="array" ref="AD136">Common_InputFunctions.Utility_DisplayArrayInTable(Fertiliser_SourceData.Fertiliser_Products_Data2(), FertiliserProducts[[#Headers],[Company]],31)</f>
        <v/>
      </c>
      <c r="AE136" s="172" t="str" cm="1">
        <f t="array" ref="AE136">Common_InputFunctions.Utility_DisplayArrayInTable(Fertiliser_SourceData.Fertiliser_Products_Data2(), FertiliserProducts[[#Headers],[Company]],31)</f>
        <v/>
      </c>
      <c r="AF136" s="172" t="str" cm="1">
        <f t="array" ref="AF136">Common_InputFunctions.Utility_DisplayArrayInTable(Fertiliser_SourceData.Fertiliser_Products_Data2(), FertiliserProducts[[#Headers],[Company]],31)</f>
        <v/>
      </c>
      <c r="AG136" s="172" t="str" cm="1">
        <f t="array" ref="AG136">Common_InputFunctions.Utility_DisplayArrayInTable(Fertiliser_SourceData.Fertiliser_Products_Data2(), FertiliserProducts[[#Headers],[Company]],31)</f>
        <v/>
      </c>
      <c r="AH136" s="172" t="str" cm="1">
        <f t="array" ref="AH136">Common_InputFunctions.Utility_DisplayArrayInTable(Fertiliser_SourceData.Fertiliser_Products_Data2(), FertiliserProducts[[#Headers],[Company]],31)</f>
        <v/>
      </c>
      <c r="AK136" s="1"/>
      <c r="AL136" s="1"/>
      <c r="AM136" s="1"/>
    </row>
    <row r="137" spans="4:39" ht="20.100000000000001" customHeight="1" x14ac:dyDescent="0.25">
      <c r="D137" s="172" t="str" cm="1">
        <f t="array" ref="D137">Common_InputFunctions.Utility_DisplayArrayInTable(Fertiliser_SourceData.Fertiliser_Products_Data2(), FertiliserProducts[[#Headers],[Company]],31)</f>
        <v>Koch Fertiliser Australia</v>
      </c>
      <c r="E137" s="172" t="str" cm="1">
        <f t="array" ref="E137">Common_InputFunctions.Utility_DisplayArrayInTable(Fertiliser_SourceData.Fertiliser_Products_Data2(), FertiliserProducts[[#Headers],[Company]],31)</f>
        <v>Muriate of potash (MOP)</v>
      </c>
      <c r="F137" s="172" t="str" cm="1">
        <f t="array" ref="F137">Common_InputFunctions.Utility_DisplayArrayInTable(Fertiliser_SourceData.Fertiliser_Products_Data2(), FertiliserProducts[[#Headers],[Company]],31)</f>
        <v>kg</v>
      </c>
      <c r="G137" s="172" cm="1">
        <f t="array" ref="G137">Common_InputFunctions.Utility_DisplayArrayInTable(Fertiliser_SourceData.Fertiliser_Products_Data2(), FertiliserProducts[[#Headers],[Company]],31)</f>
        <v>1</v>
      </c>
      <c r="H137" s="172" t="str" cm="1">
        <f t="array" ref="H137">Common_InputFunctions.Utility_DisplayArrayInTable(Fertiliser_SourceData.Fertiliser_Products_Data2(), FertiliserProducts[[#Headers],[Company]],31)</f>
        <v/>
      </c>
      <c r="I137" s="172" t="str" cm="1">
        <f t="array" ref="I137">Common_InputFunctions.Utility_DisplayArrayInTable(Fertiliser_SourceData.Fertiliser_Products_Data2(), FertiliserProducts[[#Headers],[Company]],31)</f>
        <v/>
      </c>
      <c r="J137" s="172" t="str" cm="1">
        <f t="array" ref="J137">Common_InputFunctions.Utility_DisplayArrayInTable(Fertiliser_SourceData.Fertiliser_Products_Data2(), FertiliserProducts[[#Headers],[Company]],31)</f>
        <v/>
      </c>
      <c r="K137" s="172" t="str" cm="1">
        <f t="array" ref="K137">Common_InputFunctions.Utility_DisplayArrayInTable(Fertiliser_SourceData.Fertiliser_Products_Data2(), FertiliserProducts[[#Headers],[Company]],31)</f>
        <v/>
      </c>
      <c r="L137" s="172" t="str" cm="1">
        <f t="array" ref="L137">Common_InputFunctions.Utility_DisplayArrayInTable(Fertiliser_SourceData.Fertiliser_Products_Data2(), FertiliserProducts[[#Headers],[Company]],31)</f>
        <v/>
      </c>
      <c r="M137" s="172" cm="1">
        <f t="array" ref="M137">Common_InputFunctions.Utility_DisplayArrayInTable(Fertiliser_SourceData.Fertiliser_Products_Data2(), FertiliserProducts[[#Headers],[Company]],31)</f>
        <v>50</v>
      </c>
      <c r="N137" s="172" t="str" cm="1">
        <f t="array" ref="N137">Common_InputFunctions.Utility_DisplayArrayInTable(Fertiliser_SourceData.Fertiliser_Products_Data2(), FertiliserProducts[[#Headers],[Company]],31)</f>
        <v/>
      </c>
      <c r="O137" s="172" t="str" cm="1">
        <f t="array" ref="O137">Common_InputFunctions.Utility_DisplayArrayInTable(Fertiliser_SourceData.Fertiliser_Products_Data2(), FertiliserProducts[[#Headers],[Company]],31)</f>
        <v>Muriate of potash (MOP)</v>
      </c>
      <c r="P137" s="172" cm="1">
        <f t="array" ref="P137">Common_InputFunctions.Utility_DisplayArrayInTable(Fertiliser_SourceData.Fertiliser_Products_Data2(), FertiliserProducts[[#Headers],[Company]],31)</f>
        <v>1</v>
      </c>
      <c r="Q137" s="172" t="str" cm="1">
        <f t="array" ref="Q137">Common_InputFunctions.Utility_DisplayArrayInTable(Fertiliser_SourceData.Fertiliser_Products_Data2(), FertiliserProducts[[#Headers],[Company]],31)</f>
        <v/>
      </c>
      <c r="R137" s="172" t="str" cm="1">
        <f t="array" ref="R137">Common_InputFunctions.Utility_DisplayArrayInTable(Fertiliser_SourceData.Fertiliser_Products_Data2(), FertiliserProducts[[#Headers],[Company]],31)</f>
        <v/>
      </c>
      <c r="S137" s="172" t="str" cm="1">
        <f t="array" ref="S137">Common_InputFunctions.Utility_DisplayArrayInTable(Fertiliser_SourceData.Fertiliser_Products_Data2(), FertiliserProducts[[#Headers],[Company]],31)</f>
        <v/>
      </c>
      <c r="T137" s="172" t="str" cm="1">
        <f t="array" ref="T137">Common_InputFunctions.Utility_DisplayArrayInTable(Fertiliser_SourceData.Fertiliser_Products_Data2(), FertiliserProducts[[#Headers],[Company]],31)</f>
        <v/>
      </c>
      <c r="U137" s="172" t="str" cm="1">
        <f t="array" ref="U137">Common_InputFunctions.Utility_DisplayArrayInTable(Fertiliser_SourceData.Fertiliser_Products_Data2(), FertiliserProducts[[#Headers],[Company]],31)</f>
        <v/>
      </c>
      <c r="V137" s="172" t="str" cm="1">
        <f t="array" ref="V137">Common_InputFunctions.Utility_DisplayArrayInTable(Fertiliser_SourceData.Fertiliser_Products_Data2(), FertiliserProducts[[#Headers],[Company]],31)</f>
        <v/>
      </c>
      <c r="W137" s="172" t="str" cm="1">
        <f t="array" ref="W137">Common_InputFunctions.Utility_DisplayArrayInTable(Fertiliser_SourceData.Fertiliser_Products_Data2(), FertiliserProducts[[#Headers],[Company]],31)</f>
        <v/>
      </c>
      <c r="X137" s="172" t="str" cm="1">
        <f t="array" ref="X137">Common_InputFunctions.Utility_DisplayArrayInTable(Fertiliser_SourceData.Fertiliser_Products_Data2(), FertiliserProducts[[#Headers],[Company]],31)</f>
        <v/>
      </c>
      <c r="Y137" s="172" t="str" cm="1">
        <f t="array" ref="Y137">Common_InputFunctions.Utility_DisplayArrayInTable(Fertiliser_SourceData.Fertiliser_Products_Data2(), FertiliserProducts[[#Headers],[Company]],31)</f>
        <v/>
      </c>
      <c r="Z137" s="172" t="str" cm="1">
        <f t="array" ref="Z137">Common_InputFunctions.Utility_DisplayArrayInTable(Fertiliser_SourceData.Fertiliser_Products_Data2(), FertiliserProducts[[#Headers],[Company]],31)</f>
        <v/>
      </c>
      <c r="AA137" s="172" t="str" cm="1">
        <f t="array" ref="AA137">Common_InputFunctions.Utility_DisplayArrayInTable(Fertiliser_SourceData.Fertiliser_Products_Data2(), FertiliserProducts[[#Headers],[Company]],31)</f>
        <v/>
      </c>
      <c r="AB137" s="172" t="str" cm="1">
        <f t="array" ref="AB137">Common_InputFunctions.Utility_DisplayArrayInTable(Fertiliser_SourceData.Fertiliser_Products_Data2(), FertiliserProducts[[#Headers],[Company]],31)</f>
        <v/>
      </c>
      <c r="AC137" s="172" t="str" cm="1">
        <f t="array" ref="AC137">Common_InputFunctions.Utility_DisplayArrayInTable(Fertiliser_SourceData.Fertiliser_Products_Data2(), FertiliserProducts[[#Headers],[Company]],31)</f>
        <v/>
      </c>
      <c r="AD137" s="172" t="str" cm="1">
        <f t="array" ref="AD137">Common_InputFunctions.Utility_DisplayArrayInTable(Fertiliser_SourceData.Fertiliser_Products_Data2(), FertiliserProducts[[#Headers],[Company]],31)</f>
        <v/>
      </c>
      <c r="AE137" s="172" t="str" cm="1">
        <f t="array" ref="AE137">Common_InputFunctions.Utility_DisplayArrayInTable(Fertiliser_SourceData.Fertiliser_Products_Data2(), FertiliserProducts[[#Headers],[Company]],31)</f>
        <v/>
      </c>
      <c r="AF137" s="172" t="str" cm="1">
        <f t="array" ref="AF137">Common_InputFunctions.Utility_DisplayArrayInTable(Fertiliser_SourceData.Fertiliser_Products_Data2(), FertiliserProducts[[#Headers],[Company]],31)</f>
        <v/>
      </c>
      <c r="AG137" s="172" t="str" cm="1">
        <f t="array" ref="AG137">Common_InputFunctions.Utility_DisplayArrayInTable(Fertiliser_SourceData.Fertiliser_Products_Data2(), FertiliserProducts[[#Headers],[Company]],31)</f>
        <v/>
      </c>
      <c r="AH137" s="172" t="str" cm="1">
        <f t="array" ref="AH137">Common_InputFunctions.Utility_DisplayArrayInTable(Fertiliser_SourceData.Fertiliser_Products_Data2(), FertiliserProducts[[#Headers],[Company]],31)</f>
        <v/>
      </c>
      <c r="AK137" s="1"/>
      <c r="AL137" s="1"/>
      <c r="AM137" s="1"/>
    </row>
    <row r="138" spans="4:39" ht="20.100000000000001" customHeight="1" x14ac:dyDescent="0.25">
      <c r="D138" s="172" t="str" cm="1">
        <f t="array" ref="D138">Common_InputFunctions.Utility_DisplayArrayInTable(Fertiliser_SourceData.Fertiliser_Products_Data2(), FertiliserProducts[[#Headers],[Company]],31)</f>
        <v>Risso-Chemical</v>
      </c>
      <c r="E138" s="172" t="str" cm="1">
        <f t="array" ref="E138">Common_InputFunctions.Utility_DisplayArrayInTable(Fertiliser_SourceData.Fertiliser_Products_Data2(), FertiliserProducts[[#Headers],[Company]],31)</f>
        <v>Urea Ammonium nitrate (UAN 32-0-0)</v>
      </c>
      <c r="F138" s="172" t="str" cm="1">
        <f t="array" ref="F138">Common_InputFunctions.Utility_DisplayArrayInTable(Fertiliser_SourceData.Fertiliser_Products_Data2(), FertiliserProducts[[#Headers],[Company]],31)</f>
        <v>L</v>
      </c>
      <c r="G138" s="172" cm="1">
        <f t="array" ref="G138">Common_InputFunctions.Utility_DisplayArrayInTable(Fertiliser_SourceData.Fertiliser_Products_Data2(), FertiliserProducts[[#Headers],[Company]],31)</f>
        <v>1.32</v>
      </c>
      <c r="H138" s="172" t="str" cm="1">
        <f t="array" ref="H138">Common_InputFunctions.Utility_DisplayArrayInTable(Fertiliser_SourceData.Fertiliser_Products_Data2(), FertiliserProducts[[#Headers],[Company]],31)</f>
        <v/>
      </c>
      <c r="I138" s="172" t="str" cm="1">
        <f t="array" ref="I138">Common_InputFunctions.Utility_DisplayArrayInTable(Fertiliser_SourceData.Fertiliser_Products_Data2(), FertiliserProducts[[#Headers],[Company]],31)</f>
        <v>China</v>
      </c>
      <c r="J138" s="172" t="str" cm="1">
        <f t="array" ref="J138">Common_InputFunctions.Utility_DisplayArrayInTable(Fertiliser_SourceData.Fertiliser_Products_Data2(), FertiliserProducts[[#Headers],[Company]],31)</f>
        <v>China</v>
      </c>
      <c r="K138" s="172" cm="1">
        <f t="array" ref="K138">Common_InputFunctions.Utility_DisplayArrayInTable(Fertiliser_SourceData.Fertiliser_Products_Data2(), FertiliserProducts[[#Headers],[Company]],31)</f>
        <v>32</v>
      </c>
      <c r="L138" s="172" t="str" cm="1">
        <f t="array" ref="L138">Common_InputFunctions.Utility_DisplayArrayInTable(Fertiliser_SourceData.Fertiliser_Products_Data2(), FertiliserProducts[[#Headers],[Company]],31)</f>
        <v/>
      </c>
      <c r="M138" s="172" t="str" cm="1">
        <f t="array" ref="M138">Common_InputFunctions.Utility_DisplayArrayInTable(Fertiliser_SourceData.Fertiliser_Products_Data2(), FertiliserProducts[[#Headers],[Company]],31)</f>
        <v/>
      </c>
      <c r="N138" s="172" t="str" cm="1">
        <f t="array" ref="N138">Common_InputFunctions.Utility_DisplayArrayInTable(Fertiliser_SourceData.Fertiliser_Products_Data2(), FertiliserProducts[[#Headers],[Company]],31)</f>
        <v/>
      </c>
      <c r="O138" s="172" t="str" cm="1">
        <f t="array" ref="O138">Common_InputFunctions.Utility_DisplayArrayInTable(Fertiliser_SourceData.Fertiliser_Products_Data2(), FertiliserProducts[[#Headers],[Company]],31)</f>
        <v>Urea-ammonium nitrate (UAN)</v>
      </c>
      <c r="P138" s="172" cm="1">
        <f t="array" ref="P138">Common_InputFunctions.Utility_DisplayArrayInTable(Fertiliser_SourceData.Fertiliser_Products_Data2(), FertiliserProducts[[#Headers],[Company]],31)</f>
        <v>1</v>
      </c>
      <c r="Q138" s="172" t="str" cm="1">
        <f t="array" ref="Q138">Common_InputFunctions.Utility_DisplayArrayInTable(Fertiliser_SourceData.Fertiliser_Products_Data2(), FertiliserProducts[[#Headers],[Company]],31)</f>
        <v/>
      </c>
      <c r="R138" s="172" t="str" cm="1">
        <f t="array" ref="R138">Common_InputFunctions.Utility_DisplayArrayInTable(Fertiliser_SourceData.Fertiliser_Products_Data2(), FertiliserProducts[[#Headers],[Company]],31)</f>
        <v/>
      </c>
      <c r="S138" s="172" t="str" cm="1">
        <f t="array" ref="S138">Common_InputFunctions.Utility_DisplayArrayInTable(Fertiliser_SourceData.Fertiliser_Products_Data2(), FertiliserProducts[[#Headers],[Company]],31)</f>
        <v/>
      </c>
      <c r="T138" s="172" t="str" cm="1">
        <f t="array" ref="T138">Common_InputFunctions.Utility_DisplayArrayInTable(Fertiliser_SourceData.Fertiliser_Products_Data2(), FertiliserProducts[[#Headers],[Company]],31)</f>
        <v/>
      </c>
      <c r="U138" s="172" t="str" cm="1">
        <f t="array" ref="U138">Common_InputFunctions.Utility_DisplayArrayInTable(Fertiliser_SourceData.Fertiliser_Products_Data2(), FertiliserProducts[[#Headers],[Company]],31)</f>
        <v/>
      </c>
      <c r="V138" s="172" t="str" cm="1">
        <f t="array" ref="V138">Common_InputFunctions.Utility_DisplayArrayInTable(Fertiliser_SourceData.Fertiliser_Products_Data2(), FertiliserProducts[[#Headers],[Company]],31)</f>
        <v/>
      </c>
      <c r="W138" s="172" t="str" cm="1">
        <f t="array" ref="W138">Common_InputFunctions.Utility_DisplayArrayInTable(Fertiliser_SourceData.Fertiliser_Products_Data2(), FertiliserProducts[[#Headers],[Company]],31)</f>
        <v/>
      </c>
      <c r="X138" s="172" t="str" cm="1">
        <f t="array" ref="X138">Common_InputFunctions.Utility_DisplayArrayInTable(Fertiliser_SourceData.Fertiliser_Products_Data2(), FertiliserProducts[[#Headers],[Company]],31)</f>
        <v/>
      </c>
      <c r="Y138" s="172" t="str" cm="1">
        <f t="array" ref="Y138">Common_InputFunctions.Utility_DisplayArrayInTable(Fertiliser_SourceData.Fertiliser_Products_Data2(), FertiliserProducts[[#Headers],[Company]],31)</f>
        <v/>
      </c>
      <c r="Z138" s="172" t="str" cm="1">
        <f t="array" ref="Z138">Common_InputFunctions.Utility_DisplayArrayInTable(Fertiliser_SourceData.Fertiliser_Products_Data2(), FertiliserProducts[[#Headers],[Company]],31)</f>
        <v/>
      </c>
      <c r="AA138" s="172" t="str" cm="1">
        <f t="array" ref="AA138">Common_InputFunctions.Utility_DisplayArrayInTable(Fertiliser_SourceData.Fertiliser_Products_Data2(), FertiliserProducts[[#Headers],[Company]],31)</f>
        <v/>
      </c>
      <c r="AB138" s="172" t="str" cm="1">
        <f t="array" ref="AB138">Common_InputFunctions.Utility_DisplayArrayInTable(Fertiliser_SourceData.Fertiliser_Products_Data2(), FertiliserProducts[[#Headers],[Company]],31)</f>
        <v/>
      </c>
      <c r="AC138" s="172" t="str" cm="1">
        <f t="array" ref="AC138">Common_InputFunctions.Utility_DisplayArrayInTable(Fertiliser_SourceData.Fertiliser_Products_Data2(), FertiliserProducts[[#Headers],[Company]],31)</f>
        <v/>
      </c>
      <c r="AD138" s="172" t="str" cm="1">
        <f t="array" ref="AD138">Common_InputFunctions.Utility_DisplayArrayInTable(Fertiliser_SourceData.Fertiliser_Products_Data2(), FertiliserProducts[[#Headers],[Company]],31)</f>
        <v/>
      </c>
      <c r="AE138" s="172" t="str" cm="1">
        <f t="array" ref="AE138">Common_InputFunctions.Utility_DisplayArrayInTable(Fertiliser_SourceData.Fertiliser_Products_Data2(), FertiliserProducts[[#Headers],[Company]],31)</f>
        <v/>
      </c>
      <c r="AF138" s="172" t="str" cm="1">
        <f t="array" ref="AF138">Common_InputFunctions.Utility_DisplayArrayInTable(Fertiliser_SourceData.Fertiliser_Products_Data2(), FertiliserProducts[[#Headers],[Company]],31)</f>
        <v/>
      </c>
      <c r="AG138" s="172" t="str" cm="1">
        <f t="array" ref="AG138">Common_InputFunctions.Utility_DisplayArrayInTable(Fertiliser_SourceData.Fertiliser_Products_Data2(), FertiliserProducts[[#Headers],[Company]],31)</f>
        <v/>
      </c>
      <c r="AH138" s="172" t="str" cm="1">
        <f t="array" ref="AH138">Common_InputFunctions.Utility_DisplayArrayInTable(Fertiliser_SourceData.Fertiliser_Products_Data2(), FertiliserProducts[[#Headers],[Company]],31)</f>
        <v/>
      </c>
      <c r="AK138" s="1"/>
      <c r="AL138" s="1"/>
      <c r="AM138" s="1"/>
    </row>
    <row r="139" spans="4:39" ht="20.100000000000001" customHeight="1" x14ac:dyDescent="0.25">
      <c r="D139" s="172" t="str" cm="1">
        <f t="array" ref="D139">Common_InputFunctions.Utility_DisplayArrayInTable(Fertiliser_SourceData.Fertiliser_Products_Data2(), FertiliserProducts[[#Headers],[Company]],31)</f>
        <v>Risso-Chemical</v>
      </c>
      <c r="E139" s="172" t="str" cm="1">
        <f t="array" ref="E139">Common_InputFunctions.Utility_DisplayArrayInTable(Fertiliser_SourceData.Fertiliser_Products_Data2(), FertiliserProducts[[#Headers],[Company]],31)</f>
        <v>Polypeptide Urea</v>
      </c>
      <c r="F139" s="172" t="str" cm="1">
        <f t="array" ref="F139">Common_InputFunctions.Utility_DisplayArrayInTable(Fertiliser_SourceData.Fertiliser_Products_Data2(), FertiliserProducts[[#Headers],[Company]],31)</f>
        <v>kg</v>
      </c>
      <c r="G139" s="172" cm="1">
        <f t="array" ref="G139">Common_InputFunctions.Utility_DisplayArrayInTable(Fertiliser_SourceData.Fertiliser_Products_Data2(), FertiliserProducts[[#Headers],[Company]],31)</f>
        <v>1</v>
      </c>
      <c r="H139" s="172" t="str" cm="1">
        <f t="array" ref="H139">Common_InputFunctions.Utility_DisplayArrayInTable(Fertiliser_SourceData.Fertiliser_Products_Data2(), FertiliserProducts[[#Headers],[Company]],31)</f>
        <v/>
      </c>
      <c r="I139" s="172" t="str" cm="1">
        <f t="array" ref="I139">Common_InputFunctions.Utility_DisplayArrayInTable(Fertiliser_SourceData.Fertiliser_Products_Data2(), FertiliserProducts[[#Headers],[Company]],31)</f>
        <v>China</v>
      </c>
      <c r="J139" s="172" t="str" cm="1">
        <f t="array" ref="J139">Common_InputFunctions.Utility_DisplayArrayInTable(Fertiliser_SourceData.Fertiliser_Products_Data2(), FertiliserProducts[[#Headers],[Company]],31)</f>
        <v/>
      </c>
      <c r="K139" s="172" cm="1">
        <f t="array" ref="K139">Common_InputFunctions.Utility_DisplayArrayInTable(Fertiliser_SourceData.Fertiliser_Products_Data2(), FertiliserProducts[[#Headers],[Company]],31)</f>
        <v>46</v>
      </c>
      <c r="L139" s="172" t="str" cm="1">
        <f t="array" ref="L139">Common_InputFunctions.Utility_DisplayArrayInTable(Fertiliser_SourceData.Fertiliser_Products_Data2(), FertiliserProducts[[#Headers],[Company]],31)</f>
        <v/>
      </c>
      <c r="M139" s="172" t="str" cm="1">
        <f t="array" ref="M139">Common_InputFunctions.Utility_DisplayArrayInTable(Fertiliser_SourceData.Fertiliser_Products_Data2(), FertiliserProducts[[#Headers],[Company]],31)</f>
        <v/>
      </c>
      <c r="N139" s="172" t="str" cm="1">
        <f t="array" ref="N139">Common_InputFunctions.Utility_DisplayArrayInTable(Fertiliser_SourceData.Fertiliser_Products_Data2(), FertiliserProducts[[#Headers],[Company]],31)</f>
        <v/>
      </c>
      <c r="O139" s="172" t="str" cm="1">
        <f t="array" ref="O139">Common_InputFunctions.Utility_DisplayArrayInTable(Fertiliser_SourceData.Fertiliser_Products_Data2(), FertiliserProducts[[#Headers],[Company]],31)</f>
        <v>Urea</v>
      </c>
      <c r="P139" s="172" cm="1">
        <f t="array" ref="P139">Common_InputFunctions.Utility_DisplayArrayInTable(Fertiliser_SourceData.Fertiliser_Products_Data2(), FertiliserProducts[[#Headers],[Company]],31)</f>
        <v>1</v>
      </c>
      <c r="Q139" s="172" t="str" cm="1">
        <f t="array" ref="Q139">Common_InputFunctions.Utility_DisplayArrayInTable(Fertiliser_SourceData.Fertiliser_Products_Data2(), FertiliserProducts[[#Headers],[Company]],31)</f>
        <v>Polypeptide (amino acids)</v>
      </c>
      <c r="R139" s="172" cm="1">
        <f t="array" ref="R139">Common_InputFunctions.Utility_DisplayArrayInTable(Fertiliser_SourceData.Fertiliser_Products_Data2(), FertiliserProducts[[#Headers],[Company]],31)</f>
        <v>0</v>
      </c>
      <c r="S139" s="172" t="str" cm="1">
        <f t="array" ref="S139">Common_InputFunctions.Utility_DisplayArrayInTable(Fertiliser_SourceData.Fertiliser_Products_Data2(), FertiliserProducts[[#Headers],[Company]],31)</f>
        <v/>
      </c>
      <c r="T139" s="172" t="str" cm="1">
        <f t="array" ref="T139">Common_InputFunctions.Utility_DisplayArrayInTable(Fertiliser_SourceData.Fertiliser_Products_Data2(), FertiliserProducts[[#Headers],[Company]],31)</f>
        <v/>
      </c>
      <c r="U139" s="172" t="str" cm="1">
        <f t="array" ref="U139">Common_InputFunctions.Utility_DisplayArrayInTable(Fertiliser_SourceData.Fertiliser_Products_Data2(), FertiliserProducts[[#Headers],[Company]],31)</f>
        <v/>
      </c>
      <c r="V139" s="172" t="str" cm="1">
        <f t="array" ref="V139">Common_InputFunctions.Utility_DisplayArrayInTable(Fertiliser_SourceData.Fertiliser_Products_Data2(), FertiliserProducts[[#Headers],[Company]],31)</f>
        <v/>
      </c>
      <c r="W139" s="172" t="str" cm="1">
        <f t="array" ref="W139">Common_InputFunctions.Utility_DisplayArrayInTable(Fertiliser_SourceData.Fertiliser_Products_Data2(), FertiliserProducts[[#Headers],[Company]],31)</f>
        <v/>
      </c>
      <c r="X139" s="172" t="str" cm="1">
        <f t="array" ref="X139">Common_InputFunctions.Utility_DisplayArrayInTable(Fertiliser_SourceData.Fertiliser_Products_Data2(), FertiliserProducts[[#Headers],[Company]],31)</f>
        <v/>
      </c>
      <c r="Y139" s="172" t="str" cm="1">
        <f t="array" ref="Y139">Common_InputFunctions.Utility_DisplayArrayInTable(Fertiliser_SourceData.Fertiliser_Products_Data2(), FertiliserProducts[[#Headers],[Company]],31)</f>
        <v/>
      </c>
      <c r="Z139" s="172" t="str" cm="1">
        <f t="array" ref="Z139">Common_InputFunctions.Utility_DisplayArrayInTable(Fertiliser_SourceData.Fertiliser_Products_Data2(), FertiliserProducts[[#Headers],[Company]],31)</f>
        <v/>
      </c>
      <c r="AA139" s="172" t="str" cm="1">
        <f t="array" ref="AA139">Common_InputFunctions.Utility_DisplayArrayInTable(Fertiliser_SourceData.Fertiliser_Products_Data2(), FertiliserProducts[[#Headers],[Company]],31)</f>
        <v/>
      </c>
      <c r="AB139" s="172" t="str" cm="1">
        <f t="array" ref="AB139">Common_InputFunctions.Utility_DisplayArrayInTable(Fertiliser_SourceData.Fertiliser_Products_Data2(), FertiliserProducts[[#Headers],[Company]],31)</f>
        <v/>
      </c>
      <c r="AC139" s="172" t="str" cm="1">
        <f t="array" ref="AC139">Common_InputFunctions.Utility_DisplayArrayInTable(Fertiliser_SourceData.Fertiliser_Products_Data2(), FertiliserProducts[[#Headers],[Company]],31)</f>
        <v/>
      </c>
      <c r="AD139" s="172" t="str" cm="1">
        <f t="array" ref="AD139">Common_InputFunctions.Utility_DisplayArrayInTable(Fertiliser_SourceData.Fertiliser_Products_Data2(), FertiliserProducts[[#Headers],[Company]],31)</f>
        <v/>
      </c>
      <c r="AE139" s="172" t="str" cm="1">
        <f t="array" ref="AE139">Common_InputFunctions.Utility_DisplayArrayInTable(Fertiliser_SourceData.Fertiliser_Products_Data2(), FertiliserProducts[[#Headers],[Company]],31)</f>
        <v/>
      </c>
      <c r="AF139" s="172" t="str" cm="1">
        <f t="array" ref="AF139">Common_InputFunctions.Utility_DisplayArrayInTable(Fertiliser_SourceData.Fertiliser_Products_Data2(), FertiliserProducts[[#Headers],[Company]],31)</f>
        <v/>
      </c>
      <c r="AG139" s="172" t="str" cm="1">
        <f t="array" ref="AG139">Common_InputFunctions.Utility_DisplayArrayInTable(Fertiliser_SourceData.Fertiliser_Products_Data2(), FertiliserProducts[[#Headers],[Company]],31)</f>
        <v/>
      </c>
      <c r="AH139" s="172" t="str" cm="1">
        <f t="array" ref="AH139">Common_InputFunctions.Utility_DisplayArrayInTable(Fertiliser_SourceData.Fertiliser_Products_Data2(), FertiliserProducts[[#Headers],[Company]],31)</f>
        <v/>
      </c>
      <c r="AK139" s="1"/>
      <c r="AL139" s="1"/>
      <c r="AM139" s="1"/>
    </row>
    <row r="140" spans="4:39" ht="20.100000000000001" customHeight="1" x14ac:dyDescent="0.25">
      <c r="D140" s="172" t="str" cm="1">
        <f t="array" ref="D140">Common_InputFunctions.Utility_DisplayArrayInTable(Fertiliser_SourceData.Fertiliser_Products_Data2(), FertiliserProducts[[#Headers],[Company]],31)</f>
        <v>Yara Australia</v>
      </c>
      <c r="E140" s="172" t="str" cm="1">
        <f t="array" ref="E140">Common_InputFunctions.Utility_DisplayArrayInTable(Fertiliser_SourceData.Fertiliser_Products_Data2(), FertiliserProducts[[#Headers],[Company]],31)</f>
        <v>YaraTera CALCINIT</v>
      </c>
      <c r="F140" s="172" t="str" cm="1">
        <f t="array" ref="F140">Common_InputFunctions.Utility_DisplayArrayInTable(Fertiliser_SourceData.Fertiliser_Products_Data2(), FertiliserProducts[[#Headers],[Company]],31)</f>
        <v>kg</v>
      </c>
      <c r="G140" s="172" cm="1">
        <f t="array" ref="G140">Common_InputFunctions.Utility_DisplayArrayInTable(Fertiliser_SourceData.Fertiliser_Products_Data2(), FertiliserProducts[[#Headers],[Company]],31)</f>
        <v>1</v>
      </c>
      <c r="H140" s="172" t="str" cm="1">
        <f t="array" ref="H140">Common_InputFunctions.Utility_DisplayArrayInTable(Fertiliser_SourceData.Fertiliser_Products_Data2(), FertiliserProducts[[#Headers],[Company]],31)</f>
        <v/>
      </c>
      <c r="I140" s="172" t="str" cm="1">
        <f t="array" ref="I140">Common_InputFunctions.Utility_DisplayArrayInTable(Fertiliser_SourceData.Fertiliser_Products_Data2(), FertiliserProducts[[#Headers],[Company]],31)</f>
        <v/>
      </c>
      <c r="J140" s="172" t="str" cm="1">
        <f t="array" ref="J140">Common_InputFunctions.Utility_DisplayArrayInTable(Fertiliser_SourceData.Fertiliser_Products_Data2(), FertiliserProducts[[#Headers],[Company]],31)</f>
        <v/>
      </c>
      <c r="K140" s="172" cm="1">
        <f t="array" ref="K140">Common_InputFunctions.Utility_DisplayArrayInTable(Fertiliser_SourceData.Fertiliser_Products_Data2(), FertiliserProducts[[#Headers],[Company]],31)</f>
        <v>15.5</v>
      </c>
      <c r="L140" s="172" t="str" cm="1">
        <f t="array" ref="L140">Common_InputFunctions.Utility_DisplayArrayInTable(Fertiliser_SourceData.Fertiliser_Products_Data2(), FertiliserProducts[[#Headers],[Company]],31)</f>
        <v/>
      </c>
      <c r="M140" s="172" t="str" cm="1">
        <f t="array" ref="M140">Common_InputFunctions.Utility_DisplayArrayInTable(Fertiliser_SourceData.Fertiliser_Products_Data2(), FertiliserProducts[[#Headers],[Company]],31)</f>
        <v/>
      </c>
      <c r="N140" s="172" t="str" cm="1">
        <f t="array" ref="N140">Common_InputFunctions.Utility_DisplayArrayInTable(Fertiliser_SourceData.Fertiliser_Products_Data2(), FertiliserProducts[[#Headers],[Company]],31)</f>
        <v/>
      </c>
      <c r="O140" s="172" t="str" cm="1">
        <f t="array" ref="O140">Common_InputFunctions.Utility_DisplayArrayInTable(Fertiliser_SourceData.Fertiliser_Products_Data2(), FertiliserProducts[[#Headers],[Company]],31)</f>
        <v>Calcium nitrate</v>
      </c>
      <c r="P140" s="172" cm="1">
        <f t="array" ref="P140">Common_InputFunctions.Utility_DisplayArrayInTable(Fertiliser_SourceData.Fertiliser_Products_Data2(), FertiliserProducts[[#Headers],[Company]],31)</f>
        <v>1</v>
      </c>
      <c r="Q140" s="172" t="str" cm="1">
        <f t="array" ref="Q140">Common_InputFunctions.Utility_DisplayArrayInTable(Fertiliser_SourceData.Fertiliser_Products_Data2(), FertiliserProducts[[#Headers],[Company]],31)</f>
        <v/>
      </c>
      <c r="R140" s="172" t="str" cm="1">
        <f t="array" ref="R140">Common_InputFunctions.Utility_DisplayArrayInTable(Fertiliser_SourceData.Fertiliser_Products_Data2(), FertiliserProducts[[#Headers],[Company]],31)</f>
        <v/>
      </c>
      <c r="S140" s="172" t="str" cm="1">
        <f t="array" ref="S140">Common_InputFunctions.Utility_DisplayArrayInTable(Fertiliser_SourceData.Fertiliser_Products_Data2(), FertiliserProducts[[#Headers],[Company]],31)</f>
        <v/>
      </c>
      <c r="T140" s="172" t="str" cm="1">
        <f t="array" ref="T140">Common_InputFunctions.Utility_DisplayArrayInTable(Fertiliser_SourceData.Fertiliser_Products_Data2(), FertiliserProducts[[#Headers],[Company]],31)</f>
        <v/>
      </c>
      <c r="U140" s="172" t="str" cm="1">
        <f t="array" ref="U140">Common_InputFunctions.Utility_DisplayArrayInTable(Fertiliser_SourceData.Fertiliser_Products_Data2(), FertiliserProducts[[#Headers],[Company]],31)</f>
        <v/>
      </c>
      <c r="V140" s="172" t="str" cm="1">
        <f t="array" ref="V140">Common_InputFunctions.Utility_DisplayArrayInTable(Fertiliser_SourceData.Fertiliser_Products_Data2(), FertiliserProducts[[#Headers],[Company]],31)</f>
        <v/>
      </c>
      <c r="W140" s="172" t="str" cm="1">
        <f t="array" ref="W140">Common_InputFunctions.Utility_DisplayArrayInTable(Fertiliser_SourceData.Fertiliser_Products_Data2(), FertiliserProducts[[#Headers],[Company]],31)</f>
        <v/>
      </c>
      <c r="X140" s="172" t="str" cm="1">
        <f t="array" ref="X140">Common_InputFunctions.Utility_DisplayArrayInTable(Fertiliser_SourceData.Fertiliser_Products_Data2(), FertiliserProducts[[#Headers],[Company]],31)</f>
        <v/>
      </c>
      <c r="Y140" s="172" t="str" cm="1">
        <f t="array" ref="Y140">Common_InputFunctions.Utility_DisplayArrayInTable(Fertiliser_SourceData.Fertiliser_Products_Data2(), FertiliserProducts[[#Headers],[Company]],31)</f>
        <v/>
      </c>
      <c r="Z140" s="172" t="str" cm="1">
        <f t="array" ref="Z140">Common_InputFunctions.Utility_DisplayArrayInTable(Fertiliser_SourceData.Fertiliser_Products_Data2(), FertiliserProducts[[#Headers],[Company]],31)</f>
        <v/>
      </c>
      <c r="AA140" s="172" t="str" cm="1">
        <f t="array" ref="AA140">Common_InputFunctions.Utility_DisplayArrayInTable(Fertiliser_SourceData.Fertiliser_Products_Data2(), FertiliserProducts[[#Headers],[Company]],31)</f>
        <v/>
      </c>
      <c r="AB140" s="172" t="str" cm="1">
        <f t="array" ref="AB140">Common_InputFunctions.Utility_DisplayArrayInTable(Fertiliser_SourceData.Fertiliser_Products_Data2(), FertiliserProducts[[#Headers],[Company]],31)</f>
        <v/>
      </c>
      <c r="AC140" s="172" t="str" cm="1">
        <f t="array" ref="AC140">Common_InputFunctions.Utility_DisplayArrayInTable(Fertiliser_SourceData.Fertiliser_Products_Data2(), FertiliserProducts[[#Headers],[Company]],31)</f>
        <v/>
      </c>
      <c r="AD140" s="172" t="str" cm="1">
        <f t="array" ref="AD140">Common_InputFunctions.Utility_DisplayArrayInTable(Fertiliser_SourceData.Fertiliser_Products_Data2(), FertiliserProducts[[#Headers],[Company]],31)</f>
        <v/>
      </c>
      <c r="AE140" s="172" t="str" cm="1">
        <f t="array" ref="AE140">Common_InputFunctions.Utility_DisplayArrayInTable(Fertiliser_SourceData.Fertiliser_Products_Data2(), FertiliserProducts[[#Headers],[Company]],31)</f>
        <v/>
      </c>
      <c r="AF140" s="172" t="str" cm="1">
        <f t="array" ref="AF140">Common_InputFunctions.Utility_DisplayArrayInTable(Fertiliser_SourceData.Fertiliser_Products_Data2(), FertiliserProducts[[#Headers],[Company]],31)</f>
        <v/>
      </c>
      <c r="AG140" s="172" t="str" cm="1">
        <f t="array" ref="AG140">Common_InputFunctions.Utility_DisplayArrayInTable(Fertiliser_SourceData.Fertiliser_Products_Data2(), FertiliserProducts[[#Headers],[Company]],31)</f>
        <v/>
      </c>
      <c r="AH140" s="172" t="str" cm="1">
        <f t="array" ref="AH140">Common_InputFunctions.Utility_DisplayArrayInTable(Fertiliser_SourceData.Fertiliser_Products_Data2(), FertiliserProducts[[#Headers],[Company]],31)</f>
        <v/>
      </c>
      <c r="AK140" s="1"/>
      <c r="AL140" s="1"/>
      <c r="AM140" s="1"/>
    </row>
    <row r="141" spans="4:39" ht="20.100000000000001" customHeight="1" x14ac:dyDescent="0.25">
      <c r="D141" s="172" t="str" cm="1">
        <f t="array" ref="D141">Common_InputFunctions.Utility_DisplayArrayInTable(Fertiliser_SourceData.Fertiliser_Products_Data2(), FertiliserProducts[[#Headers],[Company]],31)</f>
        <v>Yara Australia</v>
      </c>
      <c r="E141" s="172" t="str" cm="1">
        <f t="array" ref="E141">Common_InputFunctions.Utility_DisplayArrayInTable(Fertiliser_SourceData.Fertiliser_Products_Data2(), FertiliserProducts[[#Headers],[Company]],31)</f>
        <v>YaraLiva NITRABOR</v>
      </c>
      <c r="F141" s="172" t="str" cm="1">
        <f t="array" ref="F141">Common_InputFunctions.Utility_DisplayArrayInTable(Fertiliser_SourceData.Fertiliser_Products_Data2(), FertiliserProducts[[#Headers],[Company]],31)</f>
        <v>kg</v>
      </c>
      <c r="G141" s="172" cm="1">
        <f t="array" ref="G141">Common_InputFunctions.Utility_DisplayArrayInTable(Fertiliser_SourceData.Fertiliser_Products_Data2(), FertiliserProducts[[#Headers],[Company]],31)</f>
        <v>1</v>
      </c>
      <c r="H141" s="172" t="str" cm="1">
        <f t="array" ref="H141">Common_InputFunctions.Utility_DisplayArrayInTable(Fertiliser_SourceData.Fertiliser_Products_Data2(), FertiliserProducts[[#Headers],[Company]],31)</f>
        <v/>
      </c>
      <c r="I141" s="172" t="str" cm="1">
        <f t="array" ref="I141">Common_InputFunctions.Utility_DisplayArrayInTable(Fertiliser_SourceData.Fertiliser_Products_Data2(), FertiliserProducts[[#Headers],[Company]],31)</f>
        <v/>
      </c>
      <c r="J141" s="172" t="str" cm="1">
        <f t="array" ref="J141">Common_InputFunctions.Utility_DisplayArrayInTable(Fertiliser_SourceData.Fertiliser_Products_Data2(), FertiliserProducts[[#Headers],[Company]],31)</f>
        <v/>
      </c>
      <c r="K141" s="172" cm="1">
        <f t="array" ref="K141">Common_InputFunctions.Utility_DisplayArrayInTable(Fertiliser_SourceData.Fertiliser_Products_Data2(), FertiliserProducts[[#Headers],[Company]],31)</f>
        <v>15.4</v>
      </c>
      <c r="L141" s="172" t="str" cm="1">
        <f t="array" ref="L141">Common_InputFunctions.Utility_DisplayArrayInTable(Fertiliser_SourceData.Fertiliser_Products_Data2(), FertiliserProducts[[#Headers],[Company]],31)</f>
        <v/>
      </c>
      <c r="M141" s="172" t="str" cm="1">
        <f t="array" ref="M141">Common_InputFunctions.Utility_DisplayArrayInTable(Fertiliser_SourceData.Fertiliser_Products_Data2(), FertiliserProducts[[#Headers],[Company]],31)</f>
        <v/>
      </c>
      <c r="N141" s="172" t="str" cm="1">
        <f t="array" ref="N141">Common_InputFunctions.Utility_DisplayArrayInTable(Fertiliser_SourceData.Fertiliser_Products_Data2(), FertiliserProducts[[#Headers],[Company]],31)</f>
        <v/>
      </c>
      <c r="O141" s="172" t="str" cm="1">
        <f t="array" ref="O141">Common_InputFunctions.Utility_DisplayArrayInTable(Fertiliser_SourceData.Fertiliser_Products_Data2(), FertiliserProducts[[#Headers],[Company]],31)</f>
        <v>Calcium nitrate</v>
      </c>
      <c r="P141" s="172" cm="1">
        <f t="array" ref="P141">Common_InputFunctions.Utility_DisplayArrayInTable(Fertiliser_SourceData.Fertiliser_Products_Data2(), FertiliserProducts[[#Headers],[Company]],31)</f>
        <v>0.99354799999999999</v>
      </c>
      <c r="Q141" s="172" t="str" cm="1">
        <f t="array" ref="Q141">Common_InputFunctions.Utility_DisplayArrayInTable(Fertiliser_SourceData.Fertiliser_Products_Data2(), FertiliserProducts[[#Headers],[Company]],31)</f>
        <v>Boron</v>
      </c>
      <c r="R141" s="172" cm="1">
        <f t="array" ref="R141">Common_InputFunctions.Utility_DisplayArrayInTable(Fertiliser_SourceData.Fertiliser_Products_Data2(), FertiliserProducts[[#Headers],[Company]],31)</f>
        <v>3.0000000000000001E-3</v>
      </c>
      <c r="S141" s="172" t="str" cm="1">
        <f t="array" ref="S141">Common_InputFunctions.Utility_DisplayArrayInTable(Fertiliser_SourceData.Fertiliser_Products_Data2(), FertiliserProducts[[#Headers],[Company]],31)</f>
        <v/>
      </c>
      <c r="T141" s="172" t="str" cm="1">
        <f t="array" ref="T141">Common_InputFunctions.Utility_DisplayArrayInTable(Fertiliser_SourceData.Fertiliser_Products_Data2(), FertiliserProducts[[#Headers],[Company]],31)</f>
        <v/>
      </c>
      <c r="U141" s="172" t="str" cm="1">
        <f t="array" ref="U141">Common_InputFunctions.Utility_DisplayArrayInTable(Fertiliser_SourceData.Fertiliser_Products_Data2(), FertiliserProducts[[#Headers],[Company]],31)</f>
        <v/>
      </c>
      <c r="V141" s="172" t="str" cm="1">
        <f t="array" ref="V141">Common_InputFunctions.Utility_DisplayArrayInTable(Fertiliser_SourceData.Fertiliser_Products_Data2(), FertiliserProducts[[#Headers],[Company]],31)</f>
        <v/>
      </c>
      <c r="W141" s="172" t="str" cm="1">
        <f t="array" ref="W141">Common_InputFunctions.Utility_DisplayArrayInTable(Fertiliser_SourceData.Fertiliser_Products_Data2(), FertiliserProducts[[#Headers],[Company]],31)</f>
        <v/>
      </c>
      <c r="X141" s="172" t="str" cm="1">
        <f t="array" ref="X141">Common_InputFunctions.Utility_DisplayArrayInTable(Fertiliser_SourceData.Fertiliser_Products_Data2(), FertiliserProducts[[#Headers],[Company]],31)</f>
        <v/>
      </c>
      <c r="Y141" s="172" t="str" cm="1">
        <f t="array" ref="Y141">Common_InputFunctions.Utility_DisplayArrayInTable(Fertiliser_SourceData.Fertiliser_Products_Data2(), FertiliserProducts[[#Headers],[Company]],31)</f>
        <v/>
      </c>
      <c r="Z141" s="172" t="str" cm="1">
        <f t="array" ref="Z141">Common_InputFunctions.Utility_DisplayArrayInTable(Fertiliser_SourceData.Fertiliser_Products_Data2(), FertiliserProducts[[#Headers],[Company]],31)</f>
        <v/>
      </c>
      <c r="AA141" s="172" t="str" cm="1">
        <f t="array" ref="AA141">Common_InputFunctions.Utility_DisplayArrayInTable(Fertiliser_SourceData.Fertiliser_Products_Data2(), FertiliserProducts[[#Headers],[Company]],31)</f>
        <v/>
      </c>
      <c r="AB141" s="172" t="str" cm="1">
        <f t="array" ref="AB141">Common_InputFunctions.Utility_DisplayArrayInTable(Fertiliser_SourceData.Fertiliser_Products_Data2(), FertiliserProducts[[#Headers],[Company]],31)</f>
        <v/>
      </c>
      <c r="AC141" s="172" t="str" cm="1">
        <f t="array" ref="AC141">Common_InputFunctions.Utility_DisplayArrayInTable(Fertiliser_SourceData.Fertiliser_Products_Data2(), FertiliserProducts[[#Headers],[Company]],31)</f>
        <v/>
      </c>
      <c r="AD141" s="172" t="str" cm="1">
        <f t="array" ref="AD141">Common_InputFunctions.Utility_DisplayArrayInTable(Fertiliser_SourceData.Fertiliser_Products_Data2(), FertiliserProducts[[#Headers],[Company]],31)</f>
        <v/>
      </c>
      <c r="AE141" s="172" t="str" cm="1">
        <f t="array" ref="AE141">Common_InputFunctions.Utility_DisplayArrayInTable(Fertiliser_SourceData.Fertiliser_Products_Data2(), FertiliserProducts[[#Headers],[Company]],31)</f>
        <v/>
      </c>
      <c r="AF141" s="172" t="str" cm="1">
        <f t="array" ref="AF141">Common_InputFunctions.Utility_DisplayArrayInTable(Fertiliser_SourceData.Fertiliser_Products_Data2(), FertiliserProducts[[#Headers],[Company]],31)</f>
        <v/>
      </c>
      <c r="AG141" s="172" t="str" cm="1">
        <f t="array" ref="AG141">Common_InputFunctions.Utility_DisplayArrayInTable(Fertiliser_SourceData.Fertiliser_Products_Data2(), FertiliserProducts[[#Headers],[Company]],31)</f>
        <v/>
      </c>
      <c r="AH141" s="172" t="str" cm="1">
        <f t="array" ref="AH141">Common_InputFunctions.Utility_DisplayArrayInTable(Fertiliser_SourceData.Fertiliser_Products_Data2(), FertiliserProducts[[#Headers],[Company]],31)</f>
        <v/>
      </c>
      <c r="AK141" s="1"/>
      <c r="AL141" s="1"/>
      <c r="AM141" s="1"/>
    </row>
    <row r="142" spans="4:39" ht="20.100000000000001" customHeight="1" x14ac:dyDescent="0.25">
      <c r="D142" s="172" t="str" cm="1">
        <f t="array" ref="D142">Common_InputFunctions.Utility_DisplayArrayInTable(Fertiliser_SourceData.Fertiliser_Products_Data2(), FertiliserProducts[[#Headers],[Company]],31)</f>
        <v>Yara Australia</v>
      </c>
      <c r="E142" s="172" t="str" cm="1">
        <f t="array" ref="E142">Common_InputFunctions.Utility_DisplayArrayInTable(Fertiliser_SourceData.Fertiliser_Products_Data2(), FertiliserProducts[[#Headers],[Company]],31)</f>
        <v>YaraMila COMPLEX</v>
      </c>
      <c r="F142" s="172" t="str" cm="1">
        <f t="array" ref="F142">Common_InputFunctions.Utility_DisplayArrayInTable(Fertiliser_SourceData.Fertiliser_Products_Data2(), FertiliserProducts[[#Headers],[Company]],31)</f>
        <v>kg</v>
      </c>
      <c r="G142" s="172" cm="1">
        <f t="array" ref="G142">Common_InputFunctions.Utility_DisplayArrayInTable(Fertiliser_SourceData.Fertiliser_Products_Data2(), FertiliserProducts[[#Headers],[Company]],31)</f>
        <v>1</v>
      </c>
      <c r="H142" s="172" t="str" cm="1">
        <f t="array" ref="H142">Common_InputFunctions.Utility_DisplayArrayInTable(Fertiliser_SourceData.Fertiliser_Products_Data2(), FertiliserProducts[[#Headers],[Company]],31)</f>
        <v/>
      </c>
      <c r="I142" s="172" t="str" cm="1">
        <f t="array" ref="I142">Common_InputFunctions.Utility_DisplayArrayInTable(Fertiliser_SourceData.Fertiliser_Products_Data2(), FertiliserProducts[[#Headers],[Company]],31)</f>
        <v/>
      </c>
      <c r="J142" s="172" t="str" cm="1">
        <f t="array" ref="J142">Common_InputFunctions.Utility_DisplayArrayInTable(Fertiliser_SourceData.Fertiliser_Products_Data2(), FertiliserProducts[[#Headers],[Company]],31)</f>
        <v/>
      </c>
      <c r="K142" s="172" cm="1">
        <f t="array" ref="K142">Common_InputFunctions.Utility_DisplayArrayInTable(Fertiliser_SourceData.Fertiliser_Products_Data2(), FertiliserProducts[[#Headers],[Company]],31)</f>
        <v>12</v>
      </c>
      <c r="L142" s="172" cm="1">
        <f t="array" ref="L142">Common_InputFunctions.Utility_DisplayArrayInTable(Fertiliser_SourceData.Fertiliser_Products_Data2(), FertiliserProducts[[#Headers],[Company]],31)</f>
        <v>5</v>
      </c>
      <c r="M142" s="172" cm="1">
        <f t="array" ref="M142">Common_InputFunctions.Utility_DisplayArrayInTable(Fertiliser_SourceData.Fertiliser_Products_Data2(), FertiliserProducts[[#Headers],[Company]],31)</f>
        <v>15</v>
      </c>
      <c r="N142" s="172" cm="1">
        <f t="array" ref="N142">Common_InputFunctions.Utility_DisplayArrayInTable(Fertiliser_SourceData.Fertiliser_Products_Data2(), FertiliserProducts[[#Headers],[Company]],31)</f>
        <v>8</v>
      </c>
      <c r="O142" s="172" t="str" cm="1">
        <f t="array" ref="O142">Common_InputFunctions.Utility_DisplayArrayInTable(Fertiliser_SourceData.Fertiliser_Products_Data2(), FertiliserProducts[[#Headers],[Company]],31)</f>
        <v>Nitrogen - Nitrate</v>
      </c>
      <c r="P142" s="172" cm="1">
        <f t="array" ref="P142">Common_InputFunctions.Utility_DisplayArrayInTable(Fertiliser_SourceData.Fertiliser_Products_Data2(), FertiliserProducts[[#Headers],[Company]],31)</f>
        <v>0.05</v>
      </c>
      <c r="Q142" s="172" t="str" cm="1">
        <f t="array" ref="Q142">Common_InputFunctions.Utility_DisplayArrayInTable(Fertiliser_SourceData.Fertiliser_Products_Data2(), FertiliserProducts[[#Headers],[Company]],31)</f>
        <v>Nitrogen - Ammoniacal</v>
      </c>
      <c r="R142" s="172" cm="1">
        <f t="array" ref="R142">Common_InputFunctions.Utility_DisplayArrayInTable(Fertiliser_SourceData.Fertiliser_Products_Data2(), FertiliserProducts[[#Headers],[Company]],31)</f>
        <v>7.0000000000000007E-2</v>
      </c>
      <c r="S142" s="172" t="str" cm="1">
        <f t="array" ref="S142">Common_InputFunctions.Utility_DisplayArrayInTable(Fertiliser_SourceData.Fertiliser_Products_Data2(), FertiliserProducts[[#Headers],[Company]],31)</f>
        <v>Phosphorus - Generic</v>
      </c>
      <c r="T142" s="172" cm="1">
        <f t="array" ref="T142">Common_InputFunctions.Utility_DisplayArrayInTable(Fertiliser_SourceData.Fertiliser_Products_Data2(), FertiliserProducts[[#Headers],[Company]],31)</f>
        <v>0.05</v>
      </c>
      <c r="U142" s="172" t="str" cm="1">
        <f t="array" ref="U142">Common_InputFunctions.Utility_DisplayArrayInTable(Fertiliser_SourceData.Fertiliser_Products_Data2(), FertiliserProducts[[#Headers],[Company]],31)</f>
        <v>Potassium - Generic</v>
      </c>
      <c r="V142" s="172" cm="1">
        <f t="array" ref="V142">Common_InputFunctions.Utility_DisplayArrayInTable(Fertiliser_SourceData.Fertiliser_Products_Data2(), FertiliserProducts[[#Headers],[Company]],31)</f>
        <v>0.15</v>
      </c>
      <c r="W142" s="172" t="str" cm="1">
        <f t="array" ref="W142">Common_InputFunctions.Utility_DisplayArrayInTable(Fertiliser_SourceData.Fertiliser_Products_Data2(), FertiliserProducts[[#Headers],[Company]],31)</f>
        <v>Sulfur - Generic</v>
      </c>
      <c r="X142" s="172" cm="1">
        <f t="array" ref="X142">Common_InputFunctions.Utility_DisplayArrayInTable(Fertiliser_SourceData.Fertiliser_Products_Data2(), FertiliserProducts[[#Headers],[Company]],31)</f>
        <v>0.08</v>
      </c>
      <c r="Y142" s="172" t="str" cm="1">
        <f t="array" ref="Y142">Common_InputFunctions.Utility_DisplayArrayInTable(Fertiliser_SourceData.Fertiliser_Products_Data2(), FertiliserProducts[[#Headers],[Company]],31)</f>
        <v>Magnesium</v>
      </c>
      <c r="Z142" s="172" cm="1">
        <f t="array" ref="Z142">Common_InputFunctions.Utility_DisplayArrayInTable(Fertiliser_SourceData.Fertiliser_Products_Data2(), FertiliserProducts[[#Headers],[Company]],31)</f>
        <v>1.6E-2</v>
      </c>
      <c r="AA142" s="172" t="str" cm="1">
        <f t="array" ref="AA142">Common_InputFunctions.Utility_DisplayArrayInTable(Fertiliser_SourceData.Fertiliser_Products_Data2(), FertiliserProducts[[#Headers],[Company]],31)</f>
        <v>Zinc</v>
      </c>
      <c r="AB142" s="172" cm="1">
        <f t="array" ref="AB142">Common_InputFunctions.Utility_DisplayArrayInTable(Fertiliser_SourceData.Fertiliser_Products_Data2(), FertiliserProducts[[#Headers],[Company]],31)</f>
        <v>2.0000000000000001E-4</v>
      </c>
      <c r="AC142" s="172" t="str" cm="1">
        <f t="array" ref="AC142">Common_InputFunctions.Utility_DisplayArrayInTable(Fertiliser_SourceData.Fertiliser_Products_Data2(), FertiliserProducts[[#Headers],[Company]],31)</f>
        <v>Boron</v>
      </c>
      <c r="AD142" s="172" cm="1">
        <f t="array" ref="AD142">Common_InputFunctions.Utility_DisplayArrayInTable(Fertiliser_SourceData.Fertiliser_Products_Data2(), FertiliserProducts[[#Headers],[Company]],31)</f>
        <v>1.4999999999999999E-4</v>
      </c>
      <c r="AE142" s="172" t="str" cm="1">
        <f t="array" ref="AE142">Common_InputFunctions.Utility_DisplayArrayInTable(Fertiliser_SourceData.Fertiliser_Products_Data2(), FertiliserProducts[[#Headers],[Company]],31)</f>
        <v/>
      </c>
      <c r="AF142" s="172" t="str" cm="1">
        <f t="array" ref="AF142">Common_InputFunctions.Utility_DisplayArrayInTable(Fertiliser_SourceData.Fertiliser_Products_Data2(), FertiliserProducts[[#Headers],[Company]],31)</f>
        <v/>
      </c>
      <c r="AG142" s="172" t="str" cm="1">
        <f t="array" ref="AG142">Common_InputFunctions.Utility_DisplayArrayInTable(Fertiliser_SourceData.Fertiliser_Products_Data2(), FertiliserProducts[[#Headers],[Company]],31)</f>
        <v/>
      </c>
      <c r="AH142" s="172" t="str" cm="1">
        <f t="array" ref="AH142">Common_InputFunctions.Utility_DisplayArrayInTable(Fertiliser_SourceData.Fertiliser_Products_Data2(), FertiliserProducts[[#Headers],[Company]],31)</f>
        <v/>
      </c>
      <c r="AK142" s="1"/>
      <c r="AL142" s="1"/>
      <c r="AM142" s="1"/>
    </row>
    <row r="143" spans="4:39" ht="20.100000000000001" customHeight="1" x14ac:dyDescent="0.25">
      <c r="D143" s="172" t="str" cm="1">
        <f t="array" ref="D143">Common_InputFunctions.Utility_DisplayArrayInTable(Fertiliser_SourceData.Fertiliser_Products_Data2(), FertiliserProducts[[#Headers],[Company]],31)</f>
        <v>Yara Australia</v>
      </c>
      <c r="E143" s="172" t="str" cm="1">
        <f t="array" ref="E143">Common_InputFunctions.Utility_DisplayArrayInTable(Fertiliser_SourceData.Fertiliser_Products_Data2(), FertiliserProducts[[#Headers],[Company]],31)</f>
        <v>YaraRega 9-0-30 (14)</v>
      </c>
      <c r="F143" s="172" t="str" cm="1">
        <f t="array" ref="F143">Common_InputFunctions.Utility_DisplayArrayInTable(Fertiliser_SourceData.Fertiliser_Products_Data2(), FertiliserProducts[[#Headers],[Company]],31)</f>
        <v>kg</v>
      </c>
      <c r="G143" s="172" cm="1">
        <f t="array" ref="G143">Common_InputFunctions.Utility_DisplayArrayInTable(Fertiliser_SourceData.Fertiliser_Products_Data2(), FertiliserProducts[[#Headers],[Company]],31)</f>
        <v>1</v>
      </c>
      <c r="H143" s="172" t="str" cm="1">
        <f t="array" ref="H143">Common_InputFunctions.Utility_DisplayArrayInTable(Fertiliser_SourceData.Fertiliser_Products_Data2(), FertiliserProducts[[#Headers],[Company]],31)</f>
        <v/>
      </c>
      <c r="I143" s="172" t="str" cm="1">
        <f t="array" ref="I143">Common_InputFunctions.Utility_DisplayArrayInTable(Fertiliser_SourceData.Fertiliser_Products_Data2(), FertiliserProducts[[#Headers],[Company]],31)</f>
        <v/>
      </c>
      <c r="J143" s="172" t="str" cm="1">
        <f t="array" ref="J143">Common_InputFunctions.Utility_DisplayArrayInTable(Fertiliser_SourceData.Fertiliser_Products_Data2(), FertiliserProducts[[#Headers],[Company]],31)</f>
        <v/>
      </c>
      <c r="K143" s="172" cm="1">
        <f t="array" ref="K143">Common_InputFunctions.Utility_DisplayArrayInTable(Fertiliser_SourceData.Fertiliser_Products_Data2(), FertiliserProducts[[#Headers],[Company]],31)</f>
        <v>9</v>
      </c>
      <c r="L143" s="172" t="str" cm="1">
        <f t="array" ref="L143">Common_InputFunctions.Utility_DisplayArrayInTable(Fertiliser_SourceData.Fertiliser_Products_Data2(), FertiliserProducts[[#Headers],[Company]],31)</f>
        <v/>
      </c>
      <c r="M143" s="172" cm="1">
        <f t="array" ref="M143">Common_InputFunctions.Utility_DisplayArrayInTable(Fertiliser_SourceData.Fertiliser_Products_Data2(), FertiliserProducts[[#Headers],[Company]],31)</f>
        <v>30</v>
      </c>
      <c r="N143" s="172" cm="1">
        <f t="array" ref="N143">Common_InputFunctions.Utility_DisplayArrayInTable(Fertiliser_SourceData.Fertiliser_Products_Data2(), FertiliserProducts[[#Headers],[Company]],31)</f>
        <v>14</v>
      </c>
      <c r="O143" s="172" t="str" cm="1">
        <f t="array" ref="O143">Common_InputFunctions.Utility_DisplayArrayInTable(Fertiliser_SourceData.Fertiliser_Products_Data2(), FertiliserProducts[[#Headers],[Company]],31)</f>
        <v>Potassium - Generic</v>
      </c>
      <c r="P143" s="172" cm="1">
        <f t="array" ref="P143">Common_InputFunctions.Utility_DisplayArrayInTable(Fertiliser_SourceData.Fertiliser_Products_Data2(), FertiliserProducts[[#Headers],[Company]],31)</f>
        <v>0.3</v>
      </c>
      <c r="Q143" s="172" t="str" cm="1">
        <f t="array" ref="Q143">Common_InputFunctions.Utility_DisplayArrayInTable(Fertiliser_SourceData.Fertiliser_Products_Data2(), FertiliserProducts[[#Headers],[Company]],31)</f>
        <v>Sulfur - Generic</v>
      </c>
      <c r="R143" s="172" cm="1">
        <f t="array" ref="R143">Common_InputFunctions.Utility_DisplayArrayInTable(Fertiliser_SourceData.Fertiliser_Products_Data2(), FertiliserProducts[[#Headers],[Company]],31)</f>
        <v>0.14000000000000001</v>
      </c>
      <c r="S143" s="172" t="str" cm="1">
        <f t="array" ref="S143">Common_InputFunctions.Utility_DisplayArrayInTable(Fertiliser_SourceData.Fertiliser_Products_Data2(), FertiliserProducts[[#Headers],[Company]],31)</f>
        <v>Nitrogen - Nitrate</v>
      </c>
      <c r="T143" s="172" cm="1">
        <f t="array" ref="T143">Common_InputFunctions.Utility_DisplayArrayInTable(Fertiliser_SourceData.Fertiliser_Products_Data2(), FertiliserProducts[[#Headers],[Company]],31)</f>
        <v>4.4999999999999998E-2</v>
      </c>
      <c r="U143" s="172" t="str" cm="1">
        <f t="array" ref="U143">Common_InputFunctions.Utility_DisplayArrayInTable(Fertiliser_SourceData.Fertiliser_Products_Data2(), FertiliserProducts[[#Headers],[Company]],31)</f>
        <v>Nitrogen - Ammoniacal</v>
      </c>
      <c r="V143" s="172" cm="1">
        <f t="array" ref="V143">Common_InputFunctions.Utility_DisplayArrayInTable(Fertiliser_SourceData.Fertiliser_Products_Data2(), FertiliserProducts[[#Headers],[Company]],31)</f>
        <v>4.4999999999999998E-2</v>
      </c>
      <c r="W143" s="172" t="str" cm="1">
        <f t="array" ref="W143">Common_InputFunctions.Utility_DisplayArrayInTable(Fertiliser_SourceData.Fertiliser_Products_Data2(), FertiliserProducts[[#Headers],[Company]],31)</f>
        <v/>
      </c>
      <c r="X143" s="172" t="str" cm="1">
        <f t="array" ref="X143">Common_InputFunctions.Utility_DisplayArrayInTable(Fertiliser_SourceData.Fertiliser_Products_Data2(), FertiliserProducts[[#Headers],[Company]],31)</f>
        <v/>
      </c>
      <c r="Y143" s="172" t="str" cm="1">
        <f t="array" ref="Y143">Common_InputFunctions.Utility_DisplayArrayInTable(Fertiliser_SourceData.Fertiliser_Products_Data2(), FertiliserProducts[[#Headers],[Company]],31)</f>
        <v/>
      </c>
      <c r="Z143" s="172" t="str" cm="1">
        <f t="array" ref="Z143">Common_InputFunctions.Utility_DisplayArrayInTable(Fertiliser_SourceData.Fertiliser_Products_Data2(), FertiliserProducts[[#Headers],[Company]],31)</f>
        <v/>
      </c>
      <c r="AA143" s="172" t="str" cm="1">
        <f t="array" ref="AA143">Common_InputFunctions.Utility_DisplayArrayInTable(Fertiliser_SourceData.Fertiliser_Products_Data2(), FertiliserProducts[[#Headers],[Company]],31)</f>
        <v/>
      </c>
      <c r="AB143" s="172" t="str" cm="1">
        <f t="array" ref="AB143">Common_InputFunctions.Utility_DisplayArrayInTable(Fertiliser_SourceData.Fertiliser_Products_Data2(), FertiliserProducts[[#Headers],[Company]],31)</f>
        <v/>
      </c>
      <c r="AC143" s="172" t="str" cm="1">
        <f t="array" ref="AC143">Common_InputFunctions.Utility_DisplayArrayInTable(Fertiliser_SourceData.Fertiliser_Products_Data2(), FertiliserProducts[[#Headers],[Company]],31)</f>
        <v/>
      </c>
      <c r="AD143" s="172" t="str" cm="1">
        <f t="array" ref="AD143">Common_InputFunctions.Utility_DisplayArrayInTable(Fertiliser_SourceData.Fertiliser_Products_Data2(), FertiliserProducts[[#Headers],[Company]],31)</f>
        <v/>
      </c>
      <c r="AE143" s="172" t="str" cm="1">
        <f t="array" ref="AE143">Common_InputFunctions.Utility_DisplayArrayInTable(Fertiliser_SourceData.Fertiliser_Products_Data2(), FertiliserProducts[[#Headers],[Company]],31)</f>
        <v/>
      </c>
      <c r="AF143" s="172" t="str" cm="1">
        <f t="array" ref="AF143">Common_InputFunctions.Utility_DisplayArrayInTable(Fertiliser_SourceData.Fertiliser_Products_Data2(), FertiliserProducts[[#Headers],[Company]],31)</f>
        <v/>
      </c>
      <c r="AG143" s="172" t="str" cm="1">
        <f t="array" ref="AG143">Common_InputFunctions.Utility_DisplayArrayInTable(Fertiliser_SourceData.Fertiliser_Products_Data2(), FertiliserProducts[[#Headers],[Company]],31)</f>
        <v/>
      </c>
      <c r="AH143" s="172" t="str" cm="1">
        <f t="array" ref="AH143">Common_InputFunctions.Utility_DisplayArrayInTable(Fertiliser_SourceData.Fertiliser_Products_Data2(), FertiliserProducts[[#Headers],[Company]],31)</f>
        <v/>
      </c>
      <c r="AK143" s="1"/>
      <c r="AL143" s="1"/>
      <c r="AM143" s="1"/>
    </row>
    <row r="144" spans="4:39" ht="20.100000000000001" customHeight="1" x14ac:dyDescent="0.25">
      <c r="D144" s="172" t="str" cm="1">
        <f t="array" ref="D144">Common_InputFunctions.Utility_DisplayArrayInTable(Fertiliser_SourceData.Fertiliser_Products_Data2(), FertiliserProducts[[#Headers],[Company]],31)</f>
        <v>Yara Australia</v>
      </c>
      <c r="E144" s="172" t="str" cm="1">
        <f t="array" ref="E144">Common_InputFunctions.Utility_DisplayArrayInTable(Fertiliser_SourceData.Fertiliser_Products_Data2(), FertiliserProducts[[#Headers],[Company]],31)</f>
        <v>YaraRega 13-2-21</v>
      </c>
      <c r="F144" s="172" t="str" cm="1">
        <f t="array" ref="F144">Common_InputFunctions.Utility_DisplayArrayInTable(Fertiliser_SourceData.Fertiliser_Products_Data2(), FertiliserProducts[[#Headers],[Company]],31)</f>
        <v>kg</v>
      </c>
      <c r="G144" s="172" cm="1">
        <f t="array" ref="G144">Common_InputFunctions.Utility_DisplayArrayInTable(Fertiliser_SourceData.Fertiliser_Products_Data2(), FertiliserProducts[[#Headers],[Company]],31)</f>
        <v>1</v>
      </c>
      <c r="H144" s="172" t="str" cm="1">
        <f t="array" ref="H144">Common_InputFunctions.Utility_DisplayArrayInTable(Fertiliser_SourceData.Fertiliser_Products_Data2(), FertiliserProducts[[#Headers],[Company]],31)</f>
        <v/>
      </c>
      <c r="I144" s="172" t="str" cm="1">
        <f t="array" ref="I144">Common_InputFunctions.Utility_DisplayArrayInTable(Fertiliser_SourceData.Fertiliser_Products_Data2(), FertiliserProducts[[#Headers],[Company]],31)</f>
        <v/>
      </c>
      <c r="J144" s="172" t="str" cm="1">
        <f t="array" ref="J144">Common_InputFunctions.Utility_DisplayArrayInTable(Fertiliser_SourceData.Fertiliser_Products_Data2(), FertiliserProducts[[#Headers],[Company]],31)</f>
        <v/>
      </c>
      <c r="K144" s="172" cm="1">
        <f t="array" ref="K144">Common_InputFunctions.Utility_DisplayArrayInTable(Fertiliser_SourceData.Fertiliser_Products_Data2(), FertiliserProducts[[#Headers],[Company]],31)</f>
        <v>13</v>
      </c>
      <c r="L144" s="172" cm="1">
        <f t="array" ref="L144">Common_InputFunctions.Utility_DisplayArrayInTable(Fertiliser_SourceData.Fertiliser_Products_Data2(), FertiliserProducts[[#Headers],[Company]],31)</f>
        <v>1.75</v>
      </c>
      <c r="M144" s="172" cm="1">
        <f t="array" ref="M144">Common_InputFunctions.Utility_DisplayArrayInTable(Fertiliser_SourceData.Fertiliser_Products_Data2(), FertiliserProducts[[#Headers],[Company]],31)</f>
        <v>21</v>
      </c>
      <c r="N144" s="172" cm="1">
        <f t="array" ref="N144">Common_InputFunctions.Utility_DisplayArrayInTable(Fertiliser_SourceData.Fertiliser_Products_Data2(), FertiliserProducts[[#Headers],[Company]],31)</f>
        <v>10.8</v>
      </c>
      <c r="O144" s="172" t="str" cm="1">
        <f t="array" ref="O144">Common_InputFunctions.Utility_DisplayArrayInTable(Fertiliser_SourceData.Fertiliser_Products_Data2(), FertiliserProducts[[#Headers],[Company]],31)</f>
        <v>Potassium - Generic</v>
      </c>
      <c r="P144" s="172" cm="1">
        <f t="array" ref="P144">Common_InputFunctions.Utility_DisplayArrayInTable(Fertiliser_SourceData.Fertiliser_Products_Data2(), FertiliserProducts[[#Headers],[Company]],31)</f>
        <v>0.21</v>
      </c>
      <c r="Q144" s="172" t="str" cm="1">
        <f t="array" ref="Q144">Common_InputFunctions.Utility_DisplayArrayInTable(Fertiliser_SourceData.Fertiliser_Products_Data2(), FertiliserProducts[[#Headers],[Company]],31)</f>
        <v>Sulfur - Generic</v>
      </c>
      <c r="R144" s="172" cm="1">
        <f t="array" ref="R144">Common_InputFunctions.Utility_DisplayArrayInTable(Fertiliser_SourceData.Fertiliser_Products_Data2(), FertiliserProducts[[#Headers],[Company]],31)</f>
        <v>0.108</v>
      </c>
      <c r="S144" s="172" t="str" cm="1">
        <f t="array" ref="S144">Common_InputFunctions.Utility_DisplayArrayInTable(Fertiliser_SourceData.Fertiliser_Products_Data2(), FertiliserProducts[[#Headers],[Company]],31)</f>
        <v>Nitrogen - Ammoniacal</v>
      </c>
      <c r="T144" s="172" cm="1">
        <f t="array" ref="T144">Common_InputFunctions.Utility_DisplayArrayInTable(Fertiliser_SourceData.Fertiliser_Products_Data2(), FertiliserProducts[[#Headers],[Company]],31)</f>
        <v>7.6999999999999999E-2</v>
      </c>
      <c r="U144" s="172" t="str" cm="1">
        <f t="array" ref="U144">Common_InputFunctions.Utility_DisplayArrayInTable(Fertiliser_SourceData.Fertiliser_Products_Data2(), FertiliserProducts[[#Headers],[Company]],31)</f>
        <v>Nitrogen - Nitrate</v>
      </c>
      <c r="V144" s="172" cm="1">
        <f t="array" ref="V144">Common_InputFunctions.Utility_DisplayArrayInTable(Fertiliser_SourceData.Fertiliser_Products_Data2(), FertiliserProducts[[#Headers],[Company]],31)</f>
        <v>5.2999999999999999E-2</v>
      </c>
      <c r="W144" s="172" t="str" cm="1">
        <f t="array" ref="W144">Common_InputFunctions.Utility_DisplayArrayInTable(Fertiliser_SourceData.Fertiliser_Products_Data2(), FertiliserProducts[[#Headers],[Company]],31)</f>
        <v>Phosphorus - Generic</v>
      </c>
      <c r="X144" s="172" cm="1">
        <f t="array" ref="X144">Common_InputFunctions.Utility_DisplayArrayInTable(Fertiliser_SourceData.Fertiliser_Products_Data2(), FertiliserProducts[[#Headers],[Company]],31)</f>
        <v>1.7500000000000002E-2</v>
      </c>
      <c r="Y144" s="172" t="str" cm="1">
        <f t="array" ref="Y144">Common_InputFunctions.Utility_DisplayArrayInTable(Fertiliser_SourceData.Fertiliser_Products_Data2(), FertiliserProducts[[#Headers],[Company]],31)</f>
        <v>Magnesium</v>
      </c>
      <c r="Z144" s="172" cm="1">
        <f t="array" ref="Z144">Common_InputFunctions.Utility_DisplayArrayInTable(Fertiliser_SourceData.Fertiliser_Products_Data2(), FertiliserProducts[[#Headers],[Company]],31)</f>
        <v>4.0000000000000001E-3</v>
      </c>
      <c r="AA144" s="172" t="str" cm="1">
        <f t="array" ref="AA144">Common_InputFunctions.Utility_DisplayArrayInTable(Fertiliser_SourceData.Fertiliser_Products_Data2(), FertiliserProducts[[#Headers],[Company]],31)</f>
        <v>Zinc</v>
      </c>
      <c r="AB144" s="172" cm="1">
        <f t="array" ref="AB144">Common_InputFunctions.Utility_DisplayArrayInTable(Fertiliser_SourceData.Fertiliser_Products_Data2(), FertiliserProducts[[#Headers],[Company]],31)</f>
        <v>8.0000000000000004E-4</v>
      </c>
      <c r="AC144" s="172" t="str" cm="1">
        <f t="array" ref="AC144">Common_InputFunctions.Utility_DisplayArrayInTable(Fertiliser_SourceData.Fertiliser_Products_Data2(), FertiliserProducts[[#Headers],[Company]],31)</f>
        <v>Boron</v>
      </c>
      <c r="AD144" s="172" cm="1">
        <f t="array" ref="AD144">Common_InputFunctions.Utility_DisplayArrayInTable(Fertiliser_SourceData.Fertiliser_Products_Data2(), FertiliserProducts[[#Headers],[Company]],31)</f>
        <v>8.0000000000000004E-4</v>
      </c>
      <c r="AE144" s="172" t="str" cm="1">
        <f t="array" ref="AE144">Common_InputFunctions.Utility_DisplayArrayInTable(Fertiliser_SourceData.Fertiliser_Products_Data2(), FertiliserProducts[[#Headers],[Company]],31)</f>
        <v/>
      </c>
      <c r="AF144" s="172" t="str" cm="1">
        <f t="array" ref="AF144">Common_InputFunctions.Utility_DisplayArrayInTable(Fertiliser_SourceData.Fertiliser_Products_Data2(), FertiliserProducts[[#Headers],[Company]],31)</f>
        <v/>
      </c>
      <c r="AG144" s="172" t="str" cm="1">
        <f t="array" ref="AG144">Common_InputFunctions.Utility_DisplayArrayInTable(Fertiliser_SourceData.Fertiliser_Products_Data2(), FertiliserProducts[[#Headers],[Company]],31)</f>
        <v/>
      </c>
      <c r="AH144" s="172" t="str" cm="1">
        <f t="array" ref="AH144">Common_InputFunctions.Utility_DisplayArrayInTable(Fertiliser_SourceData.Fertiliser_Products_Data2(), FertiliserProducts[[#Headers],[Company]],31)</f>
        <v/>
      </c>
      <c r="AK144" s="1"/>
      <c r="AL144" s="1"/>
      <c r="AM144" s="1"/>
    </row>
    <row r="145" spans="4:39" ht="20.100000000000001" customHeight="1" x14ac:dyDescent="0.25">
      <c r="D145" s="172" t="str" cm="1">
        <f t="array" ref="D145">Common_InputFunctions.Utility_DisplayArrayInTable(Fertiliser_SourceData.Fertiliser_Products_Data2(), FertiliserProducts[[#Headers],[Company]],31)</f>
        <v>Yara Australia</v>
      </c>
      <c r="E145" s="172" t="str" cm="1">
        <f t="array" ref="E145">Common_InputFunctions.Utility_DisplayArrayInTable(Fertiliser_SourceData.Fertiliser_Products_Data2(), FertiliserProducts[[#Headers],[Company]],31)</f>
        <v>YaraRega 15-7-13 (7S)</v>
      </c>
      <c r="F145" s="172" t="str" cm="1">
        <f t="array" ref="F145">Common_InputFunctions.Utility_DisplayArrayInTable(Fertiliser_SourceData.Fertiliser_Products_Data2(), FertiliserProducts[[#Headers],[Company]],31)</f>
        <v>kg</v>
      </c>
      <c r="G145" s="172" cm="1">
        <f t="array" ref="G145">Common_InputFunctions.Utility_DisplayArrayInTable(Fertiliser_SourceData.Fertiliser_Products_Data2(), FertiliserProducts[[#Headers],[Company]],31)</f>
        <v>1</v>
      </c>
      <c r="H145" s="172" t="str" cm="1">
        <f t="array" ref="H145">Common_InputFunctions.Utility_DisplayArrayInTable(Fertiliser_SourceData.Fertiliser_Products_Data2(), FertiliserProducts[[#Headers],[Company]],31)</f>
        <v/>
      </c>
      <c r="I145" s="172" t="str" cm="1">
        <f t="array" ref="I145">Common_InputFunctions.Utility_DisplayArrayInTable(Fertiliser_SourceData.Fertiliser_Products_Data2(), FertiliserProducts[[#Headers],[Company]],31)</f>
        <v/>
      </c>
      <c r="J145" s="172" t="str" cm="1">
        <f t="array" ref="J145">Common_InputFunctions.Utility_DisplayArrayInTable(Fertiliser_SourceData.Fertiliser_Products_Data2(), FertiliserProducts[[#Headers],[Company]],31)</f>
        <v/>
      </c>
      <c r="K145" s="172" cm="1">
        <f t="array" ref="K145">Common_InputFunctions.Utility_DisplayArrayInTable(Fertiliser_SourceData.Fertiliser_Products_Data2(), FertiliserProducts[[#Headers],[Company]],31)</f>
        <v>15</v>
      </c>
      <c r="L145" s="172" cm="1">
        <f t="array" ref="L145">Common_InputFunctions.Utility_DisplayArrayInTable(Fertiliser_SourceData.Fertiliser_Products_Data2(), FertiliserProducts[[#Headers],[Company]],31)</f>
        <v>6.5</v>
      </c>
      <c r="M145" s="172" cm="1">
        <f t="array" ref="M145">Common_InputFunctions.Utility_DisplayArrayInTable(Fertiliser_SourceData.Fertiliser_Products_Data2(), FertiliserProducts[[#Headers],[Company]],31)</f>
        <v>12.5</v>
      </c>
      <c r="N145" s="172" cm="1">
        <f t="array" ref="N145">Common_InputFunctions.Utility_DisplayArrayInTable(Fertiliser_SourceData.Fertiliser_Products_Data2(), FertiliserProducts[[#Headers],[Company]],31)</f>
        <v>7.2</v>
      </c>
      <c r="O145" s="172" t="str" cm="1">
        <f t="array" ref="O145">Common_InputFunctions.Utility_DisplayArrayInTable(Fertiliser_SourceData.Fertiliser_Products_Data2(), FertiliserProducts[[#Headers],[Company]],31)</f>
        <v>Nitrogen - Nitrate</v>
      </c>
      <c r="P145" s="172" cm="1">
        <f t="array" ref="P145">Common_InputFunctions.Utility_DisplayArrayInTable(Fertiliser_SourceData.Fertiliser_Products_Data2(), FertiliserProducts[[#Headers],[Company]],31)</f>
        <v>9.5000000000000001E-2</v>
      </c>
      <c r="Q145" s="172" t="str" cm="1">
        <f t="array" ref="Q145">Common_InputFunctions.Utility_DisplayArrayInTable(Fertiliser_SourceData.Fertiliser_Products_Data2(), FertiliserProducts[[#Headers],[Company]],31)</f>
        <v>Potassium - Generic</v>
      </c>
      <c r="R145" s="172" cm="1">
        <f t="array" ref="R145">Common_InputFunctions.Utility_DisplayArrayInTable(Fertiliser_SourceData.Fertiliser_Products_Data2(), FertiliserProducts[[#Headers],[Company]],31)</f>
        <v>0.125</v>
      </c>
      <c r="S145" s="172" t="str" cm="1">
        <f t="array" ref="S145">Common_InputFunctions.Utility_DisplayArrayInTable(Fertiliser_SourceData.Fertiliser_Products_Data2(), FertiliserProducts[[#Headers],[Company]],31)</f>
        <v>Sulfur - Generic</v>
      </c>
      <c r="T145" s="172" cm="1">
        <f t="array" ref="T145">Common_InputFunctions.Utility_DisplayArrayInTable(Fertiliser_SourceData.Fertiliser_Products_Data2(), FertiliserProducts[[#Headers],[Company]],31)</f>
        <v>7.1999999999999995E-2</v>
      </c>
      <c r="U145" s="172" t="str" cm="1">
        <f t="array" ref="U145">Common_InputFunctions.Utility_DisplayArrayInTable(Fertiliser_SourceData.Fertiliser_Products_Data2(), FertiliserProducts[[#Headers],[Company]],31)</f>
        <v>Phosphorus - Generic</v>
      </c>
      <c r="V145" s="172" cm="1">
        <f t="array" ref="V145">Common_InputFunctions.Utility_DisplayArrayInTable(Fertiliser_SourceData.Fertiliser_Products_Data2(), FertiliserProducts[[#Headers],[Company]],31)</f>
        <v>6.5000000000000002E-2</v>
      </c>
      <c r="W145" s="172" t="str" cm="1">
        <f t="array" ref="W145">Common_InputFunctions.Utility_DisplayArrayInTable(Fertiliser_SourceData.Fertiliser_Products_Data2(), FertiliserProducts[[#Headers],[Company]],31)</f>
        <v>Nitrogen - Ammoniacal</v>
      </c>
      <c r="X145" s="172" cm="1">
        <f t="array" ref="X145">Common_InputFunctions.Utility_DisplayArrayInTable(Fertiliser_SourceData.Fertiliser_Products_Data2(), FertiliserProducts[[#Headers],[Company]],31)</f>
        <v>5.5E-2</v>
      </c>
      <c r="Y145" s="172" t="str" cm="1">
        <f t="array" ref="Y145">Common_InputFunctions.Utility_DisplayArrayInTable(Fertiliser_SourceData.Fertiliser_Products_Data2(), FertiliserProducts[[#Headers],[Company]],31)</f>
        <v>Magnesium</v>
      </c>
      <c r="Z145" s="172" cm="1">
        <f t="array" ref="Z145">Common_InputFunctions.Utility_DisplayArrayInTable(Fertiliser_SourceData.Fertiliser_Products_Data2(), FertiliserProducts[[#Headers],[Company]],31)</f>
        <v>6.6E-3</v>
      </c>
      <c r="AA145" s="172" t="str" cm="1">
        <f t="array" ref="AA145">Common_InputFunctions.Utility_DisplayArrayInTable(Fertiliser_SourceData.Fertiliser_Products_Data2(), FertiliserProducts[[#Headers],[Company]],31)</f>
        <v>Boron</v>
      </c>
      <c r="AB145" s="172" cm="1">
        <f t="array" ref="AB145">Common_InputFunctions.Utility_DisplayArrayInTable(Fertiliser_SourceData.Fertiliser_Products_Data2(), FertiliserProducts[[#Headers],[Company]],31)</f>
        <v>1E-3</v>
      </c>
      <c r="AC145" s="172" t="str" cm="1">
        <f t="array" ref="AC145">Common_InputFunctions.Utility_DisplayArrayInTable(Fertiliser_SourceData.Fertiliser_Products_Data2(), FertiliserProducts[[#Headers],[Company]],31)</f>
        <v>Zinc</v>
      </c>
      <c r="AD145" s="172" cm="1">
        <f t="array" ref="AD145">Common_InputFunctions.Utility_DisplayArrayInTable(Fertiliser_SourceData.Fertiliser_Products_Data2(), FertiliserProducts[[#Headers],[Company]],31)</f>
        <v>5.9999999999999995E-4</v>
      </c>
      <c r="AE145" s="172" t="str" cm="1">
        <f t="array" ref="AE145">Common_InputFunctions.Utility_DisplayArrayInTable(Fertiliser_SourceData.Fertiliser_Products_Data2(), FertiliserProducts[[#Headers],[Company]],31)</f>
        <v/>
      </c>
      <c r="AF145" s="172" t="str" cm="1">
        <f t="array" ref="AF145">Common_InputFunctions.Utility_DisplayArrayInTable(Fertiliser_SourceData.Fertiliser_Products_Data2(), FertiliserProducts[[#Headers],[Company]],31)</f>
        <v/>
      </c>
      <c r="AG145" s="172" t="str" cm="1">
        <f t="array" ref="AG145">Common_InputFunctions.Utility_DisplayArrayInTable(Fertiliser_SourceData.Fertiliser_Products_Data2(), FertiliserProducts[[#Headers],[Company]],31)</f>
        <v/>
      </c>
      <c r="AH145" s="172" t="str" cm="1">
        <f t="array" ref="AH145">Common_InputFunctions.Utility_DisplayArrayInTable(Fertiliser_SourceData.Fertiliser_Products_Data2(), FertiliserProducts[[#Headers],[Company]],31)</f>
        <v/>
      </c>
      <c r="AK145" s="1"/>
      <c r="AL145" s="1"/>
      <c r="AM145" s="1"/>
    </row>
    <row r="146" spans="4:39" ht="20.100000000000001" customHeight="1" x14ac:dyDescent="0.25">
      <c r="D146" s="172" t="str" cm="1">
        <f t="array" ref="D146">Common_InputFunctions.Utility_DisplayArrayInTable(Fertiliser_SourceData.Fertiliser_Products_Data2(), FertiliserProducts[[#Headers],[Company]],31)</f>
        <v>Yara Australia</v>
      </c>
      <c r="E146" s="172" t="str" cm="1">
        <f t="array" ref="E146">Common_InputFunctions.Utility_DisplayArrayInTable(Fertiliser_SourceData.Fertiliser_Products_Data2(), FertiliserProducts[[#Headers],[Company]],31)</f>
        <v>YaraTera CALCINIT B</v>
      </c>
      <c r="F146" s="172" t="str" cm="1">
        <f t="array" ref="F146">Common_InputFunctions.Utility_DisplayArrayInTable(Fertiliser_SourceData.Fertiliser_Products_Data2(), FertiliserProducts[[#Headers],[Company]],31)</f>
        <v>kg</v>
      </c>
      <c r="G146" s="172" cm="1">
        <f t="array" ref="G146">Common_InputFunctions.Utility_DisplayArrayInTable(Fertiliser_SourceData.Fertiliser_Products_Data2(), FertiliserProducts[[#Headers],[Company]],31)</f>
        <v>1</v>
      </c>
      <c r="H146" s="172" t="str" cm="1">
        <f t="array" ref="H146">Common_InputFunctions.Utility_DisplayArrayInTable(Fertiliser_SourceData.Fertiliser_Products_Data2(), FertiliserProducts[[#Headers],[Company]],31)</f>
        <v/>
      </c>
      <c r="I146" s="172" t="str" cm="1">
        <f t="array" ref="I146">Common_InputFunctions.Utility_DisplayArrayInTable(Fertiliser_SourceData.Fertiliser_Products_Data2(), FertiliserProducts[[#Headers],[Company]],31)</f>
        <v/>
      </c>
      <c r="J146" s="172" t="str" cm="1">
        <f t="array" ref="J146">Common_InputFunctions.Utility_DisplayArrayInTable(Fertiliser_SourceData.Fertiliser_Products_Data2(), FertiliserProducts[[#Headers],[Company]],31)</f>
        <v/>
      </c>
      <c r="K146" s="172" cm="1">
        <f t="array" ref="K146">Common_InputFunctions.Utility_DisplayArrayInTable(Fertiliser_SourceData.Fertiliser_Products_Data2(), FertiliserProducts[[#Headers],[Company]],31)</f>
        <v>15.5</v>
      </c>
      <c r="L146" s="172" t="str" cm="1">
        <f t="array" ref="L146">Common_InputFunctions.Utility_DisplayArrayInTable(Fertiliser_SourceData.Fertiliser_Products_Data2(), FertiliserProducts[[#Headers],[Company]],31)</f>
        <v/>
      </c>
      <c r="M146" s="172" t="str" cm="1">
        <f t="array" ref="M146">Common_InputFunctions.Utility_DisplayArrayInTable(Fertiliser_SourceData.Fertiliser_Products_Data2(), FertiliserProducts[[#Headers],[Company]],31)</f>
        <v/>
      </c>
      <c r="N146" s="172" t="str" cm="1">
        <f t="array" ref="N146">Common_InputFunctions.Utility_DisplayArrayInTable(Fertiliser_SourceData.Fertiliser_Products_Data2(), FertiliserProducts[[#Headers],[Company]],31)</f>
        <v/>
      </c>
      <c r="O146" s="172" t="str" cm="1">
        <f t="array" ref="O146">Common_InputFunctions.Utility_DisplayArrayInTable(Fertiliser_SourceData.Fertiliser_Products_Data2(), FertiliserProducts[[#Headers],[Company]],31)</f>
        <v>Calcium nitrate</v>
      </c>
      <c r="P146" s="172" cm="1">
        <f t="array" ref="P146">Common_InputFunctions.Utility_DisplayArrayInTable(Fertiliser_SourceData.Fertiliser_Products_Data2(), FertiliserProducts[[#Headers],[Company]],31)</f>
        <v>1</v>
      </c>
      <c r="Q146" s="172" t="str" cm="1">
        <f t="array" ref="Q146">Common_InputFunctions.Utility_DisplayArrayInTable(Fertiliser_SourceData.Fertiliser_Products_Data2(), FertiliserProducts[[#Headers],[Company]],31)</f>
        <v>Boron</v>
      </c>
      <c r="R146" s="172" cm="1">
        <f t="array" ref="R146">Common_InputFunctions.Utility_DisplayArrayInTable(Fertiliser_SourceData.Fertiliser_Products_Data2(), FertiliserProducts[[#Headers],[Company]],31)</f>
        <v>1E-3</v>
      </c>
      <c r="S146" s="172" t="str" cm="1">
        <f t="array" ref="S146">Common_InputFunctions.Utility_DisplayArrayInTable(Fertiliser_SourceData.Fertiliser_Products_Data2(), FertiliserProducts[[#Headers],[Company]],31)</f>
        <v/>
      </c>
      <c r="T146" s="172" t="str" cm="1">
        <f t="array" ref="T146">Common_InputFunctions.Utility_DisplayArrayInTable(Fertiliser_SourceData.Fertiliser_Products_Data2(), FertiliserProducts[[#Headers],[Company]],31)</f>
        <v/>
      </c>
      <c r="U146" s="172" t="str" cm="1">
        <f t="array" ref="U146">Common_InputFunctions.Utility_DisplayArrayInTable(Fertiliser_SourceData.Fertiliser_Products_Data2(), FertiliserProducts[[#Headers],[Company]],31)</f>
        <v/>
      </c>
      <c r="V146" s="172" t="str" cm="1">
        <f t="array" ref="V146">Common_InputFunctions.Utility_DisplayArrayInTable(Fertiliser_SourceData.Fertiliser_Products_Data2(), FertiliserProducts[[#Headers],[Company]],31)</f>
        <v/>
      </c>
      <c r="W146" s="172" t="str" cm="1">
        <f t="array" ref="W146">Common_InputFunctions.Utility_DisplayArrayInTable(Fertiliser_SourceData.Fertiliser_Products_Data2(), FertiliserProducts[[#Headers],[Company]],31)</f>
        <v/>
      </c>
      <c r="X146" s="172" t="str" cm="1">
        <f t="array" ref="X146">Common_InputFunctions.Utility_DisplayArrayInTable(Fertiliser_SourceData.Fertiliser_Products_Data2(), FertiliserProducts[[#Headers],[Company]],31)</f>
        <v/>
      </c>
      <c r="Y146" s="172" t="str" cm="1">
        <f t="array" ref="Y146">Common_InputFunctions.Utility_DisplayArrayInTable(Fertiliser_SourceData.Fertiliser_Products_Data2(), FertiliserProducts[[#Headers],[Company]],31)</f>
        <v/>
      </c>
      <c r="Z146" s="172" t="str" cm="1">
        <f t="array" ref="Z146">Common_InputFunctions.Utility_DisplayArrayInTable(Fertiliser_SourceData.Fertiliser_Products_Data2(), FertiliserProducts[[#Headers],[Company]],31)</f>
        <v/>
      </c>
      <c r="AA146" s="172" t="str" cm="1">
        <f t="array" ref="AA146">Common_InputFunctions.Utility_DisplayArrayInTable(Fertiliser_SourceData.Fertiliser_Products_Data2(), FertiliserProducts[[#Headers],[Company]],31)</f>
        <v/>
      </c>
      <c r="AB146" s="172" t="str" cm="1">
        <f t="array" ref="AB146">Common_InputFunctions.Utility_DisplayArrayInTable(Fertiliser_SourceData.Fertiliser_Products_Data2(), FertiliserProducts[[#Headers],[Company]],31)</f>
        <v/>
      </c>
      <c r="AC146" s="172" t="str" cm="1">
        <f t="array" ref="AC146">Common_InputFunctions.Utility_DisplayArrayInTable(Fertiliser_SourceData.Fertiliser_Products_Data2(), FertiliserProducts[[#Headers],[Company]],31)</f>
        <v/>
      </c>
      <c r="AD146" s="172" t="str" cm="1">
        <f t="array" ref="AD146">Common_InputFunctions.Utility_DisplayArrayInTable(Fertiliser_SourceData.Fertiliser_Products_Data2(), FertiliserProducts[[#Headers],[Company]],31)</f>
        <v/>
      </c>
      <c r="AE146" s="172" t="str" cm="1">
        <f t="array" ref="AE146">Common_InputFunctions.Utility_DisplayArrayInTable(Fertiliser_SourceData.Fertiliser_Products_Data2(), FertiliserProducts[[#Headers],[Company]],31)</f>
        <v/>
      </c>
      <c r="AF146" s="172" t="str" cm="1">
        <f t="array" ref="AF146">Common_InputFunctions.Utility_DisplayArrayInTable(Fertiliser_SourceData.Fertiliser_Products_Data2(), FertiliserProducts[[#Headers],[Company]],31)</f>
        <v/>
      </c>
      <c r="AG146" s="172" t="str" cm="1">
        <f t="array" ref="AG146">Common_InputFunctions.Utility_DisplayArrayInTable(Fertiliser_SourceData.Fertiliser_Products_Data2(), FertiliserProducts[[#Headers],[Company]],31)</f>
        <v/>
      </c>
      <c r="AH146" s="172" t="str" cm="1">
        <f t="array" ref="AH146">Common_InputFunctions.Utility_DisplayArrayInTable(Fertiliser_SourceData.Fertiliser_Products_Data2(), FertiliserProducts[[#Headers],[Company]],31)</f>
        <v/>
      </c>
      <c r="AK146" s="1"/>
      <c r="AL146" s="1"/>
      <c r="AM146" s="1"/>
    </row>
    <row r="147" spans="4:39" ht="20.100000000000001" customHeight="1" x14ac:dyDescent="0.25">
      <c r="D147" s="172" t="str" cm="1">
        <f t="array" ref="D147">Common_InputFunctions.Utility_DisplayArrayInTable(Fertiliser_SourceData.Fertiliser_Products_Data2(), FertiliserProducts[[#Headers],[Company]],31)</f>
        <v>Yara Australia</v>
      </c>
      <c r="E147" s="172" t="str" cm="1">
        <f t="array" ref="E147">Common_InputFunctions.Utility_DisplayArrayInTable(Fertiliser_SourceData.Fertiliser_Products_Data2(), FertiliserProducts[[#Headers],[Company]],31)</f>
        <v>YaraTera KRISTA MAP</v>
      </c>
      <c r="F147" s="172" t="str" cm="1">
        <f t="array" ref="F147">Common_InputFunctions.Utility_DisplayArrayInTable(Fertiliser_SourceData.Fertiliser_Products_Data2(), FertiliserProducts[[#Headers],[Company]],31)</f>
        <v>kg</v>
      </c>
      <c r="G147" s="172" cm="1">
        <f t="array" ref="G147">Common_InputFunctions.Utility_DisplayArrayInTable(Fertiliser_SourceData.Fertiliser_Products_Data2(), FertiliserProducts[[#Headers],[Company]],31)</f>
        <v>1</v>
      </c>
      <c r="H147" s="172" t="str" cm="1">
        <f t="array" ref="H147">Common_InputFunctions.Utility_DisplayArrayInTable(Fertiliser_SourceData.Fertiliser_Products_Data2(), FertiliserProducts[[#Headers],[Company]],31)</f>
        <v/>
      </c>
      <c r="I147" s="172" t="str" cm="1">
        <f t="array" ref="I147">Common_InputFunctions.Utility_DisplayArrayInTable(Fertiliser_SourceData.Fertiliser_Products_Data2(), FertiliserProducts[[#Headers],[Company]],31)</f>
        <v/>
      </c>
      <c r="J147" s="172" t="str" cm="1">
        <f t="array" ref="J147">Common_InputFunctions.Utility_DisplayArrayInTable(Fertiliser_SourceData.Fertiliser_Products_Data2(), FertiliserProducts[[#Headers],[Company]],31)</f>
        <v/>
      </c>
      <c r="K147" s="172" cm="1">
        <f t="array" ref="K147">Common_InputFunctions.Utility_DisplayArrayInTable(Fertiliser_SourceData.Fertiliser_Products_Data2(), FertiliserProducts[[#Headers],[Company]],31)</f>
        <v>10</v>
      </c>
      <c r="L147" s="172" cm="1">
        <f t="array" ref="L147">Common_InputFunctions.Utility_DisplayArrayInTable(Fertiliser_SourceData.Fertiliser_Products_Data2(), FertiliserProducts[[#Headers],[Company]],31)</f>
        <v>21.9</v>
      </c>
      <c r="M147" s="172" t="str" cm="1">
        <f t="array" ref="M147">Common_InputFunctions.Utility_DisplayArrayInTable(Fertiliser_SourceData.Fertiliser_Products_Data2(), FertiliserProducts[[#Headers],[Company]],31)</f>
        <v/>
      </c>
      <c r="N147" s="172" t="str" cm="1">
        <f t="array" ref="N147">Common_InputFunctions.Utility_DisplayArrayInTable(Fertiliser_SourceData.Fertiliser_Products_Data2(), FertiliserProducts[[#Headers],[Company]],31)</f>
        <v/>
      </c>
      <c r="O147" s="172" t="str" cm="1">
        <f t="array" ref="O147">Common_InputFunctions.Utility_DisplayArrayInTable(Fertiliser_SourceData.Fertiliser_Products_Data2(), FertiliserProducts[[#Headers],[Company]],31)</f>
        <v>Monoammonium phosphate (MAP)</v>
      </c>
      <c r="P147" s="172" cm="1">
        <f t="array" ref="P147">Common_InputFunctions.Utility_DisplayArrayInTable(Fertiliser_SourceData.Fertiliser_Products_Data2(), FertiliserProducts[[#Headers],[Company]],31)</f>
        <v>1</v>
      </c>
      <c r="Q147" s="172" t="str" cm="1">
        <f t="array" ref="Q147">Common_InputFunctions.Utility_DisplayArrayInTable(Fertiliser_SourceData.Fertiliser_Products_Data2(), FertiliserProducts[[#Headers],[Company]],31)</f>
        <v/>
      </c>
      <c r="R147" s="172" t="str" cm="1">
        <f t="array" ref="R147">Common_InputFunctions.Utility_DisplayArrayInTable(Fertiliser_SourceData.Fertiliser_Products_Data2(), FertiliserProducts[[#Headers],[Company]],31)</f>
        <v/>
      </c>
      <c r="S147" s="172" t="str" cm="1">
        <f t="array" ref="S147">Common_InputFunctions.Utility_DisplayArrayInTable(Fertiliser_SourceData.Fertiliser_Products_Data2(), FertiliserProducts[[#Headers],[Company]],31)</f>
        <v/>
      </c>
      <c r="T147" s="172" t="str" cm="1">
        <f t="array" ref="T147">Common_InputFunctions.Utility_DisplayArrayInTable(Fertiliser_SourceData.Fertiliser_Products_Data2(), FertiliserProducts[[#Headers],[Company]],31)</f>
        <v/>
      </c>
      <c r="U147" s="172" t="str" cm="1">
        <f t="array" ref="U147">Common_InputFunctions.Utility_DisplayArrayInTable(Fertiliser_SourceData.Fertiliser_Products_Data2(), FertiliserProducts[[#Headers],[Company]],31)</f>
        <v/>
      </c>
      <c r="V147" s="172" t="str" cm="1">
        <f t="array" ref="V147">Common_InputFunctions.Utility_DisplayArrayInTable(Fertiliser_SourceData.Fertiliser_Products_Data2(), FertiliserProducts[[#Headers],[Company]],31)</f>
        <v/>
      </c>
      <c r="W147" s="172" t="str" cm="1">
        <f t="array" ref="W147">Common_InputFunctions.Utility_DisplayArrayInTable(Fertiliser_SourceData.Fertiliser_Products_Data2(), FertiliserProducts[[#Headers],[Company]],31)</f>
        <v/>
      </c>
      <c r="X147" s="172" t="str" cm="1">
        <f t="array" ref="X147">Common_InputFunctions.Utility_DisplayArrayInTable(Fertiliser_SourceData.Fertiliser_Products_Data2(), FertiliserProducts[[#Headers],[Company]],31)</f>
        <v/>
      </c>
      <c r="Y147" s="172" t="str" cm="1">
        <f t="array" ref="Y147">Common_InputFunctions.Utility_DisplayArrayInTable(Fertiliser_SourceData.Fertiliser_Products_Data2(), FertiliserProducts[[#Headers],[Company]],31)</f>
        <v/>
      </c>
      <c r="Z147" s="172" t="str" cm="1">
        <f t="array" ref="Z147">Common_InputFunctions.Utility_DisplayArrayInTable(Fertiliser_SourceData.Fertiliser_Products_Data2(), FertiliserProducts[[#Headers],[Company]],31)</f>
        <v/>
      </c>
      <c r="AA147" s="172" t="str" cm="1">
        <f t="array" ref="AA147">Common_InputFunctions.Utility_DisplayArrayInTable(Fertiliser_SourceData.Fertiliser_Products_Data2(), FertiliserProducts[[#Headers],[Company]],31)</f>
        <v/>
      </c>
      <c r="AB147" s="172" t="str" cm="1">
        <f t="array" ref="AB147">Common_InputFunctions.Utility_DisplayArrayInTable(Fertiliser_SourceData.Fertiliser_Products_Data2(), FertiliserProducts[[#Headers],[Company]],31)</f>
        <v/>
      </c>
      <c r="AC147" s="172" t="str" cm="1">
        <f t="array" ref="AC147">Common_InputFunctions.Utility_DisplayArrayInTable(Fertiliser_SourceData.Fertiliser_Products_Data2(), FertiliserProducts[[#Headers],[Company]],31)</f>
        <v/>
      </c>
      <c r="AD147" s="172" t="str" cm="1">
        <f t="array" ref="AD147">Common_InputFunctions.Utility_DisplayArrayInTable(Fertiliser_SourceData.Fertiliser_Products_Data2(), FertiliserProducts[[#Headers],[Company]],31)</f>
        <v/>
      </c>
      <c r="AE147" s="172" t="str" cm="1">
        <f t="array" ref="AE147">Common_InputFunctions.Utility_DisplayArrayInTable(Fertiliser_SourceData.Fertiliser_Products_Data2(), FertiliserProducts[[#Headers],[Company]],31)</f>
        <v/>
      </c>
      <c r="AF147" s="172" t="str" cm="1">
        <f t="array" ref="AF147">Common_InputFunctions.Utility_DisplayArrayInTable(Fertiliser_SourceData.Fertiliser_Products_Data2(), FertiliserProducts[[#Headers],[Company]],31)</f>
        <v/>
      </c>
      <c r="AG147" s="172" t="str" cm="1">
        <f t="array" ref="AG147">Common_InputFunctions.Utility_DisplayArrayInTable(Fertiliser_SourceData.Fertiliser_Products_Data2(), FertiliserProducts[[#Headers],[Company]],31)</f>
        <v/>
      </c>
      <c r="AH147" s="172" t="str" cm="1">
        <f t="array" ref="AH147">Common_InputFunctions.Utility_DisplayArrayInTable(Fertiliser_SourceData.Fertiliser_Products_Data2(), FertiliserProducts[[#Headers],[Company]],31)</f>
        <v/>
      </c>
      <c r="AK147" s="1"/>
      <c r="AL147" s="1"/>
      <c r="AM147" s="1"/>
    </row>
    <row r="148" spans="4:39" ht="20.100000000000001" customHeight="1" x14ac:dyDescent="0.25">
      <c r="D148" s="172" t="str" cm="1">
        <f t="array" ref="D148">Common_InputFunctions.Utility_DisplayArrayInTable(Fertiliser_SourceData.Fertiliser_Products_Data2(), FertiliserProducts[[#Headers],[Company]],31)</f>
        <v>Yara Australia</v>
      </c>
      <c r="E148" s="172" t="str" cm="1">
        <f t="array" ref="E148">Common_InputFunctions.Utility_DisplayArrayInTable(Fertiliser_SourceData.Fertiliser_Products_Data2(), FertiliserProducts[[#Headers],[Company]],31)</f>
        <v>YaraTera KRISTALON RED</v>
      </c>
      <c r="F148" s="172" t="str" cm="1">
        <f t="array" ref="F148">Common_InputFunctions.Utility_DisplayArrayInTable(Fertiliser_SourceData.Fertiliser_Products_Data2(), FertiliserProducts[[#Headers],[Company]],31)</f>
        <v>kg</v>
      </c>
      <c r="G148" s="172" cm="1">
        <f t="array" ref="G148">Common_InputFunctions.Utility_DisplayArrayInTable(Fertiliser_SourceData.Fertiliser_Products_Data2(), FertiliserProducts[[#Headers],[Company]],31)</f>
        <v>1</v>
      </c>
      <c r="H148" s="172" t="str" cm="1">
        <f t="array" ref="H148">Common_InputFunctions.Utility_DisplayArrayInTable(Fertiliser_SourceData.Fertiliser_Products_Data2(), FertiliserProducts[[#Headers],[Company]],31)</f>
        <v/>
      </c>
      <c r="I148" s="172" t="str" cm="1">
        <f t="array" ref="I148">Common_InputFunctions.Utility_DisplayArrayInTable(Fertiliser_SourceData.Fertiliser_Products_Data2(), FertiliserProducts[[#Headers],[Company]],31)</f>
        <v/>
      </c>
      <c r="J148" s="172" t="str" cm="1">
        <f t="array" ref="J148">Common_InputFunctions.Utility_DisplayArrayInTable(Fertiliser_SourceData.Fertiliser_Products_Data2(), FertiliserProducts[[#Headers],[Company]],31)</f>
        <v/>
      </c>
      <c r="K148" s="172" cm="1">
        <f t="array" ref="K148">Common_InputFunctions.Utility_DisplayArrayInTable(Fertiliser_SourceData.Fertiliser_Products_Data2(), FertiliserProducts[[#Headers],[Company]],31)</f>
        <v>12</v>
      </c>
      <c r="L148" s="172" cm="1">
        <f t="array" ref="L148">Common_InputFunctions.Utility_DisplayArrayInTable(Fertiliser_SourceData.Fertiliser_Products_Data2(), FertiliserProducts[[#Headers],[Company]],31)</f>
        <v>5.2</v>
      </c>
      <c r="M148" s="172" cm="1">
        <f t="array" ref="M148">Common_InputFunctions.Utility_DisplayArrayInTable(Fertiliser_SourceData.Fertiliser_Products_Data2(), FertiliserProducts[[#Headers],[Company]],31)</f>
        <v>29.9</v>
      </c>
      <c r="N148" s="172" cm="1">
        <f t="array" ref="N148">Common_InputFunctions.Utility_DisplayArrayInTable(Fertiliser_SourceData.Fertiliser_Products_Data2(), FertiliserProducts[[#Headers],[Company]],31)</f>
        <v>1</v>
      </c>
      <c r="O148" s="172" t="str" cm="1">
        <f t="array" ref="O148">Common_InputFunctions.Utility_DisplayArrayInTable(Fertiliser_SourceData.Fertiliser_Products_Data2(), FertiliserProducts[[#Headers],[Company]],31)</f>
        <v>Potassium - Generic</v>
      </c>
      <c r="P148" s="172" cm="1">
        <f t="array" ref="P148">Common_InputFunctions.Utility_DisplayArrayInTable(Fertiliser_SourceData.Fertiliser_Products_Data2(), FertiliserProducts[[#Headers],[Company]],31)</f>
        <v>0.29899999999999999</v>
      </c>
      <c r="Q148" s="172" t="str" cm="1">
        <f t="array" ref="Q148">Common_InputFunctions.Utility_DisplayArrayInTable(Fertiliser_SourceData.Fertiliser_Products_Data2(), FertiliserProducts[[#Headers],[Company]],31)</f>
        <v>Nitrogen - Nitrate</v>
      </c>
      <c r="R148" s="172" cm="1">
        <f t="array" ref="R148">Common_InputFunctions.Utility_DisplayArrayInTable(Fertiliser_SourceData.Fertiliser_Products_Data2(), FertiliserProducts[[#Headers],[Company]],31)</f>
        <v>0.10100000000000001</v>
      </c>
      <c r="S148" s="172" t="str" cm="1">
        <f t="array" ref="S148">Common_InputFunctions.Utility_DisplayArrayInTable(Fertiliser_SourceData.Fertiliser_Products_Data2(), FertiliserProducts[[#Headers],[Company]],31)</f>
        <v>Phosphorus - Generic</v>
      </c>
      <c r="T148" s="172" cm="1">
        <f t="array" ref="T148">Common_InputFunctions.Utility_DisplayArrayInTable(Fertiliser_SourceData.Fertiliser_Products_Data2(), FertiliserProducts[[#Headers],[Company]],31)</f>
        <v>5.1999999999999998E-2</v>
      </c>
      <c r="U148" s="172" t="str" cm="1">
        <f t="array" ref="U148">Common_InputFunctions.Utility_DisplayArrayInTable(Fertiliser_SourceData.Fertiliser_Products_Data2(), FertiliserProducts[[#Headers],[Company]],31)</f>
        <v>Nitrogen - Ammoniacal</v>
      </c>
      <c r="V148" s="172" cm="1">
        <f t="array" ref="V148">Common_InputFunctions.Utility_DisplayArrayInTable(Fertiliser_SourceData.Fertiliser_Products_Data2(), FertiliserProducts[[#Headers],[Company]],31)</f>
        <v>1.9E-2</v>
      </c>
      <c r="W148" s="172" t="str" cm="1">
        <f t="array" ref="W148">Common_InputFunctions.Utility_DisplayArrayInTable(Fertiliser_SourceData.Fertiliser_Products_Data2(), FertiliserProducts[[#Headers],[Company]],31)</f>
        <v>Sulfur - Generic</v>
      </c>
      <c r="X148" s="172" cm="1">
        <f t="array" ref="X148">Common_InputFunctions.Utility_DisplayArrayInTable(Fertiliser_SourceData.Fertiliser_Products_Data2(), FertiliserProducts[[#Headers],[Company]],31)</f>
        <v>0.01</v>
      </c>
      <c r="Y148" s="172" t="str" cm="1">
        <f t="array" ref="Y148">Common_InputFunctions.Utility_DisplayArrayInTable(Fertiliser_SourceData.Fertiliser_Products_Data2(), FertiliserProducts[[#Headers],[Company]],31)</f>
        <v>Magnesium</v>
      </c>
      <c r="Z148" s="172" cm="1">
        <f t="array" ref="Z148">Common_InputFunctions.Utility_DisplayArrayInTable(Fertiliser_SourceData.Fertiliser_Products_Data2(), FertiliserProducts[[#Headers],[Company]],31)</f>
        <v>6.0000000000000001E-3</v>
      </c>
      <c r="AA148" s="172" t="str" cm="1">
        <f t="array" ref="AA148">Common_InputFunctions.Utility_DisplayArrayInTable(Fertiliser_SourceData.Fertiliser_Products_Data2(), FertiliserProducts[[#Headers],[Company]],31)</f>
        <v>Iron</v>
      </c>
      <c r="AB148" s="172" cm="1">
        <f t="array" ref="AB148">Common_InputFunctions.Utility_DisplayArrayInTable(Fertiliser_SourceData.Fertiliser_Products_Data2(), FertiliserProducts[[#Headers],[Company]],31)</f>
        <v>6.9999999999999999E-4</v>
      </c>
      <c r="AC148" s="172" t="str" cm="1">
        <f t="array" ref="AC148">Common_InputFunctions.Utility_DisplayArrayInTable(Fertiliser_SourceData.Fertiliser_Products_Data2(), FertiliserProducts[[#Headers],[Company]],31)</f>
        <v>Manganese</v>
      </c>
      <c r="AD148" s="172" cm="1">
        <f t="array" ref="AD148">Common_InputFunctions.Utility_DisplayArrayInTable(Fertiliser_SourceData.Fertiliser_Products_Data2(), FertiliserProducts[[#Headers],[Company]],31)</f>
        <v>4.0000000000000002E-4</v>
      </c>
      <c r="AE148" s="172" t="str" cm="1">
        <f t="array" ref="AE148">Common_InputFunctions.Utility_DisplayArrayInTable(Fertiliser_SourceData.Fertiliser_Products_Data2(), FertiliserProducts[[#Headers],[Company]],31)</f>
        <v>Zinc</v>
      </c>
      <c r="AF148" s="172" cm="1">
        <f t="array" ref="AF148">Common_InputFunctions.Utility_DisplayArrayInTable(Fertiliser_SourceData.Fertiliser_Products_Data2(), FertiliserProducts[[#Headers],[Company]],31)</f>
        <v>2.5000000000000001E-4</v>
      </c>
      <c r="AG148" s="172" t="str" cm="1">
        <f t="array" ref="AG148">Common_InputFunctions.Utility_DisplayArrayInTable(Fertiliser_SourceData.Fertiliser_Products_Data2(), FertiliserProducts[[#Headers],[Company]],31)</f>
        <v>Boron</v>
      </c>
      <c r="AH148" s="172" cm="1">
        <f t="array" ref="AH148">Common_InputFunctions.Utility_DisplayArrayInTable(Fertiliser_SourceData.Fertiliser_Products_Data2(), FertiliserProducts[[#Headers],[Company]],31)</f>
        <v>2.5000000000000001E-4</v>
      </c>
      <c r="AK148" s="1"/>
      <c r="AL148" s="1"/>
      <c r="AM148" s="1"/>
    </row>
    <row r="149" spans="4:39" ht="20.100000000000001" customHeight="1" x14ac:dyDescent="0.25">
      <c r="D149" s="172" t="str" cm="1">
        <f t="array" ref="D149">Common_InputFunctions.Utility_DisplayArrayInTable(Fertiliser_SourceData.Fertiliser_Products_Data2(), FertiliserProducts[[#Headers],[Company]],31)</f>
        <v>Yara Australia</v>
      </c>
      <c r="E149" s="172" t="str" cm="1">
        <f t="array" ref="E149">Common_InputFunctions.Utility_DisplayArrayInTable(Fertiliser_SourceData.Fertiliser_Products_Data2(), FertiliserProducts[[#Headers],[Company]],31)</f>
        <v>YaraTera KRISTALON SPECIAL</v>
      </c>
      <c r="F149" s="172" t="str" cm="1">
        <f t="array" ref="F149">Common_InputFunctions.Utility_DisplayArrayInTable(Fertiliser_SourceData.Fertiliser_Products_Data2(), FertiliserProducts[[#Headers],[Company]],31)</f>
        <v>kg</v>
      </c>
      <c r="G149" s="172" cm="1">
        <f t="array" ref="G149">Common_InputFunctions.Utility_DisplayArrayInTable(Fertiliser_SourceData.Fertiliser_Products_Data2(), FertiliserProducts[[#Headers],[Company]],31)</f>
        <v>1</v>
      </c>
      <c r="H149" s="172" t="str" cm="1">
        <f t="array" ref="H149">Common_InputFunctions.Utility_DisplayArrayInTable(Fertiliser_SourceData.Fertiliser_Products_Data2(), FertiliserProducts[[#Headers],[Company]],31)</f>
        <v/>
      </c>
      <c r="I149" s="172" t="str" cm="1">
        <f t="array" ref="I149">Common_InputFunctions.Utility_DisplayArrayInTable(Fertiliser_SourceData.Fertiliser_Products_Data2(), FertiliserProducts[[#Headers],[Company]],31)</f>
        <v/>
      </c>
      <c r="J149" s="172" t="str" cm="1">
        <f t="array" ref="J149">Common_InputFunctions.Utility_DisplayArrayInTable(Fertiliser_SourceData.Fertiliser_Products_Data2(), FertiliserProducts[[#Headers],[Company]],31)</f>
        <v/>
      </c>
      <c r="K149" s="172" cm="1">
        <f t="array" ref="K149">Common_InputFunctions.Utility_DisplayArrayInTable(Fertiliser_SourceData.Fertiliser_Products_Data2(), FertiliserProducts[[#Headers],[Company]],31)</f>
        <v>18</v>
      </c>
      <c r="L149" s="172" cm="1">
        <f t="array" ref="L149">Common_InputFunctions.Utility_DisplayArrayInTable(Fertiliser_SourceData.Fertiliser_Products_Data2(), FertiliserProducts[[#Headers],[Company]],31)</f>
        <v>7.9</v>
      </c>
      <c r="M149" s="172" cm="1">
        <f t="array" ref="M149">Common_InputFunctions.Utility_DisplayArrayInTable(Fertiliser_SourceData.Fertiliser_Products_Data2(), FertiliserProducts[[#Headers],[Company]],31)</f>
        <v>14.9</v>
      </c>
      <c r="N149" s="172" cm="1">
        <f t="array" ref="N149">Common_InputFunctions.Utility_DisplayArrayInTable(Fertiliser_SourceData.Fertiliser_Products_Data2(), FertiliserProducts[[#Headers],[Company]],31)</f>
        <v>2</v>
      </c>
      <c r="O149" s="172" t="str" cm="1">
        <f t="array" ref="O149">Common_InputFunctions.Utility_DisplayArrayInTable(Fertiliser_SourceData.Fertiliser_Products_Data2(), FertiliserProducts[[#Headers],[Company]],31)</f>
        <v>Potassium - Generic</v>
      </c>
      <c r="P149" s="172" cm="1">
        <f t="array" ref="P149">Common_InputFunctions.Utility_DisplayArrayInTable(Fertiliser_SourceData.Fertiliser_Products_Data2(), FertiliserProducts[[#Headers],[Company]],31)</f>
        <v>0.14899999999999999</v>
      </c>
      <c r="Q149" s="172" t="str" cm="1">
        <f t="array" ref="Q149">Common_InputFunctions.Utility_DisplayArrayInTable(Fertiliser_SourceData.Fertiliser_Products_Data2(), FertiliserProducts[[#Headers],[Company]],31)</f>
        <v>Urea</v>
      </c>
      <c r="R149" s="172" cm="1">
        <f t="array" ref="R149">Common_InputFunctions.Utility_DisplayArrayInTable(Fertiliser_SourceData.Fertiliser_Products_Data2(), FertiliserProducts[[#Headers],[Company]],31)</f>
        <v>0.21304300000000001</v>
      </c>
      <c r="S149" s="172" t="str" cm="1">
        <f t="array" ref="S149">Common_InputFunctions.Utility_DisplayArrayInTable(Fertiliser_SourceData.Fertiliser_Products_Data2(), FertiliserProducts[[#Headers],[Company]],31)</f>
        <v>Phosphorus - Generic</v>
      </c>
      <c r="T149" s="172" cm="1">
        <f t="array" ref="T149">Common_InputFunctions.Utility_DisplayArrayInTable(Fertiliser_SourceData.Fertiliser_Products_Data2(), FertiliserProducts[[#Headers],[Company]],31)</f>
        <v>7.9000000000000001E-2</v>
      </c>
      <c r="U149" s="172" t="str" cm="1">
        <f t="array" ref="U149">Common_InputFunctions.Utility_DisplayArrayInTable(Fertiliser_SourceData.Fertiliser_Products_Data2(), FertiliserProducts[[#Headers],[Company]],31)</f>
        <v>Nitrogen - Nitrate</v>
      </c>
      <c r="V149" s="172" cm="1">
        <f t="array" ref="V149">Common_InputFunctions.Utility_DisplayArrayInTable(Fertiliser_SourceData.Fertiliser_Products_Data2(), FertiliserProducts[[#Headers],[Company]],31)</f>
        <v>4.9000000000000002E-2</v>
      </c>
      <c r="W149" s="172" t="str" cm="1">
        <f t="array" ref="W149">Common_InputFunctions.Utility_DisplayArrayInTable(Fertiliser_SourceData.Fertiliser_Products_Data2(), FertiliserProducts[[#Headers],[Company]],31)</f>
        <v>Nitrogen - Ammoniacal</v>
      </c>
      <c r="X149" s="172" cm="1">
        <f t="array" ref="X149">Common_InputFunctions.Utility_DisplayArrayInTable(Fertiliser_SourceData.Fertiliser_Products_Data2(), FertiliserProducts[[#Headers],[Company]],31)</f>
        <v>3.3000000000000002E-2</v>
      </c>
      <c r="Y149" s="172" t="str" cm="1">
        <f t="array" ref="Y149">Common_InputFunctions.Utility_DisplayArrayInTable(Fertiliser_SourceData.Fertiliser_Products_Data2(), FertiliserProducts[[#Headers],[Company]],31)</f>
        <v>Sulfur - Generic</v>
      </c>
      <c r="Z149" s="172" cm="1">
        <f t="array" ref="Z149">Common_InputFunctions.Utility_DisplayArrayInTable(Fertiliser_SourceData.Fertiliser_Products_Data2(), FertiliserProducts[[#Headers],[Company]],31)</f>
        <v>0.02</v>
      </c>
      <c r="AA149" s="172" t="str" cm="1">
        <f t="array" ref="AA149">Common_InputFunctions.Utility_DisplayArrayInTable(Fertiliser_SourceData.Fertiliser_Products_Data2(), FertiliserProducts[[#Headers],[Company]],31)</f>
        <v>Magnesium</v>
      </c>
      <c r="AB149" s="172" cm="1">
        <f t="array" ref="AB149">Common_InputFunctions.Utility_DisplayArrayInTable(Fertiliser_SourceData.Fertiliser_Products_Data2(), FertiliserProducts[[#Headers],[Company]],31)</f>
        <v>1.7999999999999999E-2</v>
      </c>
      <c r="AC149" s="172" t="str" cm="1">
        <f t="array" ref="AC149">Common_InputFunctions.Utility_DisplayArrayInTable(Fertiliser_SourceData.Fertiliser_Products_Data2(), FertiliserProducts[[#Headers],[Company]],31)</f>
        <v>Iron</v>
      </c>
      <c r="AD149" s="172" cm="1">
        <f t="array" ref="AD149">Common_InputFunctions.Utility_DisplayArrayInTable(Fertiliser_SourceData.Fertiliser_Products_Data2(), FertiliserProducts[[#Headers],[Company]],31)</f>
        <v>6.9999999999999999E-4</v>
      </c>
      <c r="AE149" s="172" t="str" cm="1">
        <f t="array" ref="AE149">Common_InputFunctions.Utility_DisplayArrayInTable(Fertiliser_SourceData.Fertiliser_Products_Data2(), FertiliserProducts[[#Headers],[Company]],31)</f>
        <v>Manganese</v>
      </c>
      <c r="AF149" s="172" cm="1">
        <f t="array" ref="AF149">Common_InputFunctions.Utility_DisplayArrayInTable(Fertiliser_SourceData.Fertiliser_Products_Data2(), FertiliserProducts[[#Headers],[Company]],31)</f>
        <v>4.0000000000000002E-4</v>
      </c>
      <c r="AG149" s="172" t="str" cm="1">
        <f t="array" ref="AG149">Common_InputFunctions.Utility_DisplayArrayInTable(Fertiliser_SourceData.Fertiliser_Products_Data2(), FertiliserProducts[[#Headers],[Company]],31)</f>
        <v>Zinc</v>
      </c>
      <c r="AH149" s="172" cm="1">
        <f t="array" ref="AH149">Common_InputFunctions.Utility_DisplayArrayInTable(Fertiliser_SourceData.Fertiliser_Products_Data2(), FertiliserProducts[[#Headers],[Company]],31)</f>
        <v>2.5000000000000001E-4</v>
      </c>
      <c r="AK149" s="1"/>
      <c r="AL149" s="1"/>
      <c r="AM149" s="1"/>
    </row>
    <row r="150" spans="4:39" ht="20.100000000000001" customHeight="1" x14ac:dyDescent="0.25">
      <c r="D150" s="172" t="str" cm="1">
        <f t="array" ref="D150">Common_InputFunctions.Utility_DisplayArrayInTable(Fertiliser_SourceData.Fertiliser_Products_Data3(), FertiliserProducts[[#Headers],[Company]],61)</f>
        <v>Yara Australia</v>
      </c>
      <c r="E150" s="172" t="str" cm="1">
        <f t="array" ref="E150">Common_InputFunctions.Utility_DisplayArrayInTable(Fertiliser_SourceData.Fertiliser_Products_Data3(), FertiliserProducts[[#Headers],[Company]],61)</f>
        <v>YaraMila 21-7-3(4)</v>
      </c>
      <c r="F150" s="172" t="str" cm="1">
        <f t="array" ref="F150">Common_InputFunctions.Utility_DisplayArrayInTable(Fertiliser_SourceData.Fertiliser_Products_Data3(), FertiliserProducts[[#Headers],[Company]],61)</f>
        <v>kg</v>
      </c>
      <c r="G150" s="172" cm="1">
        <f t="array" ref="G150">Common_InputFunctions.Utility_DisplayArrayInTable(Fertiliser_SourceData.Fertiliser_Products_Data3(), FertiliserProducts[[#Headers],[Company]],61)</f>
        <v>1</v>
      </c>
      <c r="H150" s="172" t="str" cm="1">
        <f t="array" ref="H150">Common_InputFunctions.Utility_DisplayArrayInTable(Fertiliser_SourceData.Fertiliser_Products_Data3(), FertiliserProducts[[#Headers],[Company]],61)</f>
        <v/>
      </c>
      <c r="I150" s="172" t="str" cm="1">
        <f t="array" ref="I150">Common_InputFunctions.Utility_DisplayArrayInTable(Fertiliser_SourceData.Fertiliser_Products_Data3(), FertiliserProducts[[#Headers],[Company]],61)</f>
        <v/>
      </c>
      <c r="J150" s="172" t="str" cm="1">
        <f t="array" ref="J150">Common_InputFunctions.Utility_DisplayArrayInTable(Fertiliser_SourceData.Fertiliser_Products_Data3(), FertiliserProducts[[#Headers],[Company]],61)</f>
        <v/>
      </c>
      <c r="K150" s="172" cm="1">
        <f t="array" ref="K150">Common_InputFunctions.Utility_DisplayArrayInTable(Fertiliser_SourceData.Fertiliser_Products_Data3(), FertiliserProducts[[#Headers],[Company]],61)</f>
        <v>21</v>
      </c>
      <c r="L150" s="172" cm="1">
        <f t="array" ref="L150">Common_InputFunctions.Utility_DisplayArrayInTable(Fertiliser_SourceData.Fertiliser_Products_Data3(), FertiliserProducts[[#Headers],[Company]],61)</f>
        <v>7.4</v>
      </c>
      <c r="M150" s="172" cm="1">
        <f t="array" ref="M150">Common_InputFunctions.Utility_DisplayArrayInTable(Fertiliser_SourceData.Fertiliser_Products_Data3(), FertiliserProducts[[#Headers],[Company]],61)</f>
        <v>2.5</v>
      </c>
      <c r="N150" s="172" cm="1">
        <f t="array" ref="N150">Common_InputFunctions.Utility_DisplayArrayInTable(Fertiliser_SourceData.Fertiliser_Products_Data3(), FertiliserProducts[[#Headers],[Company]],61)</f>
        <v>4</v>
      </c>
      <c r="O150" s="172" t="str" cm="1">
        <f t="array" ref="O150">Common_InputFunctions.Utility_DisplayArrayInTable(Fertiliser_SourceData.Fertiliser_Products_Data3(), FertiliserProducts[[#Headers],[Company]],61)</f>
        <v>Nitrogen - Nitrate</v>
      </c>
      <c r="P150" s="172" cm="1">
        <f t="array" ref="P150">Common_InputFunctions.Utility_DisplayArrayInTable(Fertiliser_SourceData.Fertiliser_Products_Data3(), FertiliserProducts[[#Headers],[Company]],61)</f>
        <v>0.105</v>
      </c>
      <c r="Q150" s="172" t="str" cm="1">
        <f t="array" ref="Q150">Common_InputFunctions.Utility_DisplayArrayInTable(Fertiliser_SourceData.Fertiliser_Products_Data3(), FertiliserProducts[[#Headers],[Company]],61)</f>
        <v>Nitrogen - Ammoniacal</v>
      </c>
      <c r="R150" s="172" cm="1">
        <f t="array" ref="R150">Common_InputFunctions.Utility_DisplayArrayInTable(Fertiliser_SourceData.Fertiliser_Products_Data3(), FertiliserProducts[[#Headers],[Company]],61)</f>
        <v>0.105</v>
      </c>
      <c r="S150" s="172" t="str" cm="1">
        <f t="array" ref="S150">Common_InputFunctions.Utility_DisplayArrayInTable(Fertiliser_SourceData.Fertiliser_Products_Data3(), FertiliserProducts[[#Headers],[Company]],61)</f>
        <v>Phosphorus - Generic</v>
      </c>
      <c r="T150" s="172" cm="1">
        <f t="array" ref="T150">Common_InputFunctions.Utility_DisplayArrayInTable(Fertiliser_SourceData.Fertiliser_Products_Data3(), FertiliserProducts[[#Headers],[Company]],61)</f>
        <v>7.3999999999999996E-2</v>
      </c>
      <c r="U150" s="172" t="str" cm="1">
        <f t="array" ref="U150">Common_InputFunctions.Utility_DisplayArrayInTable(Fertiliser_SourceData.Fertiliser_Products_Data3(), FertiliserProducts[[#Headers],[Company]],61)</f>
        <v>Sulfur - Generic</v>
      </c>
      <c r="V150" s="172" cm="1">
        <f t="array" ref="V150">Common_InputFunctions.Utility_DisplayArrayInTable(Fertiliser_SourceData.Fertiliser_Products_Data3(), FertiliserProducts[[#Headers],[Company]],61)</f>
        <v>0.04</v>
      </c>
      <c r="W150" s="172" t="str" cm="1">
        <f t="array" ref="W150">Common_InputFunctions.Utility_DisplayArrayInTable(Fertiliser_SourceData.Fertiliser_Products_Data3(), FertiliserProducts[[#Headers],[Company]],61)</f>
        <v>Potassium - Generic</v>
      </c>
      <c r="X150" s="172" cm="1">
        <f t="array" ref="X150">Common_InputFunctions.Utility_DisplayArrayInTable(Fertiliser_SourceData.Fertiliser_Products_Data3(), FertiliserProducts[[#Headers],[Company]],61)</f>
        <v>2.5000000000000001E-2</v>
      </c>
      <c r="Y150" s="172" t="str" cm="1">
        <f t="array" ref="Y150">Common_InputFunctions.Utility_DisplayArrayInTable(Fertiliser_SourceData.Fertiliser_Products_Data3(), FertiliserProducts[[#Headers],[Company]],61)</f>
        <v>Magnesium</v>
      </c>
      <c r="Z150" s="172" cm="1">
        <f t="array" ref="Z150">Common_InputFunctions.Utility_DisplayArrayInTable(Fertiliser_SourceData.Fertiliser_Products_Data3(), FertiliserProducts[[#Headers],[Company]],61)</f>
        <v>4.0000000000000001E-3</v>
      </c>
      <c r="AA150" s="172" t="str" cm="1">
        <f t="array" ref="AA150">Common_InputFunctions.Utility_DisplayArrayInTable(Fertiliser_SourceData.Fertiliser_Products_Data3(), FertiliserProducts[[#Headers],[Company]],61)</f>
        <v>Zinc</v>
      </c>
      <c r="AB150" s="172" cm="1">
        <f t="array" ref="AB150">Common_InputFunctions.Utility_DisplayArrayInTable(Fertiliser_SourceData.Fertiliser_Products_Data3(), FertiliserProducts[[#Headers],[Company]],61)</f>
        <v>1.5E-3</v>
      </c>
      <c r="AC150" s="172" t="str" cm="1">
        <f t="array" ref="AC150">Common_InputFunctions.Utility_DisplayArrayInTable(Fertiliser_SourceData.Fertiliser_Products_Data3(), FertiliserProducts[[#Headers],[Company]],61)</f>
        <v/>
      </c>
      <c r="AD150" s="172" t="str" cm="1">
        <f t="array" ref="AD150">Common_InputFunctions.Utility_DisplayArrayInTable(Fertiliser_SourceData.Fertiliser_Products_Data3(), FertiliserProducts[[#Headers],[Company]],61)</f>
        <v/>
      </c>
      <c r="AE150" s="172" t="str" cm="1">
        <f t="array" ref="AE150">Common_InputFunctions.Utility_DisplayArrayInTable(Fertiliser_SourceData.Fertiliser_Products_Data3(), FertiliserProducts[[#Headers],[Company]],61)</f>
        <v/>
      </c>
      <c r="AF150" s="172" t="str" cm="1">
        <f t="array" ref="AF150">Common_InputFunctions.Utility_DisplayArrayInTable(Fertiliser_SourceData.Fertiliser_Products_Data3(), FertiliserProducts[[#Headers],[Company]],61)</f>
        <v/>
      </c>
      <c r="AG150" s="172" t="str" cm="1">
        <f t="array" ref="AG150">Common_InputFunctions.Utility_DisplayArrayInTable(Fertiliser_SourceData.Fertiliser_Products_Data3(), FertiliserProducts[[#Headers],[Company]],61)</f>
        <v/>
      </c>
      <c r="AH150" s="172" t="str" cm="1">
        <f t="array" ref="AH150">Common_InputFunctions.Utility_DisplayArrayInTable(Fertiliser_SourceData.Fertiliser_Products_Data3(), FertiliserProducts[[#Headers],[Company]],61)</f>
        <v/>
      </c>
      <c r="AK150" s="1"/>
      <c r="AL150" s="1"/>
      <c r="AM150" s="1"/>
    </row>
    <row r="151" spans="4:39" ht="20.100000000000001" customHeight="1" x14ac:dyDescent="0.25">
      <c r="D151" s="172" t="str" cm="1">
        <f t="array" ref="D151">Common_InputFunctions.Utility_DisplayArrayInTable(Fertiliser_SourceData.Fertiliser_Products_Data3(), FertiliserProducts[[#Headers],[Company]],61)</f>
        <v>Yara Australia</v>
      </c>
      <c r="E151" s="172" t="str" cm="1">
        <f t="array" ref="E151">Common_InputFunctions.Utility_DisplayArrayInTable(Fertiliser_SourceData.Fertiliser_Products_Data3(), FertiliserProducts[[#Headers],[Company]],61)</f>
        <v>YaraTera KRISTALON SCARLET</v>
      </c>
      <c r="F151" s="172" t="str" cm="1">
        <f t="array" ref="F151">Common_InputFunctions.Utility_DisplayArrayInTable(Fertiliser_SourceData.Fertiliser_Products_Data3(), FertiliserProducts[[#Headers],[Company]],61)</f>
        <v>kg</v>
      </c>
      <c r="G151" s="172" cm="1">
        <f t="array" ref="G151">Common_InputFunctions.Utility_DisplayArrayInTable(Fertiliser_SourceData.Fertiliser_Products_Data3(), FertiliserProducts[[#Headers],[Company]],61)</f>
        <v>1</v>
      </c>
      <c r="H151" s="172" t="str" cm="1">
        <f t="array" ref="H151">Common_InputFunctions.Utility_DisplayArrayInTable(Fertiliser_SourceData.Fertiliser_Products_Data3(), FertiliserProducts[[#Headers],[Company]],61)</f>
        <v/>
      </c>
      <c r="I151" s="172" t="str" cm="1">
        <f t="array" ref="I151">Common_InputFunctions.Utility_DisplayArrayInTable(Fertiliser_SourceData.Fertiliser_Products_Data3(), FertiliserProducts[[#Headers],[Company]],61)</f>
        <v/>
      </c>
      <c r="J151" s="172" t="str" cm="1">
        <f t="array" ref="J151">Common_InputFunctions.Utility_DisplayArrayInTable(Fertiliser_SourceData.Fertiliser_Products_Data3(), FertiliserProducts[[#Headers],[Company]],61)</f>
        <v/>
      </c>
      <c r="K151" s="172" cm="1">
        <f t="array" ref="K151">Common_InputFunctions.Utility_DisplayArrayInTable(Fertiliser_SourceData.Fertiliser_Products_Data3(), FertiliserProducts[[#Headers],[Company]],61)</f>
        <v>7.5</v>
      </c>
      <c r="L151" s="172" t="str" cm="1">
        <f t="array" ref="L151">Common_InputFunctions.Utility_DisplayArrayInTable(Fertiliser_SourceData.Fertiliser_Products_Data3(), FertiliserProducts[[#Headers],[Company]],61)</f>
        <v/>
      </c>
      <c r="M151" s="172" cm="1">
        <f t="array" ref="M151">Common_InputFunctions.Utility_DisplayArrayInTable(Fertiliser_SourceData.Fertiliser_Products_Data3(), FertiliserProducts[[#Headers],[Company]],61)</f>
        <v>29.9</v>
      </c>
      <c r="N151" s="172" cm="1">
        <f t="array" ref="N151">Common_InputFunctions.Utility_DisplayArrayInTable(Fertiliser_SourceData.Fertiliser_Products_Data3(), FertiliserProducts[[#Headers],[Company]],61)</f>
        <v>4</v>
      </c>
      <c r="O151" s="172" t="str" cm="1">
        <f t="array" ref="O151">Common_InputFunctions.Utility_DisplayArrayInTable(Fertiliser_SourceData.Fertiliser_Products_Data3(), FertiliserProducts[[#Headers],[Company]],61)</f>
        <v>Potassium - Generic</v>
      </c>
      <c r="P151" s="172" cm="1">
        <f t="array" ref="P151">Common_InputFunctions.Utility_DisplayArrayInTable(Fertiliser_SourceData.Fertiliser_Products_Data3(), FertiliserProducts[[#Headers],[Company]],61)</f>
        <v>0.29899999999999999</v>
      </c>
      <c r="Q151" s="172" t="str" cm="1">
        <f t="array" ref="Q151">Common_InputFunctions.Utility_DisplayArrayInTable(Fertiliser_SourceData.Fertiliser_Products_Data3(), FertiliserProducts[[#Headers],[Company]],61)</f>
        <v>Nitrogen - Nitrate</v>
      </c>
      <c r="R151" s="172" cm="1">
        <f t="array" ref="R151">Common_InputFunctions.Utility_DisplayArrayInTable(Fertiliser_SourceData.Fertiliser_Products_Data3(), FertiliserProducts[[#Headers],[Company]],61)</f>
        <v>5.1999999999999998E-2</v>
      </c>
      <c r="S151" s="172" t="str" cm="1">
        <f t="array" ref="S151">Common_InputFunctions.Utility_DisplayArrayInTable(Fertiliser_SourceData.Fertiliser_Products_Data3(), FertiliserProducts[[#Headers],[Company]],61)</f>
        <v>Sulfur - Generic</v>
      </c>
      <c r="T151" s="172" cm="1">
        <f t="array" ref="T151">Common_InputFunctions.Utility_DisplayArrayInTable(Fertiliser_SourceData.Fertiliser_Products_Data3(), FertiliserProducts[[#Headers],[Company]],61)</f>
        <v>0.04</v>
      </c>
      <c r="U151" s="172" t="str" cm="1">
        <f t="array" ref="U151">Common_InputFunctions.Utility_DisplayArrayInTable(Fertiliser_SourceData.Fertiliser_Products_Data3(), FertiliserProducts[[#Headers],[Company]],61)</f>
        <v>Magnesium</v>
      </c>
      <c r="V151" s="172" cm="1">
        <f t="array" ref="V151">Common_InputFunctions.Utility_DisplayArrayInTable(Fertiliser_SourceData.Fertiliser_Products_Data3(), FertiliserProducts[[#Headers],[Company]],61)</f>
        <v>2.7E-2</v>
      </c>
      <c r="W151" s="172" t="str" cm="1">
        <f t="array" ref="W151">Common_InputFunctions.Utility_DisplayArrayInTable(Fertiliser_SourceData.Fertiliser_Products_Data3(), FertiliserProducts[[#Headers],[Company]],61)</f>
        <v>Nitrogen - Ammoniacal</v>
      </c>
      <c r="X151" s="172" cm="1">
        <f t="array" ref="X151">Common_InputFunctions.Utility_DisplayArrayInTable(Fertiliser_SourceData.Fertiliser_Products_Data3(), FertiliserProducts[[#Headers],[Company]],61)</f>
        <v>2.3E-2</v>
      </c>
      <c r="Y151" s="172" t="str" cm="1">
        <f t="array" ref="Y151">Common_InputFunctions.Utility_DisplayArrayInTable(Fertiliser_SourceData.Fertiliser_Products_Data3(), FertiliserProducts[[#Headers],[Company]],61)</f>
        <v/>
      </c>
      <c r="Z151" s="172" t="str" cm="1">
        <f t="array" ref="Z151">Common_InputFunctions.Utility_DisplayArrayInTable(Fertiliser_SourceData.Fertiliser_Products_Data3(), FertiliserProducts[[#Headers],[Company]],61)</f>
        <v/>
      </c>
      <c r="AA151" s="172" t="str" cm="1">
        <f t="array" ref="AA151">Common_InputFunctions.Utility_DisplayArrayInTable(Fertiliser_SourceData.Fertiliser_Products_Data3(), FertiliserProducts[[#Headers],[Company]],61)</f>
        <v/>
      </c>
      <c r="AB151" s="172" t="str" cm="1">
        <f t="array" ref="AB151">Common_InputFunctions.Utility_DisplayArrayInTable(Fertiliser_SourceData.Fertiliser_Products_Data3(), FertiliserProducts[[#Headers],[Company]],61)</f>
        <v/>
      </c>
      <c r="AC151" s="172" t="str" cm="1">
        <f t="array" ref="AC151">Common_InputFunctions.Utility_DisplayArrayInTable(Fertiliser_SourceData.Fertiliser_Products_Data3(), FertiliserProducts[[#Headers],[Company]],61)</f>
        <v/>
      </c>
      <c r="AD151" s="172" t="str" cm="1">
        <f t="array" ref="AD151">Common_InputFunctions.Utility_DisplayArrayInTable(Fertiliser_SourceData.Fertiliser_Products_Data3(), FertiliserProducts[[#Headers],[Company]],61)</f>
        <v/>
      </c>
      <c r="AE151" s="172" t="str" cm="1">
        <f t="array" ref="AE151">Common_InputFunctions.Utility_DisplayArrayInTable(Fertiliser_SourceData.Fertiliser_Products_Data3(), FertiliserProducts[[#Headers],[Company]],61)</f>
        <v/>
      </c>
      <c r="AF151" s="172" t="str" cm="1">
        <f t="array" ref="AF151">Common_InputFunctions.Utility_DisplayArrayInTable(Fertiliser_SourceData.Fertiliser_Products_Data3(), FertiliserProducts[[#Headers],[Company]],61)</f>
        <v/>
      </c>
      <c r="AG151" s="172" t="str" cm="1">
        <f t="array" ref="AG151">Common_InputFunctions.Utility_DisplayArrayInTable(Fertiliser_SourceData.Fertiliser_Products_Data3(), FertiliserProducts[[#Headers],[Company]],61)</f>
        <v/>
      </c>
      <c r="AH151" s="172" t="str" cm="1">
        <f t="array" ref="AH151">Common_InputFunctions.Utility_DisplayArrayInTable(Fertiliser_SourceData.Fertiliser_Products_Data3(), FertiliserProducts[[#Headers],[Company]],61)</f>
        <v/>
      </c>
      <c r="AK151" s="1"/>
      <c r="AL151" s="1"/>
      <c r="AM151" s="1"/>
    </row>
    <row r="152" spans="4:39" ht="20.100000000000001" customHeight="1" x14ac:dyDescent="0.25">
      <c r="D152" s="172" t="str" cm="1">
        <f t="array" ref="D152">Common_InputFunctions.Utility_DisplayArrayInTable(Fertiliser_SourceData.Fertiliser_Products_Data3(), FertiliserProducts[[#Headers],[Company]],61)</f>
        <v>Campbells fertilisers Australia</v>
      </c>
      <c r="E152" s="172" t="str" cm="1">
        <f t="array" ref="E152">Common_InputFunctions.Utility_DisplayArrayInTable(Fertiliser_SourceData.Fertiliser_Products_Data3(), FertiliserProducts[[#Headers],[Company]],61)</f>
        <v>Solu-MAP</v>
      </c>
      <c r="F152" s="172" t="str" cm="1">
        <f t="array" ref="F152">Common_InputFunctions.Utility_DisplayArrayInTable(Fertiliser_SourceData.Fertiliser_Products_Data3(), FertiliserProducts[[#Headers],[Company]],61)</f>
        <v>kg</v>
      </c>
      <c r="G152" s="172" cm="1">
        <f t="array" ref="G152">Common_InputFunctions.Utility_DisplayArrayInTable(Fertiliser_SourceData.Fertiliser_Products_Data3(), FertiliserProducts[[#Headers],[Company]],61)</f>
        <v>1</v>
      </c>
      <c r="H152" s="172" t="str" cm="1">
        <f t="array" ref="H152">Common_InputFunctions.Utility_DisplayArrayInTable(Fertiliser_SourceData.Fertiliser_Products_Data3(), FertiliserProducts[[#Headers],[Company]],61)</f>
        <v/>
      </c>
      <c r="I152" s="172" t="str" cm="1">
        <f t="array" ref="I152">Common_InputFunctions.Utility_DisplayArrayInTable(Fertiliser_SourceData.Fertiliser_Products_Data3(), FertiliserProducts[[#Headers],[Company]],61)</f>
        <v/>
      </c>
      <c r="J152" s="172" t="str" cm="1">
        <f t="array" ref="J152">Common_InputFunctions.Utility_DisplayArrayInTable(Fertiliser_SourceData.Fertiliser_Products_Data3(), FertiliserProducts[[#Headers],[Company]],61)</f>
        <v/>
      </c>
      <c r="K152" s="172" cm="1">
        <f t="array" ref="K152">Common_InputFunctions.Utility_DisplayArrayInTable(Fertiliser_SourceData.Fertiliser_Products_Data3(), FertiliserProducts[[#Headers],[Company]],61)</f>
        <v>10</v>
      </c>
      <c r="L152" s="172" cm="1">
        <f t="array" ref="L152">Common_InputFunctions.Utility_DisplayArrayInTable(Fertiliser_SourceData.Fertiliser_Products_Data3(), FertiliserProducts[[#Headers],[Company]],61)</f>
        <v>21.9</v>
      </c>
      <c r="M152" s="172" t="str" cm="1">
        <f t="array" ref="M152">Common_InputFunctions.Utility_DisplayArrayInTable(Fertiliser_SourceData.Fertiliser_Products_Data3(), FertiliserProducts[[#Headers],[Company]],61)</f>
        <v/>
      </c>
      <c r="N152" s="172" t="str" cm="1">
        <f t="array" ref="N152">Common_InputFunctions.Utility_DisplayArrayInTable(Fertiliser_SourceData.Fertiliser_Products_Data3(), FertiliserProducts[[#Headers],[Company]],61)</f>
        <v/>
      </c>
      <c r="O152" s="172" t="str" cm="1">
        <f t="array" ref="O152">Common_InputFunctions.Utility_DisplayArrayInTable(Fertiliser_SourceData.Fertiliser_Products_Data3(), FertiliserProducts[[#Headers],[Company]],61)</f>
        <v>Monoammonium phosphate (MAP)</v>
      </c>
      <c r="P152" s="172" cm="1">
        <f t="array" ref="P152">Common_InputFunctions.Utility_DisplayArrayInTable(Fertiliser_SourceData.Fertiliser_Products_Data3(), FertiliserProducts[[#Headers],[Company]],61)</f>
        <v>1</v>
      </c>
      <c r="Q152" s="172" t="str" cm="1">
        <f t="array" ref="Q152">Common_InputFunctions.Utility_DisplayArrayInTable(Fertiliser_SourceData.Fertiliser_Products_Data3(), FertiliserProducts[[#Headers],[Company]],61)</f>
        <v/>
      </c>
      <c r="R152" s="172" t="str" cm="1">
        <f t="array" ref="R152">Common_InputFunctions.Utility_DisplayArrayInTable(Fertiliser_SourceData.Fertiliser_Products_Data3(), FertiliserProducts[[#Headers],[Company]],61)</f>
        <v/>
      </c>
      <c r="S152" s="172" t="str" cm="1">
        <f t="array" ref="S152">Common_InputFunctions.Utility_DisplayArrayInTable(Fertiliser_SourceData.Fertiliser_Products_Data3(), FertiliserProducts[[#Headers],[Company]],61)</f>
        <v/>
      </c>
      <c r="T152" s="172" t="str" cm="1">
        <f t="array" ref="T152">Common_InputFunctions.Utility_DisplayArrayInTable(Fertiliser_SourceData.Fertiliser_Products_Data3(), FertiliserProducts[[#Headers],[Company]],61)</f>
        <v/>
      </c>
      <c r="U152" s="172" t="str" cm="1">
        <f t="array" ref="U152">Common_InputFunctions.Utility_DisplayArrayInTable(Fertiliser_SourceData.Fertiliser_Products_Data3(), FertiliserProducts[[#Headers],[Company]],61)</f>
        <v/>
      </c>
      <c r="V152" s="172" t="str" cm="1">
        <f t="array" ref="V152">Common_InputFunctions.Utility_DisplayArrayInTable(Fertiliser_SourceData.Fertiliser_Products_Data3(), FertiliserProducts[[#Headers],[Company]],61)</f>
        <v/>
      </c>
      <c r="W152" s="172" t="str" cm="1">
        <f t="array" ref="W152">Common_InputFunctions.Utility_DisplayArrayInTable(Fertiliser_SourceData.Fertiliser_Products_Data3(), FertiliserProducts[[#Headers],[Company]],61)</f>
        <v/>
      </c>
      <c r="X152" s="172" t="str" cm="1">
        <f t="array" ref="X152">Common_InputFunctions.Utility_DisplayArrayInTable(Fertiliser_SourceData.Fertiliser_Products_Data3(), FertiliserProducts[[#Headers],[Company]],61)</f>
        <v/>
      </c>
      <c r="Y152" s="172" t="str" cm="1">
        <f t="array" ref="Y152">Common_InputFunctions.Utility_DisplayArrayInTable(Fertiliser_SourceData.Fertiliser_Products_Data3(), FertiliserProducts[[#Headers],[Company]],61)</f>
        <v/>
      </c>
      <c r="Z152" s="172" t="str" cm="1">
        <f t="array" ref="Z152">Common_InputFunctions.Utility_DisplayArrayInTable(Fertiliser_SourceData.Fertiliser_Products_Data3(), FertiliserProducts[[#Headers],[Company]],61)</f>
        <v/>
      </c>
      <c r="AA152" s="172" t="str" cm="1">
        <f t="array" ref="AA152">Common_InputFunctions.Utility_DisplayArrayInTable(Fertiliser_SourceData.Fertiliser_Products_Data3(), FertiliserProducts[[#Headers],[Company]],61)</f>
        <v/>
      </c>
      <c r="AB152" s="172" t="str" cm="1">
        <f t="array" ref="AB152">Common_InputFunctions.Utility_DisplayArrayInTable(Fertiliser_SourceData.Fertiliser_Products_Data3(), FertiliserProducts[[#Headers],[Company]],61)</f>
        <v/>
      </c>
      <c r="AC152" s="172" t="str" cm="1">
        <f t="array" ref="AC152">Common_InputFunctions.Utility_DisplayArrayInTable(Fertiliser_SourceData.Fertiliser_Products_Data3(), FertiliserProducts[[#Headers],[Company]],61)</f>
        <v/>
      </c>
      <c r="AD152" s="172" t="str" cm="1">
        <f t="array" ref="AD152">Common_InputFunctions.Utility_DisplayArrayInTable(Fertiliser_SourceData.Fertiliser_Products_Data3(), FertiliserProducts[[#Headers],[Company]],61)</f>
        <v/>
      </c>
      <c r="AE152" s="172" t="str" cm="1">
        <f t="array" ref="AE152">Common_InputFunctions.Utility_DisplayArrayInTable(Fertiliser_SourceData.Fertiliser_Products_Data3(), FertiliserProducts[[#Headers],[Company]],61)</f>
        <v/>
      </c>
      <c r="AF152" s="172" t="str" cm="1">
        <f t="array" ref="AF152">Common_InputFunctions.Utility_DisplayArrayInTable(Fertiliser_SourceData.Fertiliser_Products_Data3(), FertiliserProducts[[#Headers],[Company]],61)</f>
        <v/>
      </c>
      <c r="AG152" s="172" t="str" cm="1">
        <f t="array" ref="AG152">Common_InputFunctions.Utility_DisplayArrayInTable(Fertiliser_SourceData.Fertiliser_Products_Data3(), FertiliserProducts[[#Headers],[Company]],61)</f>
        <v/>
      </c>
      <c r="AH152" s="172" t="str" cm="1">
        <f t="array" ref="AH152">Common_InputFunctions.Utility_DisplayArrayInTable(Fertiliser_SourceData.Fertiliser_Products_Data3(), FertiliserProducts[[#Headers],[Company]],61)</f>
        <v/>
      </c>
      <c r="AK152" s="1"/>
      <c r="AL152" s="1"/>
      <c r="AM152" s="1"/>
    </row>
    <row r="153" spans="4:39" ht="20.100000000000001" customHeight="1" x14ac:dyDescent="0.25">
      <c r="D153" s="172" t="str" cm="1">
        <f t="array" ref="D153">Common_InputFunctions.Utility_DisplayArrayInTable(Fertiliser_SourceData.Fertiliser_Products_Data3(), FertiliserProducts[[#Headers],[Company]],61)</f>
        <v>Campbells fertilisers Australia</v>
      </c>
      <c r="E153" s="172" t="str" cm="1">
        <f t="array" ref="E153">Common_InputFunctions.Utility_DisplayArrayInTable(Fertiliser_SourceData.Fertiliser_Products_Data3(), FertiliserProducts[[#Headers],[Company]],61)</f>
        <v>Solu-Sam</v>
      </c>
      <c r="F153" s="172" t="str" cm="1">
        <f t="array" ref="F153">Common_InputFunctions.Utility_DisplayArrayInTable(Fertiliser_SourceData.Fertiliser_Products_Data3(), FertiliserProducts[[#Headers],[Company]],61)</f>
        <v>kg</v>
      </c>
      <c r="G153" s="172" cm="1">
        <f t="array" ref="G153">Common_InputFunctions.Utility_DisplayArrayInTable(Fertiliser_SourceData.Fertiliser_Products_Data3(), FertiliserProducts[[#Headers],[Company]],61)</f>
        <v>1</v>
      </c>
      <c r="H153" s="172" t="str" cm="1">
        <f t="array" ref="H153">Common_InputFunctions.Utility_DisplayArrayInTable(Fertiliser_SourceData.Fertiliser_Products_Data3(), FertiliserProducts[[#Headers],[Company]],61)</f>
        <v/>
      </c>
      <c r="I153" s="172" t="str" cm="1">
        <f t="array" ref="I153">Common_InputFunctions.Utility_DisplayArrayInTable(Fertiliser_SourceData.Fertiliser_Products_Data3(), FertiliserProducts[[#Headers],[Company]],61)</f>
        <v/>
      </c>
      <c r="J153" s="172" t="str" cm="1">
        <f t="array" ref="J153">Common_InputFunctions.Utility_DisplayArrayInTable(Fertiliser_SourceData.Fertiliser_Products_Data3(), FertiliserProducts[[#Headers],[Company]],61)</f>
        <v/>
      </c>
      <c r="K153" s="172" cm="1">
        <f t="array" ref="K153">Common_InputFunctions.Utility_DisplayArrayInTable(Fertiliser_SourceData.Fertiliser_Products_Data3(), FertiliserProducts[[#Headers],[Company]],61)</f>
        <v>21</v>
      </c>
      <c r="L153" s="172" t="str" cm="1">
        <f t="array" ref="L153">Common_InputFunctions.Utility_DisplayArrayInTable(Fertiliser_SourceData.Fertiliser_Products_Data3(), FertiliserProducts[[#Headers],[Company]],61)</f>
        <v/>
      </c>
      <c r="M153" s="172" t="str" cm="1">
        <f t="array" ref="M153">Common_InputFunctions.Utility_DisplayArrayInTable(Fertiliser_SourceData.Fertiliser_Products_Data3(), FertiliserProducts[[#Headers],[Company]],61)</f>
        <v/>
      </c>
      <c r="N153" s="172" cm="1">
        <f t="array" ref="N153">Common_InputFunctions.Utility_DisplayArrayInTable(Fertiliser_SourceData.Fertiliser_Products_Data3(), FertiliserProducts[[#Headers],[Company]],61)</f>
        <v>24</v>
      </c>
      <c r="O153" s="172" t="str" cm="1">
        <f t="array" ref="O153">Common_InputFunctions.Utility_DisplayArrayInTable(Fertiliser_SourceData.Fertiliser_Products_Data3(), FertiliserProducts[[#Headers],[Company]],61)</f>
        <v>Sulphate of ammonia (SOA)</v>
      </c>
      <c r="P153" s="172" cm="1">
        <f t="array" ref="P153">Common_InputFunctions.Utility_DisplayArrayInTable(Fertiliser_SourceData.Fertiliser_Products_Data3(), FertiliserProducts[[#Headers],[Company]],61)</f>
        <v>1</v>
      </c>
      <c r="Q153" s="172" t="str" cm="1">
        <f t="array" ref="Q153">Common_InputFunctions.Utility_DisplayArrayInTable(Fertiliser_SourceData.Fertiliser_Products_Data3(), FertiliserProducts[[#Headers],[Company]],61)</f>
        <v/>
      </c>
      <c r="R153" s="172" t="str" cm="1">
        <f t="array" ref="R153">Common_InputFunctions.Utility_DisplayArrayInTable(Fertiliser_SourceData.Fertiliser_Products_Data3(), FertiliserProducts[[#Headers],[Company]],61)</f>
        <v/>
      </c>
      <c r="S153" s="172" t="str" cm="1">
        <f t="array" ref="S153">Common_InputFunctions.Utility_DisplayArrayInTable(Fertiliser_SourceData.Fertiliser_Products_Data3(), FertiliserProducts[[#Headers],[Company]],61)</f>
        <v/>
      </c>
      <c r="T153" s="172" t="str" cm="1">
        <f t="array" ref="T153">Common_InputFunctions.Utility_DisplayArrayInTable(Fertiliser_SourceData.Fertiliser_Products_Data3(), FertiliserProducts[[#Headers],[Company]],61)</f>
        <v/>
      </c>
      <c r="U153" s="172" t="str" cm="1">
        <f t="array" ref="U153">Common_InputFunctions.Utility_DisplayArrayInTable(Fertiliser_SourceData.Fertiliser_Products_Data3(), FertiliserProducts[[#Headers],[Company]],61)</f>
        <v/>
      </c>
      <c r="V153" s="172" t="str" cm="1">
        <f t="array" ref="V153">Common_InputFunctions.Utility_DisplayArrayInTable(Fertiliser_SourceData.Fertiliser_Products_Data3(), FertiliserProducts[[#Headers],[Company]],61)</f>
        <v/>
      </c>
      <c r="W153" s="172" t="str" cm="1">
        <f t="array" ref="W153">Common_InputFunctions.Utility_DisplayArrayInTable(Fertiliser_SourceData.Fertiliser_Products_Data3(), FertiliserProducts[[#Headers],[Company]],61)</f>
        <v/>
      </c>
      <c r="X153" s="172" t="str" cm="1">
        <f t="array" ref="X153">Common_InputFunctions.Utility_DisplayArrayInTable(Fertiliser_SourceData.Fertiliser_Products_Data3(), FertiliserProducts[[#Headers],[Company]],61)</f>
        <v/>
      </c>
      <c r="Y153" s="172" t="str" cm="1">
        <f t="array" ref="Y153">Common_InputFunctions.Utility_DisplayArrayInTable(Fertiliser_SourceData.Fertiliser_Products_Data3(), FertiliserProducts[[#Headers],[Company]],61)</f>
        <v/>
      </c>
      <c r="Z153" s="172" t="str" cm="1">
        <f t="array" ref="Z153">Common_InputFunctions.Utility_DisplayArrayInTable(Fertiliser_SourceData.Fertiliser_Products_Data3(), FertiliserProducts[[#Headers],[Company]],61)</f>
        <v/>
      </c>
      <c r="AA153" s="172" t="str" cm="1">
        <f t="array" ref="AA153">Common_InputFunctions.Utility_DisplayArrayInTable(Fertiliser_SourceData.Fertiliser_Products_Data3(), FertiliserProducts[[#Headers],[Company]],61)</f>
        <v/>
      </c>
      <c r="AB153" s="172" t="str" cm="1">
        <f t="array" ref="AB153">Common_InputFunctions.Utility_DisplayArrayInTable(Fertiliser_SourceData.Fertiliser_Products_Data3(), FertiliserProducts[[#Headers],[Company]],61)</f>
        <v/>
      </c>
      <c r="AC153" s="172" t="str" cm="1">
        <f t="array" ref="AC153">Common_InputFunctions.Utility_DisplayArrayInTable(Fertiliser_SourceData.Fertiliser_Products_Data3(), FertiliserProducts[[#Headers],[Company]],61)</f>
        <v/>
      </c>
      <c r="AD153" s="172" t="str" cm="1">
        <f t="array" ref="AD153">Common_InputFunctions.Utility_DisplayArrayInTable(Fertiliser_SourceData.Fertiliser_Products_Data3(), FertiliserProducts[[#Headers],[Company]],61)</f>
        <v/>
      </c>
      <c r="AE153" s="172" t="str" cm="1">
        <f t="array" ref="AE153">Common_InputFunctions.Utility_DisplayArrayInTable(Fertiliser_SourceData.Fertiliser_Products_Data3(), FertiliserProducts[[#Headers],[Company]],61)</f>
        <v/>
      </c>
      <c r="AF153" s="172" t="str" cm="1">
        <f t="array" ref="AF153">Common_InputFunctions.Utility_DisplayArrayInTable(Fertiliser_SourceData.Fertiliser_Products_Data3(), FertiliserProducts[[#Headers],[Company]],61)</f>
        <v/>
      </c>
      <c r="AG153" s="172" t="str" cm="1">
        <f t="array" ref="AG153">Common_InputFunctions.Utility_DisplayArrayInTable(Fertiliser_SourceData.Fertiliser_Products_Data3(), FertiliserProducts[[#Headers],[Company]],61)</f>
        <v/>
      </c>
      <c r="AH153" s="172" t="str" cm="1">
        <f t="array" ref="AH153">Common_InputFunctions.Utility_DisplayArrayInTable(Fertiliser_SourceData.Fertiliser_Products_Data3(), FertiliserProducts[[#Headers],[Company]],61)</f>
        <v/>
      </c>
      <c r="AK153" s="1"/>
      <c r="AL153" s="1"/>
      <c r="AM153" s="1"/>
    </row>
    <row r="154" spans="4:39" ht="20.100000000000001" customHeight="1" x14ac:dyDescent="0.25">
      <c r="D154" s="172" t="str" cm="1">
        <f t="array" ref="D154">Common_InputFunctions.Utility_DisplayArrayInTable(Fertiliser_SourceData.Fertiliser_Products_Data3(), FertiliserProducts[[#Headers],[Company]],61)</f>
        <v>Campbells fertilisers Australia</v>
      </c>
      <c r="E154" s="172" t="str" cm="1">
        <f t="array" ref="E154">Common_InputFunctions.Utility_DisplayArrayInTable(Fertiliser_SourceData.Fertiliser_Products_Data3(), FertiliserProducts[[#Headers],[Company]],61)</f>
        <v>Rustica Plus</v>
      </c>
      <c r="F154" s="172" t="str" cm="1">
        <f t="array" ref="F154">Common_InputFunctions.Utility_DisplayArrayInTable(Fertiliser_SourceData.Fertiliser_Products_Data3(), FertiliserProducts[[#Headers],[Company]],61)</f>
        <v>kg</v>
      </c>
      <c r="G154" s="172" cm="1">
        <f t="array" ref="G154">Common_InputFunctions.Utility_DisplayArrayInTable(Fertiliser_SourceData.Fertiliser_Products_Data3(), FertiliserProducts[[#Headers],[Company]],61)</f>
        <v>1</v>
      </c>
      <c r="H154" s="172" t="str" cm="1">
        <f t="array" ref="H154">Common_InputFunctions.Utility_DisplayArrayInTable(Fertiliser_SourceData.Fertiliser_Products_Data3(), FertiliserProducts[[#Headers],[Company]],61)</f>
        <v/>
      </c>
      <c r="I154" s="172" t="str" cm="1">
        <f t="array" ref="I154">Common_InputFunctions.Utility_DisplayArrayInTable(Fertiliser_SourceData.Fertiliser_Products_Data3(), FertiliserProducts[[#Headers],[Company]],61)</f>
        <v/>
      </c>
      <c r="J154" s="172" t="str" cm="1">
        <f t="array" ref="J154">Common_InputFunctions.Utility_DisplayArrayInTable(Fertiliser_SourceData.Fertiliser_Products_Data3(), FertiliserProducts[[#Headers],[Company]],61)</f>
        <v/>
      </c>
      <c r="K154" s="172" cm="1">
        <f t="array" ref="K154">Common_InputFunctions.Utility_DisplayArrayInTable(Fertiliser_SourceData.Fertiliser_Products_Data3(), FertiliserProducts[[#Headers],[Company]],61)</f>
        <v>12</v>
      </c>
      <c r="L154" s="172" cm="1">
        <f t="array" ref="L154">Common_InputFunctions.Utility_DisplayArrayInTable(Fertiliser_SourceData.Fertiliser_Products_Data3(), FertiliserProducts[[#Headers],[Company]],61)</f>
        <v>5</v>
      </c>
      <c r="M154" s="172" cm="1">
        <f t="array" ref="M154">Common_InputFunctions.Utility_DisplayArrayInTable(Fertiliser_SourceData.Fertiliser_Products_Data3(), FertiliserProducts[[#Headers],[Company]],61)</f>
        <v>14</v>
      </c>
      <c r="N154" s="172" cm="1">
        <f t="array" ref="N154">Common_InputFunctions.Utility_DisplayArrayInTable(Fertiliser_SourceData.Fertiliser_Products_Data3(), FertiliserProducts[[#Headers],[Company]],61)</f>
        <v>9.6999999999999993</v>
      </c>
      <c r="O154" s="172" t="str" cm="1">
        <f t="array" ref="O154">Common_InputFunctions.Utility_DisplayArrayInTable(Fertiliser_SourceData.Fertiliser_Products_Data3(), FertiliserProducts[[#Headers],[Company]],61)</f>
        <v>Potassium - Generic</v>
      </c>
      <c r="P154" s="172" cm="1">
        <f t="array" ref="P154">Common_InputFunctions.Utility_DisplayArrayInTable(Fertiliser_SourceData.Fertiliser_Products_Data3(), FertiliserProducts[[#Headers],[Company]],61)</f>
        <v>0.14000000000000001</v>
      </c>
      <c r="Q154" s="172" t="str" cm="1">
        <f t="array" ref="Q154">Common_InputFunctions.Utility_DisplayArrayInTable(Fertiliser_SourceData.Fertiliser_Products_Data3(), FertiliserProducts[[#Headers],[Company]],61)</f>
        <v>Sulfur - Generic</v>
      </c>
      <c r="R154" s="172" cm="1">
        <f t="array" ref="R154">Common_InputFunctions.Utility_DisplayArrayInTable(Fertiliser_SourceData.Fertiliser_Products_Data3(), FertiliserProducts[[#Headers],[Company]],61)</f>
        <v>9.7000000000000003E-2</v>
      </c>
      <c r="S154" s="172" t="str" cm="1">
        <f t="array" ref="S154">Common_InputFunctions.Utility_DisplayArrayInTable(Fertiliser_SourceData.Fertiliser_Products_Data3(), FertiliserProducts[[#Headers],[Company]],61)</f>
        <v>Nitrogen - Nitrate</v>
      </c>
      <c r="T154" s="172" cm="1">
        <f t="array" ref="T154">Common_InputFunctions.Utility_DisplayArrayInTable(Fertiliser_SourceData.Fertiliser_Products_Data3(), FertiliserProducts[[#Headers],[Company]],61)</f>
        <v>0.06</v>
      </c>
      <c r="U154" s="172" t="str" cm="1">
        <f t="array" ref="U154">Common_InputFunctions.Utility_DisplayArrayInTable(Fertiliser_SourceData.Fertiliser_Products_Data3(), FertiliserProducts[[#Headers],[Company]],61)</f>
        <v>Nitrogen - Ammoniacal</v>
      </c>
      <c r="V154" s="172" cm="1">
        <f t="array" ref="V154">Common_InputFunctions.Utility_DisplayArrayInTable(Fertiliser_SourceData.Fertiliser_Products_Data3(), FertiliserProducts[[#Headers],[Company]],61)</f>
        <v>0.06</v>
      </c>
      <c r="W154" s="172" t="str" cm="1">
        <f t="array" ref="W154">Common_InputFunctions.Utility_DisplayArrayInTable(Fertiliser_SourceData.Fertiliser_Products_Data3(), FertiliserProducts[[#Headers],[Company]],61)</f>
        <v>Phosphorus - Generic</v>
      </c>
      <c r="X154" s="172" cm="1">
        <f t="array" ref="X154">Common_InputFunctions.Utility_DisplayArrayInTable(Fertiliser_SourceData.Fertiliser_Products_Data3(), FertiliserProducts[[#Headers],[Company]],61)</f>
        <v>0.05</v>
      </c>
      <c r="Y154" s="172" t="str" cm="1">
        <f t="array" ref="Y154">Common_InputFunctions.Utility_DisplayArrayInTable(Fertiliser_SourceData.Fertiliser_Products_Data3(), FertiliserProducts[[#Headers],[Company]],61)</f>
        <v>Calcium</v>
      </c>
      <c r="Z154" s="172" cm="1">
        <f t="array" ref="Z154">Common_InputFunctions.Utility_DisplayArrayInTable(Fertiliser_SourceData.Fertiliser_Products_Data3(), FertiliserProducts[[#Headers],[Company]],61)</f>
        <v>3.1E-2</v>
      </c>
      <c r="AA154" s="172" t="str" cm="1">
        <f t="array" ref="AA154">Common_InputFunctions.Utility_DisplayArrayInTable(Fertiliser_SourceData.Fertiliser_Products_Data3(), FertiliserProducts[[#Headers],[Company]],61)</f>
        <v>Magnesium</v>
      </c>
      <c r="AB154" s="172" cm="1">
        <f t="array" ref="AB154">Common_InputFunctions.Utility_DisplayArrayInTable(Fertiliser_SourceData.Fertiliser_Products_Data3(), FertiliserProducts[[#Headers],[Company]],61)</f>
        <v>1.2E-2</v>
      </c>
      <c r="AC154" s="172" t="str" cm="1">
        <f t="array" ref="AC154">Common_InputFunctions.Utility_DisplayArrayInTable(Fertiliser_SourceData.Fertiliser_Products_Data3(), FertiliserProducts[[#Headers],[Company]],61)</f>
        <v>Zinc</v>
      </c>
      <c r="AD154" s="172" cm="1">
        <f t="array" ref="AD154">Common_InputFunctions.Utility_DisplayArrayInTable(Fertiliser_SourceData.Fertiliser_Products_Data3(), FertiliserProducts[[#Headers],[Company]],61)</f>
        <v>1E-3</v>
      </c>
      <c r="AE154" s="172" t="str" cm="1">
        <f t="array" ref="AE154">Common_InputFunctions.Utility_DisplayArrayInTable(Fertiliser_SourceData.Fertiliser_Products_Data3(), FertiliserProducts[[#Headers],[Company]],61)</f>
        <v>Boron</v>
      </c>
      <c r="AF154" s="172" cm="1">
        <f t="array" ref="AF154">Common_InputFunctions.Utility_DisplayArrayInTable(Fertiliser_SourceData.Fertiliser_Products_Data3(), FertiliserProducts[[#Headers],[Company]],61)</f>
        <v>2.0000000000000001E-4</v>
      </c>
      <c r="AG154" s="172" t="str" cm="1">
        <f t="array" ref="AG154">Common_InputFunctions.Utility_DisplayArrayInTable(Fertiliser_SourceData.Fertiliser_Products_Data3(), FertiliserProducts[[#Headers],[Company]],61)</f>
        <v/>
      </c>
      <c r="AH154" s="172" t="str" cm="1">
        <f t="array" ref="AH154">Common_InputFunctions.Utility_DisplayArrayInTable(Fertiliser_SourceData.Fertiliser_Products_Data3(), FertiliserProducts[[#Headers],[Company]],61)</f>
        <v/>
      </c>
      <c r="AK154" s="1"/>
    </row>
    <row r="155" spans="4:39" ht="20.100000000000001" customHeight="1" x14ac:dyDescent="0.25">
      <c r="D155" s="172" t="str" cm="1">
        <f t="array" ref="D155">Common_InputFunctions.Utility_DisplayArrayInTable(Fertiliser_SourceData.Fertiliser_Products_Data3(), FertiliserProducts[[#Headers],[Company]],61)</f>
        <v>Campbells fertilisers Australia</v>
      </c>
      <c r="E155" s="172" t="str" cm="1">
        <f t="array" ref="E155">Common_InputFunctions.Utility_DisplayArrayInTable(Fertiliser_SourceData.Fertiliser_Products_Data3(), FertiliserProducts[[#Headers],[Company]],61)</f>
        <v>Platinum Plus</v>
      </c>
      <c r="F155" s="172" t="str" cm="1">
        <f t="array" ref="F155">Common_InputFunctions.Utility_DisplayArrayInTable(Fertiliser_SourceData.Fertiliser_Products_Data3(), FertiliserProducts[[#Headers],[Company]],61)</f>
        <v>kg</v>
      </c>
      <c r="G155" s="172" cm="1">
        <f t="array" ref="G155">Common_InputFunctions.Utility_DisplayArrayInTable(Fertiliser_SourceData.Fertiliser_Products_Data3(), FertiliserProducts[[#Headers],[Company]],61)</f>
        <v>1</v>
      </c>
      <c r="H155" s="172" t="str" cm="1">
        <f t="array" ref="H155">Common_InputFunctions.Utility_DisplayArrayInTable(Fertiliser_SourceData.Fertiliser_Products_Data3(), FertiliserProducts[[#Headers],[Company]],61)</f>
        <v/>
      </c>
      <c r="I155" s="172" t="str" cm="1">
        <f t="array" ref="I155">Common_InputFunctions.Utility_DisplayArrayInTable(Fertiliser_SourceData.Fertiliser_Products_Data3(), FertiliserProducts[[#Headers],[Company]],61)</f>
        <v/>
      </c>
      <c r="J155" s="172" t="str" cm="1">
        <f t="array" ref="J155">Common_InputFunctions.Utility_DisplayArrayInTable(Fertiliser_SourceData.Fertiliser_Products_Data3(), FertiliserProducts[[#Headers],[Company]],61)</f>
        <v/>
      </c>
      <c r="K155" s="172" cm="1">
        <f t="array" ref="K155">Common_InputFunctions.Utility_DisplayArrayInTable(Fertiliser_SourceData.Fertiliser_Products_Data3(), FertiliserProducts[[#Headers],[Company]],61)</f>
        <v>10</v>
      </c>
      <c r="L155" s="172" cm="1">
        <f t="array" ref="L155">Common_InputFunctions.Utility_DisplayArrayInTable(Fertiliser_SourceData.Fertiliser_Products_Data3(), FertiliserProducts[[#Headers],[Company]],61)</f>
        <v>11</v>
      </c>
      <c r="M155" s="172" cm="1">
        <f t="array" ref="M155">Common_InputFunctions.Utility_DisplayArrayInTable(Fertiliser_SourceData.Fertiliser_Products_Data3(), FertiliserProducts[[#Headers],[Company]],61)</f>
        <v>10</v>
      </c>
      <c r="N155" s="172" cm="1">
        <f t="array" ref="N155">Common_InputFunctions.Utility_DisplayArrayInTable(Fertiliser_SourceData.Fertiliser_Products_Data3(), FertiliserProducts[[#Headers],[Company]],61)</f>
        <v>6</v>
      </c>
      <c r="O155" s="172" t="str" cm="1">
        <f t="array" ref="O155">Common_InputFunctions.Utility_DisplayArrayInTable(Fertiliser_SourceData.Fertiliser_Products_Data3(), FertiliserProducts[[#Headers],[Company]],61)</f>
        <v>Phosphorus - Generic</v>
      </c>
      <c r="P155" s="172" cm="1">
        <f t="array" ref="P155">Common_InputFunctions.Utility_DisplayArrayInTable(Fertiliser_SourceData.Fertiliser_Products_Data3(), FertiliserProducts[[#Headers],[Company]],61)</f>
        <v>0.11</v>
      </c>
      <c r="Q155" s="172" t="str" cm="1">
        <f t="array" ref="Q155">Common_InputFunctions.Utility_DisplayArrayInTable(Fertiliser_SourceData.Fertiliser_Products_Data3(), FertiliserProducts[[#Headers],[Company]],61)</f>
        <v>Potassium - Generic</v>
      </c>
      <c r="R155" s="172" cm="1">
        <f t="array" ref="R155">Common_InputFunctions.Utility_DisplayArrayInTable(Fertiliser_SourceData.Fertiliser_Products_Data3(), FertiliserProducts[[#Headers],[Company]],61)</f>
        <v>0.1</v>
      </c>
      <c r="S155" s="172" t="str" cm="1">
        <f t="array" ref="S155">Common_InputFunctions.Utility_DisplayArrayInTable(Fertiliser_SourceData.Fertiliser_Products_Data3(), FertiliserProducts[[#Headers],[Company]],61)</f>
        <v>Sulfur - Generic</v>
      </c>
      <c r="T155" s="172" cm="1">
        <f t="array" ref="T155">Common_InputFunctions.Utility_DisplayArrayInTable(Fertiliser_SourceData.Fertiliser_Products_Data3(), FertiliserProducts[[#Headers],[Company]],61)</f>
        <v>0.06</v>
      </c>
      <c r="U155" s="172" t="str" cm="1">
        <f t="array" ref="U155">Common_InputFunctions.Utility_DisplayArrayInTable(Fertiliser_SourceData.Fertiliser_Products_Data3(), FertiliserProducts[[#Headers],[Company]],61)</f>
        <v>Nitrogen - Nitrate</v>
      </c>
      <c r="V155" s="172" cm="1">
        <f t="array" ref="V155">Common_InputFunctions.Utility_DisplayArrayInTable(Fertiliser_SourceData.Fertiliser_Products_Data3(), FertiliserProducts[[#Headers],[Company]],61)</f>
        <v>0.05</v>
      </c>
      <c r="W155" s="172" t="str" cm="1">
        <f t="array" ref="W155">Common_InputFunctions.Utility_DisplayArrayInTable(Fertiliser_SourceData.Fertiliser_Products_Data3(), FertiliserProducts[[#Headers],[Company]],61)</f>
        <v>Nitrogen - Ammoniacal</v>
      </c>
      <c r="X155" s="172" cm="1">
        <f t="array" ref="X155">Common_InputFunctions.Utility_DisplayArrayInTable(Fertiliser_SourceData.Fertiliser_Products_Data3(), FertiliserProducts[[#Headers],[Company]],61)</f>
        <v>0.05</v>
      </c>
      <c r="Y155" s="172" t="str" cm="1">
        <f t="array" ref="Y155">Common_InputFunctions.Utility_DisplayArrayInTable(Fertiliser_SourceData.Fertiliser_Products_Data3(), FertiliserProducts[[#Headers],[Company]],61)</f>
        <v>Calcium</v>
      </c>
      <c r="Z155" s="172" cm="1">
        <f t="array" ref="Z155">Common_InputFunctions.Utility_DisplayArrayInTable(Fertiliser_SourceData.Fertiliser_Products_Data3(), FertiliserProducts[[#Headers],[Company]],61)</f>
        <v>4.2999999999999997E-2</v>
      </c>
      <c r="AA155" s="172" t="str" cm="1">
        <f t="array" ref="AA155">Common_InputFunctions.Utility_DisplayArrayInTable(Fertiliser_SourceData.Fertiliser_Products_Data3(), FertiliserProducts[[#Headers],[Company]],61)</f>
        <v>Magnesium</v>
      </c>
      <c r="AB155" s="172" cm="1">
        <f t="array" ref="AB155">Common_InputFunctions.Utility_DisplayArrayInTable(Fertiliser_SourceData.Fertiliser_Products_Data3(), FertiliserProducts[[#Headers],[Company]],61)</f>
        <v>1.2E-2</v>
      </c>
      <c r="AC155" s="172" t="str" cm="1">
        <f t="array" ref="AC155">Common_InputFunctions.Utility_DisplayArrayInTable(Fertiliser_SourceData.Fertiliser_Products_Data3(), FertiliserProducts[[#Headers],[Company]],61)</f>
        <v>Zinc</v>
      </c>
      <c r="AD155" s="172" cm="1">
        <f t="array" ref="AD155">Common_InputFunctions.Utility_DisplayArrayInTable(Fertiliser_SourceData.Fertiliser_Products_Data3(), FertiliserProducts[[#Headers],[Company]],61)</f>
        <v>3.5999999999999999E-3</v>
      </c>
      <c r="AE155" s="172" t="str" cm="1">
        <f t="array" ref="AE155">Common_InputFunctions.Utility_DisplayArrayInTable(Fertiliser_SourceData.Fertiliser_Products_Data3(), FertiliserProducts[[#Headers],[Company]],61)</f>
        <v>Boron</v>
      </c>
      <c r="AF155" s="172" cm="1">
        <f t="array" ref="AF155">Common_InputFunctions.Utility_DisplayArrayInTable(Fertiliser_SourceData.Fertiliser_Products_Data3(), FertiliserProducts[[#Headers],[Company]],61)</f>
        <v>1E-3</v>
      </c>
      <c r="AG155" s="172" t="str" cm="1">
        <f t="array" ref="AG155">Common_InputFunctions.Utility_DisplayArrayInTable(Fertiliser_SourceData.Fertiliser_Products_Data3(), FertiliserProducts[[#Headers],[Company]],61)</f>
        <v/>
      </c>
      <c r="AH155" s="172" t="str" cm="1">
        <f t="array" ref="AH155">Common_InputFunctions.Utility_DisplayArrayInTable(Fertiliser_SourceData.Fertiliser_Products_Data3(), FertiliserProducts[[#Headers],[Company]],61)</f>
        <v/>
      </c>
      <c r="AK155" s="1"/>
    </row>
    <row r="156" spans="4:39" ht="20.100000000000001" customHeight="1" x14ac:dyDescent="0.25">
      <c r="D156" s="172" t="str" cm="1">
        <f t="array" ref="D156">Common_InputFunctions.Utility_DisplayArrayInTable(Fertiliser_SourceData.Fertiliser_Products_Data3(), FertiliserProducts[[#Headers],[Company]],61)</f>
        <v>Campbells fertilisers Australia</v>
      </c>
      <c r="E156" s="172" t="str" cm="1">
        <f t="array" ref="E156">Common_InputFunctions.Utility_DisplayArrayInTable(Fertiliser_SourceData.Fertiliser_Products_Data3(), FertiliserProducts[[#Headers],[Company]],61)</f>
        <v>Tropika</v>
      </c>
      <c r="F156" s="172" t="str" cm="1">
        <f t="array" ref="F156">Common_InputFunctions.Utility_DisplayArrayInTable(Fertiliser_SourceData.Fertiliser_Products_Data3(), FertiliserProducts[[#Headers],[Company]],61)</f>
        <v>kg</v>
      </c>
      <c r="G156" s="172" cm="1">
        <f t="array" ref="G156">Common_InputFunctions.Utility_DisplayArrayInTable(Fertiliser_SourceData.Fertiliser_Products_Data3(), FertiliserProducts[[#Headers],[Company]],61)</f>
        <v>1</v>
      </c>
      <c r="H156" s="172" t="str" cm="1">
        <f t="array" ref="H156">Common_InputFunctions.Utility_DisplayArrayInTable(Fertiliser_SourceData.Fertiliser_Products_Data3(), FertiliserProducts[[#Headers],[Company]],61)</f>
        <v/>
      </c>
      <c r="I156" s="172" t="str" cm="1">
        <f t="array" ref="I156">Common_InputFunctions.Utility_DisplayArrayInTable(Fertiliser_SourceData.Fertiliser_Products_Data3(), FertiliserProducts[[#Headers],[Company]],61)</f>
        <v/>
      </c>
      <c r="J156" s="172" t="str" cm="1">
        <f t="array" ref="J156">Common_InputFunctions.Utility_DisplayArrayInTable(Fertiliser_SourceData.Fertiliser_Products_Data3(), FertiliserProducts[[#Headers],[Company]],61)</f>
        <v/>
      </c>
      <c r="K156" s="172" cm="1">
        <f t="array" ref="K156">Common_InputFunctions.Utility_DisplayArrayInTable(Fertiliser_SourceData.Fertiliser_Products_Data3(), FertiliserProducts[[#Headers],[Company]],61)</f>
        <v>11</v>
      </c>
      <c r="L156" s="172" cm="1">
        <f t="array" ref="L156">Common_InputFunctions.Utility_DisplayArrayInTable(Fertiliser_SourceData.Fertiliser_Products_Data3(), FertiliserProducts[[#Headers],[Company]],61)</f>
        <v>2.6</v>
      </c>
      <c r="M156" s="172" cm="1">
        <f t="array" ref="M156">Common_InputFunctions.Utility_DisplayArrayInTable(Fertiliser_SourceData.Fertiliser_Products_Data3(), FertiliserProducts[[#Headers],[Company]],61)</f>
        <v>20.8</v>
      </c>
      <c r="N156" s="172" cm="1">
        <f t="array" ref="N156">Common_InputFunctions.Utility_DisplayArrayInTable(Fertiliser_SourceData.Fertiliser_Products_Data3(), FertiliserProducts[[#Headers],[Company]],61)</f>
        <v>4</v>
      </c>
      <c r="O156" s="172" t="str" cm="1">
        <f t="array" ref="O156">Common_InputFunctions.Utility_DisplayArrayInTable(Fertiliser_SourceData.Fertiliser_Products_Data3(), FertiliserProducts[[#Headers],[Company]],61)</f>
        <v>Nitrogen - Nitrate</v>
      </c>
      <c r="P156" s="172" cm="1">
        <f t="array" ref="P156">Common_InputFunctions.Utility_DisplayArrayInTable(Fertiliser_SourceData.Fertiliser_Products_Data3(), FertiliserProducts[[#Headers],[Company]],61)</f>
        <v>5.5E-2</v>
      </c>
      <c r="Q156" s="172" t="str" cm="1">
        <f t="array" ref="Q156">Common_InputFunctions.Utility_DisplayArrayInTable(Fertiliser_SourceData.Fertiliser_Products_Data3(), FertiliserProducts[[#Headers],[Company]],61)</f>
        <v>Nitrogen - Ammoniacal</v>
      </c>
      <c r="R156" s="172" cm="1">
        <f t="array" ref="R156">Common_InputFunctions.Utility_DisplayArrayInTable(Fertiliser_SourceData.Fertiliser_Products_Data3(), FertiliserProducts[[#Headers],[Company]],61)</f>
        <v>5.5E-2</v>
      </c>
      <c r="S156" s="172" t="str" cm="1">
        <f t="array" ref="S156">Common_InputFunctions.Utility_DisplayArrayInTable(Fertiliser_SourceData.Fertiliser_Products_Data3(), FertiliserProducts[[#Headers],[Company]],61)</f>
        <v>Phosphorus - Generic</v>
      </c>
      <c r="T156" s="172" cm="1">
        <f t="array" ref="T156">Common_InputFunctions.Utility_DisplayArrayInTable(Fertiliser_SourceData.Fertiliser_Products_Data3(), FertiliserProducts[[#Headers],[Company]],61)</f>
        <v>2.5999999999999999E-2</v>
      </c>
      <c r="U156" s="172" t="str" cm="1">
        <f t="array" ref="U156">Common_InputFunctions.Utility_DisplayArrayInTable(Fertiliser_SourceData.Fertiliser_Products_Data3(), FertiliserProducts[[#Headers],[Company]],61)</f>
        <v>Potassium - Generic</v>
      </c>
      <c r="V156" s="172" cm="1">
        <f t="array" ref="V156">Common_InputFunctions.Utility_DisplayArrayInTable(Fertiliser_SourceData.Fertiliser_Products_Data3(), FertiliserProducts[[#Headers],[Company]],61)</f>
        <v>0.20799999999999999</v>
      </c>
      <c r="W156" s="172" t="str" cm="1">
        <f t="array" ref="W156">Common_InputFunctions.Utility_DisplayArrayInTable(Fertiliser_SourceData.Fertiliser_Products_Data3(), FertiliserProducts[[#Headers],[Company]],61)</f>
        <v>Sulfur - Generic</v>
      </c>
      <c r="X156" s="172" cm="1">
        <f t="array" ref="X156">Common_InputFunctions.Utility_DisplayArrayInTable(Fertiliser_SourceData.Fertiliser_Products_Data3(), FertiliserProducts[[#Headers],[Company]],61)</f>
        <v>0.04</v>
      </c>
      <c r="Y156" s="172" t="str" cm="1">
        <f t="array" ref="Y156">Common_InputFunctions.Utility_DisplayArrayInTable(Fertiliser_SourceData.Fertiliser_Products_Data3(), FertiliserProducts[[#Headers],[Company]],61)</f>
        <v>Magnesium</v>
      </c>
      <c r="Z156" s="172" cm="1">
        <f t="array" ref="Z156">Common_InputFunctions.Utility_DisplayArrayInTable(Fertiliser_SourceData.Fertiliser_Products_Data3(), FertiliserProducts[[#Headers],[Company]],61)</f>
        <v>2.4E-2</v>
      </c>
      <c r="AA156" s="172" t="str" cm="1">
        <f t="array" ref="AA156">Common_InputFunctions.Utility_DisplayArrayInTable(Fertiliser_SourceData.Fertiliser_Products_Data3(), FertiliserProducts[[#Headers],[Company]],61)</f>
        <v/>
      </c>
      <c r="AB156" s="172" t="str" cm="1">
        <f t="array" ref="AB156">Common_InputFunctions.Utility_DisplayArrayInTable(Fertiliser_SourceData.Fertiliser_Products_Data3(), FertiliserProducts[[#Headers],[Company]],61)</f>
        <v/>
      </c>
      <c r="AC156" s="172" t="str" cm="1">
        <f t="array" ref="AC156">Common_InputFunctions.Utility_DisplayArrayInTable(Fertiliser_SourceData.Fertiliser_Products_Data3(), FertiliserProducts[[#Headers],[Company]],61)</f>
        <v/>
      </c>
      <c r="AD156" s="172" t="str" cm="1">
        <f t="array" ref="AD156">Common_InputFunctions.Utility_DisplayArrayInTable(Fertiliser_SourceData.Fertiliser_Products_Data3(), FertiliserProducts[[#Headers],[Company]],61)</f>
        <v/>
      </c>
      <c r="AE156" s="172" t="str" cm="1">
        <f t="array" ref="AE156">Common_InputFunctions.Utility_DisplayArrayInTable(Fertiliser_SourceData.Fertiliser_Products_Data3(), FertiliserProducts[[#Headers],[Company]],61)</f>
        <v/>
      </c>
      <c r="AF156" s="172" t="str" cm="1">
        <f t="array" ref="AF156">Common_InputFunctions.Utility_DisplayArrayInTable(Fertiliser_SourceData.Fertiliser_Products_Data3(), FertiliserProducts[[#Headers],[Company]],61)</f>
        <v/>
      </c>
      <c r="AG156" s="172" t="str" cm="1">
        <f t="array" ref="AG156">Common_InputFunctions.Utility_DisplayArrayInTable(Fertiliser_SourceData.Fertiliser_Products_Data3(), FertiliserProducts[[#Headers],[Company]],61)</f>
        <v/>
      </c>
      <c r="AH156" s="172" t="str" cm="1">
        <f t="array" ref="AH156">Common_InputFunctions.Utility_DisplayArrayInTable(Fertiliser_SourceData.Fertiliser_Products_Data3(), FertiliserProducts[[#Headers],[Company]],61)</f>
        <v/>
      </c>
      <c r="AK156" s="1"/>
    </row>
    <row r="157" spans="4:39" ht="20.100000000000001" customHeight="1" x14ac:dyDescent="0.25">
      <c r="D157" s="172" t="str" cm="1">
        <f t="array" ref="D157">Common_InputFunctions.Utility_DisplayArrayInTable(Fertiliser_SourceData.Fertiliser_Products_Data3(), FertiliserProducts[[#Headers],[Company]],61)</f>
        <v>Campbells fertilisers Australia</v>
      </c>
      <c r="E157" s="172" t="str" cm="1">
        <f t="array" ref="E157">Common_InputFunctions.Utility_DisplayArrayInTable(Fertiliser_SourceData.Fertiliser_Products_Data3(), FertiliserProducts[[#Headers],[Company]],61)</f>
        <v>Rustica Nergetic</v>
      </c>
      <c r="F157" s="172" t="str" cm="1">
        <f t="array" ref="F157">Common_InputFunctions.Utility_DisplayArrayInTable(Fertiliser_SourceData.Fertiliser_Products_Data3(), FertiliserProducts[[#Headers],[Company]],61)</f>
        <v>kg</v>
      </c>
      <c r="G157" s="172" cm="1">
        <f t="array" ref="G157">Common_InputFunctions.Utility_DisplayArrayInTable(Fertiliser_SourceData.Fertiliser_Products_Data3(), FertiliserProducts[[#Headers],[Company]],61)</f>
        <v>1</v>
      </c>
      <c r="H157" s="172" t="str" cm="1">
        <f t="array" ref="H157">Common_InputFunctions.Utility_DisplayArrayInTable(Fertiliser_SourceData.Fertiliser_Products_Data3(), FertiliserProducts[[#Headers],[Company]],61)</f>
        <v/>
      </c>
      <c r="I157" s="172" t="str" cm="1">
        <f t="array" ref="I157">Common_InputFunctions.Utility_DisplayArrayInTable(Fertiliser_SourceData.Fertiliser_Products_Data3(), FertiliserProducts[[#Headers],[Company]],61)</f>
        <v/>
      </c>
      <c r="J157" s="172" t="str" cm="1">
        <f t="array" ref="J157">Common_InputFunctions.Utility_DisplayArrayInTable(Fertiliser_SourceData.Fertiliser_Products_Data3(), FertiliserProducts[[#Headers],[Company]],61)</f>
        <v/>
      </c>
      <c r="K157" s="172" cm="1">
        <f t="array" ref="K157">Common_InputFunctions.Utility_DisplayArrayInTable(Fertiliser_SourceData.Fertiliser_Products_Data3(), FertiliserProducts[[#Headers],[Company]],61)</f>
        <v>12</v>
      </c>
      <c r="L157" s="172" cm="1">
        <f t="array" ref="L157">Common_InputFunctions.Utility_DisplayArrayInTable(Fertiliser_SourceData.Fertiliser_Products_Data3(), FertiliserProducts[[#Headers],[Company]],61)</f>
        <v>5.2</v>
      </c>
      <c r="M157" s="172" cm="1">
        <f t="array" ref="M157">Common_InputFunctions.Utility_DisplayArrayInTable(Fertiliser_SourceData.Fertiliser_Products_Data3(), FertiliserProducts[[#Headers],[Company]],61)</f>
        <v>14.1</v>
      </c>
      <c r="N157" s="172" cm="1">
        <f t="array" ref="N157">Common_InputFunctions.Utility_DisplayArrayInTable(Fertiliser_SourceData.Fertiliser_Products_Data3(), FertiliserProducts[[#Headers],[Company]],61)</f>
        <v>9.6</v>
      </c>
      <c r="O157" s="172" t="str" cm="1">
        <f t="array" ref="O157">Common_InputFunctions.Utility_DisplayArrayInTable(Fertiliser_SourceData.Fertiliser_Products_Data3(), FertiliserProducts[[#Headers],[Company]],61)</f>
        <v>Potassium - Generic</v>
      </c>
      <c r="P157" s="172" cm="1">
        <f t="array" ref="P157">Common_InputFunctions.Utility_DisplayArrayInTable(Fertiliser_SourceData.Fertiliser_Products_Data3(), FertiliserProducts[[#Headers],[Company]],61)</f>
        <v>0.14099999999999999</v>
      </c>
      <c r="Q157" s="172" t="str" cm="1">
        <f t="array" ref="Q157">Common_InputFunctions.Utility_DisplayArrayInTable(Fertiliser_SourceData.Fertiliser_Products_Data3(), FertiliserProducts[[#Headers],[Company]],61)</f>
        <v>Sulfur - Generic</v>
      </c>
      <c r="R157" s="172" cm="1">
        <f t="array" ref="R157">Common_InputFunctions.Utility_DisplayArrayInTable(Fertiliser_SourceData.Fertiliser_Products_Data3(), FertiliserProducts[[#Headers],[Company]],61)</f>
        <v>9.6000000000000002E-2</v>
      </c>
      <c r="S157" s="172" t="str" cm="1">
        <f t="array" ref="S157">Common_InputFunctions.Utility_DisplayArrayInTable(Fertiliser_SourceData.Fertiliser_Products_Data3(), FertiliserProducts[[#Headers],[Company]],61)</f>
        <v>Nitrogen - Nitrate</v>
      </c>
      <c r="T157" s="172" cm="1">
        <f t="array" ref="T157">Common_InputFunctions.Utility_DisplayArrayInTable(Fertiliser_SourceData.Fertiliser_Products_Data3(), FertiliserProducts[[#Headers],[Company]],61)</f>
        <v>0.06</v>
      </c>
      <c r="U157" s="172" t="str" cm="1">
        <f t="array" ref="U157">Common_InputFunctions.Utility_DisplayArrayInTable(Fertiliser_SourceData.Fertiliser_Products_Data3(), FertiliserProducts[[#Headers],[Company]],61)</f>
        <v>Nitrogen - Ammoniacal</v>
      </c>
      <c r="V157" s="172" cm="1">
        <f t="array" ref="V157">Common_InputFunctions.Utility_DisplayArrayInTable(Fertiliser_SourceData.Fertiliser_Products_Data3(), FertiliserProducts[[#Headers],[Company]],61)</f>
        <v>0.06</v>
      </c>
      <c r="W157" s="172" t="str" cm="1">
        <f t="array" ref="W157">Common_InputFunctions.Utility_DisplayArrayInTable(Fertiliser_SourceData.Fertiliser_Products_Data3(), FertiliserProducts[[#Headers],[Company]],61)</f>
        <v>Phosphorus - Generic</v>
      </c>
      <c r="X157" s="172" cm="1">
        <f t="array" ref="X157">Common_InputFunctions.Utility_DisplayArrayInTable(Fertiliser_SourceData.Fertiliser_Products_Data3(), FertiliserProducts[[#Headers],[Company]],61)</f>
        <v>5.1999999999999998E-2</v>
      </c>
      <c r="Y157" s="172" t="str" cm="1">
        <f t="array" ref="Y157">Common_InputFunctions.Utility_DisplayArrayInTable(Fertiliser_SourceData.Fertiliser_Products_Data3(), FertiliserProducts[[#Headers],[Company]],61)</f>
        <v>Magnesium</v>
      </c>
      <c r="Z157" s="172" cm="1">
        <f t="array" ref="Z157">Common_InputFunctions.Utility_DisplayArrayInTable(Fertiliser_SourceData.Fertiliser_Products_Data3(), FertiliserProducts[[#Headers],[Company]],61)</f>
        <v>1.2E-2</v>
      </c>
      <c r="AA157" s="172" t="str" cm="1">
        <f t="array" ref="AA157">Common_InputFunctions.Utility_DisplayArrayInTable(Fertiliser_SourceData.Fertiliser_Products_Data3(), FertiliserProducts[[#Headers],[Company]],61)</f>
        <v>Zinc</v>
      </c>
      <c r="AB157" s="172" cm="1">
        <f t="array" ref="AB157">Common_InputFunctions.Utility_DisplayArrayInTable(Fertiliser_SourceData.Fertiliser_Products_Data3(), FertiliserProducts[[#Headers],[Company]],61)</f>
        <v>8.0000000000000004E-4</v>
      </c>
      <c r="AC157" s="172" t="str" cm="1">
        <f t="array" ref="AC157">Common_InputFunctions.Utility_DisplayArrayInTable(Fertiliser_SourceData.Fertiliser_Products_Data3(), FertiliserProducts[[#Headers],[Company]],61)</f>
        <v>Iron</v>
      </c>
      <c r="AD157" s="172" cm="1">
        <f t="array" ref="AD157">Common_InputFunctions.Utility_DisplayArrayInTable(Fertiliser_SourceData.Fertiliser_Products_Data3(), FertiliserProducts[[#Headers],[Company]],61)</f>
        <v>6.9999999999999999E-4</v>
      </c>
      <c r="AE157" s="172" t="str" cm="1">
        <f t="array" ref="AE157">Common_InputFunctions.Utility_DisplayArrayInTable(Fertiliser_SourceData.Fertiliser_Products_Data3(), FertiliserProducts[[#Headers],[Company]],61)</f>
        <v>Manganese</v>
      </c>
      <c r="AF157" s="172" cm="1">
        <f t="array" ref="AF157">Common_InputFunctions.Utility_DisplayArrayInTable(Fertiliser_SourceData.Fertiliser_Products_Data3(), FertiliserProducts[[#Headers],[Company]],61)</f>
        <v>5.9999999999999995E-4</v>
      </c>
      <c r="AG157" s="172" t="str" cm="1">
        <f t="array" ref="AG157">Common_InputFunctions.Utility_DisplayArrayInTable(Fertiliser_SourceData.Fertiliser_Products_Data3(), FertiliserProducts[[#Headers],[Company]],61)</f>
        <v>Boron</v>
      </c>
      <c r="AH157" s="172" cm="1">
        <f t="array" ref="AH157">Common_InputFunctions.Utility_DisplayArrayInTable(Fertiliser_SourceData.Fertiliser_Products_Data3(), FertiliserProducts[[#Headers],[Company]],61)</f>
        <v>2.0000000000000001E-4</v>
      </c>
      <c r="AK157" s="1"/>
    </row>
    <row r="158" spans="4:39" ht="20.100000000000001" customHeight="1" x14ac:dyDescent="0.25">
      <c r="D158" s="172" t="str" cm="1">
        <f t="array" ref="D158">Common_InputFunctions.Utility_DisplayArrayInTable(Fertiliser_SourceData.Fertiliser_Products_Data3(), FertiliserProducts[[#Headers],[Company]],61)</f>
        <v>Campbells fertilisers Australia</v>
      </c>
      <c r="E158" s="172" t="str" cm="1">
        <f t="array" ref="E158">Common_InputFunctions.Utility_DisplayArrayInTable(Fertiliser_SourceData.Fertiliser_Products_Data3(), FertiliserProducts[[#Headers],[Company]],61)</f>
        <v>Quick-N Nergetic</v>
      </c>
      <c r="F158" s="172" t="str" cm="1">
        <f t="array" ref="F158">Common_InputFunctions.Utility_DisplayArrayInTable(Fertiliser_SourceData.Fertiliser_Products_Data3(), FertiliserProducts[[#Headers],[Company]],61)</f>
        <v>kg</v>
      </c>
      <c r="G158" s="172" cm="1">
        <f t="array" ref="G158">Common_InputFunctions.Utility_DisplayArrayInTable(Fertiliser_SourceData.Fertiliser_Products_Data3(), FertiliserProducts[[#Headers],[Company]],61)</f>
        <v>1</v>
      </c>
      <c r="H158" s="172" t="str" cm="1">
        <f t="array" ref="H158">Common_InputFunctions.Utility_DisplayArrayInTable(Fertiliser_SourceData.Fertiliser_Products_Data3(), FertiliserProducts[[#Headers],[Company]],61)</f>
        <v/>
      </c>
      <c r="I158" s="172" t="str" cm="1">
        <f t="array" ref="I158">Common_InputFunctions.Utility_DisplayArrayInTable(Fertiliser_SourceData.Fertiliser_Products_Data3(), FertiliserProducts[[#Headers],[Company]],61)</f>
        <v/>
      </c>
      <c r="J158" s="172" t="str" cm="1">
        <f t="array" ref="J158">Common_InputFunctions.Utility_DisplayArrayInTable(Fertiliser_SourceData.Fertiliser_Products_Data3(), FertiliserProducts[[#Headers],[Company]],61)</f>
        <v/>
      </c>
      <c r="K158" s="172" cm="1">
        <f t="array" ref="K158">Common_InputFunctions.Utility_DisplayArrayInTable(Fertiliser_SourceData.Fertiliser_Products_Data3(), FertiliserProducts[[#Headers],[Company]],61)</f>
        <v>25</v>
      </c>
      <c r="L158" s="172" t="str" cm="1">
        <f t="array" ref="L158">Common_InputFunctions.Utility_DisplayArrayInTable(Fertiliser_SourceData.Fertiliser_Products_Data3(), FertiliserProducts[[#Headers],[Company]],61)</f>
        <v/>
      </c>
      <c r="M158" s="172" t="str" cm="1">
        <f t="array" ref="M158">Common_InputFunctions.Utility_DisplayArrayInTable(Fertiliser_SourceData.Fertiliser_Products_Data3(), FertiliserProducts[[#Headers],[Company]],61)</f>
        <v/>
      </c>
      <c r="N158" s="172" cm="1">
        <f t="array" ref="N158">Common_InputFunctions.Utility_DisplayArrayInTable(Fertiliser_SourceData.Fertiliser_Products_Data3(), FertiliserProducts[[#Headers],[Company]],61)</f>
        <v>12.8</v>
      </c>
      <c r="O158" s="172" t="str" cm="1">
        <f t="array" ref="O158">Common_InputFunctions.Utility_DisplayArrayInTable(Fertiliser_SourceData.Fertiliser_Products_Data3(), FertiliserProducts[[#Headers],[Company]],61)</f>
        <v>Sulphate of ammonia (SOA)</v>
      </c>
      <c r="P158" s="172" cm="1">
        <f t="array" ref="P158">Common_InputFunctions.Utility_DisplayArrayInTable(Fertiliser_SourceData.Fertiliser_Products_Data3(), FertiliserProducts[[#Headers],[Company]],61)</f>
        <v>0.53333299999999995</v>
      </c>
      <c r="Q158" s="172" t="str" cm="1">
        <f t="array" ref="Q158">Common_InputFunctions.Utility_DisplayArrayInTable(Fertiliser_SourceData.Fertiliser_Products_Data3(), FertiliserProducts[[#Headers],[Company]],61)</f>
        <v>Ammonium nitrate (AN)</v>
      </c>
      <c r="R158" s="172" cm="1">
        <f t="array" ref="R158">Common_InputFunctions.Utility_DisplayArrayInTable(Fertiliser_SourceData.Fertiliser_Products_Data3(), FertiliserProducts[[#Headers],[Company]],61)</f>
        <v>0.40949600000000003</v>
      </c>
      <c r="S158" s="172" t="str" cm="1">
        <f t="array" ref="S158">Common_InputFunctions.Utility_DisplayArrayInTable(Fertiliser_SourceData.Fertiliser_Products_Data3(), FertiliserProducts[[#Headers],[Company]],61)</f>
        <v>Zinc</v>
      </c>
      <c r="T158" s="172" cm="1">
        <f t="array" ref="T158">Common_InputFunctions.Utility_DisplayArrayInTable(Fertiliser_SourceData.Fertiliser_Products_Data3(), FertiliserProducts[[#Headers],[Company]],61)</f>
        <v>1E-3</v>
      </c>
      <c r="U158" s="172" t="str" cm="1">
        <f t="array" ref="U158">Common_InputFunctions.Utility_DisplayArrayInTable(Fertiliser_SourceData.Fertiliser_Products_Data3(), FertiliserProducts[[#Headers],[Company]],61)</f>
        <v>Manganese</v>
      </c>
      <c r="V158" s="172" cm="1">
        <f t="array" ref="V158">Common_InputFunctions.Utility_DisplayArrayInTable(Fertiliser_SourceData.Fertiliser_Products_Data3(), FertiliserProducts[[#Headers],[Company]],61)</f>
        <v>1E-3</v>
      </c>
      <c r="W158" s="172" t="str" cm="1">
        <f t="array" ref="W158">Common_InputFunctions.Utility_DisplayArrayInTable(Fertiliser_SourceData.Fertiliser_Products_Data3(), FertiliserProducts[[#Headers],[Company]],61)</f>
        <v>Boron</v>
      </c>
      <c r="X158" s="172" cm="1">
        <f t="array" ref="X158">Common_InputFunctions.Utility_DisplayArrayInTable(Fertiliser_SourceData.Fertiliser_Products_Data3(), FertiliserProducts[[#Headers],[Company]],61)</f>
        <v>1E-4</v>
      </c>
      <c r="Y158" s="172" t="str" cm="1">
        <f t="array" ref="Y158">Common_InputFunctions.Utility_DisplayArrayInTable(Fertiliser_SourceData.Fertiliser_Products_Data3(), FertiliserProducts[[#Headers],[Company]],61)</f>
        <v>Molybdenum</v>
      </c>
      <c r="Z158" s="172" cm="1">
        <f t="array" ref="Z158">Common_InputFunctions.Utility_DisplayArrayInTable(Fertiliser_SourceData.Fertiliser_Products_Data3(), FertiliserProducts[[#Headers],[Company]],61)</f>
        <v>1.0000000000000001E-5</v>
      </c>
      <c r="AA158" s="172" t="str" cm="1">
        <f t="array" ref="AA158">Common_InputFunctions.Utility_DisplayArrayInTable(Fertiliser_SourceData.Fertiliser_Products_Data3(), FertiliserProducts[[#Headers],[Company]],61)</f>
        <v/>
      </c>
      <c r="AB158" s="172" t="str" cm="1">
        <f t="array" ref="AB158">Common_InputFunctions.Utility_DisplayArrayInTable(Fertiliser_SourceData.Fertiliser_Products_Data3(), FertiliserProducts[[#Headers],[Company]],61)</f>
        <v/>
      </c>
      <c r="AC158" s="172" t="str" cm="1">
        <f t="array" ref="AC158">Common_InputFunctions.Utility_DisplayArrayInTable(Fertiliser_SourceData.Fertiliser_Products_Data3(), FertiliserProducts[[#Headers],[Company]],61)</f>
        <v/>
      </c>
      <c r="AD158" s="172" t="str" cm="1">
        <f t="array" ref="AD158">Common_InputFunctions.Utility_DisplayArrayInTable(Fertiliser_SourceData.Fertiliser_Products_Data3(), FertiliserProducts[[#Headers],[Company]],61)</f>
        <v/>
      </c>
      <c r="AE158" s="172" t="str" cm="1">
        <f t="array" ref="AE158">Common_InputFunctions.Utility_DisplayArrayInTable(Fertiliser_SourceData.Fertiliser_Products_Data3(), FertiliserProducts[[#Headers],[Company]],61)</f>
        <v/>
      </c>
      <c r="AF158" s="172" t="str" cm="1">
        <f t="array" ref="AF158">Common_InputFunctions.Utility_DisplayArrayInTable(Fertiliser_SourceData.Fertiliser_Products_Data3(), FertiliserProducts[[#Headers],[Company]],61)</f>
        <v/>
      </c>
      <c r="AG158" s="172" t="str" cm="1">
        <f t="array" ref="AG158">Common_InputFunctions.Utility_DisplayArrayInTable(Fertiliser_SourceData.Fertiliser_Products_Data3(), FertiliserProducts[[#Headers],[Company]],61)</f>
        <v/>
      </c>
      <c r="AH158" s="172" t="str" cm="1">
        <f t="array" ref="AH158">Common_InputFunctions.Utility_DisplayArrayInTable(Fertiliser_SourceData.Fertiliser_Products_Data3(), FertiliserProducts[[#Headers],[Company]],61)</f>
        <v/>
      </c>
      <c r="AK158" s="1"/>
    </row>
    <row r="159" spans="4:39" ht="20.100000000000001" customHeight="1" x14ac:dyDescent="0.25">
      <c r="D159" s="172" t="str" cm="1">
        <f t="array" ref="D159">Common_InputFunctions.Utility_DisplayArrayInTable(Fertiliser_SourceData.Fertiliser_Products_Data3(), FertiliserProducts[[#Headers],[Company]],61)</f>
        <v>FertPro Manufacturing Pty. Ltd.</v>
      </c>
      <c r="E159" s="172" t="str" cm="1">
        <f t="array" ref="E159">Common_InputFunctions.Utility_DisplayArrayInTable(Fertiliser_SourceData.Fertiliser_Products_Data3(), FertiliserProducts[[#Headers],[Company]],61)</f>
        <v>(SSP) Single Super Fertiliser</v>
      </c>
      <c r="F159" s="172" t="str" cm="1">
        <f t="array" ref="F159">Common_InputFunctions.Utility_DisplayArrayInTable(Fertiliser_SourceData.Fertiliser_Products_Data3(), FertiliserProducts[[#Headers],[Company]],61)</f>
        <v>kg</v>
      </c>
      <c r="G159" s="172" cm="1">
        <f t="array" ref="G159">Common_InputFunctions.Utility_DisplayArrayInTable(Fertiliser_SourceData.Fertiliser_Products_Data3(), FertiliserProducts[[#Headers],[Company]],61)</f>
        <v>1</v>
      </c>
      <c r="H159" s="172" t="str" cm="1">
        <f t="array" ref="H159">Common_InputFunctions.Utility_DisplayArrayInTable(Fertiliser_SourceData.Fertiliser_Products_Data3(), FertiliserProducts[[#Headers],[Company]],61)</f>
        <v/>
      </c>
      <c r="I159" s="172" t="str" cm="1">
        <f t="array" ref="I159">Common_InputFunctions.Utility_DisplayArrayInTable(Fertiliser_SourceData.Fertiliser_Products_Data3(), FertiliserProducts[[#Headers],[Company]],61)</f>
        <v/>
      </c>
      <c r="J159" s="172" t="str" cm="1">
        <f t="array" ref="J159">Common_InputFunctions.Utility_DisplayArrayInTable(Fertiliser_SourceData.Fertiliser_Products_Data3(), FertiliserProducts[[#Headers],[Company]],61)</f>
        <v/>
      </c>
      <c r="K159" s="172" t="str" cm="1">
        <f t="array" ref="K159">Common_InputFunctions.Utility_DisplayArrayInTable(Fertiliser_SourceData.Fertiliser_Products_Data3(), FertiliserProducts[[#Headers],[Company]],61)</f>
        <v/>
      </c>
      <c r="L159" s="172" cm="1">
        <f t="array" ref="L159">Common_InputFunctions.Utility_DisplayArrayInTable(Fertiliser_SourceData.Fertiliser_Products_Data3(), FertiliserProducts[[#Headers],[Company]],61)</f>
        <v>8.8000000000000007</v>
      </c>
      <c r="M159" s="172" t="str" cm="1">
        <f t="array" ref="M159">Common_InputFunctions.Utility_DisplayArrayInTable(Fertiliser_SourceData.Fertiliser_Products_Data3(), FertiliserProducts[[#Headers],[Company]],61)</f>
        <v/>
      </c>
      <c r="N159" s="172" cm="1">
        <f t="array" ref="N159">Common_InputFunctions.Utility_DisplayArrayInTable(Fertiliser_SourceData.Fertiliser_Products_Data3(), FertiliserProducts[[#Headers],[Company]],61)</f>
        <v>11</v>
      </c>
      <c r="O159" s="172" t="str" cm="1">
        <f t="array" ref="O159">Common_InputFunctions.Utility_DisplayArrayInTable(Fertiliser_SourceData.Fertiliser_Products_Data3(), FertiliserProducts[[#Headers],[Company]],61)</f>
        <v>Single superphosphate (SSP)</v>
      </c>
      <c r="P159" s="172" cm="1">
        <f t="array" ref="P159">Common_InputFunctions.Utility_DisplayArrayInTable(Fertiliser_SourceData.Fertiliser_Products_Data3(), FertiliserProducts[[#Headers],[Company]],61)</f>
        <v>1</v>
      </c>
      <c r="Q159" s="172" t="str" cm="1">
        <f t="array" ref="Q159">Common_InputFunctions.Utility_DisplayArrayInTable(Fertiliser_SourceData.Fertiliser_Products_Data3(), FertiliserProducts[[#Headers],[Company]],61)</f>
        <v/>
      </c>
      <c r="R159" s="172" t="str" cm="1">
        <f t="array" ref="R159">Common_InputFunctions.Utility_DisplayArrayInTable(Fertiliser_SourceData.Fertiliser_Products_Data3(), FertiliserProducts[[#Headers],[Company]],61)</f>
        <v/>
      </c>
      <c r="S159" s="172" t="str" cm="1">
        <f t="array" ref="S159">Common_InputFunctions.Utility_DisplayArrayInTable(Fertiliser_SourceData.Fertiliser_Products_Data3(), FertiliserProducts[[#Headers],[Company]],61)</f>
        <v/>
      </c>
      <c r="T159" s="172" t="str" cm="1">
        <f t="array" ref="T159">Common_InputFunctions.Utility_DisplayArrayInTable(Fertiliser_SourceData.Fertiliser_Products_Data3(), FertiliserProducts[[#Headers],[Company]],61)</f>
        <v/>
      </c>
      <c r="U159" s="172" t="str" cm="1">
        <f t="array" ref="U159">Common_InputFunctions.Utility_DisplayArrayInTable(Fertiliser_SourceData.Fertiliser_Products_Data3(), FertiliserProducts[[#Headers],[Company]],61)</f>
        <v/>
      </c>
      <c r="V159" s="172" t="str" cm="1">
        <f t="array" ref="V159">Common_InputFunctions.Utility_DisplayArrayInTable(Fertiliser_SourceData.Fertiliser_Products_Data3(), FertiliserProducts[[#Headers],[Company]],61)</f>
        <v/>
      </c>
      <c r="W159" s="172" t="str" cm="1">
        <f t="array" ref="W159">Common_InputFunctions.Utility_DisplayArrayInTable(Fertiliser_SourceData.Fertiliser_Products_Data3(), FertiliserProducts[[#Headers],[Company]],61)</f>
        <v/>
      </c>
      <c r="X159" s="172" t="str" cm="1">
        <f t="array" ref="X159">Common_InputFunctions.Utility_DisplayArrayInTable(Fertiliser_SourceData.Fertiliser_Products_Data3(), FertiliserProducts[[#Headers],[Company]],61)</f>
        <v/>
      </c>
      <c r="Y159" s="172" t="str" cm="1">
        <f t="array" ref="Y159">Common_InputFunctions.Utility_DisplayArrayInTable(Fertiliser_SourceData.Fertiliser_Products_Data3(), FertiliserProducts[[#Headers],[Company]],61)</f>
        <v/>
      </c>
      <c r="Z159" s="172" t="str" cm="1">
        <f t="array" ref="Z159">Common_InputFunctions.Utility_DisplayArrayInTable(Fertiliser_SourceData.Fertiliser_Products_Data3(), FertiliserProducts[[#Headers],[Company]],61)</f>
        <v/>
      </c>
      <c r="AA159" s="172" t="str" cm="1">
        <f t="array" ref="AA159">Common_InputFunctions.Utility_DisplayArrayInTable(Fertiliser_SourceData.Fertiliser_Products_Data3(), FertiliserProducts[[#Headers],[Company]],61)</f>
        <v/>
      </c>
      <c r="AB159" s="172" t="str" cm="1">
        <f t="array" ref="AB159">Common_InputFunctions.Utility_DisplayArrayInTable(Fertiliser_SourceData.Fertiliser_Products_Data3(), FertiliserProducts[[#Headers],[Company]],61)</f>
        <v/>
      </c>
      <c r="AC159" s="172" t="str" cm="1">
        <f t="array" ref="AC159">Common_InputFunctions.Utility_DisplayArrayInTable(Fertiliser_SourceData.Fertiliser_Products_Data3(), FertiliserProducts[[#Headers],[Company]],61)</f>
        <v/>
      </c>
      <c r="AD159" s="172" t="str" cm="1">
        <f t="array" ref="AD159">Common_InputFunctions.Utility_DisplayArrayInTable(Fertiliser_SourceData.Fertiliser_Products_Data3(), FertiliserProducts[[#Headers],[Company]],61)</f>
        <v/>
      </c>
      <c r="AE159" s="172" t="str" cm="1">
        <f t="array" ref="AE159">Common_InputFunctions.Utility_DisplayArrayInTable(Fertiliser_SourceData.Fertiliser_Products_Data3(), FertiliserProducts[[#Headers],[Company]],61)</f>
        <v/>
      </c>
      <c r="AF159" s="172" t="str" cm="1">
        <f t="array" ref="AF159">Common_InputFunctions.Utility_DisplayArrayInTable(Fertiliser_SourceData.Fertiliser_Products_Data3(), FertiliserProducts[[#Headers],[Company]],61)</f>
        <v/>
      </c>
      <c r="AG159" s="172" t="str" cm="1">
        <f t="array" ref="AG159">Common_InputFunctions.Utility_DisplayArrayInTable(Fertiliser_SourceData.Fertiliser_Products_Data3(), FertiliserProducts[[#Headers],[Company]],61)</f>
        <v/>
      </c>
      <c r="AH159" s="172" t="str" cm="1">
        <f t="array" ref="AH159">Common_InputFunctions.Utility_DisplayArrayInTable(Fertiliser_SourceData.Fertiliser_Products_Data3(), FertiliserProducts[[#Headers],[Company]],61)</f>
        <v/>
      </c>
      <c r="AK159" s="1"/>
    </row>
    <row r="160" spans="4:39" ht="20.100000000000001" customHeight="1" x14ac:dyDescent="0.25">
      <c r="D160" s="172" t="str" cm="1">
        <f t="array" ref="D160">Common_InputFunctions.Utility_DisplayArrayInTable(Fertiliser_SourceData.Fertiliser_Products_Data3(), FertiliserProducts[[#Headers],[Company]],61)</f>
        <v>Impact Fertilisers</v>
      </c>
      <c r="E160" s="172" t="str" cm="1">
        <f t="array" ref="E160">Common_InputFunctions.Utility_DisplayArrayInTable(Fertiliser_SourceData.Fertiliser_Products_Data3(), FertiliserProducts[[#Headers],[Company]],61)</f>
        <v>ZincStar</v>
      </c>
      <c r="F160" s="172" t="str" cm="1">
        <f t="array" ref="F160">Common_InputFunctions.Utility_DisplayArrayInTable(Fertiliser_SourceData.Fertiliser_Products_Data3(), FertiliserProducts[[#Headers],[Company]],61)</f>
        <v>kg</v>
      </c>
      <c r="G160" s="172" cm="1">
        <f t="array" ref="G160">Common_InputFunctions.Utility_DisplayArrayInTable(Fertiliser_SourceData.Fertiliser_Products_Data3(), FertiliserProducts[[#Headers],[Company]],61)</f>
        <v>1</v>
      </c>
      <c r="H160" s="172" t="str" cm="1">
        <f t="array" ref="H160">Common_InputFunctions.Utility_DisplayArrayInTable(Fertiliser_SourceData.Fertiliser_Products_Data3(), FertiliserProducts[[#Headers],[Company]],61)</f>
        <v/>
      </c>
      <c r="I160" s="172" t="str" cm="1">
        <f t="array" ref="I160">Common_InputFunctions.Utility_DisplayArrayInTable(Fertiliser_SourceData.Fertiliser_Products_Data3(), FertiliserProducts[[#Headers],[Company]],61)</f>
        <v/>
      </c>
      <c r="J160" s="172" t="str" cm="1">
        <f t="array" ref="J160">Common_InputFunctions.Utility_DisplayArrayInTable(Fertiliser_SourceData.Fertiliser_Products_Data3(), FertiliserProducts[[#Headers],[Company]],61)</f>
        <v/>
      </c>
      <c r="K160" s="172" cm="1">
        <f t="array" ref="K160">Common_InputFunctions.Utility_DisplayArrayInTable(Fertiliser_SourceData.Fertiliser_Products_Data3(), FertiliserProducts[[#Headers],[Company]],61)</f>
        <v>10</v>
      </c>
      <c r="L160" s="172" cm="1">
        <f t="array" ref="L160">Common_InputFunctions.Utility_DisplayArrayInTable(Fertiliser_SourceData.Fertiliser_Products_Data3(), FertiliserProducts[[#Headers],[Company]],61)</f>
        <v>21.9</v>
      </c>
      <c r="M160" s="172" cm="1">
        <f t="array" ref="M160">Common_InputFunctions.Utility_DisplayArrayInTable(Fertiliser_SourceData.Fertiliser_Products_Data3(), FertiliserProducts[[#Headers],[Company]],61)</f>
        <v>0</v>
      </c>
      <c r="N160" s="172" cm="1">
        <f t="array" ref="N160">Common_InputFunctions.Utility_DisplayArrayInTable(Fertiliser_SourceData.Fertiliser_Products_Data3(), FertiliserProducts[[#Headers],[Company]],61)</f>
        <v>2</v>
      </c>
      <c r="O160" s="172" t="str" cm="1">
        <f t="array" ref="O160">Common_InputFunctions.Utility_DisplayArrayInTable(Fertiliser_SourceData.Fertiliser_Products_Data3(), FertiliserProducts[[#Headers],[Company]],61)</f>
        <v>Monoammonium phosphate (MAP)</v>
      </c>
      <c r="P160" s="172" cm="1">
        <f t="array" ref="P160">Common_InputFunctions.Utility_DisplayArrayInTable(Fertiliser_SourceData.Fertiliser_Products_Data3(), FertiliserProducts[[#Headers],[Company]],61)</f>
        <v>1</v>
      </c>
      <c r="Q160" s="172" t="str" cm="1">
        <f t="array" ref="Q160">Common_InputFunctions.Utility_DisplayArrayInTable(Fertiliser_SourceData.Fertiliser_Products_Data3(), FertiliserProducts[[#Headers],[Company]],61)</f>
        <v>Zinc</v>
      </c>
      <c r="R160" s="172" cm="1">
        <f t="array" ref="R160">Common_InputFunctions.Utility_DisplayArrayInTable(Fertiliser_SourceData.Fertiliser_Products_Data3(), FertiliserProducts[[#Headers],[Company]],61)</f>
        <v>0.01</v>
      </c>
      <c r="S160" s="172" t="str" cm="1">
        <f t="array" ref="S160">Common_InputFunctions.Utility_DisplayArrayInTable(Fertiliser_SourceData.Fertiliser_Products_Data3(), FertiliserProducts[[#Headers],[Company]],61)</f>
        <v/>
      </c>
      <c r="T160" s="172" t="str" cm="1">
        <f t="array" ref="T160">Common_InputFunctions.Utility_DisplayArrayInTable(Fertiliser_SourceData.Fertiliser_Products_Data3(), FertiliserProducts[[#Headers],[Company]],61)</f>
        <v/>
      </c>
      <c r="U160" s="172" t="str" cm="1">
        <f t="array" ref="U160">Common_InputFunctions.Utility_DisplayArrayInTable(Fertiliser_SourceData.Fertiliser_Products_Data3(), FertiliserProducts[[#Headers],[Company]],61)</f>
        <v/>
      </c>
      <c r="V160" s="172" t="str" cm="1">
        <f t="array" ref="V160">Common_InputFunctions.Utility_DisplayArrayInTable(Fertiliser_SourceData.Fertiliser_Products_Data3(), FertiliserProducts[[#Headers],[Company]],61)</f>
        <v/>
      </c>
      <c r="W160" s="172" t="str" cm="1">
        <f t="array" ref="W160">Common_InputFunctions.Utility_DisplayArrayInTable(Fertiliser_SourceData.Fertiliser_Products_Data3(), FertiliserProducts[[#Headers],[Company]],61)</f>
        <v/>
      </c>
      <c r="X160" s="172" t="str" cm="1">
        <f t="array" ref="X160">Common_InputFunctions.Utility_DisplayArrayInTable(Fertiliser_SourceData.Fertiliser_Products_Data3(), FertiliserProducts[[#Headers],[Company]],61)</f>
        <v/>
      </c>
      <c r="Y160" s="172" t="str" cm="1">
        <f t="array" ref="Y160">Common_InputFunctions.Utility_DisplayArrayInTable(Fertiliser_SourceData.Fertiliser_Products_Data3(), FertiliserProducts[[#Headers],[Company]],61)</f>
        <v/>
      </c>
      <c r="Z160" s="172" t="str" cm="1">
        <f t="array" ref="Z160">Common_InputFunctions.Utility_DisplayArrayInTable(Fertiliser_SourceData.Fertiliser_Products_Data3(), FertiliserProducts[[#Headers],[Company]],61)</f>
        <v/>
      </c>
      <c r="AA160" s="172" t="str" cm="1">
        <f t="array" ref="AA160">Common_InputFunctions.Utility_DisplayArrayInTable(Fertiliser_SourceData.Fertiliser_Products_Data3(), FertiliserProducts[[#Headers],[Company]],61)</f>
        <v/>
      </c>
      <c r="AB160" s="172" t="str" cm="1">
        <f t="array" ref="AB160">Common_InputFunctions.Utility_DisplayArrayInTable(Fertiliser_SourceData.Fertiliser_Products_Data3(), FertiliserProducts[[#Headers],[Company]],61)</f>
        <v/>
      </c>
      <c r="AC160" s="172" t="str" cm="1">
        <f t="array" ref="AC160">Common_InputFunctions.Utility_DisplayArrayInTable(Fertiliser_SourceData.Fertiliser_Products_Data3(), FertiliserProducts[[#Headers],[Company]],61)</f>
        <v/>
      </c>
      <c r="AD160" s="172" t="str" cm="1">
        <f t="array" ref="AD160">Common_InputFunctions.Utility_DisplayArrayInTable(Fertiliser_SourceData.Fertiliser_Products_Data3(), FertiliserProducts[[#Headers],[Company]],61)</f>
        <v/>
      </c>
      <c r="AE160" s="172" t="str" cm="1">
        <f t="array" ref="AE160">Common_InputFunctions.Utility_DisplayArrayInTable(Fertiliser_SourceData.Fertiliser_Products_Data3(), FertiliserProducts[[#Headers],[Company]],61)</f>
        <v/>
      </c>
      <c r="AF160" s="172" t="str" cm="1">
        <f t="array" ref="AF160">Common_InputFunctions.Utility_DisplayArrayInTable(Fertiliser_SourceData.Fertiliser_Products_Data3(), FertiliserProducts[[#Headers],[Company]],61)</f>
        <v/>
      </c>
      <c r="AG160" s="172" t="str" cm="1">
        <f t="array" ref="AG160">Common_InputFunctions.Utility_DisplayArrayInTable(Fertiliser_SourceData.Fertiliser_Products_Data3(), FertiliserProducts[[#Headers],[Company]],61)</f>
        <v/>
      </c>
      <c r="AH160" s="172" t="str" cm="1">
        <f t="array" ref="AH160">Common_InputFunctions.Utility_DisplayArrayInTable(Fertiliser_SourceData.Fertiliser_Products_Data3(), FertiliserProducts[[#Headers],[Company]],61)</f>
        <v/>
      </c>
      <c r="AK160" s="1"/>
    </row>
    <row r="161" spans="4:37" ht="20.100000000000001" customHeight="1" x14ac:dyDescent="0.25">
      <c r="D161" s="172" t="str" cm="1">
        <f t="array" ref="D161">Common_InputFunctions.Utility_DisplayArrayInTable(Fertiliser_SourceData.Fertiliser_Products_Data3(), FertiliserProducts[[#Headers],[Company]],61)</f>
        <v>Baileys (Simplot) [listed as Impact]</v>
      </c>
      <c r="E161" s="172" t="str" cm="1">
        <f t="array" ref="E161">Common_InputFunctions.Utility_DisplayArrayInTable(Fertiliser_SourceData.Fertiliser_Products_Data3(), FertiliserProducts[[#Headers],[Company]],61)</f>
        <v>Apex GaIXe Low P 21-1-6</v>
      </c>
      <c r="F161" s="172" t="str" cm="1">
        <f t="array" ref="F161">Common_InputFunctions.Utility_DisplayArrayInTable(Fertiliser_SourceData.Fertiliser_Products_Data3(), FertiliserProducts[[#Headers],[Company]],61)</f>
        <v>kg</v>
      </c>
      <c r="G161" s="172" cm="1">
        <f t="array" ref="G161">Common_InputFunctions.Utility_DisplayArrayInTable(Fertiliser_SourceData.Fertiliser_Products_Data3(), FertiliserProducts[[#Headers],[Company]],61)</f>
        <v>1</v>
      </c>
      <c r="H161" s="172" t="str" cm="1">
        <f t="array" ref="H161">Common_InputFunctions.Utility_DisplayArrayInTable(Fertiliser_SourceData.Fertiliser_Products_Data3(), FertiliserProducts[[#Headers],[Company]],61)</f>
        <v/>
      </c>
      <c r="I161" s="172" t="str" cm="1">
        <f t="array" ref="I161">Common_InputFunctions.Utility_DisplayArrayInTable(Fertiliser_SourceData.Fertiliser_Products_Data3(), FertiliserProducts[[#Headers],[Company]],61)</f>
        <v/>
      </c>
      <c r="J161" s="172" t="str" cm="1">
        <f t="array" ref="J161">Common_InputFunctions.Utility_DisplayArrayInTable(Fertiliser_SourceData.Fertiliser_Products_Data3(), FertiliserProducts[[#Headers],[Company]],61)</f>
        <v/>
      </c>
      <c r="K161" s="172" cm="1">
        <f t="array" ref="K161">Common_InputFunctions.Utility_DisplayArrayInTable(Fertiliser_SourceData.Fertiliser_Products_Data3(), FertiliserProducts[[#Headers],[Company]],61)</f>
        <v>21</v>
      </c>
      <c r="L161" s="172" cm="1">
        <f t="array" ref="L161">Common_InputFunctions.Utility_DisplayArrayInTable(Fertiliser_SourceData.Fertiliser_Products_Data3(), FertiliserProducts[[#Headers],[Company]],61)</f>
        <v>0.86</v>
      </c>
      <c r="M161" s="172" cm="1">
        <f t="array" ref="M161">Common_InputFunctions.Utility_DisplayArrayInTable(Fertiliser_SourceData.Fertiliser_Products_Data3(), FertiliserProducts[[#Headers],[Company]],61)</f>
        <v>5.8</v>
      </c>
      <c r="N161" s="172" cm="1">
        <f t="array" ref="N161">Common_InputFunctions.Utility_DisplayArrayInTable(Fertiliser_SourceData.Fertiliser_Products_Data3(), FertiliserProducts[[#Headers],[Company]],61)</f>
        <v>4.2</v>
      </c>
      <c r="O161" s="172" t="str" cm="1">
        <f t="array" ref="O161">Common_InputFunctions.Utility_DisplayArrayInTable(Fertiliser_SourceData.Fertiliser_Products_Data3(), FertiliserProducts[[#Headers],[Company]],61)</f>
        <v>Nitrogen - Generic</v>
      </c>
      <c r="P161" s="172" cm="1">
        <f t="array" ref="P161">Common_InputFunctions.Utility_DisplayArrayInTable(Fertiliser_SourceData.Fertiliser_Products_Data3(), FertiliserProducts[[#Headers],[Company]],61)</f>
        <v>0.21</v>
      </c>
      <c r="Q161" s="172" t="str" cm="1">
        <f t="array" ref="Q161">Common_InputFunctions.Utility_DisplayArrayInTable(Fertiliser_SourceData.Fertiliser_Products_Data3(), FertiliserProducts[[#Headers],[Company]],61)</f>
        <v>Potassium - Generic</v>
      </c>
      <c r="R161" s="172" cm="1">
        <f t="array" ref="R161">Common_InputFunctions.Utility_DisplayArrayInTable(Fertiliser_SourceData.Fertiliser_Products_Data3(), FertiliserProducts[[#Headers],[Company]],61)</f>
        <v>5.8000000000000003E-2</v>
      </c>
      <c r="S161" s="172" t="str" cm="1">
        <f t="array" ref="S161">Common_InputFunctions.Utility_DisplayArrayInTable(Fertiliser_SourceData.Fertiliser_Products_Data3(), FertiliserProducts[[#Headers],[Company]],61)</f>
        <v>Sulfur - Generic</v>
      </c>
      <c r="T161" s="172" cm="1">
        <f t="array" ref="T161">Common_InputFunctions.Utility_DisplayArrayInTable(Fertiliser_SourceData.Fertiliser_Products_Data3(), FertiliserProducts[[#Headers],[Company]],61)</f>
        <v>4.2000000000000003E-2</v>
      </c>
      <c r="U161" s="172" t="str" cm="1">
        <f t="array" ref="U161">Common_InputFunctions.Utility_DisplayArrayInTable(Fertiliser_SourceData.Fertiliser_Products_Data3(), FertiliserProducts[[#Headers],[Company]],61)</f>
        <v>Phosphorus - Generic</v>
      </c>
      <c r="V161" s="172" cm="1">
        <f t="array" ref="V161">Common_InputFunctions.Utility_DisplayArrayInTable(Fertiliser_SourceData.Fertiliser_Products_Data3(), FertiliserProducts[[#Headers],[Company]],61)</f>
        <v>8.6E-3</v>
      </c>
      <c r="W161" s="172" t="str" cm="1">
        <f t="array" ref="W161">Common_InputFunctions.Utility_DisplayArrayInTable(Fertiliser_SourceData.Fertiliser_Products_Data3(), FertiliserProducts[[#Headers],[Company]],61)</f>
        <v/>
      </c>
      <c r="X161" s="172" t="str" cm="1">
        <f t="array" ref="X161">Common_InputFunctions.Utility_DisplayArrayInTable(Fertiliser_SourceData.Fertiliser_Products_Data3(), FertiliserProducts[[#Headers],[Company]],61)</f>
        <v/>
      </c>
      <c r="Y161" s="172" t="str" cm="1">
        <f t="array" ref="Y161">Common_InputFunctions.Utility_DisplayArrayInTable(Fertiliser_SourceData.Fertiliser_Products_Data3(), FertiliserProducts[[#Headers],[Company]],61)</f>
        <v/>
      </c>
      <c r="Z161" s="172" t="str" cm="1">
        <f t="array" ref="Z161">Common_InputFunctions.Utility_DisplayArrayInTable(Fertiliser_SourceData.Fertiliser_Products_Data3(), FertiliserProducts[[#Headers],[Company]],61)</f>
        <v/>
      </c>
      <c r="AA161" s="172" t="str" cm="1">
        <f t="array" ref="AA161">Common_InputFunctions.Utility_DisplayArrayInTable(Fertiliser_SourceData.Fertiliser_Products_Data3(), FertiliserProducts[[#Headers],[Company]],61)</f>
        <v/>
      </c>
      <c r="AB161" s="172" t="str" cm="1">
        <f t="array" ref="AB161">Common_InputFunctions.Utility_DisplayArrayInTable(Fertiliser_SourceData.Fertiliser_Products_Data3(), FertiliserProducts[[#Headers],[Company]],61)</f>
        <v/>
      </c>
      <c r="AC161" s="172" t="str" cm="1">
        <f t="array" ref="AC161">Common_InputFunctions.Utility_DisplayArrayInTable(Fertiliser_SourceData.Fertiliser_Products_Data3(), FertiliserProducts[[#Headers],[Company]],61)</f>
        <v/>
      </c>
      <c r="AD161" s="172" t="str" cm="1">
        <f t="array" ref="AD161">Common_InputFunctions.Utility_DisplayArrayInTable(Fertiliser_SourceData.Fertiliser_Products_Data3(), FertiliserProducts[[#Headers],[Company]],61)</f>
        <v/>
      </c>
      <c r="AE161" s="172" t="str" cm="1">
        <f t="array" ref="AE161">Common_InputFunctions.Utility_DisplayArrayInTable(Fertiliser_SourceData.Fertiliser_Products_Data3(), FertiliserProducts[[#Headers],[Company]],61)</f>
        <v/>
      </c>
      <c r="AF161" s="172" t="str" cm="1">
        <f t="array" ref="AF161">Common_InputFunctions.Utility_DisplayArrayInTable(Fertiliser_SourceData.Fertiliser_Products_Data3(), FertiliserProducts[[#Headers],[Company]],61)</f>
        <v/>
      </c>
      <c r="AG161" s="172" t="str" cm="1">
        <f t="array" ref="AG161">Common_InputFunctions.Utility_DisplayArrayInTable(Fertiliser_SourceData.Fertiliser_Products_Data3(), FertiliserProducts[[#Headers],[Company]],61)</f>
        <v/>
      </c>
      <c r="AH161" s="172" t="str" cm="1">
        <f t="array" ref="AH161">Common_InputFunctions.Utility_DisplayArrayInTable(Fertiliser_SourceData.Fertiliser_Products_Data3(), FertiliserProducts[[#Headers],[Company]],61)</f>
        <v/>
      </c>
      <c r="AK161" s="1"/>
    </row>
    <row r="162" spans="4:37" ht="20.100000000000001" customHeight="1" x14ac:dyDescent="0.25">
      <c r="D162" s="172" t="str" cm="1">
        <f t="array" ref="D162">Common_InputFunctions.Utility_DisplayArrayInTable(Fertiliser_SourceData.Fertiliser_Products_Data3(), FertiliserProducts[[#Headers],[Company]],61)</f>
        <v>Incitec Pivot Fertilisers</v>
      </c>
      <c r="E162" s="172" t="str" cm="1">
        <f t="array" ref="E162">Common_InputFunctions.Utility_DisplayArrayInTable(Fertiliser_SourceData.Fertiliser_Products_Data3(), FertiliserProducts[[#Headers],[Company]],61)</f>
        <v>SuPerfect</v>
      </c>
      <c r="F162" s="172" t="str" cm="1">
        <f t="array" ref="F162">Common_InputFunctions.Utility_DisplayArrayInTable(Fertiliser_SourceData.Fertiliser_Products_Data3(), FertiliserProducts[[#Headers],[Company]],61)</f>
        <v>kg</v>
      </c>
      <c r="G162" s="172" cm="1">
        <f t="array" ref="G162">Common_InputFunctions.Utility_DisplayArrayInTable(Fertiliser_SourceData.Fertiliser_Products_Data3(), FertiliserProducts[[#Headers],[Company]],61)</f>
        <v>1</v>
      </c>
      <c r="H162" s="172" t="str" cm="1">
        <f t="array" ref="H162">Common_InputFunctions.Utility_DisplayArrayInTable(Fertiliser_SourceData.Fertiliser_Products_Data3(), FertiliserProducts[[#Headers],[Company]],61)</f>
        <v/>
      </c>
      <c r="I162" s="172" t="str" cm="1">
        <f t="array" ref="I162">Common_InputFunctions.Utility_DisplayArrayInTable(Fertiliser_SourceData.Fertiliser_Products_Data3(), FertiliserProducts[[#Headers],[Company]],61)</f>
        <v/>
      </c>
      <c r="J162" s="172" t="str" cm="1">
        <f t="array" ref="J162">Common_InputFunctions.Utility_DisplayArrayInTable(Fertiliser_SourceData.Fertiliser_Products_Data3(), FertiliserProducts[[#Headers],[Company]],61)</f>
        <v/>
      </c>
      <c r="K162" s="172" t="str" cm="1">
        <f t="array" ref="K162">Common_InputFunctions.Utility_DisplayArrayInTable(Fertiliser_SourceData.Fertiliser_Products_Data3(), FertiliserProducts[[#Headers],[Company]],61)</f>
        <v/>
      </c>
      <c r="L162" s="172" cm="1">
        <f t="array" ref="L162">Common_InputFunctions.Utility_DisplayArrayInTable(Fertiliser_SourceData.Fertiliser_Products_Data3(), FertiliserProducts[[#Headers],[Company]],61)</f>
        <v>8.8000000000000007</v>
      </c>
      <c r="M162" s="172" t="str" cm="1">
        <f t="array" ref="M162">Common_InputFunctions.Utility_DisplayArrayInTable(Fertiliser_SourceData.Fertiliser_Products_Data3(), FertiliserProducts[[#Headers],[Company]],61)</f>
        <v/>
      </c>
      <c r="N162" s="172" cm="1">
        <f t="array" ref="N162">Common_InputFunctions.Utility_DisplayArrayInTable(Fertiliser_SourceData.Fertiliser_Products_Data3(), FertiliserProducts[[#Headers],[Company]],61)</f>
        <v>11</v>
      </c>
      <c r="O162" s="172" t="str" cm="1">
        <f t="array" ref="O162">Common_InputFunctions.Utility_DisplayArrayInTable(Fertiliser_SourceData.Fertiliser_Products_Data3(), FertiliserProducts[[#Headers],[Company]],61)</f>
        <v>Single superphosphate (SSP)</v>
      </c>
      <c r="P162" s="172" cm="1">
        <f t="array" ref="P162">Common_InputFunctions.Utility_DisplayArrayInTable(Fertiliser_SourceData.Fertiliser_Products_Data3(), FertiliserProducts[[#Headers],[Company]],61)</f>
        <v>1</v>
      </c>
      <c r="Q162" s="172" t="str" cm="1">
        <f t="array" ref="Q162">Common_InputFunctions.Utility_DisplayArrayInTable(Fertiliser_SourceData.Fertiliser_Products_Data3(), FertiliserProducts[[#Headers],[Company]],61)</f>
        <v/>
      </c>
      <c r="R162" s="172" t="str" cm="1">
        <f t="array" ref="R162">Common_InputFunctions.Utility_DisplayArrayInTable(Fertiliser_SourceData.Fertiliser_Products_Data3(), FertiliserProducts[[#Headers],[Company]],61)</f>
        <v/>
      </c>
      <c r="S162" s="172" t="str" cm="1">
        <f t="array" ref="S162">Common_InputFunctions.Utility_DisplayArrayInTable(Fertiliser_SourceData.Fertiliser_Products_Data3(), FertiliserProducts[[#Headers],[Company]],61)</f>
        <v/>
      </c>
      <c r="T162" s="172" t="str" cm="1">
        <f t="array" ref="T162">Common_InputFunctions.Utility_DisplayArrayInTable(Fertiliser_SourceData.Fertiliser_Products_Data3(), FertiliserProducts[[#Headers],[Company]],61)</f>
        <v/>
      </c>
      <c r="U162" s="172" t="str" cm="1">
        <f t="array" ref="U162">Common_InputFunctions.Utility_DisplayArrayInTable(Fertiliser_SourceData.Fertiliser_Products_Data3(), FertiliserProducts[[#Headers],[Company]],61)</f>
        <v/>
      </c>
      <c r="V162" s="172" t="str" cm="1">
        <f t="array" ref="V162">Common_InputFunctions.Utility_DisplayArrayInTable(Fertiliser_SourceData.Fertiliser_Products_Data3(), FertiliserProducts[[#Headers],[Company]],61)</f>
        <v/>
      </c>
      <c r="W162" s="172" t="str" cm="1">
        <f t="array" ref="W162">Common_InputFunctions.Utility_DisplayArrayInTable(Fertiliser_SourceData.Fertiliser_Products_Data3(), FertiliserProducts[[#Headers],[Company]],61)</f>
        <v/>
      </c>
      <c r="X162" s="172" t="str" cm="1">
        <f t="array" ref="X162">Common_InputFunctions.Utility_DisplayArrayInTable(Fertiliser_SourceData.Fertiliser_Products_Data3(), FertiliserProducts[[#Headers],[Company]],61)</f>
        <v/>
      </c>
      <c r="Y162" s="172" t="str" cm="1">
        <f t="array" ref="Y162">Common_InputFunctions.Utility_DisplayArrayInTable(Fertiliser_SourceData.Fertiliser_Products_Data3(), FertiliserProducts[[#Headers],[Company]],61)</f>
        <v/>
      </c>
      <c r="Z162" s="172" t="str" cm="1">
        <f t="array" ref="Z162">Common_InputFunctions.Utility_DisplayArrayInTable(Fertiliser_SourceData.Fertiliser_Products_Data3(), FertiliserProducts[[#Headers],[Company]],61)</f>
        <v/>
      </c>
      <c r="AA162" s="172" t="str" cm="1">
        <f t="array" ref="AA162">Common_InputFunctions.Utility_DisplayArrayInTable(Fertiliser_SourceData.Fertiliser_Products_Data3(), FertiliserProducts[[#Headers],[Company]],61)</f>
        <v/>
      </c>
      <c r="AB162" s="172" t="str" cm="1">
        <f t="array" ref="AB162">Common_InputFunctions.Utility_DisplayArrayInTable(Fertiliser_SourceData.Fertiliser_Products_Data3(), FertiliserProducts[[#Headers],[Company]],61)</f>
        <v/>
      </c>
      <c r="AC162" s="172" t="str" cm="1">
        <f t="array" ref="AC162">Common_InputFunctions.Utility_DisplayArrayInTable(Fertiliser_SourceData.Fertiliser_Products_Data3(), FertiliserProducts[[#Headers],[Company]],61)</f>
        <v/>
      </c>
      <c r="AD162" s="172" t="str" cm="1">
        <f t="array" ref="AD162">Common_InputFunctions.Utility_DisplayArrayInTable(Fertiliser_SourceData.Fertiliser_Products_Data3(), FertiliserProducts[[#Headers],[Company]],61)</f>
        <v/>
      </c>
      <c r="AE162" s="172" t="str" cm="1">
        <f t="array" ref="AE162">Common_InputFunctions.Utility_DisplayArrayInTable(Fertiliser_SourceData.Fertiliser_Products_Data3(), FertiliserProducts[[#Headers],[Company]],61)</f>
        <v/>
      </c>
      <c r="AF162" s="172" t="str" cm="1">
        <f t="array" ref="AF162">Common_InputFunctions.Utility_DisplayArrayInTable(Fertiliser_SourceData.Fertiliser_Products_Data3(), FertiliserProducts[[#Headers],[Company]],61)</f>
        <v/>
      </c>
      <c r="AG162" s="172" t="str" cm="1">
        <f t="array" ref="AG162">Common_InputFunctions.Utility_DisplayArrayInTable(Fertiliser_SourceData.Fertiliser_Products_Data3(), FertiliserProducts[[#Headers],[Company]],61)</f>
        <v/>
      </c>
      <c r="AH162" s="172" t="str" cm="1">
        <f t="array" ref="AH162">Common_InputFunctions.Utility_DisplayArrayInTable(Fertiliser_SourceData.Fertiliser_Products_Data3(), FertiliserProducts[[#Headers],[Company]],61)</f>
        <v/>
      </c>
      <c r="AK162" s="1"/>
    </row>
    <row r="163" spans="4:37" ht="20.100000000000001" customHeight="1" x14ac:dyDescent="0.25">
      <c r="D163" s="172" t="str" cm="1">
        <f t="array" ref="D163">Common_InputFunctions.Utility_DisplayArrayInTable(Fertiliser_SourceData.Fertiliser_Products_Data3(), FertiliserProducts[[#Headers],[Company]],61)</f>
        <v>Incitec Pivot Fertilisers [listed as Summit]</v>
      </c>
      <c r="E163" s="172" t="str" cm="1">
        <f t="array" ref="E163">Common_InputFunctions.Utility_DisplayArrayInTable(Fertiliser_SourceData.Fertiliser_Products_Data3(), FertiliserProducts[[#Headers],[Company]],61)</f>
        <v>Big N</v>
      </c>
      <c r="F163" s="172" t="str" cm="1">
        <f t="array" ref="F163">Common_InputFunctions.Utility_DisplayArrayInTable(Fertiliser_SourceData.Fertiliser_Products_Data3(), FertiliserProducts[[#Headers],[Company]],61)</f>
        <v>kg</v>
      </c>
      <c r="G163" s="172" cm="1">
        <f t="array" ref="G163">Common_InputFunctions.Utility_DisplayArrayInTable(Fertiliser_SourceData.Fertiliser_Products_Data3(), FertiliserProducts[[#Headers],[Company]],61)</f>
        <v>1</v>
      </c>
      <c r="H163" s="172" t="str" cm="1">
        <f t="array" ref="H163">Common_InputFunctions.Utility_DisplayArrayInTable(Fertiliser_SourceData.Fertiliser_Products_Data3(), FertiliserProducts[[#Headers],[Company]],61)</f>
        <v/>
      </c>
      <c r="I163" s="172" t="str" cm="1">
        <f t="array" ref="I163">Common_InputFunctions.Utility_DisplayArrayInTable(Fertiliser_SourceData.Fertiliser_Products_Data3(), FertiliserProducts[[#Headers],[Company]],61)</f>
        <v/>
      </c>
      <c r="J163" s="172" t="str" cm="1">
        <f t="array" ref="J163">Common_InputFunctions.Utility_DisplayArrayInTable(Fertiliser_SourceData.Fertiliser_Products_Data3(), FertiliserProducts[[#Headers],[Company]],61)</f>
        <v/>
      </c>
      <c r="K163" s="172" cm="1">
        <f t="array" ref="K163">Common_InputFunctions.Utility_DisplayArrayInTable(Fertiliser_SourceData.Fertiliser_Products_Data3(), FertiliserProducts[[#Headers],[Company]],61)</f>
        <v>82.35</v>
      </c>
      <c r="L163" s="172" t="str" cm="1">
        <f t="array" ref="L163">Common_InputFunctions.Utility_DisplayArrayInTable(Fertiliser_SourceData.Fertiliser_Products_Data3(), FertiliserProducts[[#Headers],[Company]],61)</f>
        <v/>
      </c>
      <c r="M163" s="172" t="str" cm="1">
        <f t="array" ref="M163">Common_InputFunctions.Utility_DisplayArrayInTable(Fertiliser_SourceData.Fertiliser_Products_Data3(), FertiliserProducts[[#Headers],[Company]],61)</f>
        <v/>
      </c>
      <c r="N163" s="172" t="str" cm="1">
        <f t="array" ref="N163">Common_InputFunctions.Utility_DisplayArrayInTable(Fertiliser_SourceData.Fertiliser_Products_Data3(), FertiliserProducts[[#Headers],[Company]],61)</f>
        <v/>
      </c>
      <c r="O163" s="172" t="str" cm="1">
        <f t="array" ref="O163">Common_InputFunctions.Utility_DisplayArrayInTable(Fertiliser_SourceData.Fertiliser_Products_Data3(), FertiliserProducts[[#Headers],[Company]],61)</f>
        <v>Ammonia</v>
      </c>
      <c r="P163" s="172" cm="1">
        <f t="array" ref="P163">Common_InputFunctions.Utility_DisplayArrayInTable(Fertiliser_SourceData.Fertiliser_Products_Data3(), FertiliserProducts[[#Headers],[Company]],61)</f>
        <v>1</v>
      </c>
      <c r="Q163" s="172" t="str" cm="1">
        <f t="array" ref="Q163">Common_InputFunctions.Utility_DisplayArrayInTable(Fertiliser_SourceData.Fertiliser_Products_Data3(), FertiliserProducts[[#Headers],[Company]],61)</f>
        <v/>
      </c>
      <c r="R163" s="172" t="str" cm="1">
        <f t="array" ref="R163">Common_InputFunctions.Utility_DisplayArrayInTable(Fertiliser_SourceData.Fertiliser_Products_Data3(), FertiliserProducts[[#Headers],[Company]],61)</f>
        <v/>
      </c>
      <c r="S163" s="172" t="str" cm="1">
        <f t="array" ref="S163">Common_InputFunctions.Utility_DisplayArrayInTable(Fertiliser_SourceData.Fertiliser_Products_Data3(), FertiliserProducts[[#Headers],[Company]],61)</f>
        <v/>
      </c>
      <c r="T163" s="172" t="str" cm="1">
        <f t="array" ref="T163">Common_InputFunctions.Utility_DisplayArrayInTable(Fertiliser_SourceData.Fertiliser_Products_Data3(), FertiliserProducts[[#Headers],[Company]],61)</f>
        <v/>
      </c>
      <c r="U163" s="172" t="str" cm="1">
        <f t="array" ref="U163">Common_InputFunctions.Utility_DisplayArrayInTable(Fertiliser_SourceData.Fertiliser_Products_Data3(), FertiliserProducts[[#Headers],[Company]],61)</f>
        <v/>
      </c>
      <c r="V163" s="172" t="str" cm="1">
        <f t="array" ref="V163">Common_InputFunctions.Utility_DisplayArrayInTable(Fertiliser_SourceData.Fertiliser_Products_Data3(), FertiliserProducts[[#Headers],[Company]],61)</f>
        <v/>
      </c>
      <c r="W163" s="172" t="str" cm="1">
        <f t="array" ref="W163">Common_InputFunctions.Utility_DisplayArrayInTable(Fertiliser_SourceData.Fertiliser_Products_Data3(), FertiliserProducts[[#Headers],[Company]],61)</f>
        <v/>
      </c>
      <c r="X163" s="172" t="str" cm="1">
        <f t="array" ref="X163">Common_InputFunctions.Utility_DisplayArrayInTable(Fertiliser_SourceData.Fertiliser_Products_Data3(), FertiliserProducts[[#Headers],[Company]],61)</f>
        <v/>
      </c>
      <c r="Y163" s="172" t="str" cm="1">
        <f t="array" ref="Y163">Common_InputFunctions.Utility_DisplayArrayInTable(Fertiliser_SourceData.Fertiliser_Products_Data3(), FertiliserProducts[[#Headers],[Company]],61)</f>
        <v/>
      </c>
      <c r="Z163" s="172" t="str" cm="1">
        <f t="array" ref="Z163">Common_InputFunctions.Utility_DisplayArrayInTable(Fertiliser_SourceData.Fertiliser_Products_Data3(), FertiliserProducts[[#Headers],[Company]],61)</f>
        <v/>
      </c>
      <c r="AA163" s="172" t="str" cm="1">
        <f t="array" ref="AA163">Common_InputFunctions.Utility_DisplayArrayInTable(Fertiliser_SourceData.Fertiliser_Products_Data3(), FertiliserProducts[[#Headers],[Company]],61)</f>
        <v/>
      </c>
      <c r="AB163" s="172" t="str" cm="1">
        <f t="array" ref="AB163">Common_InputFunctions.Utility_DisplayArrayInTable(Fertiliser_SourceData.Fertiliser_Products_Data3(), FertiliserProducts[[#Headers],[Company]],61)</f>
        <v/>
      </c>
      <c r="AC163" s="172" t="str" cm="1">
        <f t="array" ref="AC163">Common_InputFunctions.Utility_DisplayArrayInTable(Fertiliser_SourceData.Fertiliser_Products_Data3(), FertiliserProducts[[#Headers],[Company]],61)</f>
        <v/>
      </c>
      <c r="AD163" s="172" t="str" cm="1">
        <f t="array" ref="AD163">Common_InputFunctions.Utility_DisplayArrayInTable(Fertiliser_SourceData.Fertiliser_Products_Data3(), FertiliserProducts[[#Headers],[Company]],61)</f>
        <v/>
      </c>
      <c r="AE163" s="172" t="str" cm="1">
        <f t="array" ref="AE163">Common_InputFunctions.Utility_DisplayArrayInTable(Fertiliser_SourceData.Fertiliser_Products_Data3(), FertiliserProducts[[#Headers],[Company]],61)</f>
        <v/>
      </c>
      <c r="AF163" s="172" t="str" cm="1">
        <f t="array" ref="AF163">Common_InputFunctions.Utility_DisplayArrayInTable(Fertiliser_SourceData.Fertiliser_Products_Data3(), FertiliserProducts[[#Headers],[Company]],61)</f>
        <v/>
      </c>
      <c r="AG163" s="172" t="str" cm="1">
        <f t="array" ref="AG163">Common_InputFunctions.Utility_DisplayArrayInTable(Fertiliser_SourceData.Fertiliser_Products_Data3(), FertiliserProducts[[#Headers],[Company]],61)</f>
        <v/>
      </c>
      <c r="AH163" s="172" t="str" cm="1">
        <f t="array" ref="AH163">Common_InputFunctions.Utility_DisplayArrayInTable(Fertiliser_SourceData.Fertiliser_Products_Data3(), FertiliserProducts[[#Headers],[Company]],61)</f>
        <v/>
      </c>
      <c r="AK163" s="1"/>
    </row>
    <row r="164" spans="4:37" ht="20.100000000000001" customHeight="1" x14ac:dyDescent="0.25">
      <c r="D164" s="172" t="str" cm="1">
        <f t="array" ref="D164">Common_InputFunctions.Utility_DisplayArrayInTable(Fertiliser_SourceData.Fertiliser_Products_Data3(), FertiliserProducts[[#Headers],[Company]],61)</f>
        <v>Incitec Pivot Fertilisers</v>
      </c>
      <c r="E164" s="172" t="str" cm="1">
        <f t="array" ref="E164">Common_InputFunctions.Utility_DisplayArrayInTable(Fertiliser_SourceData.Fertiliser_Products_Data3(), FertiliserProducts[[#Headers],[Company]],61)</f>
        <v>Entec Urea</v>
      </c>
      <c r="F164" s="172" t="str" cm="1">
        <f t="array" ref="F164">Common_InputFunctions.Utility_DisplayArrayInTable(Fertiliser_SourceData.Fertiliser_Products_Data3(), FertiliserProducts[[#Headers],[Company]],61)</f>
        <v>kg</v>
      </c>
      <c r="G164" s="172" cm="1">
        <f t="array" ref="G164">Common_InputFunctions.Utility_DisplayArrayInTable(Fertiliser_SourceData.Fertiliser_Products_Data3(), FertiliserProducts[[#Headers],[Company]],61)</f>
        <v>1</v>
      </c>
      <c r="H164" s="172" t="str" cm="1">
        <f t="array" ref="H164">Common_InputFunctions.Utility_DisplayArrayInTable(Fertiliser_SourceData.Fertiliser_Products_Data3(), FertiliserProducts[[#Headers],[Company]],61)</f>
        <v>Yes</v>
      </c>
      <c r="I164" s="172" t="str" cm="1">
        <f t="array" ref="I164">Common_InputFunctions.Utility_DisplayArrayInTable(Fertiliser_SourceData.Fertiliser_Products_Data3(), FertiliserProducts[[#Headers],[Company]],61)</f>
        <v/>
      </c>
      <c r="J164" s="172" t="str" cm="1">
        <f t="array" ref="J164">Common_InputFunctions.Utility_DisplayArrayInTable(Fertiliser_SourceData.Fertiliser_Products_Data3(), FertiliserProducts[[#Headers],[Company]],61)</f>
        <v/>
      </c>
      <c r="K164" s="172" cm="1">
        <f t="array" ref="K164">Common_InputFunctions.Utility_DisplayArrayInTable(Fertiliser_SourceData.Fertiliser_Products_Data3(), FertiliserProducts[[#Headers],[Company]],61)</f>
        <v>46</v>
      </c>
      <c r="L164" s="172" t="str" cm="1">
        <f t="array" ref="L164">Common_InputFunctions.Utility_DisplayArrayInTable(Fertiliser_SourceData.Fertiliser_Products_Data3(), FertiliserProducts[[#Headers],[Company]],61)</f>
        <v/>
      </c>
      <c r="M164" s="172" t="str" cm="1">
        <f t="array" ref="M164">Common_InputFunctions.Utility_DisplayArrayInTable(Fertiliser_SourceData.Fertiliser_Products_Data3(), FertiliserProducts[[#Headers],[Company]],61)</f>
        <v/>
      </c>
      <c r="N164" s="172" t="str" cm="1">
        <f t="array" ref="N164">Common_InputFunctions.Utility_DisplayArrayInTable(Fertiliser_SourceData.Fertiliser_Products_Data3(), FertiliserProducts[[#Headers],[Company]],61)</f>
        <v/>
      </c>
      <c r="O164" s="172" t="str" cm="1">
        <f t="array" ref="O164">Common_InputFunctions.Utility_DisplayArrayInTable(Fertiliser_SourceData.Fertiliser_Products_Data3(), FertiliserProducts[[#Headers],[Company]],61)</f>
        <v>Urea</v>
      </c>
      <c r="P164" s="172" cm="1">
        <f t="array" ref="P164">Common_InputFunctions.Utility_DisplayArrayInTable(Fertiliser_SourceData.Fertiliser_Products_Data3(), FertiliserProducts[[#Headers],[Company]],61)</f>
        <v>1</v>
      </c>
      <c r="Q164" s="172" t="str" cm="1">
        <f t="array" ref="Q164">Common_InputFunctions.Utility_DisplayArrayInTable(Fertiliser_SourceData.Fertiliser_Products_Data3(), FertiliserProducts[[#Headers],[Company]],61)</f>
        <v/>
      </c>
      <c r="R164" s="172" t="str" cm="1">
        <f t="array" ref="R164">Common_InputFunctions.Utility_DisplayArrayInTable(Fertiliser_SourceData.Fertiliser_Products_Data3(), FertiliserProducts[[#Headers],[Company]],61)</f>
        <v/>
      </c>
      <c r="S164" s="172" t="str" cm="1">
        <f t="array" ref="S164">Common_InputFunctions.Utility_DisplayArrayInTable(Fertiliser_SourceData.Fertiliser_Products_Data3(), FertiliserProducts[[#Headers],[Company]],61)</f>
        <v/>
      </c>
      <c r="T164" s="172" t="str" cm="1">
        <f t="array" ref="T164">Common_InputFunctions.Utility_DisplayArrayInTable(Fertiliser_SourceData.Fertiliser_Products_Data3(), FertiliserProducts[[#Headers],[Company]],61)</f>
        <v/>
      </c>
      <c r="U164" s="172" t="str" cm="1">
        <f t="array" ref="U164">Common_InputFunctions.Utility_DisplayArrayInTable(Fertiliser_SourceData.Fertiliser_Products_Data3(), FertiliserProducts[[#Headers],[Company]],61)</f>
        <v/>
      </c>
      <c r="V164" s="172" t="str" cm="1">
        <f t="array" ref="V164">Common_InputFunctions.Utility_DisplayArrayInTable(Fertiliser_SourceData.Fertiliser_Products_Data3(), FertiliserProducts[[#Headers],[Company]],61)</f>
        <v/>
      </c>
      <c r="W164" s="172" t="str" cm="1">
        <f t="array" ref="W164">Common_InputFunctions.Utility_DisplayArrayInTable(Fertiliser_SourceData.Fertiliser_Products_Data3(), FertiliserProducts[[#Headers],[Company]],61)</f>
        <v/>
      </c>
      <c r="X164" s="172" t="str" cm="1">
        <f t="array" ref="X164">Common_InputFunctions.Utility_DisplayArrayInTable(Fertiliser_SourceData.Fertiliser_Products_Data3(), FertiliserProducts[[#Headers],[Company]],61)</f>
        <v/>
      </c>
      <c r="Y164" s="172" t="str" cm="1">
        <f t="array" ref="Y164">Common_InputFunctions.Utility_DisplayArrayInTable(Fertiliser_SourceData.Fertiliser_Products_Data3(), FertiliserProducts[[#Headers],[Company]],61)</f>
        <v/>
      </c>
      <c r="Z164" s="172" t="str" cm="1">
        <f t="array" ref="Z164">Common_InputFunctions.Utility_DisplayArrayInTable(Fertiliser_SourceData.Fertiliser_Products_Data3(), FertiliserProducts[[#Headers],[Company]],61)</f>
        <v/>
      </c>
      <c r="AA164" s="172" t="str" cm="1">
        <f t="array" ref="AA164">Common_InputFunctions.Utility_DisplayArrayInTable(Fertiliser_SourceData.Fertiliser_Products_Data3(), FertiliserProducts[[#Headers],[Company]],61)</f>
        <v/>
      </c>
      <c r="AB164" s="172" t="str" cm="1">
        <f t="array" ref="AB164">Common_InputFunctions.Utility_DisplayArrayInTable(Fertiliser_SourceData.Fertiliser_Products_Data3(), FertiliserProducts[[#Headers],[Company]],61)</f>
        <v/>
      </c>
      <c r="AC164" s="172" t="str" cm="1">
        <f t="array" ref="AC164">Common_InputFunctions.Utility_DisplayArrayInTable(Fertiliser_SourceData.Fertiliser_Products_Data3(), FertiliserProducts[[#Headers],[Company]],61)</f>
        <v/>
      </c>
      <c r="AD164" s="172" t="str" cm="1">
        <f t="array" ref="AD164">Common_InputFunctions.Utility_DisplayArrayInTable(Fertiliser_SourceData.Fertiliser_Products_Data3(), FertiliserProducts[[#Headers],[Company]],61)</f>
        <v/>
      </c>
      <c r="AE164" s="172" t="str" cm="1">
        <f t="array" ref="AE164">Common_InputFunctions.Utility_DisplayArrayInTable(Fertiliser_SourceData.Fertiliser_Products_Data3(), FertiliserProducts[[#Headers],[Company]],61)</f>
        <v/>
      </c>
      <c r="AF164" s="172" t="str" cm="1">
        <f t="array" ref="AF164">Common_InputFunctions.Utility_DisplayArrayInTable(Fertiliser_SourceData.Fertiliser_Products_Data3(), FertiliserProducts[[#Headers],[Company]],61)</f>
        <v/>
      </c>
      <c r="AG164" s="172" t="str" cm="1">
        <f t="array" ref="AG164">Common_InputFunctions.Utility_DisplayArrayInTable(Fertiliser_SourceData.Fertiliser_Products_Data3(), FertiliserProducts[[#Headers],[Company]],61)</f>
        <v/>
      </c>
      <c r="AH164" s="172" t="str" cm="1">
        <f t="array" ref="AH164">Common_InputFunctions.Utility_DisplayArrayInTable(Fertiliser_SourceData.Fertiliser_Products_Data3(), FertiliserProducts[[#Headers],[Company]],61)</f>
        <v/>
      </c>
      <c r="AK164" s="1"/>
    </row>
    <row r="165" spans="4:37" ht="20.100000000000001" customHeight="1" x14ac:dyDescent="0.25">
      <c r="D165" s="172" t="str" cm="1">
        <f t="array" ref="D165">Common_InputFunctions.Utility_DisplayArrayInTable(Fertiliser_SourceData.Fertiliser_Products_Data3(), FertiliserProducts[[#Headers],[Company]],61)</f>
        <v>Incitec Pivot Fertilisers (or Ravensdown - see note)</v>
      </c>
      <c r="E165" s="172" t="str" cm="1">
        <f t="array" ref="E165">Common_InputFunctions.Utility_DisplayArrayInTable(Fertiliser_SourceData.Fertiliser_Products_Data3(), FertiliserProducts[[#Headers],[Company]],61)</f>
        <v>Flexi-N NI only</v>
      </c>
      <c r="F165" s="172" t="str" cm="1">
        <f t="array" ref="F165">Common_InputFunctions.Utility_DisplayArrayInTable(Fertiliser_SourceData.Fertiliser_Products_Data3(), FertiliserProducts[[#Headers],[Company]],61)</f>
        <v>kg</v>
      </c>
      <c r="G165" s="172" cm="1">
        <f t="array" ref="G165">Common_InputFunctions.Utility_DisplayArrayInTable(Fertiliser_SourceData.Fertiliser_Products_Data3(), FertiliserProducts[[#Headers],[Company]],61)</f>
        <v>1</v>
      </c>
      <c r="H165" s="172" t="str" cm="1">
        <f t="array" ref="H165">Common_InputFunctions.Utility_DisplayArrayInTable(Fertiliser_SourceData.Fertiliser_Products_Data3(), FertiliserProducts[[#Headers],[Company]],61)</f>
        <v>Yes</v>
      </c>
      <c r="I165" s="172" t="str" cm="1">
        <f t="array" ref="I165">Common_InputFunctions.Utility_DisplayArrayInTable(Fertiliser_SourceData.Fertiliser_Products_Data3(), FertiliserProducts[[#Headers],[Company]],61)</f>
        <v/>
      </c>
      <c r="J165" s="172" t="str" cm="1">
        <f t="array" ref="J165">Common_InputFunctions.Utility_DisplayArrayInTable(Fertiliser_SourceData.Fertiliser_Products_Data3(), FertiliserProducts[[#Headers],[Company]],61)</f>
        <v/>
      </c>
      <c r="K165" s="172" cm="1">
        <f t="array" ref="K165">Common_InputFunctions.Utility_DisplayArrayInTable(Fertiliser_SourceData.Fertiliser_Products_Data3(), FertiliserProducts[[#Headers],[Company]],61)</f>
        <v>45.54</v>
      </c>
      <c r="L165" s="172" t="str" cm="1">
        <f t="array" ref="L165">Common_InputFunctions.Utility_DisplayArrayInTable(Fertiliser_SourceData.Fertiliser_Products_Data3(), FertiliserProducts[[#Headers],[Company]],61)</f>
        <v/>
      </c>
      <c r="M165" s="172" t="str" cm="1">
        <f t="array" ref="M165">Common_InputFunctions.Utility_DisplayArrayInTable(Fertiliser_SourceData.Fertiliser_Products_Data3(), FertiliserProducts[[#Headers],[Company]],61)</f>
        <v/>
      </c>
      <c r="N165" s="172" t="str" cm="1">
        <f t="array" ref="N165">Common_InputFunctions.Utility_DisplayArrayInTable(Fertiliser_SourceData.Fertiliser_Products_Data3(), FertiliserProducts[[#Headers],[Company]],61)</f>
        <v/>
      </c>
      <c r="O165" s="172" t="str" cm="1">
        <f t="array" ref="O165">Common_InputFunctions.Utility_DisplayArrayInTable(Fertiliser_SourceData.Fertiliser_Products_Data3(), FertiliserProducts[[#Headers],[Company]],61)</f>
        <v>Urea</v>
      </c>
      <c r="P165" s="172" cm="1">
        <f t="array" ref="P165">Common_InputFunctions.Utility_DisplayArrayInTable(Fertiliser_SourceData.Fertiliser_Products_Data3(), FertiliserProducts[[#Headers],[Company]],61)</f>
        <v>0.99</v>
      </c>
      <c r="Q165" s="172" t="str" cm="1">
        <f t="array" ref="Q165">Common_InputFunctions.Utility_DisplayArrayInTable(Fertiliser_SourceData.Fertiliser_Products_Data3(), FertiliserProducts[[#Headers],[Company]],61)</f>
        <v>Urease/nitrification inhibitor</v>
      </c>
      <c r="R165" s="172" cm="1">
        <f t="array" ref="R165">Common_InputFunctions.Utility_DisplayArrayInTable(Fertiliser_SourceData.Fertiliser_Products_Data3(), FertiliserProducts[[#Headers],[Company]],61)</f>
        <v>0.01</v>
      </c>
      <c r="S165" s="172" t="str" cm="1">
        <f t="array" ref="S165">Common_InputFunctions.Utility_DisplayArrayInTable(Fertiliser_SourceData.Fertiliser_Products_Data3(), FertiliserProducts[[#Headers],[Company]],61)</f>
        <v/>
      </c>
      <c r="T165" s="172" t="str" cm="1">
        <f t="array" ref="T165">Common_InputFunctions.Utility_DisplayArrayInTable(Fertiliser_SourceData.Fertiliser_Products_Data3(), FertiliserProducts[[#Headers],[Company]],61)</f>
        <v/>
      </c>
      <c r="U165" s="172" t="str" cm="1">
        <f t="array" ref="U165">Common_InputFunctions.Utility_DisplayArrayInTable(Fertiliser_SourceData.Fertiliser_Products_Data3(), FertiliserProducts[[#Headers],[Company]],61)</f>
        <v/>
      </c>
      <c r="V165" s="172" t="str" cm="1">
        <f t="array" ref="V165">Common_InputFunctions.Utility_DisplayArrayInTable(Fertiliser_SourceData.Fertiliser_Products_Data3(), FertiliserProducts[[#Headers],[Company]],61)</f>
        <v/>
      </c>
      <c r="W165" s="172" t="str" cm="1">
        <f t="array" ref="W165">Common_InputFunctions.Utility_DisplayArrayInTable(Fertiliser_SourceData.Fertiliser_Products_Data3(), FertiliserProducts[[#Headers],[Company]],61)</f>
        <v/>
      </c>
      <c r="X165" s="172" t="str" cm="1">
        <f t="array" ref="X165">Common_InputFunctions.Utility_DisplayArrayInTable(Fertiliser_SourceData.Fertiliser_Products_Data3(), FertiliserProducts[[#Headers],[Company]],61)</f>
        <v/>
      </c>
      <c r="Y165" s="172" t="str" cm="1">
        <f t="array" ref="Y165">Common_InputFunctions.Utility_DisplayArrayInTable(Fertiliser_SourceData.Fertiliser_Products_Data3(), FertiliserProducts[[#Headers],[Company]],61)</f>
        <v/>
      </c>
      <c r="Z165" s="172" t="str" cm="1">
        <f t="array" ref="Z165">Common_InputFunctions.Utility_DisplayArrayInTable(Fertiliser_SourceData.Fertiliser_Products_Data3(), FertiliserProducts[[#Headers],[Company]],61)</f>
        <v/>
      </c>
      <c r="AA165" s="172" t="str" cm="1">
        <f t="array" ref="AA165">Common_InputFunctions.Utility_DisplayArrayInTable(Fertiliser_SourceData.Fertiliser_Products_Data3(), FertiliserProducts[[#Headers],[Company]],61)</f>
        <v/>
      </c>
      <c r="AB165" s="172" t="str" cm="1">
        <f t="array" ref="AB165">Common_InputFunctions.Utility_DisplayArrayInTable(Fertiliser_SourceData.Fertiliser_Products_Data3(), FertiliserProducts[[#Headers],[Company]],61)</f>
        <v/>
      </c>
      <c r="AC165" s="172" t="str" cm="1">
        <f t="array" ref="AC165">Common_InputFunctions.Utility_DisplayArrayInTable(Fertiliser_SourceData.Fertiliser_Products_Data3(), FertiliserProducts[[#Headers],[Company]],61)</f>
        <v/>
      </c>
      <c r="AD165" s="172" t="str" cm="1">
        <f t="array" ref="AD165">Common_InputFunctions.Utility_DisplayArrayInTable(Fertiliser_SourceData.Fertiliser_Products_Data3(), FertiliserProducts[[#Headers],[Company]],61)</f>
        <v/>
      </c>
      <c r="AE165" s="172" t="str" cm="1">
        <f t="array" ref="AE165">Common_InputFunctions.Utility_DisplayArrayInTable(Fertiliser_SourceData.Fertiliser_Products_Data3(), FertiliserProducts[[#Headers],[Company]],61)</f>
        <v/>
      </c>
      <c r="AF165" s="172" t="str" cm="1">
        <f t="array" ref="AF165">Common_InputFunctions.Utility_DisplayArrayInTable(Fertiliser_SourceData.Fertiliser_Products_Data3(), FertiliserProducts[[#Headers],[Company]],61)</f>
        <v/>
      </c>
      <c r="AG165" s="172" t="str" cm="1">
        <f t="array" ref="AG165">Common_InputFunctions.Utility_DisplayArrayInTable(Fertiliser_SourceData.Fertiliser_Products_Data3(), FertiliserProducts[[#Headers],[Company]],61)</f>
        <v/>
      </c>
      <c r="AH165" s="172" t="str" cm="1">
        <f t="array" ref="AH165">Common_InputFunctions.Utility_DisplayArrayInTable(Fertiliser_SourceData.Fertiliser_Products_Data3(), FertiliserProducts[[#Headers],[Company]],61)</f>
        <v/>
      </c>
      <c r="AK165" s="1"/>
    </row>
    <row r="166" spans="4:37" x14ac:dyDescent="0.25">
      <c r="D166" s="172" t="str" cm="1">
        <f t="array" ref="D166">Common_InputFunctions.Utility_DisplayArrayInTable(Fertiliser_SourceData.Fertiliser_Products_Data3(), FertiliserProducts[[#Headers],[Company]],61)</f>
        <v>Nutri-Tech Solutions (NTS)</v>
      </c>
      <c r="E166" s="172" t="str" cm="1">
        <f t="array" ref="E166">Common_InputFunctions.Utility_DisplayArrayInTable(Fertiliser_SourceData.Fertiliser_Products_Data3(), FertiliserProducts[[#Headers],[Company]],61)</f>
        <v>Muriate Of Potash MOP</v>
      </c>
      <c r="F166" s="172" t="str" cm="1">
        <f t="array" ref="F166">Common_InputFunctions.Utility_DisplayArrayInTable(Fertiliser_SourceData.Fertiliser_Products_Data3(), FertiliserProducts[[#Headers],[Company]],61)</f>
        <v>kg</v>
      </c>
      <c r="G166" s="172" cm="1">
        <f t="array" ref="G166">Common_InputFunctions.Utility_DisplayArrayInTable(Fertiliser_SourceData.Fertiliser_Products_Data3(), FertiliserProducts[[#Headers],[Company]],61)</f>
        <v>1</v>
      </c>
      <c r="H166" s="172" t="str" cm="1">
        <f t="array" ref="H166">Common_InputFunctions.Utility_DisplayArrayInTable(Fertiliser_SourceData.Fertiliser_Products_Data3(), FertiliserProducts[[#Headers],[Company]],61)</f>
        <v/>
      </c>
      <c r="I166" s="172" t="str" cm="1">
        <f t="array" ref="I166">Common_InputFunctions.Utility_DisplayArrayInTable(Fertiliser_SourceData.Fertiliser_Products_Data3(), FertiliserProducts[[#Headers],[Company]],61)</f>
        <v/>
      </c>
      <c r="J166" s="172" t="str" cm="1">
        <f t="array" ref="J166">Common_InputFunctions.Utility_DisplayArrayInTable(Fertiliser_SourceData.Fertiliser_Products_Data3(), FertiliserProducts[[#Headers],[Company]],61)</f>
        <v/>
      </c>
      <c r="K166" s="172" t="str" cm="1">
        <f t="array" ref="K166">Common_InputFunctions.Utility_DisplayArrayInTable(Fertiliser_SourceData.Fertiliser_Products_Data3(), FertiliserProducts[[#Headers],[Company]],61)</f>
        <v/>
      </c>
      <c r="L166" s="172" t="str" cm="1">
        <f t="array" ref="L166">Common_InputFunctions.Utility_DisplayArrayInTable(Fertiliser_SourceData.Fertiliser_Products_Data3(), FertiliserProducts[[#Headers],[Company]],61)</f>
        <v/>
      </c>
      <c r="M166" s="172" cm="1">
        <f t="array" ref="M166">Common_InputFunctions.Utility_DisplayArrayInTable(Fertiliser_SourceData.Fertiliser_Products_Data3(), FertiliserProducts[[#Headers],[Company]],61)</f>
        <v>50</v>
      </c>
      <c r="N166" s="172" t="str" cm="1">
        <f t="array" ref="N166">Common_InputFunctions.Utility_DisplayArrayInTable(Fertiliser_SourceData.Fertiliser_Products_Data3(), FertiliserProducts[[#Headers],[Company]],61)</f>
        <v/>
      </c>
      <c r="O166" s="172" t="str" cm="1">
        <f t="array" ref="O166">Common_InputFunctions.Utility_DisplayArrayInTable(Fertiliser_SourceData.Fertiliser_Products_Data3(), FertiliserProducts[[#Headers],[Company]],61)</f>
        <v>Muriate of potash (MOP)</v>
      </c>
      <c r="P166" s="172" cm="1">
        <f t="array" ref="P166">Common_InputFunctions.Utility_DisplayArrayInTable(Fertiliser_SourceData.Fertiliser_Products_Data3(), FertiliserProducts[[#Headers],[Company]],61)</f>
        <v>1</v>
      </c>
      <c r="Q166" s="172" t="str" cm="1">
        <f t="array" ref="Q166">Common_InputFunctions.Utility_DisplayArrayInTable(Fertiliser_SourceData.Fertiliser_Products_Data3(), FertiliserProducts[[#Headers],[Company]],61)</f>
        <v/>
      </c>
      <c r="R166" s="172" t="str" cm="1">
        <f t="array" ref="R166">Common_InputFunctions.Utility_DisplayArrayInTable(Fertiliser_SourceData.Fertiliser_Products_Data3(), FertiliserProducts[[#Headers],[Company]],61)</f>
        <v/>
      </c>
      <c r="S166" s="172" t="str" cm="1">
        <f t="array" ref="S166">Common_InputFunctions.Utility_DisplayArrayInTable(Fertiliser_SourceData.Fertiliser_Products_Data3(), FertiliserProducts[[#Headers],[Company]],61)</f>
        <v/>
      </c>
      <c r="T166" s="172" t="str" cm="1">
        <f t="array" ref="T166">Common_InputFunctions.Utility_DisplayArrayInTable(Fertiliser_SourceData.Fertiliser_Products_Data3(), FertiliserProducts[[#Headers],[Company]],61)</f>
        <v/>
      </c>
      <c r="U166" s="172" t="str" cm="1">
        <f t="array" ref="U166">Common_InputFunctions.Utility_DisplayArrayInTable(Fertiliser_SourceData.Fertiliser_Products_Data3(), FertiliserProducts[[#Headers],[Company]],61)</f>
        <v/>
      </c>
      <c r="V166" s="172" t="str" cm="1">
        <f t="array" ref="V166">Common_InputFunctions.Utility_DisplayArrayInTable(Fertiliser_SourceData.Fertiliser_Products_Data3(), FertiliserProducts[[#Headers],[Company]],61)</f>
        <v/>
      </c>
      <c r="W166" s="172" t="str" cm="1">
        <f t="array" ref="W166">Common_InputFunctions.Utility_DisplayArrayInTable(Fertiliser_SourceData.Fertiliser_Products_Data3(), FertiliserProducts[[#Headers],[Company]],61)</f>
        <v/>
      </c>
      <c r="X166" s="172" t="str" cm="1">
        <f t="array" ref="X166">Common_InputFunctions.Utility_DisplayArrayInTable(Fertiliser_SourceData.Fertiliser_Products_Data3(), FertiliserProducts[[#Headers],[Company]],61)</f>
        <v/>
      </c>
      <c r="Y166" s="172" t="str" cm="1">
        <f t="array" ref="Y166">Common_InputFunctions.Utility_DisplayArrayInTable(Fertiliser_SourceData.Fertiliser_Products_Data3(), FertiliserProducts[[#Headers],[Company]],61)</f>
        <v/>
      </c>
      <c r="Z166" s="172" t="str" cm="1">
        <f t="array" ref="Z166">Common_InputFunctions.Utility_DisplayArrayInTable(Fertiliser_SourceData.Fertiliser_Products_Data3(), FertiliserProducts[[#Headers],[Company]],61)</f>
        <v/>
      </c>
      <c r="AA166" s="172" t="str" cm="1">
        <f t="array" ref="AA166">Common_InputFunctions.Utility_DisplayArrayInTable(Fertiliser_SourceData.Fertiliser_Products_Data3(), FertiliserProducts[[#Headers],[Company]],61)</f>
        <v/>
      </c>
      <c r="AB166" s="172" t="str" cm="1">
        <f t="array" ref="AB166">Common_InputFunctions.Utility_DisplayArrayInTable(Fertiliser_SourceData.Fertiliser_Products_Data3(), FertiliserProducts[[#Headers],[Company]],61)</f>
        <v/>
      </c>
      <c r="AC166" s="172" t="str" cm="1">
        <f t="array" ref="AC166">Common_InputFunctions.Utility_DisplayArrayInTable(Fertiliser_SourceData.Fertiliser_Products_Data3(), FertiliserProducts[[#Headers],[Company]],61)</f>
        <v/>
      </c>
      <c r="AD166" s="172" t="str" cm="1">
        <f t="array" ref="AD166">Common_InputFunctions.Utility_DisplayArrayInTable(Fertiliser_SourceData.Fertiliser_Products_Data3(), FertiliserProducts[[#Headers],[Company]],61)</f>
        <v/>
      </c>
      <c r="AE166" s="172" t="str" cm="1">
        <f t="array" ref="AE166">Common_InputFunctions.Utility_DisplayArrayInTable(Fertiliser_SourceData.Fertiliser_Products_Data3(), FertiliserProducts[[#Headers],[Company]],61)</f>
        <v/>
      </c>
      <c r="AF166" s="172" t="str" cm="1">
        <f t="array" ref="AF166">Common_InputFunctions.Utility_DisplayArrayInTable(Fertiliser_SourceData.Fertiliser_Products_Data3(), FertiliserProducts[[#Headers],[Company]],61)</f>
        <v/>
      </c>
      <c r="AG166" s="172" t="str" cm="1">
        <f t="array" ref="AG166">Common_InputFunctions.Utility_DisplayArrayInTable(Fertiliser_SourceData.Fertiliser_Products_Data3(), FertiliserProducts[[#Headers],[Company]],61)</f>
        <v/>
      </c>
      <c r="AH166" s="172" t="str" cm="1">
        <f t="array" ref="AH166">Common_InputFunctions.Utility_DisplayArrayInTable(Fertiliser_SourceData.Fertiliser_Products_Data3(), FertiliserProducts[[#Headers],[Company]],61)</f>
        <v/>
      </c>
      <c r="AK166" s="1"/>
    </row>
    <row r="167" spans="4:37" x14ac:dyDescent="0.25">
      <c r="D167" s="172" t="str" cm="1">
        <f t="array" ref="D167">Common_InputFunctions.Utility_DisplayArrayInTable(Fertiliser_SourceData.Fertiliser_Products_Data3(), FertiliserProducts[[#Headers],[Company]],61)</f>
        <v>Nuturf</v>
      </c>
      <c r="E167" s="172" t="str" cm="1">
        <f t="array" ref="E167">Common_InputFunctions.Utility_DisplayArrayInTable(Fertiliser_SourceData.Fertiliser_Products_Data3(), FertiliserProducts[[#Headers],[Company]],61)</f>
        <v>MAP NUTURF</v>
      </c>
      <c r="F167" s="172" t="str" cm="1">
        <f t="array" ref="F167">Common_InputFunctions.Utility_DisplayArrayInTable(Fertiliser_SourceData.Fertiliser_Products_Data3(), FertiliserProducts[[#Headers],[Company]],61)</f>
        <v>kg</v>
      </c>
      <c r="G167" s="172" cm="1">
        <f t="array" ref="G167">Common_InputFunctions.Utility_DisplayArrayInTable(Fertiliser_SourceData.Fertiliser_Products_Data3(), FertiliserProducts[[#Headers],[Company]],61)</f>
        <v>1</v>
      </c>
      <c r="H167" s="172" t="str" cm="1">
        <f t="array" ref="H167">Common_InputFunctions.Utility_DisplayArrayInTable(Fertiliser_SourceData.Fertiliser_Products_Data3(), FertiliserProducts[[#Headers],[Company]],61)</f>
        <v/>
      </c>
      <c r="I167" s="172" t="str" cm="1">
        <f t="array" ref="I167">Common_InputFunctions.Utility_DisplayArrayInTable(Fertiliser_SourceData.Fertiliser_Products_Data3(), FertiliserProducts[[#Headers],[Company]],61)</f>
        <v/>
      </c>
      <c r="J167" s="172" t="str" cm="1">
        <f t="array" ref="J167">Common_InputFunctions.Utility_DisplayArrayInTable(Fertiliser_SourceData.Fertiliser_Products_Data3(), FertiliserProducts[[#Headers],[Company]],61)</f>
        <v/>
      </c>
      <c r="K167" s="172" cm="1">
        <f t="array" ref="K167">Common_InputFunctions.Utility_DisplayArrayInTable(Fertiliser_SourceData.Fertiliser_Products_Data3(), FertiliserProducts[[#Headers],[Company]],61)</f>
        <v>10</v>
      </c>
      <c r="L167" s="172" cm="1">
        <f t="array" ref="L167">Common_InputFunctions.Utility_DisplayArrayInTable(Fertiliser_SourceData.Fertiliser_Products_Data3(), FertiliserProducts[[#Headers],[Company]],61)</f>
        <v>21.9</v>
      </c>
      <c r="M167" s="172" t="str" cm="1">
        <f t="array" ref="M167">Common_InputFunctions.Utility_DisplayArrayInTable(Fertiliser_SourceData.Fertiliser_Products_Data3(), FertiliserProducts[[#Headers],[Company]],61)</f>
        <v/>
      </c>
      <c r="N167" s="172" t="str" cm="1">
        <f t="array" ref="N167">Common_InputFunctions.Utility_DisplayArrayInTable(Fertiliser_SourceData.Fertiliser_Products_Data3(), FertiliserProducts[[#Headers],[Company]],61)</f>
        <v/>
      </c>
      <c r="O167" s="172" t="str" cm="1">
        <f t="array" ref="O167">Common_InputFunctions.Utility_DisplayArrayInTable(Fertiliser_SourceData.Fertiliser_Products_Data3(), FertiliserProducts[[#Headers],[Company]],61)</f>
        <v>Monoammonium phosphate (MAP)</v>
      </c>
      <c r="P167" s="172" cm="1">
        <f t="array" ref="P167">Common_InputFunctions.Utility_DisplayArrayInTable(Fertiliser_SourceData.Fertiliser_Products_Data3(), FertiliserProducts[[#Headers],[Company]],61)</f>
        <v>1</v>
      </c>
      <c r="Q167" s="172" t="str" cm="1">
        <f t="array" ref="Q167">Common_InputFunctions.Utility_DisplayArrayInTable(Fertiliser_SourceData.Fertiliser_Products_Data3(), FertiliserProducts[[#Headers],[Company]],61)</f>
        <v/>
      </c>
      <c r="R167" s="172" t="str" cm="1">
        <f t="array" ref="R167">Common_InputFunctions.Utility_DisplayArrayInTable(Fertiliser_SourceData.Fertiliser_Products_Data3(), FertiliserProducts[[#Headers],[Company]],61)</f>
        <v/>
      </c>
      <c r="S167" s="172" t="str" cm="1">
        <f t="array" ref="S167">Common_InputFunctions.Utility_DisplayArrayInTable(Fertiliser_SourceData.Fertiliser_Products_Data3(), FertiliserProducts[[#Headers],[Company]],61)</f>
        <v/>
      </c>
      <c r="T167" s="172" t="str" cm="1">
        <f t="array" ref="T167">Common_InputFunctions.Utility_DisplayArrayInTable(Fertiliser_SourceData.Fertiliser_Products_Data3(), FertiliserProducts[[#Headers],[Company]],61)</f>
        <v/>
      </c>
      <c r="U167" s="172" t="str" cm="1">
        <f t="array" ref="U167">Common_InputFunctions.Utility_DisplayArrayInTable(Fertiliser_SourceData.Fertiliser_Products_Data3(), FertiliserProducts[[#Headers],[Company]],61)</f>
        <v/>
      </c>
      <c r="V167" s="172" t="str" cm="1">
        <f t="array" ref="V167">Common_InputFunctions.Utility_DisplayArrayInTable(Fertiliser_SourceData.Fertiliser_Products_Data3(), FertiliserProducts[[#Headers],[Company]],61)</f>
        <v/>
      </c>
      <c r="W167" s="172" t="str" cm="1">
        <f t="array" ref="W167">Common_InputFunctions.Utility_DisplayArrayInTable(Fertiliser_SourceData.Fertiliser_Products_Data3(), FertiliserProducts[[#Headers],[Company]],61)</f>
        <v/>
      </c>
      <c r="X167" s="172" t="str" cm="1">
        <f t="array" ref="X167">Common_InputFunctions.Utility_DisplayArrayInTable(Fertiliser_SourceData.Fertiliser_Products_Data3(), FertiliserProducts[[#Headers],[Company]],61)</f>
        <v/>
      </c>
      <c r="Y167" s="172" t="str" cm="1">
        <f t="array" ref="Y167">Common_InputFunctions.Utility_DisplayArrayInTable(Fertiliser_SourceData.Fertiliser_Products_Data3(), FertiliserProducts[[#Headers],[Company]],61)</f>
        <v/>
      </c>
      <c r="Z167" s="172" t="str" cm="1">
        <f t="array" ref="Z167">Common_InputFunctions.Utility_DisplayArrayInTable(Fertiliser_SourceData.Fertiliser_Products_Data3(), FertiliserProducts[[#Headers],[Company]],61)</f>
        <v/>
      </c>
      <c r="AA167" s="172" t="str" cm="1">
        <f t="array" ref="AA167">Common_InputFunctions.Utility_DisplayArrayInTable(Fertiliser_SourceData.Fertiliser_Products_Data3(), FertiliserProducts[[#Headers],[Company]],61)</f>
        <v/>
      </c>
      <c r="AB167" s="172" t="str" cm="1">
        <f t="array" ref="AB167">Common_InputFunctions.Utility_DisplayArrayInTable(Fertiliser_SourceData.Fertiliser_Products_Data3(), FertiliserProducts[[#Headers],[Company]],61)</f>
        <v/>
      </c>
      <c r="AC167" s="172" t="str" cm="1">
        <f t="array" ref="AC167">Common_InputFunctions.Utility_DisplayArrayInTable(Fertiliser_SourceData.Fertiliser_Products_Data3(), FertiliserProducts[[#Headers],[Company]],61)</f>
        <v/>
      </c>
      <c r="AD167" s="172" t="str" cm="1">
        <f t="array" ref="AD167">Common_InputFunctions.Utility_DisplayArrayInTable(Fertiliser_SourceData.Fertiliser_Products_Data3(), FertiliserProducts[[#Headers],[Company]],61)</f>
        <v/>
      </c>
      <c r="AE167" s="172" t="str" cm="1">
        <f t="array" ref="AE167">Common_InputFunctions.Utility_DisplayArrayInTable(Fertiliser_SourceData.Fertiliser_Products_Data3(), FertiliserProducts[[#Headers],[Company]],61)</f>
        <v/>
      </c>
      <c r="AF167" s="172" t="str" cm="1">
        <f t="array" ref="AF167">Common_InputFunctions.Utility_DisplayArrayInTable(Fertiliser_SourceData.Fertiliser_Products_Data3(), FertiliserProducts[[#Headers],[Company]],61)</f>
        <v/>
      </c>
      <c r="AG167" s="172" t="str" cm="1">
        <f t="array" ref="AG167">Common_InputFunctions.Utility_DisplayArrayInTable(Fertiliser_SourceData.Fertiliser_Products_Data3(), FertiliserProducts[[#Headers],[Company]],61)</f>
        <v/>
      </c>
      <c r="AH167" s="172" t="str" cm="1">
        <f t="array" ref="AH167">Common_InputFunctions.Utility_DisplayArrayInTable(Fertiliser_SourceData.Fertiliser_Products_Data3(), FertiliserProducts[[#Headers],[Company]],61)</f>
        <v/>
      </c>
      <c r="AK167" s="1"/>
    </row>
    <row r="168" spans="4:37" x14ac:dyDescent="0.25">
      <c r="D168" s="172" t="str" cm="1">
        <f t="array" ref="D168">Common_InputFunctions.Utility_DisplayArrayInTable(Fertiliser_SourceData.Fertiliser_Products_Data3(), FertiliserProducts[[#Headers],[Company]],61)</f>
        <v>Campbells fertilisers Australia</v>
      </c>
      <c r="E168" s="172" t="str" cm="1">
        <f t="array" ref="E168">Common_InputFunctions.Utility_DisplayArrayInTable(Fertiliser_SourceData.Fertiliser_Products_Data3(), FertiliserProducts[[#Headers],[Company]],61)</f>
        <v>Quick-N</v>
      </c>
      <c r="F168" s="172" t="str" cm="1">
        <f t="array" ref="F168">Common_InputFunctions.Utility_DisplayArrayInTable(Fertiliser_SourceData.Fertiliser_Products_Data3(), FertiliserProducts[[#Headers],[Company]],61)</f>
        <v>kg</v>
      </c>
      <c r="G168" s="172" cm="1">
        <f t="array" ref="G168">Common_InputFunctions.Utility_DisplayArrayInTable(Fertiliser_SourceData.Fertiliser_Products_Data3(), FertiliserProducts[[#Headers],[Company]],61)</f>
        <v>1</v>
      </c>
      <c r="H168" s="172" t="str" cm="1">
        <f t="array" ref="H168">Common_InputFunctions.Utility_DisplayArrayInTable(Fertiliser_SourceData.Fertiliser_Products_Data3(), FertiliserProducts[[#Headers],[Company]],61)</f>
        <v/>
      </c>
      <c r="I168" s="172" t="str" cm="1">
        <f t="array" ref="I168">Common_InputFunctions.Utility_DisplayArrayInTable(Fertiliser_SourceData.Fertiliser_Products_Data3(), FertiliserProducts[[#Headers],[Company]],61)</f>
        <v/>
      </c>
      <c r="J168" s="172" t="str" cm="1">
        <f t="array" ref="J168">Common_InputFunctions.Utility_DisplayArrayInTable(Fertiliser_SourceData.Fertiliser_Products_Data3(), FertiliserProducts[[#Headers],[Company]],61)</f>
        <v/>
      </c>
      <c r="K168" s="172" cm="1">
        <f t="array" ref="K168">Common_InputFunctions.Utility_DisplayArrayInTable(Fertiliser_SourceData.Fertiliser_Products_Data3(), FertiliserProducts[[#Headers],[Company]],61)</f>
        <v>26</v>
      </c>
      <c r="L168" s="172" t="str" cm="1">
        <f t="array" ref="L168">Common_InputFunctions.Utility_DisplayArrayInTable(Fertiliser_SourceData.Fertiliser_Products_Data3(), FertiliserProducts[[#Headers],[Company]],61)</f>
        <v/>
      </c>
      <c r="M168" s="172" t="str" cm="1">
        <f t="array" ref="M168">Common_InputFunctions.Utility_DisplayArrayInTable(Fertiliser_SourceData.Fertiliser_Products_Data3(), FertiliserProducts[[#Headers],[Company]],61)</f>
        <v/>
      </c>
      <c r="N168" s="172" cm="1">
        <f t="array" ref="N168">Common_InputFunctions.Utility_DisplayArrayInTable(Fertiliser_SourceData.Fertiliser_Products_Data3(), FertiliserProducts[[#Headers],[Company]],61)</f>
        <v>13</v>
      </c>
      <c r="O168" s="172" t="str" cm="1">
        <f t="array" ref="O168">Common_InputFunctions.Utility_DisplayArrayInTable(Fertiliser_SourceData.Fertiliser_Products_Data3(), FertiliserProducts[[#Headers],[Company]],61)</f>
        <v>Sulphate of ammonia (SOA)</v>
      </c>
      <c r="P168" s="172" cm="1">
        <f t="array" ref="P168">Common_InputFunctions.Utility_DisplayArrayInTable(Fertiliser_SourceData.Fertiliser_Products_Data3(), FertiliserProducts[[#Headers],[Company]],61)</f>
        <v>0.54166700000000001</v>
      </c>
      <c r="Q168" s="172" t="str" cm="1">
        <f t="array" ref="Q168">Common_InputFunctions.Utility_DisplayArrayInTable(Fertiliser_SourceData.Fertiliser_Products_Data3(), FertiliserProducts[[#Headers],[Company]],61)</f>
        <v>Ammonium nitrate (AN)</v>
      </c>
      <c r="R168" s="172" cm="1">
        <f t="array" ref="R168">Common_InputFunctions.Utility_DisplayArrayInTable(Fertiliser_SourceData.Fertiliser_Products_Data3(), FertiliserProducts[[#Headers],[Company]],61)</f>
        <v>0.43397599999999997</v>
      </c>
      <c r="S168" s="172" t="str" cm="1">
        <f t="array" ref="S168">Common_InputFunctions.Utility_DisplayArrayInTable(Fertiliser_SourceData.Fertiliser_Products_Data3(), FertiliserProducts[[#Headers],[Company]],61)</f>
        <v/>
      </c>
      <c r="T168" s="172" t="str" cm="1">
        <f t="array" ref="T168">Common_InputFunctions.Utility_DisplayArrayInTable(Fertiliser_SourceData.Fertiliser_Products_Data3(), FertiliserProducts[[#Headers],[Company]],61)</f>
        <v/>
      </c>
      <c r="U168" s="172" t="str" cm="1">
        <f t="array" ref="U168">Common_InputFunctions.Utility_DisplayArrayInTable(Fertiliser_SourceData.Fertiliser_Products_Data3(), FertiliserProducts[[#Headers],[Company]],61)</f>
        <v/>
      </c>
      <c r="V168" s="172" t="str" cm="1">
        <f t="array" ref="V168">Common_InputFunctions.Utility_DisplayArrayInTable(Fertiliser_SourceData.Fertiliser_Products_Data3(), FertiliserProducts[[#Headers],[Company]],61)</f>
        <v/>
      </c>
      <c r="W168" s="172" t="str" cm="1">
        <f t="array" ref="W168">Common_InputFunctions.Utility_DisplayArrayInTable(Fertiliser_SourceData.Fertiliser_Products_Data3(), FertiliserProducts[[#Headers],[Company]],61)</f>
        <v/>
      </c>
      <c r="X168" s="172" t="str" cm="1">
        <f t="array" ref="X168">Common_InputFunctions.Utility_DisplayArrayInTable(Fertiliser_SourceData.Fertiliser_Products_Data3(), FertiliserProducts[[#Headers],[Company]],61)</f>
        <v/>
      </c>
      <c r="Y168" s="172" t="str" cm="1">
        <f t="array" ref="Y168">Common_InputFunctions.Utility_DisplayArrayInTable(Fertiliser_SourceData.Fertiliser_Products_Data3(), FertiliserProducts[[#Headers],[Company]],61)</f>
        <v/>
      </c>
      <c r="Z168" s="172" t="str" cm="1">
        <f t="array" ref="Z168">Common_InputFunctions.Utility_DisplayArrayInTable(Fertiliser_SourceData.Fertiliser_Products_Data3(), FertiliserProducts[[#Headers],[Company]],61)</f>
        <v/>
      </c>
      <c r="AA168" s="172" t="str" cm="1">
        <f t="array" ref="AA168">Common_InputFunctions.Utility_DisplayArrayInTable(Fertiliser_SourceData.Fertiliser_Products_Data3(), FertiliserProducts[[#Headers],[Company]],61)</f>
        <v/>
      </c>
      <c r="AB168" s="172" t="str" cm="1">
        <f t="array" ref="AB168">Common_InputFunctions.Utility_DisplayArrayInTable(Fertiliser_SourceData.Fertiliser_Products_Data3(), FertiliserProducts[[#Headers],[Company]],61)</f>
        <v/>
      </c>
      <c r="AC168" s="172" t="str" cm="1">
        <f t="array" ref="AC168">Common_InputFunctions.Utility_DisplayArrayInTable(Fertiliser_SourceData.Fertiliser_Products_Data3(), FertiliserProducts[[#Headers],[Company]],61)</f>
        <v/>
      </c>
      <c r="AD168" s="172" t="str" cm="1">
        <f t="array" ref="AD168">Common_InputFunctions.Utility_DisplayArrayInTable(Fertiliser_SourceData.Fertiliser_Products_Data3(), FertiliserProducts[[#Headers],[Company]],61)</f>
        <v/>
      </c>
      <c r="AE168" s="172" t="str" cm="1">
        <f t="array" ref="AE168">Common_InputFunctions.Utility_DisplayArrayInTable(Fertiliser_SourceData.Fertiliser_Products_Data3(), FertiliserProducts[[#Headers],[Company]],61)</f>
        <v/>
      </c>
      <c r="AF168" s="172" t="str" cm="1">
        <f t="array" ref="AF168">Common_InputFunctions.Utility_DisplayArrayInTable(Fertiliser_SourceData.Fertiliser_Products_Data3(), FertiliserProducts[[#Headers],[Company]],61)</f>
        <v/>
      </c>
      <c r="AG168" s="172" t="str" cm="1">
        <f t="array" ref="AG168">Common_InputFunctions.Utility_DisplayArrayInTable(Fertiliser_SourceData.Fertiliser_Products_Data3(), FertiliserProducts[[#Headers],[Company]],61)</f>
        <v/>
      </c>
      <c r="AH168" s="172" t="str" cm="1">
        <f t="array" ref="AH168">Common_InputFunctions.Utility_DisplayArrayInTable(Fertiliser_SourceData.Fertiliser_Products_Data3(), FertiliserProducts[[#Headers],[Company]],61)</f>
        <v/>
      </c>
      <c r="AK168" s="1"/>
    </row>
    <row r="169" spans="4:37" x14ac:dyDescent="0.25">
      <c r="D169" s="172" t="str" cm="1">
        <f t="array" ref="D169">Common_InputFunctions.Utility_DisplayArrayInTable(Fertiliser_SourceData.Fertiliser_Products_Data3(), FertiliserProducts[[#Headers],[Company]],61)</f>
        <v>SLTEC Fertilizers</v>
      </c>
      <c r="E169" s="172" t="str" cm="1">
        <f t="array" ref="E169">Common_InputFunctions.Utility_DisplayArrayInTable(Fertiliser_SourceData.Fertiliser_Products_Data3(), FertiliserProducts[[#Headers],[Company]],61)</f>
        <v>UAS</v>
      </c>
      <c r="F169" s="172" t="str" cm="1">
        <f t="array" ref="F169">Common_InputFunctions.Utility_DisplayArrayInTable(Fertiliser_SourceData.Fertiliser_Products_Data3(), FertiliserProducts[[#Headers],[Company]],61)</f>
        <v>L</v>
      </c>
      <c r="G169" s="172" cm="1">
        <f t="array" ref="G169">Common_InputFunctions.Utility_DisplayArrayInTable(Fertiliser_SourceData.Fertiliser_Products_Data3(), FertiliserProducts[[#Headers],[Company]],61)</f>
        <v>1.2350000000000001</v>
      </c>
      <c r="H169" s="172" t="str" cm="1">
        <f t="array" ref="H169">Common_InputFunctions.Utility_DisplayArrayInTable(Fertiliser_SourceData.Fertiliser_Products_Data3(), FertiliserProducts[[#Headers],[Company]],61)</f>
        <v/>
      </c>
      <c r="I169" s="172" t="str" cm="1">
        <f t="array" ref="I169">Common_InputFunctions.Utility_DisplayArrayInTable(Fertiliser_SourceData.Fertiliser_Products_Data3(), FertiliserProducts[[#Headers],[Company]],61)</f>
        <v/>
      </c>
      <c r="J169" s="172" t="str" cm="1">
        <f t="array" ref="J169">Common_InputFunctions.Utility_DisplayArrayInTable(Fertiliser_SourceData.Fertiliser_Products_Data3(), FertiliserProducts[[#Headers],[Company]],61)</f>
        <v/>
      </c>
      <c r="K169" s="172" cm="1">
        <f t="array" ref="K169">Common_InputFunctions.Utility_DisplayArrayInTable(Fertiliser_SourceData.Fertiliser_Products_Data3(), FertiliserProducts[[#Headers],[Company]],61)</f>
        <v>26.6</v>
      </c>
      <c r="L169" s="172" t="str" cm="1">
        <f t="array" ref="L169">Common_InputFunctions.Utility_DisplayArrayInTable(Fertiliser_SourceData.Fertiliser_Products_Data3(), FertiliserProducts[[#Headers],[Company]],61)</f>
        <v/>
      </c>
      <c r="M169" s="172" t="str" cm="1">
        <f t="array" ref="M169">Common_InputFunctions.Utility_DisplayArrayInTable(Fertiliser_SourceData.Fertiliser_Products_Data3(), FertiliserProducts[[#Headers],[Company]],61)</f>
        <v/>
      </c>
      <c r="N169" s="172" cm="1">
        <f t="array" ref="N169">Common_InputFunctions.Utility_DisplayArrayInTable(Fertiliser_SourceData.Fertiliser_Products_Data3(), FertiliserProducts[[#Headers],[Company]],61)</f>
        <v>6.7</v>
      </c>
      <c r="O169" s="172" t="str" cm="1">
        <f t="array" ref="O169">Common_InputFunctions.Utility_DisplayArrayInTable(Fertiliser_SourceData.Fertiliser_Products_Data3(), FertiliserProducts[[#Headers],[Company]],61)</f>
        <v>Urea</v>
      </c>
      <c r="P169" s="172" cm="1">
        <f t="array" ref="P169">Common_InputFunctions.Utility_DisplayArrayInTable(Fertiliser_SourceData.Fertiliser_Products_Data3(), FertiliserProducts[[#Headers],[Company]],61)</f>
        <v>0.45081500000000002</v>
      </c>
      <c r="Q169" s="172" t="str" cm="1">
        <f t="array" ref="Q169">Common_InputFunctions.Utility_DisplayArrayInTable(Fertiliser_SourceData.Fertiliser_Products_Data3(), FertiliserProducts[[#Headers],[Company]],61)</f>
        <v>Sulphate of ammonia (SOA)</v>
      </c>
      <c r="R169" s="172" cm="1">
        <f t="array" ref="R169">Common_InputFunctions.Utility_DisplayArrayInTable(Fertiliser_SourceData.Fertiliser_Products_Data3(), FertiliserProducts[[#Headers],[Company]],61)</f>
        <v>0.279167</v>
      </c>
      <c r="S169" s="172" t="str" cm="1">
        <f t="array" ref="S169">Common_InputFunctions.Utility_DisplayArrayInTable(Fertiliser_SourceData.Fertiliser_Products_Data3(), FertiliserProducts[[#Headers],[Company]],61)</f>
        <v/>
      </c>
      <c r="T169" s="172" t="str" cm="1">
        <f t="array" ref="T169">Common_InputFunctions.Utility_DisplayArrayInTable(Fertiliser_SourceData.Fertiliser_Products_Data3(), FertiliserProducts[[#Headers],[Company]],61)</f>
        <v/>
      </c>
      <c r="U169" s="172" t="str" cm="1">
        <f t="array" ref="U169">Common_InputFunctions.Utility_DisplayArrayInTable(Fertiliser_SourceData.Fertiliser_Products_Data3(), FertiliserProducts[[#Headers],[Company]],61)</f>
        <v/>
      </c>
      <c r="V169" s="172" t="str" cm="1">
        <f t="array" ref="V169">Common_InputFunctions.Utility_DisplayArrayInTable(Fertiliser_SourceData.Fertiliser_Products_Data3(), FertiliserProducts[[#Headers],[Company]],61)</f>
        <v/>
      </c>
      <c r="W169" s="172" t="str" cm="1">
        <f t="array" ref="W169">Common_InputFunctions.Utility_DisplayArrayInTable(Fertiliser_SourceData.Fertiliser_Products_Data3(), FertiliserProducts[[#Headers],[Company]],61)</f>
        <v/>
      </c>
      <c r="X169" s="172" t="str" cm="1">
        <f t="array" ref="X169">Common_InputFunctions.Utility_DisplayArrayInTable(Fertiliser_SourceData.Fertiliser_Products_Data3(), FertiliserProducts[[#Headers],[Company]],61)</f>
        <v/>
      </c>
      <c r="Y169" s="172" t="str" cm="1">
        <f t="array" ref="Y169">Common_InputFunctions.Utility_DisplayArrayInTable(Fertiliser_SourceData.Fertiliser_Products_Data3(), FertiliserProducts[[#Headers],[Company]],61)</f>
        <v/>
      </c>
      <c r="Z169" s="172" t="str" cm="1">
        <f t="array" ref="Z169">Common_InputFunctions.Utility_DisplayArrayInTable(Fertiliser_SourceData.Fertiliser_Products_Data3(), FertiliserProducts[[#Headers],[Company]],61)</f>
        <v/>
      </c>
      <c r="AA169" s="172" t="str" cm="1">
        <f t="array" ref="AA169">Common_InputFunctions.Utility_DisplayArrayInTable(Fertiliser_SourceData.Fertiliser_Products_Data3(), FertiliserProducts[[#Headers],[Company]],61)</f>
        <v/>
      </c>
      <c r="AB169" s="172" t="str" cm="1">
        <f t="array" ref="AB169">Common_InputFunctions.Utility_DisplayArrayInTable(Fertiliser_SourceData.Fertiliser_Products_Data3(), FertiliserProducts[[#Headers],[Company]],61)</f>
        <v/>
      </c>
      <c r="AC169" s="172" t="str" cm="1">
        <f t="array" ref="AC169">Common_InputFunctions.Utility_DisplayArrayInTable(Fertiliser_SourceData.Fertiliser_Products_Data3(), FertiliserProducts[[#Headers],[Company]],61)</f>
        <v/>
      </c>
      <c r="AD169" s="172" t="str" cm="1">
        <f t="array" ref="AD169">Common_InputFunctions.Utility_DisplayArrayInTable(Fertiliser_SourceData.Fertiliser_Products_Data3(), FertiliserProducts[[#Headers],[Company]],61)</f>
        <v/>
      </c>
      <c r="AE169" s="172" t="str" cm="1">
        <f t="array" ref="AE169">Common_InputFunctions.Utility_DisplayArrayInTable(Fertiliser_SourceData.Fertiliser_Products_Data3(), FertiliserProducts[[#Headers],[Company]],61)</f>
        <v/>
      </c>
      <c r="AF169" s="172" t="str" cm="1">
        <f t="array" ref="AF169">Common_InputFunctions.Utility_DisplayArrayInTable(Fertiliser_SourceData.Fertiliser_Products_Data3(), FertiliserProducts[[#Headers],[Company]],61)</f>
        <v/>
      </c>
      <c r="AG169" s="172" t="str" cm="1">
        <f t="array" ref="AG169">Common_InputFunctions.Utility_DisplayArrayInTable(Fertiliser_SourceData.Fertiliser_Products_Data3(), FertiliserProducts[[#Headers],[Company]],61)</f>
        <v/>
      </c>
      <c r="AH169" s="172" t="str" cm="1">
        <f t="array" ref="AH169">Common_InputFunctions.Utility_DisplayArrayInTable(Fertiliser_SourceData.Fertiliser_Products_Data3(), FertiliserProducts[[#Headers],[Company]],61)</f>
        <v/>
      </c>
      <c r="AK169" s="1"/>
    </row>
    <row r="170" spans="4:37" x14ac:dyDescent="0.25">
      <c r="D170" s="172" t="str" cm="1">
        <f t="array" ref="D170">Common_InputFunctions.Utility_DisplayArrayInTable(Fertiliser_SourceData.Fertiliser_Products_Data3(), FertiliserProducts[[#Headers],[Company]],61)</f>
        <v>SLTEC Fertilizers</v>
      </c>
      <c r="E170" s="172" t="str" cm="1">
        <f t="array" ref="E170">Common_InputFunctions.Utility_DisplayArrayInTable(Fertiliser_SourceData.Fertiliser_Products_Data3(), FertiliserProducts[[#Headers],[Company]],61)</f>
        <v>Triazone Urea</v>
      </c>
      <c r="F170" s="172" t="str" cm="1">
        <f t="array" ref="F170">Common_InputFunctions.Utility_DisplayArrayInTable(Fertiliser_SourceData.Fertiliser_Products_Data3(), FertiliserProducts[[#Headers],[Company]],61)</f>
        <v>L</v>
      </c>
      <c r="G170" s="172" cm="1">
        <f t="array" ref="G170">Common_InputFunctions.Utility_DisplayArrayInTable(Fertiliser_SourceData.Fertiliser_Products_Data3(), FertiliserProducts[[#Headers],[Company]],61)</f>
        <v>1.28</v>
      </c>
      <c r="H170" s="172" t="str" cm="1">
        <f t="array" ref="H170">Common_InputFunctions.Utility_DisplayArrayInTable(Fertiliser_SourceData.Fertiliser_Products_Data3(), FertiliserProducts[[#Headers],[Company]],61)</f>
        <v/>
      </c>
      <c r="I170" s="172" t="str" cm="1">
        <f t="array" ref="I170">Common_InputFunctions.Utility_DisplayArrayInTable(Fertiliser_SourceData.Fertiliser_Products_Data3(), FertiliserProducts[[#Headers],[Company]],61)</f>
        <v/>
      </c>
      <c r="J170" s="172" t="str" cm="1">
        <f t="array" ref="J170">Common_InputFunctions.Utility_DisplayArrayInTable(Fertiliser_SourceData.Fertiliser_Products_Data3(), FertiliserProducts[[#Headers],[Company]],61)</f>
        <v/>
      </c>
      <c r="K170" s="172" cm="1">
        <f t="array" ref="K170">Common_InputFunctions.Utility_DisplayArrayInTable(Fertiliser_SourceData.Fertiliser_Products_Data3(), FertiliserProducts[[#Headers],[Company]],61)</f>
        <v>0</v>
      </c>
      <c r="L170" s="172" t="str" cm="1">
        <f t="array" ref="L170">Common_InputFunctions.Utility_DisplayArrayInTable(Fertiliser_SourceData.Fertiliser_Products_Data3(), FertiliserProducts[[#Headers],[Company]],61)</f>
        <v/>
      </c>
      <c r="M170" s="172" t="str" cm="1">
        <f t="array" ref="M170">Common_InputFunctions.Utility_DisplayArrayInTable(Fertiliser_SourceData.Fertiliser_Products_Data3(), FertiliserProducts[[#Headers],[Company]],61)</f>
        <v/>
      </c>
      <c r="N170" s="172" t="str" cm="1">
        <f t="array" ref="N170">Common_InputFunctions.Utility_DisplayArrayInTable(Fertiliser_SourceData.Fertiliser_Products_Data3(), FertiliserProducts[[#Headers],[Company]],61)</f>
        <v/>
      </c>
      <c r="O170" s="172" t="str" cm="1">
        <f t="array" ref="O170">Common_InputFunctions.Utility_DisplayArrayInTable(Fertiliser_SourceData.Fertiliser_Products_Data3(), FertiliserProducts[[#Headers],[Company]],61)</f>
        <v>Urea</v>
      </c>
      <c r="P170" s="172" cm="1">
        <f t="array" ref="P170">Common_InputFunctions.Utility_DisplayArrayInTable(Fertiliser_SourceData.Fertiliser_Products_Data3(), FertiliserProducts[[#Headers],[Company]],61)</f>
        <v>0.65217400000000003</v>
      </c>
      <c r="Q170" s="172" t="str" cm="1">
        <f t="array" ref="Q170">Common_InputFunctions.Utility_DisplayArrayInTable(Fertiliser_SourceData.Fertiliser_Products_Data3(), FertiliserProducts[[#Headers],[Company]],61)</f>
        <v/>
      </c>
      <c r="R170" s="172" t="str" cm="1">
        <f t="array" ref="R170">Common_InputFunctions.Utility_DisplayArrayInTable(Fertiliser_SourceData.Fertiliser_Products_Data3(), FertiliserProducts[[#Headers],[Company]],61)</f>
        <v/>
      </c>
      <c r="S170" s="172" t="str" cm="1">
        <f t="array" ref="S170">Common_InputFunctions.Utility_DisplayArrayInTable(Fertiliser_SourceData.Fertiliser_Products_Data3(), FertiliserProducts[[#Headers],[Company]],61)</f>
        <v/>
      </c>
      <c r="T170" s="172" t="str" cm="1">
        <f t="array" ref="T170">Common_InputFunctions.Utility_DisplayArrayInTable(Fertiliser_SourceData.Fertiliser_Products_Data3(), FertiliserProducts[[#Headers],[Company]],61)</f>
        <v/>
      </c>
      <c r="U170" s="172" t="str" cm="1">
        <f t="array" ref="U170">Common_InputFunctions.Utility_DisplayArrayInTable(Fertiliser_SourceData.Fertiliser_Products_Data3(), FertiliserProducts[[#Headers],[Company]],61)</f>
        <v/>
      </c>
      <c r="V170" s="172" t="str" cm="1">
        <f t="array" ref="V170">Common_InputFunctions.Utility_DisplayArrayInTable(Fertiliser_SourceData.Fertiliser_Products_Data3(), FertiliserProducts[[#Headers],[Company]],61)</f>
        <v/>
      </c>
      <c r="W170" s="172" t="str" cm="1">
        <f t="array" ref="W170">Common_InputFunctions.Utility_DisplayArrayInTable(Fertiliser_SourceData.Fertiliser_Products_Data3(), FertiliserProducts[[#Headers],[Company]],61)</f>
        <v/>
      </c>
      <c r="X170" s="172" t="str" cm="1">
        <f t="array" ref="X170">Common_InputFunctions.Utility_DisplayArrayInTable(Fertiliser_SourceData.Fertiliser_Products_Data3(), FertiliserProducts[[#Headers],[Company]],61)</f>
        <v/>
      </c>
      <c r="Y170" s="172" t="str" cm="1">
        <f t="array" ref="Y170">Common_InputFunctions.Utility_DisplayArrayInTable(Fertiliser_SourceData.Fertiliser_Products_Data3(), FertiliserProducts[[#Headers],[Company]],61)</f>
        <v/>
      </c>
      <c r="Z170" s="172" t="str" cm="1">
        <f t="array" ref="Z170">Common_InputFunctions.Utility_DisplayArrayInTable(Fertiliser_SourceData.Fertiliser_Products_Data3(), FertiliserProducts[[#Headers],[Company]],61)</f>
        <v/>
      </c>
      <c r="AA170" s="172" t="str" cm="1">
        <f t="array" ref="AA170">Common_InputFunctions.Utility_DisplayArrayInTable(Fertiliser_SourceData.Fertiliser_Products_Data3(), FertiliserProducts[[#Headers],[Company]],61)</f>
        <v/>
      </c>
      <c r="AB170" s="172" t="str" cm="1">
        <f t="array" ref="AB170">Common_InputFunctions.Utility_DisplayArrayInTable(Fertiliser_SourceData.Fertiliser_Products_Data3(), FertiliserProducts[[#Headers],[Company]],61)</f>
        <v/>
      </c>
      <c r="AC170" s="172" t="str" cm="1">
        <f t="array" ref="AC170">Common_InputFunctions.Utility_DisplayArrayInTable(Fertiliser_SourceData.Fertiliser_Products_Data3(), FertiliserProducts[[#Headers],[Company]],61)</f>
        <v/>
      </c>
      <c r="AD170" s="172" t="str" cm="1">
        <f t="array" ref="AD170">Common_InputFunctions.Utility_DisplayArrayInTable(Fertiliser_SourceData.Fertiliser_Products_Data3(), FertiliserProducts[[#Headers],[Company]],61)</f>
        <v/>
      </c>
      <c r="AE170" s="172" t="str" cm="1">
        <f t="array" ref="AE170">Common_InputFunctions.Utility_DisplayArrayInTable(Fertiliser_SourceData.Fertiliser_Products_Data3(), FertiliserProducts[[#Headers],[Company]],61)</f>
        <v/>
      </c>
      <c r="AF170" s="172" t="str" cm="1">
        <f t="array" ref="AF170">Common_InputFunctions.Utility_DisplayArrayInTable(Fertiliser_SourceData.Fertiliser_Products_Data3(), FertiliserProducts[[#Headers],[Company]],61)</f>
        <v/>
      </c>
      <c r="AG170" s="172" t="str" cm="1">
        <f t="array" ref="AG170">Common_InputFunctions.Utility_DisplayArrayInTable(Fertiliser_SourceData.Fertiliser_Products_Data3(), FertiliserProducts[[#Headers],[Company]],61)</f>
        <v/>
      </c>
      <c r="AH170" s="172" t="str" cm="1">
        <f t="array" ref="AH170">Common_InputFunctions.Utility_DisplayArrayInTable(Fertiliser_SourceData.Fertiliser_Products_Data3(), FertiliserProducts[[#Headers],[Company]],61)</f>
        <v/>
      </c>
      <c r="AK170" s="1"/>
    </row>
    <row r="171" spans="4:37" x14ac:dyDescent="0.25">
      <c r="D171" s="172" t="str" cm="1">
        <f t="array" ref="D171">Common_InputFunctions.Utility_DisplayArrayInTable(Fertiliser_SourceData.Fertiliser_Products_Data3(), FertiliserProducts[[#Headers],[Company]],61)</f>
        <v>Marnco [listed as SLTEC]</v>
      </c>
      <c r="E171" s="172" t="str" cm="1">
        <f t="array" ref="E171">Common_InputFunctions.Utility_DisplayArrayInTable(Fertiliser_SourceData.Fertiliser_Products_Data3(), FertiliserProducts[[#Headers],[Company]],61)</f>
        <v>Ammo 36N</v>
      </c>
      <c r="F171" s="172" t="str" cm="1">
        <f t="array" ref="F171">Common_InputFunctions.Utility_DisplayArrayInTable(Fertiliser_SourceData.Fertiliser_Products_Data3(), FertiliserProducts[[#Headers],[Company]],61)</f>
        <v>kg</v>
      </c>
      <c r="G171" s="172" cm="1">
        <f t="array" ref="G171">Common_InputFunctions.Utility_DisplayArrayInTable(Fertiliser_SourceData.Fertiliser_Products_Data3(), FertiliserProducts[[#Headers],[Company]],61)</f>
        <v>1</v>
      </c>
      <c r="H171" s="172" t="str" cm="1">
        <f t="array" ref="H171">Common_InputFunctions.Utility_DisplayArrayInTable(Fertiliser_SourceData.Fertiliser_Products_Data3(), FertiliserProducts[[#Headers],[Company]],61)</f>
        <v/>
      </c>
      <c r="I171" s="172" t="str" cm="1">
        <f t="array" ref="I171">Common_InputFunctions.Utility_DisplayArrayInTable(Fertiliser_SourceData.Fertiliser_Products_Data3(), FertiliserProducts[[#Headers],[Company]],61)</f>
        <v/>
      </c>
      <c r="J171" s="172" t="str" cm="1">
        <f t="array" ref="J171">Common_InputFunctions.Utility_DisplayArrayInTable(Fertiliser_SourceData.Fertiliser_Products_Data3(), FertiliserProducts[[#Headers],[Company]],61)</f>
        <v/>
      </c>
      <c r="K171" s="172" cm="1">
        <f t="array" ref="K171">Common_InputFunctions.Utility_DisplayArrayInTable(Fertiliser_SourceData.Fertiliser_Products_Data3(), FertiliserProducts[[#Headers],[Company]],61)</f>
        <v>36</v>
      </c>
      <c r="L171" s="172" t="str" cm="1">
        <f t="array" ref="L171">Common_InputFunctions.Utility_DisplayArrayInTable(Fertiliser_SourceData.Fertiliser_Products_Data3(), FertiliserProducts[[#Headers],[Company]],61)</f>
        <v/>
      </c>
      <c r="M171" s="172" t="str" cm="1">
        <f t="array" ref="M171">Common_InputFunctions.Utility_DisplayArrayInTable(Fertiliser_SourceData.Fertiliser_Products_Data3(), FertiliserProducts[[#Headers],[Company]],61)</f>
        <v/>
      </c>
      <c r="N171" s="172" cm="1">
        <f t="array" ref="N171">Common_InputFunctions.Utility_DisplayArrayInTable(Fertiliser_SourceData.Fertiliser_Products_Data3(), FertiliserProducts[[#Headers],[Company]],61)</f>
        <v>9.6</v>
      </c>
      <c r="O171" s="172" t="str" cm="1">
        <f t="array" ref="O171">Common_InputFunctions.Utility_DisplayArrayInTable(Fertiliser_SourceData.Fertiliser_Products_Data3(), FertiliserProducts[[#Headers],[Company]],61)</f>
        <v>Nitrogen - Generic</v>
      </c>
      <c r="P171" s="172" cm="1">
        <f t="array" ref="P171">Common_InputFunctions.Utility_DisplayArrayInTable(Fertiliser_SourceData.Fertiliser_Products_Data3(), FertiliserProducts[[#Headers],[Company]],61)</f>
        <v>0.36</v>
      </c>
      <c r="Q171" s="172" t="str" cm="1">
        <f t="array" ref="Q171">Common_InputFunctions.Utility_DisplayArrayInTable(Fertiliser_SourceData.Fertiliser_Products_Data3(), FertiliserProducts[[#Headers],[Company]],61)</f>
        <v>Sulfur - Generic</v>
      </c>
      <c r="R171" s="172" cm="1">
        <f t="array" ref="R171">Common_InputFunctions.Utility_DisplayArrayInTable(Fertiliser_SourceData.Fertiliser_Products_Data3(), FertiliserProducts[[#Headers],[Company]],61)</f>
        <v>9.6000000000000002E-2</v>
      </c>
      <c r="S171" s="172" t="str" cm="1">
        <f t="array" ref="S171">Common_InputFunctions.Utility_DisplayArrayInTable(Fertiliser_SourceData.Fertiliser_Products_Data3(), FertiliserProducts[[#Headers],[Company]],61)</f>
        <v/>
      </c>
      <c r="T171" s="172" t="str" cm="1">
        <f t="array" ref="T171">Common_InputFunctions.Utility_DisplayArrayInTable(Fertiliser_SourceData.Fertiliser_Products_Data3(), FertiliserProducts[[#Headers],[Company]],61)</f>
        <v/>
      </c>
      <c r="U171" s="172" t="str" cm="1">
        <f t="array" ref="U171">Common_InputFunctions.Utility_DisplayArrayInTable(Fertiliser_SourceData.Fertiliser_Products_Data3(), FertiliserProducts[[#Headers],[Company]],61)</f>
        <v/>
      </c>
      <c r="V171" s="172" t="str" cm="1">
        <f t="array" ref="V171">Common_InputFunctions.Utility_DisplayArrayInTable(Fertiliser_SourceData.Fertiliser_Products_Data3(), FertiliserProducts[[#Headers],[Company]],61)</f>
        <v/>
      </c>
      <c r="W171" s="172" t="str" cm="1">
        <f t="array" ref="W171">Common_InputFunctions.Utility_DisplayArrayInTable(Fertiliser_SourceData.Fertiliser_Products_Data3(), FertiliserProducts[[#Headers],[Company]],61)</f>
        <v/>
      </c>
      <c r="X171" s="172" t="str" cm="1">
        <f t="array" ref="X171">Common_InputFunctions.Utility_DisplayArrayInTable(Fertiliser_SourceData.Fertiliser_Products_Data3(), FertiliserProducts[[#Headers],[Company]],61)</f>
        <v/>
      </c>
      <c r="Y171" s="172" t="str" cm="1">
        <f t="array" ref="Y171">Common_InputFunctions.Utility_DisplayArrayInTable(Fertiliser_SourceData.Fertiliser_Products_Data3(), FertiliserProducts[[#Headers],[Company]],61)</f>
        <v/>
      </c>
      <c r="Z171" s="172" t="str" cm="1">
        <f t="array" ref="Z171">Common_InputFunctions.Utility_DisplayArrayInTable(Fertiliser_SourceData.Fertiliser_Products_Data3(), FertiliserProducts[[#Headers],[Company]],61)</f>
        <v/>
      </c>
      <c r="AA171" s="172" t="str" cm="1">
        <f t="array" ref="AA171">Common_InputFunctions.Utility_DisplayArrayInTable(Fertiliser_SourceData.Fertiliser_Products_Data3(), FertiliserProducts[[#Headers],[Company]],61)</f>
        <v/>
      </c>
      <c r="AB171" s="172" t="str" cm="1">
        <f t="array" ref="AB171">Common_InputFunctions.Utility_DisplayArrayInTable(Fertiliser_SourceData.Fertiliser_Products_Data3(), FertiliserProducts[[#Headers],[Company]],61)</f>
        <v/>
      </c>
      <c r="AC171" s="172" t="str" cm="1">
        <f t="array" ref="AC171">Common_InputFunctions.Utility_DisplayArrayInTable(Fertiliser_SourceData.Fertiliser_Products_Data3(), FertiliserProducts[[#Headers],[Company]],61)</f>
        <v/>
      </c>
      <c r="AD171" s="172" t="str" cm="1">
        <f t="array" ref="AD171">Common_InputFunctions.Utility_DisplayArrayInTable(Fertiliser_SourceData.Fertiliser_Products_Data3(), FertiliserProducts[[#Headers],[Company]],61)</f>
        <v/>
      </c>
      <c r="AE171" s="172" t="str" cm="1">
        <f t="array" ref="AE171">Common_InputFunctions.Utility_DisplayArrayInTable(Fertiliser_SourceData.Fertiliser_Products_Data3(), FertiliserProducts[[#Headers],[Company]],61)</f>
        <v/>
      </c>
      <c r="AF171" s="172" t="str" cm="1">
        <f t="array" ref="AF171">Common_InputFunctions.Utility_DisplayArrayInTable(Fertiliser_SourceData.Fertiliser_Products_Data3(), FertiliserProducts[[#Headers],[Company]],61)</f>
        <v/>
      </c>
      <c r="AG171" s="172" t="str" cm="1">
        <f t="array" ref="AG171">Common_InputFunctions.Utility_DisplayArrayInTable(Fertiliser_SourceData.Fertiliser_Products_Data3(), FertiliserProducts[[#Headers],[Company]],61)</f>
        <v/>
      </c>
      <c r="AH171" s="172" t="str" cm="1">
        <f t="array" ref="AH171">Common_InputFunctions.Utility_DisplayArrayInTable(Fertiliser_SourceData.Fertiliser_Products_Data3(), FertiliserProducts[[#Headers],[Company]],61)</f>
        <v/>
      </c>
      <c r="AK171" s="1"/>
    </row>
    <row r="172" spans="4:37" x14ac:dyDescent="0.25">
      <c r="D172" s="172" t="str" cm="1">
        <f t="array" ref="D172">Common_InputFunctions.Utility_DisplayArrayInTable(Fertiliser_SourceData.Fertiliser_Products_Data3(), FertiliserProducts[[#Headers],[Company]],61)</f>
        <v>Risso-Chemical</v>
      </c>
      <c r="E172" s="172" t="str" cm="1">
        <f t="array" ref="E172">Common_InputFunctions.Utility_DisplayArrayInTable(Fertiliser_SourceData.Fertiliser_Products_Data3(), FertiliserProducts[[#Headers],[Company]],61)</f>
        <v>Risso Liquid NPK (200-200-200)</v>
      </c>
      <c r="F172" s="172" t="str" cm="1">
        <f t="array" ref="F172">Common_InputFunctions.Utility_DisplayArrayInTable(Fertiliser_SourceData.Fertiliser_Products_Data3(), FertiliserProducts[[#Headers],[Company]],61)</f>
        <v>L</v>
      </c>
      <c r="G172" s="172" cm="1">
        <f t="array" ref="G172">Common_InputFunctions.Utility_DisplayArrayInTable(Fertiliser_SourceData.Fertiliser_Products_Data3(), FertiliserProducts[[#Headers],[Company]],61)</f>
        <v>1.3</v>
      </c>
      <c r="H172" s="172" t="str" cm="1">
        <f t="array" ref="H172">Common_InputFunctions.Utility_DisplayArrayInTable(Fertiliser_SourceData.Fertiliser_Products_Data3(), FertiliserProducts[[#Headers],[Company]],61)</f>
        <v/>
      </c>
      <c r="I172" s="172" t="str" cm="1">
        <f t="array" ref="I172">Common_InputFunctions.Utility_DisplayArrayInTable(Fertiliser_SourceData.Fertiliser_Products_Data3(), FertiliserProducts[[#Headers],[Company]],61)</f>
        <v/>
      </c>
      <c r="J172" s="172" t="str" cm="1">
        <f t="array" ref="J172">Common_InputFunctions.Utility_DisplayArrayInTable(Fertiliser_SourceData.Fertiliser_Products_Data3(), FertiliserProducts[[#Headers],[Company]],61)</f>
        <v/>
      </c>
      <c r="K172" s="172" cm="1">
        <f t="array" ref="K172">Common_InputFunctions.Utility_DisplayArrayInTable(Fertiliser_SourceData.Fertiliser_Products_Data3(), FertiliserProducts[[#Headers],[Company]],61)</f>
        <v>20</v>
      </c>
      <c r="L172" s="172" cm="1">
        <f t="array" ref="L172">Common_InputFunctions.Utility_DisplayArrayInTable(Fertiliser_SourceData.Fertiliser_Products_Data3(), FertiliserProducts[[#Headers],[Company]],61)</f>
        <v>8.73</v>
      </c>
      <c r="M172" s="172" cm="1">
        <f t="array" ref="M172">Common_InputFunctions.Utility_DisplayArrayInTable(Fertiliser_SourceData.Fertiliser_Products_Data3(), FertiliserProducts[[#Headers],[Company]],61)</f>
        <v>16.600000000000001</v>
      </c>
      <c r="N172" s="172" t="str" cm="1">
        <f t="array" ref="N172">Common_InputFunctions.Utility_DisplayArrayInTable(Fertiliser_SourceData.Fertiliser_Products_Data3(), FertiliserProducts[[#Headers],[Company]],61)</f>
        <v/>
      </c>
      <c r="O172" s="172" t="str" cm="1">
        <f t="array" ref="O172">Common_InputFunctions.Utility_DisplayArrayInTable(Fertiliser_SourceData.Fertiliser_Products_Data3(), FertiliserProducts[[#Headers],[Company]],61)</f>
        <v>Nitrogen - Generic</v>
      </c>
      <c r="P172" s="172" cm="1">
        <f t="array" ref="P172">Common_InputFunctions.Utility_DisplayArrayInTable(Fertiliser_SourceData.Fertiliser_Products_Data3(), FertiliserProducts[[#Headers],[Company]],61)</f>
        <v>0.2</v>
      </c>
      <c r="Q172" s="172" t="str" cm="1">
        <f t="array" ref="Q172">Common_InputFunctions.Utility_DisplayArrayInTable(Fertiliser_SourceData.Fertiliser_Products_Data3(), FertiliserProducts[[#Headers],[Company]],61)</f>
        <v>Phosphorus - Generic</v>
      </c>
      <c r="R172" s="172" cm="1">
        <f t="array" ref="R172">Common_InputFunctions.Utility_DisplayArrayInTable(Fertiliser_SourceData.Fertiliser_Products_Data3(), FertiliserProducts[[#Headers],[Company]],61)</f>
        <v>8.7279999999999996E-2</v>
      </c>
      <c r="S172" s="172" t="str" cm="1">
        <f t="array" ref="S172">Common_InputFunctions.Utility_DisplayArrayInTable(Fertiliser_SourceData.Fertiliser_Products_Data3(), FertiliserProducts[[#Headers],[Company]],61)</f>
        <v>Potassium - Generic</v>
      </c>
      <c r="T172" s="172" cm="1">
        <f t="array" ref="T172">Common_InputFunctions.Utility_DisplayArrayInTable(Fertiliser_SourceData.Fertiliser_Products_Data3(), FertiliserProducts[[#Headers],[Company]],61)</f>
        <v>0.16602</v>
      </c>
      <c r="U172" s="172" t="str" cm="1">
        <f t="array" ref="U172">Common_InputFunctions.Utility_DisplayArrayInTable(Fertiliser_SourceData.Fertiliser_Products_Data3(), FertiliserProducts[[#Headers],[Company]],61)</f>
        <v/>
      </c>
      <c r="V172" s="172" t="str" cm="1">
        <f t="array" ref="V172">Common_InputFunctions.Utility_DisplayArrayInTable(Fertiliser_SourceData.Fertiliser_Products_Data3(), FertiliserProducts[[#Headers],[Company]],61)</f>
        <v/>
      </c>
      <c r="W172" s="172" t="str" cm="1">
        <f t="array" ref="W172">Common_InputFunctions.Utility_DisplayArrayInTable(Fertiliser_SourceData.Fertiliser_Products_Data3(), FertiliserProducts[[#Headers],[Company]],61)</f>
        <v/>
      </c>
      <c r="X172" s="172" t="str" cm="1">
        <f t="array" ref="X172">Common_InputFunctions.Utility_DisplayArrayInTable(Fertiliser_SourceData.Fertiliser_Products_Data3(), FertiliserProducts[[#Headers],[Company]],61)</f>
        <v/>
      </c>
      <c r="Y172" s="172" t="str" cm="1">
        <f t="array" ref="Y172">Common_InputFunctions.Utility_DisplayArrayInTable(Fertiliser_SourceData.Fertiliser_Products_Data3(), FertiliserProducts[[#Headers],[Company]],61)</f>
        <v/>
      </c>
      <c r="Z172" s="172" t="str" cm="1">
        <f t="array" ref="Z172">Common_InputFunctions.Utility_DisplayArrayInTable(Fertiliser_SourceData.Fertiliser_Products_Data3(), FertiliserProducts[[#Headers],[Company]],61)</f>
        <v/>
      </c>
      <c r="AA172" s="172" t="str" cm="1">
        <f t="array" ref="AA172">Common_InputFunctions.Utility_DisplayArrayInTable(Fertiliser_SourceData.Fertiliser_Products_Data3(), FertiliserProducts[[#Headers],[Company]],61)</f>
        <v/>
      </c>
      <c r="AB172" s="172" t="str" cm="1">
        <f t="array" ref="AB172">Common_InputFunctions.Utility_DisplayArrayInTable(Fertiliser_SourceData.Fertiliser_Products_Data3(), FertiliserProducts[[#Headers],[Company]],61)</f>
        <v/>
      </c>
      <c r="AC172" s="172" t="str" cm="1">
        <f t="array" ref="AC172">Common_InputFunctions.Utility_DisplayArrayInTable(Fertiliser_SourceData.Fertiliser_Products_Data3(), FertiliserProducts[[#Headers],[Company]],61)</f>
        <v/>
      </c>
      <c r="AD172" s="172" t="str" cm="1">
        <f t="array" ref="AD172">Common_InputFunctions.Utility_DisplayArrayInTable(Fertiliser_SourceData.Fertiliser_Products_Data3(), FertiliserProducts[[#Headers],[Company]],61)</f>
        <v/>
      </c>
      <c r="AE172" s="172" t="str" cm="1">
        <f t="array" ref="AE172">Common_InputFunctions.Utility_DisplayArrayInTable(Fertiliser_SourceData.Fertiliser_Products_Data3(), FertiliserProducts[[#Headers],[Company]],61)</f>
        <v/>
      </c>
      <c r="AF172" s="172" t="str" cm="1">
        <f t="array" ref="AF172">Common_InputFunctions.Utility_DisplayArrayInTable(Fertiliser_SourceData.Fertiliser_Products_Data3(), FertiliserProducts[[#Headers],[Company]],61)</f>
        <v/>
      </c>
      <c r="AG172" s="172" t="str" cm="1">
        <f t="array" ref="AG172">Common_InputFunctions.Utility_DisplayArrayInTable(Fertiliser_SourceData.Fertiliser_Products_Data3(), FertiliserProducts[[#Headers],[Company]],61)</f>
        <v/>
      </c>
      <c r="AH172" s="172" t="str" cm="1">
        <f t="array" ref="AH172">Common_InputFunctions.Utility_DisplayArrayInTable(Fertiliser_SourceData.Fertiliser_Products_Data3(), FertiliserProducts[[#Headers],[Company]],61)</f>
        <v/>
      </c>
      <c r="AK172" s="1"/>
    </row>
    <row r="173" spans="4:37" x14ac:dyDescent="0.25">
      <c r="D173" s="172" t="str" cm="1">
        <f t="array" ref="D173">Common_InputFunctions.Utility_DisplayArrayInTable(Fertiliser_SourceData.Fertiliser_Products_Data3(), FertiliserProducts[[#Headers],[Company]],61)</f>
        <v>Turf Group Australia (Simplot)</v>
      </c>
      <c r="E173" s="172" t="str" cm="1">
        <f t="array" ref="E173">Common_InputFunctions.Utility_DisplayArrayInTable(Fertiliser_SourceData.Fertiliser_Products_Data3(), FertiliserProducts[[#Headers],[Company]],61)</f>
        <v>Super Cal 15-0-12</v>
      </c>
      <c r="F173" s="172" t="str" cm="1">
        <f t="array" ref="F173">Common_InputFunctions.Utility_DisplayArrayInTable(Fertiliser_SourceData.Fertiliser_Products_Data3(), FertiliserProducts[[#Headers],[Company]],61)</f>
        <v>kg</v>
      </c>
      <c r="G173" s="172" cm="1">
        <f t="array" ref="G173">Common_InputFunctions.Utility_DisplayArrayInTable(Fertiliser_SourceData.Fertiliser_Products_Data3(), FertiliserProducts[[#Headers],[Company]],61)</f>
        <v>1</v>
      </c>
      <c r="H173" s="172" t="str" cm="1">
        <f t="array" ref="H173">Common_InputFunctions.Utility_DisplayArrayInTable(Fertiliser_SourceData.Fertiliser_Products_Data3(), FertiliserProducts[[#Headers],[Company]],61)</f>
        <v/>
      </c>
      <c r="I173" s="172" t="str" cm="1">
        <f t="array" ref="I173">Common_InputFunctions.Utility_DisplayArrayInTable(Fertiliser_SourceData.Fertiliser_Products_Data3(), FertiliserProducts[[#Headers],[Company]],61)</f>
        <v/>
      </c>
      <c r="J173" s="172" t="str" cm="1">
        <f t="array" ref="J173">Common_InputFunctions.Utility_DisplayArrayInTable(Fertiliser_SourceData.Fertiliser_Products_Data3(), FertiliserProducts[[#Headers],[Company]],61)</f>
        <v/>
      </c>
      <c r="K173" s="172" cm="1">
        <f t="array" ref="K173">Common_InputFunctions.Utility_DisplayArrayInTable(Fertiliser_SourceData.Fertiliser_Products_Data3(), FertiliserProducts[[#Headers],[Company]],61)</f>
        <v>15</v>
      </c>
      <c r="L173" s="172" t="str" cm="1">
        <f t="array" ref="L173">Common_InputFunctions.Utility_DisplayArrayInTable(Fertiliser_SourceData.Fertiliser_Products_Data3(), FertiliserProducts[[#Headers],[Company]],61)</f>
        <v/>
      </c>
      <c r="M173" s="172" cm="1">
        <f t="array" ref="M173">Common_InputFunctions.Utility_DisplayArrayInTable(Fertiliser_SourceData.Fertiliser_Products_Data3(), FertiliserProducts[[#Headers],[Company]],61)</f>
        <v>9.9600000000000009</v>
      </c>
      <c r="N173" s="172" t="str" cm="1">
        <f t="array" ref="N173">Common_InputFunctions.Utility_DisplayArrayInTable(Fertiliser_SourceData.Fertiliser_Products_Data3(), FertiliserProducts[[#Headers],[Company]],61)</f>
        <v/>
      </c>
      <c r="O173" s="172" t="str" cm="1">
        <f t="array" ref="O173">Common_InputFunctions.Utility_DisplayArrayInTable(Fertiliser_SourceData.Fertiliser_Products_Data3(), FertiliserProducts[[#Headers],[Company]],61)</f>
        <v>Nitrogen - Nitrate</v>
      </c>
      <c r="P173" s="172" cm="1">
        <f t="array" ref="P173">Common_InputFunctions.Utility_DisplayArrayInTable(Fertiliser_SourceData.Fertiliser_Products_Data3(), FertiliserProducts[[#Headers],[Company]],61)</f>
        <v>8.4737000000000007E-2</v>
      </c>
      <c r="Q173" s="172" t="str" cm="1">
        <f t="array" ref="Q173">Common_InputFunctions.Utility_DisplayArrayInTable(Fertiliser_SourceData.Fertiliser_Products_Data3(), FertiliserProducts[[#Headers],[Company]],61)</f>
        <v>Potassium - Generic</v>
      </c>
      <c r="R173" s="172" cm="1">
        <f t="array" ref="R173">Common_InputFunctions.Utility_DisplayArrayInTable(Fertiliser_SourceData.Fertiliser_Products_Data3(), FertiliserProducts[[#Headers],[Company]],61)</f>
        <v>9.9612000000000006E-2</v>
      </c>
      <c r="S173" s="172" t="str" cm="1">
        <f t="array" ref="S173">Common_InputFunctions.Utility_DisplayArrayInTable(Fertiliser_SourceData.Fertiliser_Products_Data3(), FertiliserProducts[[#Headers],[Company]],61)</f>
        <v>Calcium nitrate</v>
      </c>
      <c r="T173" s="172" cm="1">
        <f t="array" ref="T173">Common_InputFunctions.Utility_DisplayArrayInTable(Fertiliser_SourceData.Fertiliser_Products_Data3(), FertiliserProducts[[#Headers],[Company]],61)</f>
        <v>0.42105300000000001</v>
      </c>
      <c r="U173" s="172" t="str" cm="1">
        <f t="array" ref="U173">Common_InputFunctions.Utility_DisplayArrayInTable(Fertiliser_SourceData.Fertiliser_Products_Data3(), FertiliserProducts[[#Headers],[Company]],61)</f>
        <v>Magnesium</v>
      </c>
      <c r="V173" s="172" cm="1">
        <f t="array" ref="V173">Common_InputFunctions.Utility_DisplayArrayInTable(Fertiliser_SourceData.Fertiliser_Products_Data3(), FertiliserProducts[[#Headers],[Company]],61)</f>
        <v>5.0000000000000001E-3</v>
      </c>
      <c r="W173" s="172" t="str" cm="1">
        <f t="array" ref="W173">Common_InputFunctions.Utility_DisplayArrayInTable(Fertiliser_SourceData.Fertiliser_Products_Data3(), FertiliserProducts[[#Headers],[Company]],61)</f>
        <v>Boron</v>
      </c>
      <c r="X173" s="172" cm="1">
        <f t="array" ref="X173">Common_InputFunctions.Utility_DisplayArrayInTable(Fertiliser_SourceData.Fertiliser_Products_Data3(), FertiliserProducts[[#Headers],[Company]],61)</f>
        <v>2.0000000000000001E-4</v>
      </c>
      <c r="Y173" s="172" t="str" cm="1">
        <f t="array" ref="Y173">Common_InputFunctions.Utility_DisplayArrayInTable(Fertiliser_SourceData.Fertiliser_Products_Data3(), FertiliserProducts[[#Headers],[Company]],61)</f>
        <v/>
      </c>
      <c r="Z173" s="172" t="str" cm="1">
        <f t="array" ref="Z173">Common_InputFunctions.Utility_DisplayArrayInTable(Fertiliser_SourceData.Fertiliser_Products_Data3(), FertiliserProducts[[#Headers],[Company]],61)</f>
        <v/>
      </c>
      <c r="AA173" s="172" t="str" cm="1">
        <f t="array" ref="AA173">Common_InputFunctions.Utility_DisplayArrayInTable(Fertiliser_SourceData.Fertiliser_Products_Data3(), FertiliserProducts[[#Headers],[Company]],61)</f>
        <v/>
      </c>
      <c r="AB173" s="172" t="str" cm="1">
        <f t="array" ref="AB173">Common_InputFunctions.Utility_DisplayArrayInTable(Fertiliser_SourceData.Fertiliser_Products_Data3(), FertiliserProducts[[#Headers],[Company]],61)</f>
        <v/>
      </c>
      <c r="AC173" s="172" t="str" cm="1">
        <f t="array" ref="AC173">Common_InputFunctions.Utility_DisplayArrayInTable(Fertiliser_SourceData.Fertiliser_Products_Data3(), FertiliserProducts[[#Headers],[Company]],61)</f>
        <v/>
      </c>
      <c r="AD173" s="172" t="str" cm="1">
        <f t="array" ref="AD173">Common_InputFunctions.Utility_DisplayArrayInTable(Fertiliser_SourceData.Fertiliser_Products_Data3(), FertiliserProducts[[#Headers],[Company]],61)</f>
        <v/>
      </c>
      <c r="AE173" s="172" t="str" cm="1">
        <f t="array" ref="AE173">Common_InputFunctions.Utility_DisplayArrayInTable(Fertiliser_SourceData.Fertiliser_Products_Data3(), FertiliserProducts[[#Headers],[Company]],61)</f>
        <v/>
      </c>
      <c r="AF173" s="172" t="str" cm="1">
        <f t="array" ref="AF173">Common_InputFunctions.Utility_DisplayArrayInTable(Fertiliser_SourceData.Fertiliser_Products_Data3(), FertiliserProducts[[#Headers],[Company]],61)</f>
        <v/>
      </c>
      <c r="AG173" s="172" t="str" cm="1">
        <f t="array" ref="AG173">Common_InputFunctions.Utility_DisplayArrayInTable(Fertiliser_SourceData.Fertiliser_Products_Data3(), FertiliserProducts[[#Headers],[Company]],61)</f>
        <v/>
      </c>
      <c r="AH173" s="172" t="str" cm="1">
        <f t="array" ref="AH173">Common_InputFunctions.Utility_DisplayArrayInTable(Fertiliser_SourceData.Fertiliser_Products_Data3(), FertiliserProducts[[#Headers],[Company]],61)</f>
        <v/>
      </c>
      <c r="AK173" s="1"/>
    </row>
    <row r="174" spans="4:37" x14ac:dyDescent="0.25">
      <c r="D174" s="172" t="str" cm="1">
        <f t="array" ref="D174">Common_InputFunctions.Utility_DisplayArrayInTable(Fertiliser_SourceData.Fertiliser_Products_Data3(), FertiliserProducts[[#Headers],[Company]],61)</f>
        <v>Incitec Pivot Fertilisers</v>
      </c>
      <c r="E174" s="172" t="str" cm="1">
        <f t="array" ref="E174">Common_InputFunctions.Utility_DisplayArrayInTable(Fertiliser_SourceData.Fertiliser_Products_Data3(), FertiliserProducts[[#Headers],[Company]],61)</f>
        <v>CK 88</v>
      </c>
      <c r="F174" s="172" t="str" cm="1">
        <f t="array" ref="F174">Common_InputFunctions.Utility_DisplayArrayInTable(Fertiliser_SourceData.Fertiliser_Products_Data3(), FertiliserProducts[[#Headers],[Company]],61)</f>
        <v>kg</v>
      </c>
      <c r="G174" s="172" cm="1">
        <f t="array" ref="G174">Common_InputFunctions.Utility_DisplayArrayInTable(Fertiliser_SourceData.Fertiliser_Products_Data3(), FertiliserProducts[[#Headers],[Company]],61)</f>
        <v>1</v>
      </c>
      <c r="H174" s="172" t="str" cm="1">
        <f t="array" ref="H174">Common_InputFunctions.Utility_DisplayArrayInTable(Fertiliser_SourceData.Fertiliser_Products_Data3(), FertiliserProducts[[#Headers],[Company]],61)</f>
        <v/>
      </c>
      <c r="I174" s="172" t="str" cm="1">
        <f t="array" ref="I174">Common_InputFunctions.Utility_DisplayArrayInTable(Fertiliser_SourceData.Fertiliser_Products_Data3(), FertiliserProducts[[#Headers],[Company]],61)</f>
        <v/>
      </c>
      <c r="J174" s="172" t="str" cm="1">
        <f t="array" ref="J174">Common_InputFunctions.Utility_DisplayArrayInTable(Fertiliser_SourceData.Fertiliser_Products_Data3(), FertiliserProducts[[#Headers],[Company]],61)</f>
        <v/>
      </c>
      <c r="K174" s="172" cm="1">
        <f t="array" ref="K174">Common_InputFunctions.Utility_DisplayArrayInTable(Fertiliser_SourceData.Fertiliser_Products_Data3(), FertiliserProducts[[#Headers],[Company]],61)</f>
        <v>15.1</v>
      </c>
      <c r="L174" s="172" cm="1">
        <f t="array" ref="L174">Common_InputFunctions.Utility_DisplayArrayInTable(Fertiliser_SourceData.Fertiliser_Products_Data3(), FertiliserProducts[[#Headers],[Company]],61)</f>
        <v>4.4000000000000004</v>
      </c>
      <c r="M174" s="172" cm="1">
        <f t="array" ref="M174">Common_InputFunctions.Utility_DisplayArrayInTable(Fertiliser_SourceData.Fertiliser_Products_Data3(), FertiliserProducts[[#Headers],[Company]],61)</f>
        <v>11.5</v>
      </c>
      <c r="N174" s="172" cm="1">
        <f t="array" ref="N174">Common_InputFunctions.Utility_DisplayArrayInTable(Fertiliser_SourceData.Fertiliser_Products_Data3(), FertiliserProducts[[#Headers],[Company]],61)</f>
        <v>13.6</v>
      </c>
      <c r="O174" s="172" t="str" cm="1">
        <f t="array" ref="O174">Common_InputFunctions.Utility_DisplayArrayInTable(Fertiliser_SourceData.Fertiliser_Products_Data3(), FertiliserProducts[[#Headers],[Company]],61)</f>
        <v>Nitrogen - Generic</v>
      </c>
      <c r="P174" s="172" cm="1">
        <f t="array" ref="P174">Common_InputFunctions.Utility_DisplayArrayInTable(Fertiliser_SourceData.Fertiliser_Products_Data3(), FertiliserProducts[[#Headers],[Company]],61)</f>
        <v>0.151</v>
      </c>
      <c r="Q174" s="172" t="str" cm="1">
        <f t="array" ref="Q174">Common_InputFunctions.Utility_DisplayArrayInTable(Fertiliser_SourceData.Fertiliser_Products_Data3(), FertiliserProducts[[#Headers],[Company]],61)</f>
        <v>Phosphorus - Generic</v>
      </c>
      <c r="R174" s="172" cm="1">
        <f t="array" ref="R174">Common_InputFunctions.Utility_DisplayArrayInTable(Fertiliser_SourceData.Fertiliser_Products_Data3(), FertiliserProducts[[#Headers],[Company]],61)</f>
        <v>4.3999999999999997E-2</v>
      </c>
      <c r="S174" s="172" t="str" cm="1">
        <f t="array" ref="S174">Common_InputFunctions.Utility_DisplayArrayInTable(Fertiliser_SourceData.Fertiliser_Products_Data3(), FertiliserProducts[[#Headers],[Company]],61)</f>
        <v>Potassium - Generic</v>
      </c>
      <c r="T174" s="172" cm="1">
        <f t="array" ref="T174">Common_InputFunctions.Utility_DisplayArrayInTable(Fertiliser_SourceData.Fertiliser_Products_Data3(), FertiliserProducts[[#Headers],[Company]],61)</f>
        <v>0.115</v>
      </c>
      <c r="U174" s="172" t="str" cm="1">
        <f t="array" ref="U174">Common_InputFunctions.Utility_DisplayArrayInTable(Fertiliser_SourceData.Fertiliser_Products_Data3(), FertiliserProducts[[#Headers],[Company]],61)</f>
        <v>Sulfur - Generic</v>
      </c>
      <c r="V174" s="172" cm="1">
        <f t="array" ref="V174">Common_InputFunctions.Utility_DisplayArrayInTable(Fertiliser_SourceData.Fertiliser_Products_Data3(), FertiliserProducts[[#Headers],[Company]],61)</f>
        <v>0.13600000000000001</v>
      </c>
      <c r="W174" s="172" t="str" cm="1">
        <f t="array" ref="W174">Common_InputFunctions.Utility_DisplayArrayInTable(Fertiliser_SourceData.Fertiliser_Products_Data3(), FertiliserProducts[[#Headers],[Company]],61)</f>
        <v/>
      </c>
      <c r="X174" s="172" t="str" cm="1">
        <f t="array" ref="X174">Common_InputFunctions.Utility_DisplayArrayInTable(Fertiliser_SourceData.Fertiliser_Products_Data3(), FertiliserProducts[[#Headers],[Company]],61)</f>
        <v/>
      </c>
      <c r="Y174" s="172" t="str" cm="1">
        <f t="array" ref="Y174">Common_InputFunctions.Utility_DisplayArrayInTable(Fertiliser_SourceData.Fertiliser_Products_Data3(), FertiliserProducts[[#Headers],[Company]],61)</f>
        <v/>
      </c>
      <c r="Z174" s="172" t="str" cm="1">
        <f t="array" ref="Z174">Common_InputFunctions.Utility_DisplayArrayInTable(Fertiliser_SourceData.Fertiliser_Products_Data3(), FertiliserProducts[[#Headers],[Company]],61)</f>
        <v/>
      </c>
      <c r="AA174" s="172" t="str" cm="1">
        <f t="array" ref="AA174">Common_InputFunctions.Utility_DisplayArrayInTable(Fertiliser_SourceData.Fertiliser_Products_Data3(), FertiliserProducts[[#Headers],[Company]],61)</f>
        <v/>
      </c>
      <c r="AB174" s="172" t="str" cm="1">
        <f t="array" ref="AB174">Common_InputFunctions.Utility_DisplayArrayInTable(Fertiliser_SourceData.Fertiliser_Products_Data3(), FertiliserProducts[[#Headers],[Company]],61)</f>
        <v/>
      </c>
      <c r="AC174" s="172" t="str" cm="1">
        <f t="array" ref="AC174">Common_InputFunctions.Utility_DisplayArrayInTable(Fertiliser_SourceData.Fertiliser_Products_Data3(), FertiliserProducts[[#Headers],[Company]],61)</f>
        <v/>
      </c>
      <c r="AD174" s="172" t="str" cm="1">
        <f t="array" ref="AD174">Common_InputFunctions.Utility_DisplayArrayInTable(Fertiliser_SourceData.Fertiliser_Products_Data3(), FertiliserProducts[[#Headers],[Company]],61)</f>
        <v/>
      </c>
      <c r="AE174" s="172" t="str" cm="1">
        <f t="array" ref="AE174">Common_InputFunctions.Utility_DisplayArrayInTable(Fertiliser_SourceData.Fertiliser_Products_Data3(), FertiliserProducts[[#Headers],[Company]],61)</f>
        <v/>
      </c>
      <c r="AF174" s="172" t="str" cm="1">
        <f t="array" ref="AF174">Common_InputFunctions.Utility_DisplayArrayInTable(Fertiliser_SourceData.Fertiliser_Products_Data3(), FertiliserProducts[[#Headers],[Company]],61)</f>
        <v/>
      </c>
      <c r="AG174" s="172" t="str" cm="1">
        <f t="array" ref="AG174">Common_InputFunctions.Utility_DisplayArrayInTable(Fertiliser_SourceData.Fertiliser_Products_Data3(), FertiliserProducts[[#Headers],[Company]],61)</f>
        <v/>
      </c>
      <c r="AH174" s="172" t="str" cm="1">
        <f t="array" ref="AH174">Common_InputFunctions.Utility_DisplayArrayInTable(Fertiliser_SourceData.Fertiliser_Products_Data3(), FertiliserProducts[[#Headers],[Company]],61)</f>
        <v/>
      </c>
      <c r="AK174" s="1"/>
    </row>
    <row r="175" spans="4:37" x14ac:dyDescent="0.25">
      <c r="D175" s="172" t="str" cm="1">
        <f t="array" ref="D175">Common_InputFunctions.Utility_DisplayArrayInTable(Fertiliser_SourceData.Fertiliser_Products_Data3(), FertiliserProducts[[#Headers],[Company]],61)</f>
        <v>Incitec Pivot Fertilisers</v>
      </c>
      <c r="E175" s="172" t="str" cm="1">
        <f t="array" ref="E175">Common_InputFunctions.Utility_DisplayArrayInTable(Fertiliser_SourceData.Fertiliser_Products_Data3(), FertiliserProducts[[#Headers],[Company]],61)</f>
        <v>CropLift 15</v>
      </c>
      <c r="F175" s="172" t="str" cm="1">
        <f t="array" ref="F175">Common_InputFunctions.Utility_DisplayArrayInTable(Fertiliser_SourceData.Fertiliser_Products_Data3(), FertiliserProducts[[#Headers],[Company]],61)</f>
        <v>kg</v>
      </c>
      <c r="G175" s="172" cm="1">
        <f t="array" ref="G175">Common_InputFunctions.Utility_DisplayArrayInTable(Fertiliser_SourceData.Fertiliser_Products_Data3(), FertiliserProducts[[#Headers],[Company]],61)</f>
        <v>1</v>
      </c>
      <c r="H175" s="172" t="str" cm="1">
        <f t="array" ref="H175">Common_InputFunctions.Utility_DisplayArrayInTable(Fertiliser_SourceData.Fertiliser_Products_Data3(), FertiliserProducts[[#Headers],[Company]],61)</f>
        <v/>
      </c>
      <c r="I175" s="172" t="str" cm="1">
        <f t="array" ref="I175">Common_InputFunctions.Utility_DisplayArrayInTable(Fertiliser_SourceData.Fertiliser_Products_Data3(), FertiliserProducts[[#Headers],[Company]],61)</f>
        <v/>
      </c>
      <c r="J175" s="172" t="str" cm="1">
        <f t="array" ref="J175">Common_InputFunctions.Utility_DisplayArrayInTable(Fertiliser_SourceData.Fertiliser_Products_Data3(), FertiliserProducts[[#Headers],[Company]],61)</f>
        <v/>
      </c>
      <c r="K175" s="172" cm="1">
        <f t="array" ref="K175">Common_InputFunctions.Utility_DisplayArrayInTable(Fertiliser_SourceData.Fertiliser_Products_Data3(), FertiliserProducts[[#Headers],[Company]],61)</f>
        <v>14.6</v>
      </c>
      <c r="L175" s="172" cm="1">
        <f t="array" ref="L175">Common_InputFunctions.Utility_DisplayArrayInTable(Fertiliser_SourceData.Fertiliser_Products_Data3(), FertiliserProducts[[#Headers],[Company]],61)</f>
        <v>12.1</v>
      </c>
      <c r="M175" s="172" t="str" cm="1">
        <f t="array" ref="M175">Common_InputFunctions.Utility_DisplayArrayInTable(Fertiliser_SourceData.Fertiliser_Products_Data3(), FertiliserProducts[[#Headers],[Company]],61)</f>
        <v/>
      </c>
      <c r="N175" s="172" cm="1">
        <f t="array" ref="N175">Common_InputFunctions.Utility_DisplayArrayInTable(Fertiliser_SourceData.Fertiliser_Products_Data3(), FertiliserProducts[[#Headers],[Company]],61)</f>
        <v>11.6</v>
      </c>
      <c r="O175" s="172" t="str" cm="1">
        <f t="array" ref="O175">Common_InputFunctions.Utility_DisplayArrayInTable(Fertiliser_SourceData.Fertiliser_Products_Data3(), FertiliserProducts[[#Headers],[Company]],61)</f>
        <v>Nitrogen - Generic</v>
      </c>
      <c r="P175" s="172" cm="1">
        <f t="array" ref="P175">Common_InputFunctions.Utility_DisplayArrayInTable(Fertiliser_SourceData.Fertiliser_Products_Data3(), FertiliserProducts[[#Headers],[Company]],61)</f>
        <v>0.14599999999999999</v>
      </c>
      <c r="Q175" s="172" t="str" cm="1">
        <f t="array" ref="Q175">Common_InputFunctions.Utility_DisplayArrayInTable(Fertiliser_SourceData.Fertiliser_Products_Data3(), FertiliserProducts[[#Headers],[Company]],61)</f>
        <v>Phosphorus - Generic</v>
      </c>
      <c r="R175" s="172" cm="1">
        <f t="array" ref="R175">Common_InputFunctions.Utility_DisplayArrayInTable(Fertiliser_SourceData.Fertiliser_Products_Data3(), FertiliserProducts[[#Headers],[Company]],61)</f>
        <v>0.121</v>
      </c>
      <c r="S175" s="172" t="str" cm="1">
        <f t="array" ref="S175">Common_InputFunctions.Utility_DisplayArrayInTable(Fertiliser_SourceData.Fertiliser_Products_Data3(), FertiliserProducts[[#Headers],[Company]],61)</f>
        <v>Sulfur - Generic</v>
      </c>
      <c r="T175" s="172" cm="1">
        <f t="array" ref="T175">Common_InputFunctions.Utility_DisplayArrayInTable(Fertiliser_SourceData.Fertiliser_Products_Data3(), FertiliserProducts[[#Headers],[Company]],61)</f>
        <v>0.11600000000000001</v>
      </c>
      <c r="U175" s="172" t="str" cm="1">
        <f t="array" ref="U175">Common_InputFunctions.Utility_DisplayArrayInTable(Fertiliser_SourceData.Fertiliser_Products_Data3(), FertiliserProducts[[#Headers],[Company]],61)</f>
        <v/>
      </c>
      <c r="V175" s="172" t="str" cm="1">
        <f t="array" ref="V175">Common_InputFunctions.Utility_DisplayArrayInTable(Fertiliser_SourceData.Fertiliser_Products_Data3(), FertiliserProducts[[#Headers],[Company]],61)</f>
        <v/>
      </c>
      <c r="W175" s="172" t="str" cm="1">
        <f t="array" ref="W175">Common_InputFunctions.Utility_DisplayArrayInTable(Fertiliser_SourceData.Fertiliser_Products_Data3(), FertiliserProducts[[#Headers],[Company]],61)</f>
        <v/>
      </c>
      <c r="X175" s="172" t="str" cm="1">
        <f t="array" ref="X175">Common_InputFunctions.Utility_DisplayArrayInTable(Fertiliser_SourceData.Fertiliser_Products_Data3(), FertiliserProducts[[#Headers],[Company]],61)</f>
        <v/>
      </c>
      <c r="Y175" s="172" t="str" cm="1">
        <f t="array" ref="Y175">Common_InputFunctions.Utility_DisplayArrayInTable(Fertiliser_SourceData.Fertiliser_Products_Data3(), FertiliserProducts[[#Headers],[Company]],61)</f>
        <v/>
      </c>
      <c r="Z175" s="172" t="str" cm="1">
        <f t="array" ref="Z175">Common_InputFunctions.Utility_DisplayArrayInTable(Fertiliser_SourceData.Fertiliser_Products_Data3(), FertiliserProducts[[#Headers],[Company]],61)</f>
        <v/>
      </c>
      <c r="AA175" s="172" t="str" cm="1">
        <f t="array" ref="AA175">Common_InputFunctions.Utility_DisplayArrayInTable(Fertiliser_SourceData.Fertiliser_Products_Data3(), FertiliserProducts[[#Headers],[Company]],61)</f>
        <v/>
      </c>
      <c r="AB175" s="172" t="str" cm="1">
        <f t="array" ref="AB175">Common_InputFunctions.Utility_DisplayArrayInTable(Fertiliser_SourceData.Fertiliser_Products_Data3(), FertiliserProducts[[#Headers],[Company]],61)</f>
        <v/>
      </c>
      <c r="AC175" s="172" t="str" cm="1">
        <f t="array" ref="AC175">Common_InputFunctions.Utility_DisplayArrayInTable(Fertiliser_SourceData.Fertiliser_Products_Data3(), FertiliserProducts[[#Headers],[Company]],61)</f>
        <v/>
      </c>
      <c r="AD175" s="172" t="str" cm="1">
        <f t="array" ref="AD175">Common_InputFunctions.Utility_DisplayArrayInTable(Fertiliser_SourceData.Fertiliser_Products_Data3(), FertiliserProducts[[#Headers],[Company]],61)</f>
        <v/>
      </c>
      <c r="AE175" s="172" t="str" cm="1">
        <f t="array" ref="AE175">Common_InputFunctions.Utility_DisplayArrayInTable(Fertiliser_SourceData.Fertiliser_Products_Data3(), FertiliserProducts[[#Headers],[Company]],61)</f>
        <v/>
      </c>
      <c r="AF175" s="172" t="str" cm="1">
        <f t="array" ref="AF175">Common_InputFunctions.Utility_DisplayArrayInTable(Fertiliser_SourceData.Fertiliser_Products_Data3(), FertiliserProducts[[#Headers],[Company]],61)</f>
        <v/>
      </c>
      <c r="AG175" s="172" t="str" cm="1">
        <f t="array" ref="AG175">Common_InputFunctions.Utility_DisplayArrayInTable(Fertiliser_SourceData.Fertiliser_Products_Data3(), FertiliserProducts[[#Headers],[Company]],61)</f>
        <v/>
      </c>
      <c r="AH175" s="172" t="str" cm="1">
        <f t="array" ref="AH175">Common_InputFunctions.Utility_DisplayArrayInTable(Fertiliser_SourceData.Fertiliser_Products_Data3(), FertiliserProducts[[#Headers],[Company]],61)</f>
        <v/>
      </c>
      <c r="AK175" s="1"/>
    </row>
    <row r="176" spans="4:37" x14ac:dyDescent="0.25">
      <c r="D176" s="172" t="str" cm="1">
        <f t="array" ref="D176">Common_InputFunctions.Utility_DisplayArrayInTable(Fertiliser_SourceData.Fertiliser_Products_Data3(), FertiliserProducts[[#Headers],[Company]],61)</f>
        <v>Incitec Pivot Fertilisers</v>
      </c>
      <c r="E176" s="172" t="str" cm="1">
        <f t="array" ref="E176">Common_InputFunctions.Utility_DisplayArrayInTable(Fertiliser_SourceData.Fertiliser_Products_Data3(), FertiliserProducts[[#Headers],[Company]],61)</f>
        <v>NPKS 19-13-0-9</v>
      </c>
      <c r="F176" s="172" t="str" cm="1">
        <f t="array" ref="F176">Common_InputFunctions.Utility_DisplayArrayInTable(Fertiliser_SourceData.Fertiliser_Products_Data3(), FertiliserProducts[[#Headers],[Company]],61)</f>
        <v>kg</v>
      </c>
      <c r="G176" s="172" cm="1">
        <f t="array" ref="G176">Common_InputFunctions.Utility_DisplayArrayInTable(Fertiliser_SourceData.Fertiliser_Products_Data3(), FertiliserProducts[[#Headers],[Company]],61)</f>
        <v>1</v>
      </c>
      <c r="H176" s="172" t="str" cm="1">
        <f t="array" ref="H176">Common_InputFunctions.Utility_DisplayArrayInTable(Fertiliser_SourceData.Fertiliser_Products_Data3(), FertiliserProducts[[#Headers],[Company]],61)</f>
        <v/>
      </c>
      <c r="I176" s="172" t="str" cm="1">
        <f t="array" ref="I176">Common_InputFunctions.Utility_DisplayArrayInTable(Fertiliser_SourceData.Fertiliser_Products_Data3(), FertiliserProducts[[#Headers],[Company]],61)</f>
        <v/>
      </c>
      <c r="J176" s="172" t="str" cm="1">
        <f t="array" ref="J176">Common_InputFunctions.Utility_DisplayArrayInTable(Fertiliser_SourceData.Fertiliser_Products_Data3(), FertiliserProducts[[#Headers],[Company]],61)</f>
        <v/>
      </c>
      <c r="K176" s="172" cm="1">
        <f t="array" ref="K176">Common_InputFunctions.Utility_DisplayArrayInTable(Fertiliser_SourceData.Fertiliser_Products_Data3(), FertiliserProducts[[#Headers],[Company]],61)</f>
        <v>19</v>
      </c>
      <c r="L176" s="172" cm="1">
        <f t="array" ref="L176">Common_InputFunctions.Utility_DisplayArrayInTable(Fertiliser_SourceData.Fertiliser_Products_Data3(), FertiliserProducts[[#Headers],[Company]],61)</f>
        <v>13</v>
      </c>
      <c r="M176" s="172" cm="1">
        <f t="array" ref="M176">Common_InputFunctions.Utility_DisplayArrayInTable(Fertiliser_SourceData.Fertiliser_Products_Data3(), FertiliserProducts[[#Headers],[Company]],61)</f>
        <v>0</v>
      </c>
      <c r="N176" s="172" cm="1">
        <f t="array" ref="N176">Common_InputFunctions.Utility_DisplayArrayInTable(Fertiliser_SourceData.Fertiliser_Products_Data3(), FertiliserProducts[[#Headers],[Company]],61)</f>
        <v>9</v>
      </c>
      <c r="O176" s="172" t="str" cm="1">
        <f t="array" ref="O176">Common_InputFunctions.Utility_DisplayArrayInTable(Fertiliser_SourceData.Fertiliser_Products_Data3(), FertiliserProducts[[#Headers],[Company]],61)</f>
        <v>Nitrogen - Generic</v>
      </c>
      <c r="P176" s="172" cm="1">
        <f t="array" ref="P176">Common_InputFunctions.Utility_DisplayArrayInTable(Fertiliser_SourceData.Fertiliser_Products_Data3(), FertiliserProducts[[#Headers],[Company]],61)</f>
        <v>0.19</v>
      </c>
      <c r="Q176" s="172" t="str" cm="1">
        <f t="array" ref="Q176">Common_InputFunctions.Utility_DisplayArrayInTable(Fertiliser_SourceData.Fertiliser_Products_Data3(), FertiliserProducts[[#Headers],[Company]],61)</f>
        <v>Phosphorus - Generic</v>
      </c>
      <c r="R176" s="172" cm="1">
        <f t="array" ref="R176">Common_InputFunctions.Utility_DisplayArrayInTable(Fertiliser_SourceData.Fertiliser_Products_Data3(), FertiliserProducts[[#Headers],[Company]],61)</f>
        <v>0.13</v>
      </c>
      <c r="S176" s="172" t="str" cm="1">
        <f t="array" ref="S176">Common_InputFunctions.Utility_DisplayArrayInTable(Fertiliser_SourceData.Fertiliser_Products_Data3(), FertiliserProducts[[#Headers],[Company]],61)</f>
        <v>Sulfur - Generic</v>
      </c>
      <c r="T176" s="172" cm="1">
        <f t="array" ref="T176">Common_InputFunctions.Utility_DisplayArrayInTable(Fertiliser_SourceData.Fertiliser_Products_Data3(), FertiliserProducts[[#Headers],[Company]],61)</f>
        <v>0.09</v>
      </c>
      <c r="U176" s="172" t="str" cm="1">
        <f t="array" ref="U176">Common_InputFunctions.Utility_DisplayArrayInTable(Fertiliser_SourceData.Fertiliser_Products_Data3(), FertiliserProducts[[#Headers],[Company]],61)</f>
        <v/>
      </c>
      <c r="V176" s="172" t="str" cm="1">
        <f t="array" ref="V176">Common_InputFunctions.Utility_DisplayArrayInTable(Fertiliser_SourceData.Fertiliser_Products_Data3(), FertiliserProducts[[#Headers],[Company]],61)</f>
        <v/>
      </c>
      <c r="W176" s="172" t="str" cm="1">
        <f t="array" ref="W176">Common_InputFunctions.Utility_DisplayArrayInTable(Fertiliser_SourceData.Fertiliser_Products_Data3(), FertiliserProducts[[#Headers],[Company]],61)</f>
        <v/>
      </c>
      <c r="X176" s="172" t="str" cm="1">
        <f t="array" ref="X176">Common_InputFunctions.Utility_DisplayArrayInTable(Fertiliser_SourceData.Fertiliser_Products_Data3(), FertiliserProducts[[#Headers],[Company]],61)</f>
        <v/>
      </c>
      <c r="Y176" s="172" t="str" cm="1">
        <f t="array" ref="Y176">Common_InputFunctions.Utility_DisplayArrayInTable(Fertiliser_SourceData.Fertiliser_Products_Data3(), FertiliserProducts[[#Headers],[Company]],61)</f>
        <v/>
      </c>
      <c r="Z176" s="172" t="str" cm="1">
        <f t="array" ref="Z176">Common_InputFunctions.Utility_DisplayArrayInTable(Fertiliser_SourceData.Fertiliser_Products_Data3(), FertiliserProducts[[#Headers],[Company]],61)</f>
        <v/>
      </c>
      <c r="AA176" s="172" t="str" cm="1">
        <f t="array" ref="AA176">Common_InputFunctions.Utility_DisplayArrayInTable(Fertiliser_SourceData.Fertiliser_Products_Data3(), FertiliserProducts[[#Headers],[Company]],61)</f>
        <v/>
      </c>
      <c r="AB176" s="172" t="str" cm="1">
        <f t="array" ref="AB176">Common_InputFunctions.Utility_DisplayArrayInTable(Fertiliser_SourceData.Fertiliser_Products_Data3(), FertiliserProducts[[#Headers],[Company]],61)</f>
        <v/>
      </c>
      <c r="AC176" s="172" t="str" cm="1">
        <f t="array" ref="AC176">Common_InputFunctions.Utility_DisplayArrayInTable(Fertiliser_SourceData.Fertiliser_Products_Data3(), FertiliserProducts[[#Headers],[Company]],61)</f>
        <v/>
      </c>
      <c r="AD176" s="172" t="str" cm="1">
        <f t="array" ref="AD176">Common_InputFunctions.Utility_DisplayArrayInTable(Fertiliser_SourceData.Fertiliser_Products_Data3(), FertiliserProducts[[#Headers],[Company]],61)</f>
        <v/>
      </c>
      <c r="AE176" s="172" t="str" cm="1">
        <f t="array" ref="AE176">Common_InputFunctions.Utility_DisplayArrayInTable(Fertiliser_SourceData.Fertiliser_Products_Data3(), FertiliserProducts[[#Headers],[Company]],61)</f>
        <v/>
      </c>
      <c r="AF176" s="172" t="str" cm="1">
        <f t="array" ref="AF176">Common_InputFunctions.Utility_DisplayArrayInTable(Fertiliser_SourceData.Fertiliser_Products_Data3(), FertiliserProducts[[#Headers],[Company]],61)</f>
        <v/>
      </c>
      <c r="AG176" s="172" t="str" cm="1">
        <f t="array" ref="AG176">Common_InputFunctions.Utility_DisplayArrayInTable(Fertiliser_SourceData.Fertiliser_Products_Data3(), FertiliserProducts[[#Headers],[Company]],61)</f>
        <v/>
      </c>
      <c r="AH176" s="172" t="str" cm="1">
        <f t="array" ref="AH176">Common_InputFunctions.Utility_DisplayArrayInTable(Fertiliser_SourceData.Fertiliser_Products_Data3(), FertiliserProducts[[#Headers],[Company]],61)</f>
        <v/>
      </c>
      <c r="AK176" s="1"/>
    </row>
    <row r="177" spans="4:37" x14ac:dyDescent="0.25">
      <c r="D177" s="172" t="str" cm="1">
        <f t="array" ref="D177">Common_InputFunctions.Utility_DisplayArrayInTable(Fertiliser_SourceData.Fertiliser_Products_Data3(), FertiliserProducts[[#Headers],[Company]],61)</f>
        <v>Incitec Pivot Fertilisers</v>
      </c>
      <c r="E177" s="172" t="str" cm="1">
        <f t="array" ref="E177">Common_InputFunctions.Utility_DisplayArrayInTable(Fertiliser_SourceData.Fertiliser_Products_Data3(), FertiliserProducts[[#Headers],[Company]],61)</f>
        <v>PastureBoosta</v>
      </c>
      <c r="F177" s="172" t="str" cm="1">
        <f t="array" ref="F177">Common_InputFunctions.Utility_DisplayArrayInTable(Fertiliser_SourceData.Fertiliser_Products_Data3(), FertiliserProducts[[#Headers],[Company]],61)</f>
        <v>kg</v>
      </c>
      <c r="G177" s="172" cm="1">
        <f t="array" ref="G177">Common_InputFunctions.Utility_DisplayArrayInTable(Fertiliser_SourceData.Fertiliser_Products_Data3(), FertiliserProducts[[#Headers],[Company]],61)</f>
        <v>1</v>
      </c>
      <c r="H177" s="172" t="str" cm="1">
        <f t="array" ref="H177">Common_InputFunctions.Utility_DisplayArrayInTable(Fertiliser_SourceData.Fertiliser_Products_Data3(), FertiliserProducts[[#Headers],[Company]],61)</f>
        <v/>
      </c>
      <c r="I177" s="172" t="str" cm="1">
        <f t="array" ref="I177">Common_InputFunctions.Utility_DisplayArrayInTable(Fertiliser_SourceData.Fertiliser_Products_Data3(), FertiliserProducts[[#Headers],[Company]],61)</f>
        <v/>
      </c>
      <c r="J177" s="172" t="str" cm="1">
        <f t="array" ref="J177">Common_InputFunctions.Utility_DisplayArrayInTable(Fertiliser_SourceData.Fertiliser_Products_Data3(), FertiliserProducts[[#Headers],[Company]],61)</f>
        <v/>
      </c>
      <c r="K177" s="172" cm="1">
        <f t="array" ref="K177">Common_InputFunctions.Utility_DisplayArrayInTable(Fertiliser_SourceData.Fertiliser_Products_Data3(), FertiliserProducts[[#Headers],[Company]],61)</f>
        <v>23.8</v>
      </c>
      <c r="L177" s="172" cm="1">
        <f t="array" ref="L177">Common_InputFunctions.Utility_DisplayArrayInTable(Fertiliser_SourceData.Fertiliser_Products_Data3(), FertiliserProducts[[#Headers],[Company]],61)</f>
        <v>3.7</v>
      </c>
      <c r="M177" s="172" cm="1">
        <f t="array" ref="M177">Common_InputFunctions.Utility_DisplayArrayInTable(Fertiliser_SourceData.Fertiliser_Products_Data3(), FertiliserProducts[[#Headers],[Company]],61)</f>
        <v>13</v>
      </c>
      <c r="N177" s="172" cm="1">
        <f t="array" ref="N177">Common_InputFunctions.Utility_DisplayArrayInTable(Fertiliser_SourceData.Fertiliser_Products_Data3(), FertiliserProducts[[#Headers],[Company]],61)</f>
        <v>4.0999999999999996</v>
      </c>
      <c r="O177" s="172" t="str" cm="1">
        <f t="array" ref="O177">Common_InputFunctions.Utility_DisplayArrayInTable(Fertiliser_SourceData.Fertiliser_Products_Data3(), FertiliserProducts[[#Headers],[Company]],61)</f>
        <v>Nitrogen - Generic</v>
      </c>
      <c r="P177" s="172" cm="1">
        <f t="array" ref="P177">Common_InputFunctions.Utility_DisplayArrayInTable(Fertiliser_SourceData.Fertiliser_Products_Data3(), FertiliserProducts[[#Headers],[Company]],61)</f>
        <v>0.23799999999999999</v>
      </c>
      <c r="Q177" s="172" t="str" cm="1">
        <f t="array" ref="Q177">Common_InputFunctions.Utility_DisplayArrayInTable(Fertiliser_SourceData.Fertiliser_Products_Data3(), FertiliserProducts[[#Headers],[Company]],61)</f>
        <v>Phosphorus - Generic</v>
      </c>
      <c r="R177" s="172" cm="1">
        <f t="array" ref="R177">Common_InputFunctions.Utility_DisplayArrayInTable(Fertiliser_SourceData.Fertiliser_Products_Data3(), FertiliserProducts[[#Headers],[Company]],61)</f>
        <v>3.6999999999999998E-2</v>
      </c>
      <c r="S177" s="172" t="str" cm="1">
        <f t="array" ref="S177">Common_InputFunctions.Utility_DisplayArrayInTable(Fertiliser_SourceData.Fertiliser_Products_Data3(), FertiliserProducts[[#Headers],[Company]],61)</f>
        <v>Potassium - Generic</v>
      </c>
      <c r="T177" s="172" cm="1">
        <f t="array" ref="T177">Common_InputFunctions.Utility_DisplayArrayInTable(Fertiliser_SourceData.Fertiliser_Products_Data3(), FertiliserProducts[[#Headers],[Company]],61)</f>
        <v>0.13</v>
      </c>
      <c r="U177" s="172" t="str" cm="1">
        <f t="array" ref="U177">Common_InputFunctions.Utility_DisplayArrayInTable(Fertiliser_SourceData.Fertiliser_Products_Data3(), FertiliserProducts[[#Headers],[Company]],61)</f>
        <v>Sulfur - Generic</v>
      </c>
      <c r="V177" s="172" cm="1">
        <f t="array" ref="V177">Common_InputFunctions.Utility_DisplayArrayInTable(Fertiliser_SourceData.Fertiliser_Products_Data3(), FertiliserProducts[[#Headers],[Company]],61)</f>
        <v>4.1000000000000002E-2</v>
      </c>
      <c r="W177" s="172" t="str" cm="1">
        <f t="array" ref="W177">Common_InputFunctions.Utility_DisplayArrayInTable(Fertiliser_SourceData.Fertiliser_Products_Data3(), FertiliserProducts[[#Headers],[Company]],61)</f>
        <v/>
      </c>
      <c r="X177" s="172" t="str" cm="1">
        <f t="array" ref="X177">Common_InputFunctions.Utility_DisplayArrayInTable(Fertiliser_SourceData.Fertiliser_Products_Data3(), FertiliserProducts[[#Headers],[Company]],61)</f>
        <v/>
      </c>
      <c r="Y177" s="172" t="str" cm="1">
        <f t="array" ref="Y177">Common_InputFunctions.Utility_DisplayArrayInTable(Fertiliser_SourceData.Fertiliser_Products_Data3(), FertiliserProducts[[#Headers],[Company]],61)</f>
        <v/>
      </c>
      <c r="Z177" s="172" t="str" cm="1">
        <f t="array" ref="Z177">Common_InputFunctions.Utility_DisplayArrayInTable(Fertiliser_SourceData.Fertiliser_Products_Data3(), FertiliserProducts[[#Headers],[Company]],61)</f>
        <v/>
      </c>
      <c r="AA177" s="172" t="str" cm="1">
        <f t="array" ref="AA177">Common_InputFunctions.Utility_DisplayArrayInTable(Fertiliser_SourceData.Fertiliser_Products_Data3(), FertiliserProducts[[#Headers],[Company]],61)</f>
        <v/>
      </c>
      <c r="AB177" s="172" t="str" cm="1">
        <f t="array" ref="AB177">Common_InputFunctions.Utility_DisplayArrayInTable(Fertiliser_SourceData.Fertiliser_Products_Data3(), FertiliserProducts[[#Headers],[Company]],61)</f>
        <v/>
      </c>
      <c r="AC177" s="172" t="str" cm="1">
        <f t="array" ref="AC177">Common_InputFunctions.Utility_DisplayArrayInTable(Fertiliser_SourceData.Fertiliser_Products_Data3(), FertiliserProducts[[#Headers],[Company]],61)</f>
        <v/>
      </c>
      <c r="AD177" s="172" t="str" cm="1">
        <f t="array" ref="AD177">Common_InputFunctions.Utility_DisplayArrayInTable(Fertiliser_SourceData.Fertiliser_Products_Data3(), FertiliserProducts[[#Headers],[Company]],61)</f>
        <v/>
      </c>
      <c r="AE177" s="172" t="str" cm="1">
        <f t="array" ref="AE177">Common_InputFunctions.Utility_DisplayArrayInTable(Fertiliser_SourceData.Fertiliser_Products_Data3(), FertiliserProducts[[#Headers],[Company]],61)</f>
        <v/>
      </c>
      <c r="AF177" s="172" t="str" cm="1">
        <f t="array" ref="AF177">Common_InputFunctions.Utility_DisplayArrayInTable(Fertiliser_SourceData.Fertiliser_Products_Data3(), FertiliserProducts[[#Headers],[Company]],61)</f>
        <v/>
      </c>
      <c r="AG177" s="172" t="str" cm="1">
        <f t="array" ref="AG177">Common_InputFunctions.Utility_DisplayArrayInTable(Fertiliser_SourceData.Fertiliser_Products_Data3(), FertiliserProducts[[#Headers],[Company]],61)</f>
        <v/>
      </c>
      <c r="AH177" s="172" t="str" cm="1">
        <f t="array" ref="AH177">Common_InputFunctions.Utility_DisplayArrayInTable(Fertiliser_SourceData.Fertiliser_Products_Data3(), FertiliserProducts[[#Headers],[Company]],61)</f>
        <v/>
      </c>
      <c r="AK177" s="1"/>
    </row>
    <row r="178" spans="4:37" x14ac:dyDescent="0.25">
      <c r="D178" s="172" t="str" cm="1">
        <f t="array" ref="D178">Common_InputFunctions.Utility_DisplayArrayInTable(Fertiliser_SourceData.Fertiliser_Products_Data3(), FertiliserProducts[[#Headers],[Company]],61)</f>
        <v>Incitec Pivot Fertilisers</v>
      </c>
      <c r="E178" s="172" t="str" cm="1">
        <f t="array" ref="E178">Common_InputFunctions.Utility_DisplayArrayInTable(Fertiliser_SourceData.Fertiliser_Products_Data3(), FertiliserProducts[[#Headers],[Company]],61)</f>
        <v>Greentop K</v>
      </c>
      <c r="F178" s="172" t="str" cm="1">
        <f t="array" ref="F178">Common_InputFunctions.Utility_DisplayArrayInTable(Fertiliser_SourceData.Fertiliser_Products_Data3(), FertiliserProducts[[#Headers],[Company]],61)</f>
        <v>kg</v>
      </c>
      <c r="G178" s="172" cm="1">
        <f t="array" ref="G178">Common_InputFunctions.Utility_DisplayArrayInTable(Fertiliser_SourceData.Fertiliser_Products_Data3(), FertiliserProducts[[#Headers],[Company]],61)</f>
        <v>1</v>
      </c>
      <c r="H178" s="172" t="str" cm="1">
        <f t="array" ref="H178">Common_InputFunctions.Utility_DisplayArrayInTable(Fertiliser_SourceData.Fertiliser_Products_Data3(), FertiliserProducts[[#Headers],[Company]],61)</f>
        <v/>
      </c>
      <c r="I178" s="172" t="str" cm="1">
        <f t="array" ref="I178">Common_InputFunctions.Utility_DisplayArrayInTable(Fertiliser_SourceData.Fertiliser_Products_Data3(), FertiliserProducts[[#Headers],[Company]],61)</f>
        <v/>
      </c>
      <c r="J178" s="172" t="str" cm="1">
        <f t="array" ref="J178">Common_InputFunctions.Utility_DisplayArrayInTable(Fertiliser_SourceData.Fertiliser_Products_Data3(), FertiliserProducts[[#Headers],[Company]],61)</f>
        <v/>
      </c>
      <c r="K178" s="172" cm="1">
        <f t="array" ref="K178">Common_InputFunctions.Utility_DisplayArrayInTable(Fertiliser_SourceData.Fertiliser_Products_Data3(), FertiliserProducts[[#Headers],[Company]],61)</f>
        <v>32.799999999999997</v>
      </c>
      <c r="L178" s="172" t="str" cm="1">
        <f t="array" ref="L178">Common_InputFunctions.Utility_DisplayArrayInTable(Fertiliser_SourceData.Fertiliser_Products_Data3(), FertiliserProducts[[#Headers],[Company]],61)</f>
        <v/>
      </c>
      <c r="M178" s="172" cm="1">
        <f t="array" ref="M178">Common_InputFunctions.Utility_DisplayArrayInTable(Fertiliser_SourceData.Fertiliser_Products_Data3(), FertiliserProducts[[#Headers],[Company]],61)</f>
        <v>11</v>
      </c>
      <c r="N178" s="172" cm="1">
        <f t="array" ref="N178">Common_InputFunctions.Utility_DisplayArrayInTable(Fertiliser_SourceData.Fertiliser_Products_Data3(), FertiliserProducts[[#Headers],[Company]],61)</f>
        <v>2.9</v>
      </c>
      <c r="O178" s="172" t="str" cm="1">
        <f t="array" ref="O178">Common_InputFunctions.Utility_DisplayArrayInTable(Fertiliser_SourceData.Fertiliser_Products_Data3(), FertiliserProducts[[#Headers],[Company]],61)</f>
        <v>Urea</v>
      </c>
      <c r="P178" s="172" cm="1">
        <f t="array" ref="P178">Common_InputFunctions.Utility_DisplayArrayInTable(Fertiliser_SourceData.Fertiliser_Products_Data3(), FertiliserProducts[[#Headers],[Company]],61)</f>
        <v>0.66086999999999996</v>
      </c>
      <c r="Q178" s="172" t="str" cm="1">
        <f t="array" ref="Q178">Common_InputFunctions.Utility_DisplayArrayInTable(Fertiliser_SourceData.Fertiliser_Products_Data3(), FertiliserProducts[[#Headers],[Company]],61)</f>
        <v>Nitrogen - Ammoniacal</v>
      </c>
      <c r="R178" s="172" cm="1">
        <f t="array" ref="R178">Common_InputFunctions.Utility_DisplayArrayInTable(Fertiliser_SourceData.Fertiliser_Products_Data3(), FertiliserProducts[[#Headers],[Company]],61)</f>
        <v>2.4E-2</v>
      </c>
      <c r="S178" s="172" t="str" cm="1">
        <f t="array" ref="S178">Common_InputFunctions.Utility_DisplayArrayInTable(Fertiliser_SourceData.Fertiliser_Products_Data3(), FertiliserProducts[[#Headers],[Company]],61)</f>
        <v>Potassium - Generic</v>
      </c>
      <c r="T178" s="172" cm="1">
        <f t="array" ref="T178">Common_InputFunctions.Utility_DisplayArrayInTable(Fertiliser_SourceData.Fertiliser_Products_Data3(), FertiliserProducts[[#Headers],[Company]],61)</f>
        <v>0.11</v>
      </c>
      <c r="U178" s="172" t="str" cm="1">
        <f t="array" ref="U178">Common_InputFunctions.Utility_DisplayArrayInTable(Fertiliser_SourceData.Fertiliser_Products_Data3(), FertiliserProducts[[#Headers],[Company]],61)</f>
        <v>Sulfur - Generic</v>
      </c>
      <c r="V178" s="172" cm="1">
        <f t="array" ref="V178">Common_InputFunctions.Utility_DisplayArrayInTable(Fertiliser_SourceData.Fertiliser_Products_Data3(), FertiliserProducts[[#Headers],[Company]],61)</f>
        <v>2.9000000000000001E-2</v>
      </c>
      <c r="W178" s="172" t="str" cm="1">
        <f t="array" ref="W178">Common_InputFunctions.Utility_DisplayArrayInTable(Fertiliser_SourceData.Fertiliser_Products_Data3(), FertiliserProducts[[#Headers],[Company]],61)</f>
        <v/>
      </c>
      <c r="X178" s="172" t="str" cm="1">
        <f t="array" ref="X178">Common_InputFunctions.Utility_DisplayArrayInTable(Fertiliser_SourceData.Fertiliser_Products_Data3(), FertiliserProducts[[#Headers],[Company]],61)</f>
        <v/>
      </c>
      <c r="Y178" s="172" t="str" cm="1">
        <f t="array" ref="Y178">Common_InputFunctions.Utility_DisplayArrayInTable(Fertiliser_SourceData.Fertiliser_Products_Data3(), FertiliserProducts[[#Headers],[Company]],61)</f>
        <v/>
      </c>
      <c r="Z178" s="172" t="str" cm="1">
        <f t="array" ref="Z178">Common_InputFunctions.Utility_DisplayArrayInTable(Fertiliser_SourceData.Fertiliser_Products_Data3(), FertiliserProducts[[#Headers],[Company]],61)</f>
        <v/>
      </c>
      <c r="AA178" s="172" t="str" cm="1">
        <f t="array" ref="AA178">Common_InputFunctions.Utility_DisplayArrayInTable(Fertiliser_SourceData.Fertiliser_Products_Data3(), FertiliserProducts[[#Headers],[Company]],61)</f>
        <v/>
      </c>
      <c r="AB178" s="172" t="str" cm="1">
        <f t="array" ref="AB178">Common_InputFunctions.Utility_DisplayArrayInTable(Fertiliser_SourceData.Fertiliser_Products_Data3(), FertiliserProducts[[#Headers],[Company]],61)</f>
        <v/>
      </c>
      <c r="AC178" s="172" t="str" cm="1">
        <f t="array" ref="AC178">Common_InputFunctions.Utility_DisplayArrayInTable(Fertiliser_SourceData.Fertiliser_Products_Data3(), FertiliserProducts[[#Headers],[Company]],61)</f>
        <v/>
      </c>
      <c r="AD178" s="172" t="str" cm="1">
        <f t="array" ref="AD178">Common_InputFunctions.Utility_DisplayArrayInTable(Fertiliser_SourceData.Fertiliser_Products_Data3(), FertiliserProducts[[#Headers],[Company]],61)</f>
        <v/>
      </c>
      <c r="AE178" s="172" t="str" cm="1">
        <f t="array" ref="AE178">Common_InputFunctions.Utility_DisplayArrayInTable(Fertiliser_SourceData.Fertiliser_Products_Data3(), FertiliserProducts[[#Headers],[Company]],61)</f>
        <v/>
      </c>
      <c r="AF178" s="172" t="str" cm="1">
        <f t="array" ref="AF178">Common_InputFunctions.Utility_DisplayArrayInTable(Fertiliser_SourceData.Fertiliser_Products_Data3(), FertiliserProducts[[#Headers],[Company]],61)</f>
        <v/>
      </c>
      <c r="AG178" s="172" t="str" cm="1">
        <f t="array" ref="AG178">Common_InputFunctions.Utility_DisplayArrayInTable(Fertiliser_SourceData.Fertiliser_Products_Data3(), FertiliserProducts[[#Headers],[Company]],61)</f>
        <v/>
      </c>
      <c r="AH178" s="172" t="str" cm="1">
        <f t="array" ref="AH178">Common_InputFunctions.Utility_DisplayArrayInTable(Fertiliser_SourceData.Fertiliser_Products_Data3(), FertiliserProducts[[#Headers],[Company]],61)</f>
        <v/>
      </c>
      <c r="AK178" s="1"/>
    </row>
    <row r="179" spans="4:37" x14ac:dyDescent="0.25">
      <c r="D179" s="172" t="str" cm="1">
        <f t="array" ref="D179">Common_InputFunctions.Utility_DisplayArrayInTable(Fertiliser_SourceData.Fertiliser_Products_Data3(), FertiliserProducts[[#Headers],[Company]],61)</f>
        <v>Incitec Pivot Fertilisers</v>
      </c>
      <c r="E179" s="172" t="str" cm="1">
        <f t="array" ref="E179">Common_InputFunctions.Utility_DisplayArrayInTable(Fertiliser_SourceData.Fertiliser_Products_Data3(), FertiliserProducts[[#Headers],[Company]],61)</f>
        <v>HayBoosta</v>
      </c>
      <c r="F179" s="172" t="str" cm="1">
        <f t="array" ref="F179">Common_InputFunctions.Utility_DisplayArrayInTable(Fertiliser_SourceData.Fertiliser_Products_Data3(), FertiliserProducts[[#Headers],[Company]],61)</f>
        <v>kg</v>
      </c>
      <c r="G179" s="172" cm="1">
        <f t="array" ref="G179">Common_InputFunctions.Utility_DisplayArrayInTable(Fertiliser_SourceData.Fertiliser_Products_Data3(), FertiliserProducts[[#Headers],[Company]],61)</f>
        <v>1</v>
      </c>
      <c r="H179" s="172" t="str" cm="1">
        <f t="array" ref="H179">Common_InputFunctions.Utility_DisplayArrayInTable(Fertiliser_SourceData.Fertiliser_Products_Data3(), FertiliserProducts[[#Headers],[Company]],61)</f>
        <v/>
      </c>
      <c r="I179" s="172" t="str" cm="1">
        <f t="array" ref="I179">Common_InputFunctions.Utility_DisplayArrayInTable(Fertiliser_SourceData.Fertiliser_Products_Data3(), FertiliserProducts[[#Headers],[Company]],61)</f>
        <v/>
      </c>
      <c r="J179" s="172" t="str" cm="1">
        <f t="array" ref="J179">Common_InputFunctions.Utility_DisplayArrayInTable(Fertiliser_SourceData.Fertiliser_Products_Data3(), FertiliserProducts[[#Headers],[Company]],61)</f>
        <v/>
      </c>
      <c r="K179" s="172" cm="1">
        <f t="array" ref="K179">Common_InputFunctions.Utility_DisplayArrayInTable(Fertiliser_SourceData.Fertiliser_Products_Data3(), FertiliserProducts[[#Headers],[Company]],61)</f>
        <v>11.7</v>
      </c>
      <c r="L179" s="172" cm="1">
        <f t="array" ref="L179">Common_InputFunctions.Utility_DisplayArrayInTable(Fertiliser_SourceData.Fertiliser_Products_Data3(), FertiliserProducts[[#Headers],[Company]],61)</f>
        <v>4.7</v>
      </c>
      <c r="M179" s="172" cm="1">
        <f t="array" ref="M179">Common_InputFunctions.Utility_DisplayArrayInTable(Fertiliser_SourceData.Fertiliser_Products_Data3(), FertiliserProducts[[#Headers],[Company]],61)</f>
        <v>23.9</v>
      </c>
      <c r="N179" s="172" cm="1">
        <f t="array" ref="N179">Common_InputFunctions.Utility_DisplayArrayInTable(Fertiliser_SourceData.Fertiliser_Products_Data3(), FertiliserProducts[[#Headers],[Company]],61)</f>
        <v>4.5999999999999996</v>
      </c>
      <c r="O179" s="172" t="str" cm="1">
        <f t="array" ref="O179">Common_InputFunctions.Utility_DisplayArrayInTable(Fertiliser_SourceData.Fertiliser_Products_Data3(), FertiliserProducts[[#Headers],[Company]],61)</f>
        <v>Nitrogen - Generic</v>
      </c>
      <c r="P179" s="172" cm="1">
        <f t="array" ref="P179">Common_InputFunctions.Utility_DisplayArrayInTable(Fertiliser_SourceData.Fertiliser_Products_Data3(), FertiliserProducts[[#Headers],[Company]],61)</f>
        <v>0.11700000000000001</v>
      </c>
      <c r="Q179" s="172" t="str" cm="1">
        <f t="array" ref="Q179">Common_InputFunctions.Utility_DisplayArrayInTable(Fertiliser_SourceData.Fertiliser_Products_Data3(), FertiliserProducts[[#Headers],[Company]],61)</f>
        <v>Phosphorus - Generic</v>
      </c>
      <c r="R179" s="172" cm="1">
        <f t="array" ref="R179">Common_InputFunctions.Utility_DisplayArrayInTable(Fertiliser_SourceData.Fertiliser_Products_Data3(), FertiliserProducts[[#Headers],[Company]],61)</f>
        <v>4.7E-2</v>
      </c>
      <c r="S179" s="172" t="str" cm="1">
        <f t="array" ref="S179">Common_InputFunctions.Utility_DisplayArrayInTable(Fertiliser_SourceData.Fertiliser_Products_Data3(), FertiliserProducts[[#Headers],[Company]],61)</f>
        <v>Potassium - Generic</v>
      </c>
      <c r="T179" s="172" cm="1">
        <f t="array" ref="T179">Common_InputFunctions.Utility_DisplayArrayInTable(Fertiliser_SourceData.Fertiliser_Products_Data3(), FertiliserProducts[[#Headers],[Company]],61)</f>
        <v>0.23899999999999999</v>
      </c>
      <c r="U179" s="172" t="str" cm="1">
        <f t="array" ref="U179">Common_InputFunctions.Utility_DisplayArrayInTable(Fertiliser_SourceData.Fertiliser_Products_Data3(), FertiliserProducts[[#Headers],[Company]],61)</f>
        <v>Sulfur - Generic</v>
      </c>
      <c r="V179" s="172" cm="1">
        <f t="array" ref="V179">Common_InputFunctions.Utility_DisplayArrayInTable(Fertiliser_SourceData.Fertiliser_Products_Data3(), FertiliserProducts[[#Headers],[Company]],61)</f>
        <v>4.5999999999999999E-2</v>
      </c>
      <c r="W179" s="172" t="str" cm="1">
        <f t="array" ref="W179">Common_InputFunctions.Utility_DisplayArrayInTable(Fertiliser_SourceData.Fertiliser_Products_Data3(), FertiliserProducts[[#Headers],[Company]],61)</f>
        <v/>
      </c>
      <c r="X179" s="172" t="str" cm="1">
        <f t="array" ref="X179">Common_InputFunctions.Utility_DisplayArrayInTable(Fertiliser_SourceData.Fertiliser_Products_Data3(), FertiliserProducts[[#Headers],[Company]],61)</f>
        <v/>
      </c>
      <c r="Y179" s="172" t="str" cm="1">
        <f t="array" ref="Y179">Common_InputFunctions.Utility_DisplayArrayInTable(Fertiliser_SourceData.Fertiliser_Products_Data3(), FertiliserProducts[[#Headers],[Company]],61)</f>
        <v/>
      </c>
      <c r="Z179" s="172" t="str" cm="1">
        <f t="array" ref="Z179">Common_InputFunctions.Utility_DisplayArrayInTable(Fertiliser_SourceData.Fertiliser_Products_Data3(), FertiliserProducts[[#Headers],[Company]],61)</f>
        <v/>
      </c>
      <c r="AA179" s="172" t="str" cm="1">
        <f t="array" ref="AA179">Common_InputFunctions.Utility_DisplayArrayInTable(Fertiliser_SourceData.Fertiliser_Products_Data3(), FertiliserProducts[[#Headers],[Company]],61)</f>
        <v/>
      </c>
      <c r="AB179" s="172" t="str" cm="1">
        <f t="array" ref="AB179">Common_InputFunctions.Utility_DisplayArrayInTable(Fertiliser_SourceData.Fertiliser_Products_Data3(), FertiliserProducts[[#Headers],[Company]],61)</f>
        <v/>
      </c>
      <c r="AC179" s="172" t="str" cm="1">
        <f t="array" ref="AC179">Common_InputFunctions.Utility_DisplayArrayInTable(Fertiliser_SourceData.Fertiliser_Products_Data3(), FertiliserProducts[[#Headers],[Company]],61)</f>
        <v/>
      </c>
      <c r="AD179" s="172" t="str" cm="1">
        <f t="array" ref="AD179">Common_InputFunctions.Utility_DisplayArrayInTable(Fertiliser_SourceData.Fertiliser_Products_Data3(), FertiliserProducts[[#Headers],[Company]],61)</f>
        <v/>
      </c>
      <c r="AE179" s="172" t="str" cm="1">
        <f t="array" ref="AE179">Common_InputFunctions.Utility_DisplayArrayInTable(Fertiliser_SourceData.Fertiliser_Products_Data3(), FertiliserProducts[[#Headers],[Company]],61)</f>
        <v/>
      </c>
      <c r="AF179" s="172" t="str" cm="1">
        <f t="array" ref="AF179">Common_InputFunctions.Utility_DisplayArrayInTable(Fertiliser_SourceData.Fertiliser_Products_Data3(), FertiliserProducts[[#Headers],[Company]],61)</f>
        <v/>
      </c>
      <c r="AG179" s="172" t="str" cm="1">
        <f t="array" ref="AG179">Common_InputFunctions.Utility_DisplayArrayInTable(Fertiliser_SourceData.Fertiliser_Products_Data3(), FertiliserProducts[[#Headers],[Company]],61)</f>
        <v/>
      </c>
      <c r="AH179" s="172" t="str" cm="1">
        <f t="array" ref="AH179">Common_InputFunctions.Utility_DisplayArrayInTable(Fertiliser_SourceData.Fertiliser_Products_Data3(), FertiliserProducts[[#Headers],[Company]],61)</f>
        <v/>
      </c>
      <c r="AK179" s="1"/>
    </row>
    <row r="180" spans="4:37" x14ac:dyDescent="0.25">
      <c r="D180" s="172" t="str" cm="1">
        <f t="array" ref="D180">Common_InputFunctions.Utility_DisplayArrayInTable(Fertiliser_SourceData.Fertiliser_Products_Data4(),FertiliserProducts[[#Headers],[Company]], 91)</f>
        <v>Impact Fertilisers</v>
      </c>
      <c r="E180" s="172" t="str" cm="1">
        <f t="array" ref="E180">Common_InputFunctions.Utility_DisplayArrayInTable(Fertiliser_SourceData.Fertiliser_Products_Data4(),FertiliserProducts[[#Headers],[Company]], 91)</f>
        <v>Impact Super Potash 1&amp;1</v>
      </c>
      <c r="F180" s="172" t="str" cm="1">
        <f t="array" ref="F180">Common_InputFunctions.Utility_DisplayArrayInTable(Fertiliser_SourceData.Fertiliser_Products_Data4(),FertiliserProducts[[#Headers],[Company]], 91)</f>
        <v>kg</v>
      </c>
      <c r="G180" s="172" cm="1">
        <f t="array" ref="G180">Common_InputFunctions.Utility_DisplayArrayInTable(Fertiliser_SourceData.Fertiliser_Products_Data4(),FertiliserProducts[[#Headers],[Company]], 91)</f>
        <v>1</v>
      </c>
      <c r="H180" s="172" t="str" cm="1">
        <f t="array" ref="H180">Common_InputFunctions.Utility_DisplayArrayInTable(Fertiliser_SourceData.Fertiliser_Products_Data4(),FertiliserProducts[[#Headers],[Company]], 91)</f>
        <v/>
      </c>
      <c r="I180" s="172" t="str" cm="1">
        <f t="array" ref="I180">Common_InputFunctions.Utility_DisplayArrayInTable(Fertiliser_SourceData.Fertiliser_Products_Data4(),FertiliserProducts[[#Headers],[Company]], 91)</f>
        <v/>
      </c>
      <c r="J180" s="172" t="str" cm="1">
        <f t="array" ref="J180">Common_InputFunctions.Utility_DisplayArrayInTable(Fertiliser_SourceData.Fertiliser_Products_Data4(),FertiliserProducts[[#Headers],[Company]], 91)</f>
        <v/>
      </c>
      <c r="K180" s="172" t="str" cm="1">
        <f t="array" ref="K180">Common_InputFunctions.Utility_DisplayArrayInTable(Fertiliser_SourceData.Fertiliser_Products_Data4(),FertiliserProducts[[#Headers],[Company]], 91)</f>
        <v/>
      </c>
      <c r="L180" s="172" cm="1">
        <f t="array" ref="L180">Common_InputFunctions.Utility_DisplayArrayInTable(Fertiliser_SourceData.Fertiliser_Products_Data4(),FertiliserProducts[[#Headers],[Company]], 91)</f>
        <v>4.4000000000000004</v>
      </c>
      <c r="M180" s="172" cm="1">
        <f t="array" ref="M180">Common_InputFunctions.Utility_DisplayArrayInTable(Fertiliser_SourceData.Fertiliser_Products_Data4(),FertiliserProducts[[#Headers],[Company]], 91)</f>
        <v>25</v>
      </c>
      <c r="N180" s="172" cm="1">
        <f t="array" ref="N180">Common_InputFunctions.Utility_DisplayArrayInTable(Fertiliser_SourceData.Fertiliser_Products_Data4(),FertiliserProducts[[#Headers],[Company]], 91)</f>
        <v>5.5</v>
      </c>
      <c r="O180" s="172" t="str" cm="1">
        <f t="array" ref="O180">Common_InputFunctions.Utility_DisplayArrayInTable(Fertiliser_SourceData.Fertiliser_Products_Data4(),FertiliserProducts[[#Headers],[Company]], 91)</f>
        <v>Single superphosphate (SSP)</v>
      </c>
      <c r="P180" s="172" cm="1">
        <f t="array" ref="P180">Common_InputFunctions.Utility_DisplayArrayInTable(Fertiliser_SourceData.Fertiliser_Products_Data4(),FertiliserProducts[[#Headers],[Company]], 91)</f>
        <v>0.5</v>
      </c>
      <c r="Q180" s="172" t="str" cm="1">
        <f t="array" ref="Q180">Common_InputFunctions.Utility_DisplayArrayInTable(Fertiliser_SourceData.Fertiliser_Products_Data4(),FertiliserProducts[[#Headers],[Company]], 91)</f>
        <v>Muriate of potash (MOP)</v>
      </c>
      <c r="R180" s="172" cm="1">
        <f t="array" ref="R180">Common_InputFunctions.Utility_DisplayArrayInTable(Fertiliser_SourceData.Fertiliser_Products_Data4(),FertiliserProducts[[#Headers],[Company]], 91)</f>
        <v>0.5</v>
      </c>
      <c r="S180" s="172" t="str" cm="1">
        <f t="array" ref="S180">Common_InputFunctions.Utility_DisplayArrayInTable(Fertiliser_SourceData.Fertiliser_Products_Data4(),FertiliserProducts[[#Headers],[Company]], 91)</f>
        <v/>
      </c>
      <c r="T180" s="172" t="str" cm="1">
        <f t="array" ref="T180">Common_InputFunctions.Utility_DisplayArrayInTable(Fertiliser_SourceData.Fertiliser_Products_Data4(),FertiliserProducts[[#Headers],[Company]], 91)</f>
        <v/>
      </c>
      <c r="U180" s="172" t="str" cm="1">
        <f t="array" ref="U180">Common_InputFunctions.Utility_DisplayArrayInTable(Fertiliser_SourceData.Fertiliser_Products_Data4(),FertiliserProducts[[#Headers],[Company]], 91)</f>
        <v/>
      </c>
      <c r="V180" s="172" t="str" cm="1">
        <f t="array" ref="V180">Common_InputFunctions.Utility_DisplayArrayInTable(Fertiliser_SourceData.Fertiliser_Products_Data4(),FertiliserProducts[[#Headers],[Company]], 91)</f>
        <v/>
      </c>
      <c r="W180" s="172" t="str" cm="1">
        <f t="array" ref="W180">Common_InputFunctions.Utility_DisplayArrayInTable(Fertiliser_SourceData.Fertiliser_Products_Data4(),FertiliserProducts[[#Headers],[Company]], 91)</f>
        <v/>
      </c>
      <c r="X180" s="172" t="str" cm="1">
        <f t="array" ref="X180">Common_InputFunctions.Utility_DisplayArrayInTable(Fertiliser_SourceData.Fertiliser_Products_Data4(),FertiliserProducts[[#Headers],[Company]], 91)</f>
        <v/>
      </c>
      <c r="Y180" s="172" t="str" cm="1">
        <f t="array" ref="Y180">Common_InputFunctions.Utility_DisplayArrayInTable(Fertiliser_SourceData.Fertiliser_Products_Data4(),FertiliserProducts[[#Headers],[Company]], 91)</f>
        <v/>
      </c>
      <c r="Z180" s="172" t="str" cm="1">
        <f t="array" ref="Z180">Common_InputFunctions.Utility_DisplayArrayInTable(Fertiliser_SourceData.Fertiliser_Products_Data4(),FertiliserProducts[[#Headers],[Company]], 91)</f>
        <v/>
      </c>
      <c r="AA180" s="172" t="str" cm="1">
        <f t="array" ref="AA180">Common_InputFunctions.Utility_DisplayArrayInTable(Fertiliser_SourceData.Fertiliser_Products_Data4(),FertiliserProducts[[#Headers],[Company]], 91)</f>
        <v/>
      </c>
      <c r="AB180" s="172" t="str" cm="1">
        <f t="array" ref="AB180">Common_InputFunctions.Utility_DisplayArrayInTable(Fertiliser_SourceData.Fertiliser_Products_Data4(),FertiliserProducts[[#Headers],[Company]], 91)</f>
        <v/>
      </c>
      <c r="AC180" s="172" t="str" cm="1">
        <f t="array" ref="AC180">Common_InputFunctions.Utility_DisplayArrayInTable(Fertiliser_SourceData.Fertiliser_Products_Data4(),FertiliserProducts[[#Headers],[Company]], 91)</f>
        <v/>
      </c>
      <c r="AD180" s="172" t="str" cm="1">
        <f t="array" ref="AD180">Common_InputFunctions.Utility_DisplayArrayInTable(Fertiliser_SourceData.Fertiliser_Products_Data4(),FertiliserProducts[[#Headers],[Company]], 91)</f>
        <v/>
      </c>
      <c r="AE180" s="172" t="str" cm="1">
        <f t="array" ref="AE180">Common_InputFunctions.Utility_DisplayArrayInTable(Fertiliser_SourceData.Fertiliser_Products_Data4(),FertiliserProducts[[#Headers],[Company]], 91)</f>
        <v/>
      </c>
      <c r="AF180" s="172" t="str" cm="1">
        <f t="array" ref="AF180">Common_InputFunctions.Utility_DisplayArrayInTable(Fertiliser_SourceData.Fertiliser_Products_Data4(),FertiliserProducts[[#Headers],[Company]], 91)</f>
        <v/>
      </c>
      <c r="AG180" s="172" t="str" cm="1">
        <f t="array" ref="AG180">Common_InputFunctions.Utility_DisplayArrayInTable(Fertiliser_SourceData.Fertiliser_Products_Data4(),FertiliserProducts[[#Headers],[Company]], 91)</f>
        <v/>
      </c>
      <c r="AH180" s="172" t="str" cm="1">
        <f t="array" ref="AH180">Common_InputFunctions.Utility_DisplayArrayInTable(Fertiliser_SourceData.Fertiliser_Products_Data4(),FertiliserProducts[[#Headers],[Company]], 91)</f>
        <v/>
      </c>
    </row>
    <row r="181" spans="4:37" x14ac:dyDescent="0.25">
      <c r="D181" s="172" t="str" cm="1">
        <f t="array" ref="D181">Common_InputFunctions.Utility_DisplayArrayInTable(Fertiliser_SourceData.Fertiliser_Products_Data4(),FertiliserProducts[[#Headers],[Company]], 91)</f>
        <v>Impact Fertilisers</v>
      </c>
      <c r="E181" s="172" t="str" cm="1">
        <f t="array" ref="E181">Common_InputFunctions.Utility_DisplayArrayInTable(Fertiliser_SourceData.Fertiliser_Products_Data4(),FertiliserProducts[[#Headers],[Company]], 91)</f>
        <v>Impact Super Potash 2&amp;1</v>
      </c>
      <c r="F181" s="172" t="str" cm="1">
        <f t="array" ref="F181">Common_InputFunctions.Utility_DisplayArrayInTable(Fertiliser_SourceData.Fertiliser_Products_Data4(),FertiliserProducts[[#Headers],[Company]], 91)</f>
        <v>kg</v>
      </c>
      <c r="G181" s="172" cm="1">
        <f t="array" ref="G181">Common_InputFunctions.Utility_DisplayArrayInTable(Fertiliser_SourceData.Fertiliser_Products_Data4(),FertiliserProducts[[#Headers],[Company]], 91)</f>
        <v>1</v>
      </c>
      <c r="H181" s="172" t="str" cm="1">
        <f t="array" ref="H181">Common_InputFunctions.Utility_DisplayArrayInTable(Fertiliser_SourceData.Fertiliser_Products_Data4(),FertiliserProducts[[#Headers],[Company]], 91)</f>
        <v/>
      </c>
      <c r="I181" s="172" t="str" cm="1">
        <f t="array" ref="I181">Common_InputFunctions.Utility_DisplayArrayInTable(Fertiliser_SourceData.Fertiliser_Products_Data4(),FertiliserProducts[[#Headers],[Company]], 91)</f>
        <v/>
      </c>
      <c r="J181" s="172" t="str" cm="1">
        <f t="array" ref="J181">Common_InputFunctions.Utility_DisplayArrayInTable(Fertiliser_SourceData.Fertiliser_Products_Data4(),FertiliserProducts[[#Headers],[Company]], 91)</f>
        <v/>
      </c>
      <c r="K181" s="172" t="str" cm="1">
        <f t="array" ref="K181">Common_InputFunctions.Utility_DisplayArrayInTable(Fertiliser_SourceData.Fertiliser_Products_Data4(),FertiliserProducts[[#Headers],[Company]], 91)</f>
        <v/>
      </c>
      <c r="L181" s="172" cm="1">
        <f t="array" ref="L181">Common_InputFunctions.Utility_DisplayArrayInTable(Fertiliser_SourceData.Fertiliser_Products_Data4(),FertiliserProducts[[#Headers],[Company]], 91)</f>
        <v>5.84</v>
      </c>
      <c r="M181" s="172" cm="1">
        <f t="array" ref="M181">Common_InputFunctions.Utility_DisplayArrayInTable(Fertiliser_SourceData.Fertiliser_Products_Data4(),FertiliserProducts[[#Headers],[Company]], 91)</f>
        <v>16.8</v>
      </c>
      <c r="N181" s="172" cm="1">
        <f t="array" ref="N181">Common_InputFunctions.Utility_DisplayArrayInTable(Fertiliser_SourceData.Fertiliser_Products_Data4(),FertiliserProducts[[#Headers],[Company]], 91)</f>
        <v>7.29</v>
      </c>
      <c r="O181" s="172" t="str" cm="1">
        <f t="array" ref="O181">Common_InputFunctions.Utility_DisplayArrayInTable(Fertiliser_SourceData.Fertiliser_Products_Data4(),FertiliserProducts[[#Headers],[Company]], 91)</f>
        <v>Single superphosphate (SSP)</v>
      </c>
      <c r="P181" s="172" cm="1">
        <f t="array" ref="P181">Common_InputFunctions.Utility_DisplayArrayInTable(Fertiliser_SourceData.Fertiliser_Products_Data4(),FertiliserProducts[[#Headers],[Company]], 91)</f>
        <v>0.66315800000000003</v>
      </c>
      <c r="Q181" s="172" t="str" cm="1">
        <f t="array" ref="Q181">Common_InputFunctions.Utility_DisplayArrayInTable(Fertiliser_SourceData.Fertiliser_Products_Data4(),FertiliserProducts[[#Headers],[Company]], 91)</f>
        <v>Muriate of potash (MOP)</v>
      </c>
      <c r="R181" s="172" cm="1">
        <f t="array" ref="R181">Common_InputFunctions.Utility_DisplayArrayInTable(Fertiliser_SourceData.Fertiliser_Products_Data4(),FertiliserProducts[[#Headers],[Company]], 91)</f>
        <v>0.33600000000000002</v>
      </c>
      <c r="S181" s="172" t="str" cm="1">
        <f t="array" ref="S181">Common_InputFunctions.Utility_DisplayArrayInTable(Fertiliser_SourceData.Fertiliser_Products_Data4(),FertiliserProducts[[#Headers],[Company]], 91)</f>
        <v/>
      </c>
      <c r="T181" s="172" t="str" cm="1">
        <f t="array" ref="T181">Common_InputFunctions.Utility_DisplayArrayInTable(Fertiliser_SourceData.Fertiliser_Products_Data4(),FertiliserProducts[[#Headers],[Company]], 91)</f>
        <v/>
      </c>
      <c r="U181" s="172" t="str" cm="1">
        <f t="array" ref="U181">Common_InputFunctions.Utility_DisplayArrayInTable(Fertiliser_SourceData.Fertiliser_Products_Data4(),FertiliserProducts[[#Headers],[Company]], 91)</f>
        <v/>
      </c>
      <c r="V181" s="172" t="str" cm="1">
        <f t="array" ref="V181">Common_InputFunctions.Utility_DisplayArrayInTable(Fertiliser_SourceData.Fertiliser_Products_Data4(),FertiliserProducts[[#Headers],[Company]], 91)</f>
        <v/>
      </c>
      <c r="W181" s="172" t="str" cm="1">
        <f t="array" ref="W181">Common_InputFunctions.Utility_DisplayArrayInTable(Fertiliser_SourceData.Fertiliser_Products_Data4(),FertiliserProducts[[#Headers],[Company]], 91)</f>
        <v/>
      </c>
      <c r="X181" s="172" t="str" cm="1">
        <f t="array" ref="X181">Common_InputFunctions.Utility_DisplayArrayInTable(Fertiliser_SourceData.Fertiliser_Products_Data4(),FertiliserProducts[[#Headers],[Company]], 91)</f>
        <v/>
      </c>
      <c r="Y181" s="172" t="str" cm="1">
        <f t="array" ref="Y181">Common_InputFunctions.Utility_DisplayArrayInTable(Fertiliser_SourceData.Fertiliser_Products_Data4(),FertiliserProducts[[#Headers],[Company]], 91)</f>
        <v/>
      </c>
      <c r="Z181" s="172" t="str" cm="1">
        <f t="array" ref="Z181">Common_InputFunctions.Utility_DisplayArrayInTable(Fertiliser_SourceData.Fertiliser_Products_Data4(),FertiliserProducts[[#Headers],[Company]], 91)</f>
        <v/>
      </c>
      <c r="AA181" s="172" t="str" cm="1">
        <f t="array" ref="AA181">Common_InputFunctions.Utility_DisplayArrayInTable(Fertiliser_SourceData.Fertiliser_Products_Data4(),FertiliserProducts[[#Headers],[Company]], 91)</f>
        <v/>
      </c>
      <c r="AB181" s="172" t="str" cm="1">
        <f t="array" ref="AB181">Common_InputFunctions.Utility_DisplayArrayInTable(Fertiliser_SourceData.Fertiliser_Products_Data4(),FertiliserProducts[[#Headers],[Company]], 91)</f>
        <v/>
      </c>
      <c r="AC181" s="172" t="str" cm="1">
        <f t="array" ref="AC181">Common_InputFunctions.Utility_DisplayArrayInTable(Fertiliser_SourceData.Fertiliser_Products_Data4(),FertiliserProducts[[#Headers],[Company]], 91)</f>
        <v/>
      </c>
      <c r="AD181" s="172" t="str" cm="1">
        <f t="array" ref="AD181">Common_InputFunctions.Utility_DisplayArrayInTable(Fertiliser_SourceData.Fertiliser_Products_Data4(),FertiliserProducts[[#Headers],[Company]], 91)</f>
        <v/>
      </c>
      <c r="AE181" s="172" t="str" cm="1">
        <f t="array" ref="AE181">Common_InputFunctions.Utility_DisplayArrayInTable(Fertiliser_SourceData.Fertiliser_Products_Data4(),FertiliserProducts[[#Headers],[Company]], 91)</f>
        <v/>
      </c>
      <c r="AF181" s="172" t="str" cm="1">
        <f t="array" ref="AF181">Common_InputFunctions.Utility_DisplayArrayInTable(Fertiliser_SourceData.Fertiliser_Products_Data4(),FertiliserProducts[[#Headers],[Company]], 91)</f>
        <v/>
      </c>
      <c r="AG181" s="172" t="str" cm="1">
        <f t="array" ref="AG181">Common_InputFunctions.Utility_DisplayArrayInTable(Fertiliser_SourceData.Fertiliser_Products_Data4(),FertiliserProducts[[#Headers],[Company]], 91)</f>
        <v/>
      </c>
      <c r="AH181" s="172" t="str" cm="1">
        <f t="array" ref="AH181">Common_InputFunctions.Utility_DisplayArrayInTable(Fertiliser_SourceData.Fertiliser_Products_Data4(),FertiliserProducts[[#Headers],[Company]], 91)</f>
        <v/>
      </c>
    </row>
    <row r="182" spans="4:37" x14ac:dyDescent="0.25">
      <c r="D182" s="172" t="str" cm="1">
        <f t="array" ref="D182">Common_InputFunctions.Utility_DisplayArrayInTable(Fertiliser_SourceData.Fertiliser_Products_Data4(),FertiliserProducts[[#Headers],[Company]], 91)</f>
        <v>Impact Fertilisers</v>
      </c>
      <c r="E182" s="172" t="str" cm="1">
        <f t="array" ref="E182">Common_InputFunctions.Utility_DisplayArrayInTable(Fertiliser_SourceData.Fertiliser_Products_Data4(),FertiliserProducts[[#Headers],[Company]], 91)</f>
        <v>Impact Super Potash 3&amp;1</v>
      </c>
      <c r="F182" s="172" t="str" cm="1">
        <f t="array" ref="F182">Common_InputFunctions.Utility_DisplayArrayInTable(Fertiliser_SourceData.Fertiliser_Products_Data4(),FertiliserProducts[[#Headers],[Company]], 91)</f>
        <v>kg</v>
      </c>
      <c r="G182" s="172" cm="1">
        <f t="array" ref="G182">Common_InputFunctions.Utility_DisplayArrayInTable(Fertiliser_SourceData.Fertiliser_Products_Data4(),FertiliserProducts[[#Headers],[Company]], 91)</f>
        <v>1</v>
      </c>
      <c r="H182" s="172" t="str" cm="1">
        <f t="array" ref="H182">Common_InputFunctions.Utility_DisplayArrayInTable(Fertiliser_SourceData.Fertiliser_Products_Data4(),FertiliserProducts[[#Headers],[Company]], 91)</f>
        <v/>
      </c>
      <c r="I182" s="172" t="str" cm="1">
        <f t="array" ref="I182">Common_InputFunctions.Utility_DisplayArrayInTable(Fertiliser_SourceData.Fertiliser_Products_Data4(),FertiliserProducts[[#Headers],[Company]], 91)</f>
        <v/>
      </c>
      <c r="J182" s="172" t="str" cm="1">
        <f t="array" ref="J182">Common_InputFunctions.Utility_DisplayArrayInTable(Fertiliser_SourceData.Fertiliser_Products_Data4(),FertiliserProducts[[#Headers],[Company]], 91)</f>
        <v/>
      </c>
      <c r="K182" s="172" t="str" cm="1">
        <f t="array" ref="K182">Common_InputFunctions.Utility_DisplayArrayInTable(Fertiliser_SourceData.Fertiliser_Products_Data4(),FertiliserProducts[[#Headers],[Company]], 91)</f>
        <v/>
      </c>
      <c r="L182" s="172" cm="1">
        <f t="array" ref="L182">Common_InputFunctions.Utility_DisplayArrayInTable(Fertiliser_SourceData.Fertiliser_Products_Data4(),FertiliserProducts[[#Headers],[Company]], 91)</f>
        <v>6.58</v>
      </c>
      <c r="M182" s="172" cm="1">
        <f t="array" ref="M182">Common_InputFunctions.Utility_DisplayArrayInTable(Fertiliser_SourceData.Fertiliser_Products_Data4(),FertiliserProducts[[#Headers],[Company]], 91)</f>
        <v>12.5</v>
      </c>
      <c r="N182" s="172" cm="1">
        <f t="array" ref="N182">Common_InputFunctions.Utility_DisplayArrayInTable(Fertiliser_SourceData.Fertiliser_Products_Data4(),FertiliserProducts[[#Headers],[Company]], 91)</f>
        <v>8.2200000000000006</v>
      </c>
      <c r="O182" s="172" t="str" cm="1">
        <f t="array" ref="O182">Common_InputFunctions.Utility_DisplayArrayInTable(Fertiliser_SourceData.Fertiliser_Products_Data4(),FertiliserProducts[[#Headers],[Company]], 91)</f>
        <v>Single superphosphate (SSP)</v>
      </c>
      <c r="P182" s="172" cm="1">
        <f t="array" ref="P182">Common_InputFunctions.Utility_DisplayArrayInTable(Fertiliser_SourceData.Fertiliser_Products_Data4(),FertiliserProducts[[#Headers],[Company]], 91)</f>
        <v>0.74736800000000003</v>
      </c>
      <c r="Q182" s="172" t="str" cm="1">
        <f t="array" ref="Q182">Common_InputFunctions.Utility_DisplayArrayInTable(Fertiliser_SourceData.Fertiliser_Products_Data4(),FertiliserProducts[[#Headers],[Company]], 91)</f>
        <v>Muriate of potash (MOP)</v>
      </c>
      <c r="R182" s="172" cm="1">
        <f t="array" ref="R182">Common_InputFunctions.Utility_DisplayArrayInTable(Fertiliser_SourceData.Fertiliser_Products_Data4(),FertiliserProducts[[#Headers],[Company]], 91)</f>
        <v>0.25</v>
      </c>
      <c r="S182" s="172" t="str" cm="1">
        <f t="array" ref="S182">Common_InputFunctions.Utility_DisplayArrayInTable(Fertiliser_SourceData.Fertiliser_Products_Data4(),FertiliserProducts[[#Headers],[Company]], 91)</f>
        <v/>
      </c>
      <c r="T182" s="172" t="str" cm="1">
        <f t="array" ref="T182">Common_InputFunctions.Utility_DisplayArrayInTable(Fertiliser_SourceData.Fertiliser_Products_Data4(),FertiliserProducts[[#Headers],[Company]], 91)</f>
        <v/>
      </c>
      <c r="U182" s="172" t="str" cm="1">
        <f t="array" ref="U182">Common_InputFunctions.Utility_DisplayArrayInTable(Fertiliser_SourceData.Fertiliser_Products_Data4(),FertiliserProducts[[#Headers],[Company]], 91)</f>
        <v/>
      </c>
      <c r="V182" s="172" t="str" cm="1">
        <f t="array" ref="V182">Common_InputFunctions.Utility_DisplayArrayInTable(Fertiliser_SourceData.Fertiliser_Products_Data4(),FertiliserProducts[[#Headers],[Company]], 91)</f>
        <v/>
      </c>
      <c r="W182" s="172" t="str" cm="1">
        <f t="array" ref="W182">Common_InputFunctions.Utility_DisplayArrayInTable(Fertiliser_SourceData.Fertiliser_Products_Data4(),FertiliserProducts[[#Headers],[Company]], 91)</f>
        <v/>
      </c>
      <c r="X182" s="172" t="str" cm="1">
        <f t="array" ref="X182">Common_InputFunctions.Utility_DisplayArrayInTable(Fertiliser_SourceData.Fertiliser_Products_Data4(),FertiliserProducts[[#Headers],[Company]], 91)</f>
        <v/>
      </c>
      <c r="Y182" s="172" t="str" cm="1">
        <f t="array" ref="Y182">Common_InputFunctions.Utility_DisplayArrayInTable(Fertiliser_SourceData.Fertiliser_Products_Data4(),FertiliserProducts[[#Headers],[Company]], 91)</f>
        <v/>
      </c>
      <c r="Z182" s="172" t="str" cm="1">
        <f t="array" ref="Z182">Common_InputFunctions.Utility_DisplayArrayInTable(Fertiliser_SourceData.Fertiliser_Products_Data4(),FertiliserProducts[[#Headers],[Company]], 91)</f>
        <v/>
      </c>
      <c r="AA182" s="172" t="str" cm="1">
        <f t="array" ref="AA182">Common_InputFunctions.Utility_DisplayArrayInTable(Fertiliser_SourceData.Fertiliser_Products_Data4(),FertiliserProducts[[#Headers],[Company]], 91)</f>
        <v/>
      </c>
      <c r="AB182" s="172" t="str" cm="1">
        <f t="array" ref="AB182">Common_InputFunctions.Utility_DisplayArrayInTable(Fertiliser_SourceData.Fertiliser_Products_Data4(),FertiliserProducts[[#Headers],[Company]], 91)</f>
        <v/>
      </c>
      <c r="AC182" s="172" t="str" cm="1">
        <f t="array" ref="AC182">Common_InputFunctions.Utility_DisplayArrayInTable(Fertiliser_SourceData.Fertiliser_Products_Data4(),FertiliserProducts[[#Headers],[Company]], 91)</f>
        <v/>
      </c>
      <c r="AD182" s="172" t="str" cm="1">
        <f t="array" ref="AD182">Common_InputFunctions.Utility_DisplayArrayInTable(Fertiliser_SourceData.Fertiliser_Products_Data4(),FertiliserProducts[[#Headers],[Company]], 91)</f>
        <v/>
      </c>
      <c r="AE182" s="172" t="str" cm="1">
        <f t="array" ref="AE182">Common_InputFunctions.Utility_DisplayArrayInTable(Fertiliser_SourceData.Fertiliser_Products_Data4(),FertiliserProducts[[#Headers],[Company]], 91)</f>
        <v/>
      </c>
      <c r="AF182" s="172" t="str" cm="1">
        <f t="array" ref="AF182">Common_InputFunctions.Utility_DisplayArrayInTable(Fertiliser_SourceData.Fertiliser_Products_Data4(),FertiliserProducts[[#Headers],[Company]], 91)</f>
        <v/>
      </c>
      <c r="AG182" s="172" t="str" cm="1">
        <f t="array" ref="AG182">Common_InputFunctions.Utility_DisplayArrayInTable(Fertiliser_SourceData.Fertiliser_Products_Data4(),FertiliserProducts[[#Headers],[Company]], 91)</f>
        <v/>
      </c>
      <c r="AH182" s="172" t="str" cm="1">
        <f t="array" ref="AH182">Common_InputFunctions.Utility_DisplayArrayInTable(Fertiliser_SourceData.Fertiliser_Products_Data4(),FertiliserProducts[[#Headers],[Company]], 91)</f>
        <v/>
      </c>
    </row>
    <row r="183" spans="4:37" x14ac:dyDescent="0.25">
      <c r="D183" s="172" t="str" cm="1">
        <f t="array" ref="D183">Common_InputFunctions.Utility_DisplayArrayInTable(Fertiliser_SourceData.Fertiliser_Products_Data4(),FertiliserProducts[[#Headers],[Company]], 91)</f>
        <v>Impact Fertilisers</v>
      </c>
      <c r="E183" s="172" t="str" cm="1">
        <f t="array" ref="E183">Common_InputFunctions.Utility_DisplayArrayInTable(Fertiliser_SourceData.Fertiliser_Products_Data4(),FertiliserProducts[[#Headers],[Company]], 91)</f>
        <v>Impact Super Potash 4&amp;1</v>
      </c>
      <c r="F183" s="172" t="str" cm="1">
        <f t="array" ref="F183">Common_InputFunctions.Utility_DisplayArrayInTable(Fertiliser_SourceData.Fertiliser_Products_Data4(),FertiliserProducts[[#Headers],[Company]], 91)</f>
        <v>kg</v>
      </c>
      <c r="G183" s="172" cm="1">
        <f t="array" ref="G183">Common_InputFunctions.Utility_DisplayArrayInTable(Fertiliser_SourceData.Fertiliser_Products_Data4(),FertiliserProducts[[#Headers],[Company]], 91)</f>
        <v>1</v>
      </c>
      <c r="H183" s="172" t="str" cm="1">
        <f t="array" ref="H183">Common_InputFunctions.Utility_DisplayArrayInTable(Fertiliser_SourceData.Fertiliser_Products_Data4(),FertiliserProducts[[#Headers],[Company]], 91)</f>
        <v/>
      </c>
      <c r="I183" s="172" t="str" cm="1">
        <f t="array" ref="I183">Common_InputFunctions.Utility_DisplayArrayInTable(Fertiliser_SourceData.Fertiliser_Products_Data4(),FertiliserProducts[[#Headers],[Company]], 91)</f>
        <v/>
      </c>
      <c r="J183" s="172" t="str" cm="1">
        <f t="array" ref="J183">Common_InputFunctions.Utility_DisplayArrayInTable(Fertiliser_SourceData.Fertiliser_Products_Data4(),FertiliserProducts[[#Headers],[Company]], 91)</f>
        <v/>
      </c>
      <c r="K183" s="172" t="str" cm="1">
        <f t="array" ref="K183">Common_InputFunctions.Utility_DisplayArrayInTable(Fertiliser_SourceData.Fertiliser_Products_Data4(),FertiliserProducts[[#Headers],[Company]], 91)</f>
        <v/>
      </c>
      <c r="L183" s="172" cm="1">
        <f t="array" ref="L183">Common_InputFunctions.Utility_DisplayArrayInTable(Fertiliser_SourceData.Fertiliser_Products_Data4(),FertiliserProducts[[#Headers],[Company]], 91)</f>
        <v>7.04</v>
      </c>
      <c r="M183" s="172" cm="1">
        <f t="array" ref="M183">Common_InputFunctions.Utility_DisplayArrayInTable(Fertiliser_SourceData.Fertiliser_Products_Data4(),FertiliserProducts[[#Headers],[Company]], 91)</f>
        <v>10</v>
      </c>
      <c r="N183" s="172" cm="1">
        <f t="array" ref="N183">Common_InputFunctions.Utility_DisplayArrayInTable(Fertiliser_SourceData.Fertiliser_Products_Data4(),FertiliserProducts[[#Headers],[Company]], 91)</f>
        <v>8.8000000000000007</v>
      </c>
      <c r="O183" s="172" t="str" cm="1">
        <f t="array" ref="O183">Common_InputFunctions.Utility_DisplayArrayInTable(Fertiliser_SourceData.Fertiliser_Products_Data4(),FertiliserProducts[[#Headers],[Company]], 91)</f>
        <v>Single superphosphate (SSP)</v>
      </c>
      <c r="P183" s="172" cm="1">
        <f t="array" ref="P183">Common_InputFunctions.Utility_DisplayArrayInTable(Fertiliser_SourceData.Fertiliser_Products_Data4(),FertiliserProducts[[#Headers],[Company]], 91)</f>
        <v>0.8</v>
      </c>
      <c r="Q183" s="172" t="str" cm="1">
        <f t="array" ref="Q183">Common_InputFunctions.Utility_DisplayArrayInTable(Fertiliser_SourceData.Fertiliser_Products_Data4(),FertiliserProducts[[#Headers],[Company]], 91)</f>
        <v>Muriate of potash (MOP)</v>
      </c>
      <c r="R183" s="172" cm="1">
        <f t="array" ref="R183">Common_InputFunctions.Utility_DisplayArrayInTable(Fertiliser_SourceData.Fertiliser_Products_Data4(),FertiliserProducts[[#Headers],[Company]], 91)</f>
        <v>0.2</v>
      </c>
      <c r="S183" s="172" t="str" cm="1">
        <f t="array" ref="S183">Common_InputFunctions.Utility_DisplayArrayInTable(Fertiliser_SourceData.Fertiliser_Products_Data4(),FertiliserProducts[[#Headers],[Company]], 91)</f>
        <v/>
      </c>
      <c r="T183" s="172" t="str" cm="1">
        <f t="array" ref="T183">Common_InputFunctions.Utility_DisplayArrayInTable(Fertiliser_SourceData.Fertiliser_Products_Data4(),FertiliserProducts[[#Headers],[Company]], 91)</f>
        <v/>
      </c>
      <c r="U183" s="172" t="str" cm="1">
        <f t="array" ref="U183">Common_InputFunctions.Utility_DisplayArrayInTable(Fertiliser_SourceData.Fertiliser_Products_Data4(),FertiliserProducts[[#Headers],[Company]], 91)</f>
        <v/>
      </c>
      <c r="V183" s="172" t="str" cm="1">
        <f t="array" ref="V183">Common_InputFunctions.Utility_DisplayArrayInTable(Fertiliser_SourceData.Fertiliser_Products_Data4(),FertiliserProducts[[#Headers],[Company]], 91)</f>
        <v/>
      </c>
      <c r="W183" s="172" t="str" cm="1">
        <f t="array" ref="W183">Common_InputFunctions.Utility_DisplayArrayInTable(Fertiliser_SourceData.Fertiliser_Products_Data4(),FertiliserProducts[[#Headers],[Company]], 91)</f>
        <v/>
      </c>
      <c r="X183" s="172" t="str" cm="1">
        <f t="array" ref="X183">Common_InputFunctions.Utility_DisplayArrayInTable(Fertiliser_SourceData.Fertiliser_Products_Data4(),FertiliserProducts[[#Headers],[Company]], 91)</f>
        <v/>
      </c>
      <c r="Y183" s="172" t="str" cm="1">
        <f t="array" ref="Y183">Common_InputFunctions.Utility_DisplayArrayInTable(Fertiliser_SourceData.Fertiliser_Products_Data4(),FertiliserProducts[[#Headers],[Company]], 91)</f>
        <v/>
      </c>
      <c r="Z183" s="172" t="str" cm="1">
        <f t="array" ref="Z183">Common_InputFunctions.Utility_DisplayArrayInTable(Fertiliser_SourceData.Fertiliser_Products_Data4(),FertiliserProducts[[#Headers],[Company]], 91)</f>
        <v/>
      </c>
      <c r="AA183" s="172" t="str" cm="1">
        <f t="array" ref="AA183">Common_InputFunctions.Utility_DisplayArrayInTable(Fertiliser_SourceData.Fertiliser_Products_Data4(),FertiliserProducts[[#Headers],[Company]], 91)</f>
        <v/>
      </c>
      <c r="AB183" s="172" t="str" cm="1">
        <f t="array" ref="AB183">Common_InputFunctions.Utility_DisplayArrayInTable(Fertiliser_SourceData.Fertiliser_Products_Data4(),FertiliserProducts[[#Headers],[Company]], 91)</f>
        <v/>
      </c>
      <c r="AC183" s="172" t="str" cm="1">
        <f t="array" ref="AC183">Common_InputFunctions.Utility_DisplayArrayInTable(Fertiliser_SourceData.Fertiliser_Products_Data4(),FertiliserProducts[[#Headers],[Company]], 91)</f>
        <v/>
      </c>
      <c r="AD183" s="172" t="str" cm="1">
        <f t="array" ref="AD183">Common_InputFunctions.Utility_DisplayArrayInTable(Fertiliser_SourceData.Fertiliser_Products_Data4(),FertiliserProducts[[#Headers],[Company]], 91)</f>
        <v/>
      </c>
      <c r="AE183" s="172" t="str" cm="1">
        <f t="array" ref="AE183">Common_InputFunctions.Utility_DisplayArrayInTable(Fertiliser_SourceData.Fertiliser_Products_Data4(),FertiliserProducts[[#Headers],[Company]], 91)</f>
        <v/>
      </c>
      <c r="AF183" s="172" t="str" cm="1">
        <f t="array" ref="AF183">Common_InputFunctions.Utility_DisplayArrayInTable(Fertiliser_SourceData.Fertiliser_Products_Data4(),FertiliserProducts[[#Headers],[Company]], 91)</f>
        <v/>
      </c>
      <c r="AG183" s="172" t="str" cm="1">
        <f t="array" ref="AG183">Common_InputFunctions.Utility_DisplayArrayInTable(Fertiliser_SourceData.Fertiliser_Products_Data4(),FertiliserProducts[[#Headers],[Company]], 91)</f>
        <v/>
      </c>
      <c r="AH183" s="172" t="str" cm="1">
        <f t="array" ref="AH183">Common_InputFunctions.Utility_DisplayArrayInTable(Fertiliser_SourceData.Fertiliser_Products_Data4(),FertiliserProducts[[#Headers],[Company]], 91)</f>
        <v/>
      </c>
    </row>
    <row r="184" spans="4:37" x14ac:dyDescent="0.25">
      <c r="D184" s="172" t="str" cm="1">
        <f t="array" ref="D184">Common_InputFunctions.Utility_DisplayArrayInTable(Fertiliser_SourceData.Fertiliser_Products_Data4(),FertiliserProducts[[#Headers],[Company]], 91)</f>
        <v>Impact Fertilisers</v>
      </c>
      <c r="E184" s="172" t="str" cm="1">
        <f t="array" ref="E184">Common_InputFunctions.Utility_DisplayArrayInTable(Fertiliser_SourceData.Fertiliser_Products_Data4(),FertiliserProducts[[#Headers],[Company]], 91)</f>
        <v>Impact Super Potash 5&amp;1</v>
      </c>
      <c r="F184" s="172" t="str" cm="1">
        <f t="array" ref="F184">Common_InputFunctions.Utility_DisplayArrayInTable(Fertiliser_SourceData.Fertiliser_Products_Data4(),FertiliserProducts[[#Headers],[Company]], 91)</f>
        <v>kg</v>
      </c>
      <c r="G184" s="172" cm="1">
        <f t="array" ref="G184">Common_InputFunctions.Utility_DisplayArrayInTable(Fertiliser_SourceData.Fertiliser_Products_Data4(),FertiliserProducts[[#Headers],[Company]], 91)</f>
        <v>1</v>
      </c>
      <c r="H184" s="172" t="str" cm="1">
        <f t="array" ref="H184">Common_InputFunctions.Utility_DisplayArrayInTable(Fertiliser_SourceData.Fertiliser_Products_Data4(),FertiliserProducts[[#Headers],[Company]], 91)</f>
        <v/>
      </c>
      <c r="I184" s="172" t="str" cm="1">
        <f t="array" ref="I184">Common_InputFunctions.Utility_DisplayArrayInTable(Fertiliser_SourceData.Fertiliser_Products_Data4(),FertiliserProducts[[#Headers],[Company]], 91)</f>
        <v/>
      </c>
      <c r="J184" s="172" t="str" cm="1">
        <f t="array" ref="J184">Common_InputFunctions.Utility_DisplayArrayInTable(Fertiliser_SourceData.Fertiliser_Products_Data4(),FertiliserProducts[[#Headers],[Company]], 91)</f>
        <v/>
      </c>
      <c r="K184" s="172" t="str" cm="1">
        <f t="array" ref="K184">Common_InputFunctions.Utility_DisplayArrayInTable(Fertiliser_SourceData.Fertiliser_Products_Data4(),FertiliserProducts[[#Headers],[Company]], 91)</f>
        <v/>
      </c>
      <c r="L184" s="172" cm="1">
        <f t="array" ref="L184">Common_InputFunctions.Utility_DisplayArrayInTable(Fertiliser_SourceData.Fertiliser_Products_Data4(),FertiliserProducts[[#Headers],[Company]], 91)</f>
        <v>7.32</v>
      </c>
      <c r="M184" s="172" cm="1">
        <f t="array" ref="M184">Common_InputFunctions.Utility_DisplayArrayInTable(Fertiliser_SourceData.Fertiliser_Products_Data4(),FertiliserProducts[[#Headers],[Company]], 91)</f>
        <v>8.4</v>
      </c>
      <c r="N184" s="172" cm="1">
        <f t="array" ref="N184">Common_InputFunctions.Utility_DisplayArrayInTable(Fertiliser_SourceData.Fertiliser_Products_Data4(),FertiliserProducts[[#Headers],[Company]], 91)</f>
        <v>9.15</v>
      </c>
      <c r="O184" s="172" t="str" cm="1">
        <f t="array" ref="O184">Common_InputFunctions.Utility_DisplayArrayInTable(Fertiliser_SourceData.Fertiliser_Products_Data4(),FertiliserProducts[[#Headers],[Company]], 91)</f>
        <v>Single superphosphate (SSP)</v>
      </c>
      <c r="P184" s="172" cm="1">
        <f t="array" ref="P184">Common_InputFunctions.Utility_DisplayArrayInTable(Fertiliser_SourceData.Fertiliser_Products_Data4(),FertiliserProducts[[#Headers],[Company]], 91)</f>
        <v>0.83157899999999996</v>
      </c>
      <c r="Q184" s="172" t="str" cm="1">
        <f t="array" ref="Q184">Common_InputFunctions.Utility_DisplayArrayInTable(Fertiliser_SourceData.Fertiliser_Products_Data4(),FertiliserProducts[[#Headers],[Company]], 91)</f>
        <v>Muriate of potash (MOP)</v>
      </c>
      <c r="R184" s="172" cm="1">
        <f t="array" ref="R184">Common_InputFunctions.Utility_DisplayArrayInTable(Fertiliser_SourceData.Fertiliser_Products_Data4(),FertiliserProducts[[#Headers],[Company]], 91)</f>
        <v>0.16800000000000001</v>
      </c>
      <c r="S184" s="172" t="str" cm="1">
        <f t="array" ref="S184">Common_InputFunctions.Utility_DisplayArrayInTable(Fertiliser_SourceData.Fertiliser_Products_Data4(),FertiliserProducts[[#Headers],[Company]], 91)</f>
        <v/>
      </c>
      <c r="T184" s="172" t="str" cm="1">
        <f t="array" ref="T184">Common_InputFunctions.Utility_DisplayArrayInTable(Fertiliser_SourceData.Fertiliser_Products_Data4(),FertiliserProducts[[#Headers],[Company]], 91)</f>
        <v/>
      </c>
      <c r="U184" s="172" t="str" cm="1">
        <f t="array" ref="U184">Common_InputFunctions.Utility_DisplayArrayInTable(Fertiliser_SourceData.Fertiliser_Products_Data4(),FertiliserProducts[[#Headers],[Company]], 91)</f>
        <v/>
      </c>
      <c r="V184" s="172" t="str" cm="1">
        <f t="array" ref="V184">Common_InputFunctions.Utility_DisplayArrayInTable(Fertiliser_SourceData.Fertiliser_Products_Data4(),FertiliserProducts[[#Headers],[Company]], 91)</f>
        <v/>
      </c>
      <c r="W184" s="172" t="str" cm="1">
        <f t="array" ref="W184">Common_InputFunctions.Utility_DisplayArrayInTable(Fertiliser_SourceData.Fertiliser_Products_Data4(),FertiliserProducts[[#Headers],[Company]], 91)</f>
        <v/>
      </c>
      <c r="X184" s="172" t="str" cm="1">
        <f t="array" ref="X184">Common_InputFunctions.Utility_DisplayArrayInTable(Fertiliser_SourceData.Fertiliser_Products_Data4(),FertiliserProducts[[#Headers],[Company]], 91)</f>
        <v/>
      </c>
      <c r="Y184" s="172" t="str" cm="1">
        <f t="array" ref="Y184">Common_InputFunctions.Utility_DisplayArrayInTable(Fertiliser_SourceData.Fertiliser_Products_Data4(),FertiliserProducts[[#Headers],[Company]], 91)</f>
        <v/>
      </c>
      <c r="Z184" s="172" t="str" cm="1">
        <f t="array" ref="Z184">Common_InputFunctions.Utility_DisplayArrayInTable(Fertiliser_SourceData.Fertiliser_Products_Data4(),FertiliserProducts[[#Headers],[Company]], 91)</f>
        <v/>
      </c>
      <c r="AA184" s="172" t="str" cm="1">
        <f t="array" ref="AA184">Common_InputFunctions.Utility_DisplayArrayInTable(Fertiliser_SourceData.Fertiliser_Products_Data4(),FertiliserProducts[[#Headers],[Company]], 91)</f>
        <v/>
      </c>
      <c r="AB184" s="172" t="str" cm="1">
        <f t="array" ref="AB184">Common_InputFunctions.Utility_DisplayArrayInTable(Fertiliser_SourceData.Fertiliser_Products_Data4(),FertiliserProducts[[#Headers],[Company]], 91)</f>
        <v/>
      </c>
      <c r="AC184" s="172" t="str" cm="1">
        <f t="array" ref="AC184">Common_InputFunctions.Utility_DisplayArrayInTable(Fertiliser_SourceData.Fertiliser_Products_Data4(),FertiliserProducts[[#Headers],[Company]], 91)</f>
        <v/>
      </c>
      <c r="AD184" s="172" t="str" cm="1">
        <f t="array" ref="AD184">Common_InputFunctions.Utility_DisplayArrayInTable(Fertiliser_SourceData.Fertiliser_Products_Data4(),FertiliserProducts[[#Headers],[Company]], 91)</f>
        <v/>
      </c>
      <c r="AE184" s="172" t="str" cm="1">
        <f t="array" ref="AE184">Common_InputFunctions.Utility_DisplayArrayInTable(Fertiliser_SourceData.Fertiliser_Products_Data4(),FertiliserProducts[[#Headers],[Company]], 91)</f>
        <v/>
      </c>
      <c r="AF184" s="172" t="str" cm="1">
        <f t="array" ref="AF184">Common_InputFunctions.Utility_DisplayArrayInTable(Fertiliser_SourceData.Fertiliser_Products_Data4(),FertiliserProducts[[#Headers],[Company]], 91)</f>
        <v/>
      </c>
      <c r="AG184" s="172" t="str" cm="1">
        <f t="array" ref="AG184">Common_InputFunctions.Utility_DisplayArrayInTable(Fertiliser_SourceData.Fertiliser_Products_Data4(),FertiliserProducts[[#Headers],[Company]], 91)</f>
        <v/>
      </c>
      <c r="AH184" s="172" t="str" cm="1">
        <f t="array" ref="AH184">Common_InputFunctions.Utility_DisplayArrayInTable(Fertiliser_SourceData.Fertiliser_Products_Data4(),FertiliserProducts[[#Headers],[Company]], 91)</f>
        <v/>
      </c>
    </row>
    <row r="185" spans="4:37" x14ac:dyDescent="0.25">
      <c r="D185" s="172" t="str" cm="1">
        <f t="array" ref="D185">Common_InputFunctions.Utility_DisplayArrayInTable(Fertiliser_SourceData.Fertiliser_Products_Data4(),FertiliserProducts[[#Headers],[Company]], 91)</f>
        <v>Pacific Fertiliser / Incitec Pivot Fertilisers</v>
      </c>
      <c r="E185" s="172" t="str" cm="1">
        <f t="array" ref="E185">Common_InputFunctions.Utility_DisplayArrayInTable(Fertiliser_SourceData.Fertiliser_Products_Data4(),FertiliserProducts[[#Headers],[Company]], 91)</f>
        <v>Cal-Gran</v>
      </c>
      <c r="F185" s="172" t="str" cm="1">
        <f t="array" ref="F185">Common_InputFunctions.Utility_DisplayArrayInTable(Fertiliser_SourceData.Fertiliser_Products_Data4(),FertiliserProducts[[#Headers],[Company]], 91)</f>
        <v>kg</v>
      </c>
      <c r="G185" s="172" cm="1">
        <f t="array" ref="G185">Common_InputFunctions.Utility_DisplayArrayInTable(Fertiliser_SourceData.Fertiliser_Products_Data4(),FertiliserProducts[[#Headers],[Company]], 91)</f>
        <v>1</v>
      </c>
      <c r="H185" s="172" t="str" cm="1">
        <f t="array" ref="H185">Common_InputFunctions.Utility_DisplayArrayInTable(Fertiliser_SourceData.Fertiliser_Products_Data4(),FertiliserProducts[[#Headers],[Company]], 91)</f>
        <v/>
      </c>
      <c r="I185" s="172" t="str" cm="1">
        <f t="array" ref="I185">Common_InputFunctions.Utility_DisplayArrayInTable(Fertiliser_SourceData.Fertiliser_Products_Data4(),FertiliserProducts[[#Headers],[Company]], 91)</f>
        <v/>
      </c>
      <c r="J185" s="172" t="str" cm="1">
        <f t="array" ref="J185">Common_InputFunctions.Utility_DisplayArrayInTable(Fertiliser_SourceData.Fertiliser_Products_Data4(),FertiliserProducts[[#Headers],[Company]], 91)</f>
        <v/>
      </c>
      <c r="K185" s="172" cm="1">
        <f t="array" ref="K185">Common_InputFunctions.Utility_DisplayArrayInTable(Fertiliser_SourceData.Fertiliser_Products_Data4(),FertiliserProducts[[#Headers],[Company]], 91)</f>
        <v>23.9</v>
      </c>
      <c r="L185" s="172" t="str" cm="1">
        <f t="array" ref="L185">Common_InputFunctions.Utility_DisplayArrayInTable(Fertiliser_SourceData.Fertiliser_Products_Data4(),FertiliserProducts[[#Headers],[Company]], 91)</f>
        <v/>
      </c>
      <c r="M185" s="172" t="str" cm="1">
        <f t="array" ref="M185">Common_InputFunctions.Utility_DisplayArrayInTable(Fertiliser_SourceData.Fertiliser_Products_Data4(),FertiliserProducts[[#Headers],[Company]], 91)</f>
        <v/>
      </c>
      <c r="N185" s="172" cm="1">
        <f t="array" ref="N185">Common_InputFunctions.Utility_DisplayArrayInTable(Fertiliser_SourceData.Fertiliser_Products_Data4(),FertiliserProducts[[#Headers],[Company]], 91)</f>
        <v>10.8</v>
      </c>
      <c r="O185" s="172" t="str" cm="1">
        <f t="array" ref="O185">Common_InputFunctions.Utility_DisplayArrayInTable(Fertiliser_SourceData.Fertiliser_Products_Data4(),FertiliserProducts[[#Headers],[Company]], 91)</f>
        <v>Nitrogen - Nitrate</v>
      </c>
      <c r="P185" s="172" cm="1">
        <f t="array" ref="P185">Common_InputFunctions.Utility_DisplayArrayInTable(Fertiliser_SourceData.Fertiliser_Products_Data4(),FertiliserProducts[[#Headers],[Company]], 91)</f>
        <v>7.3999999999999996E-2</v>
      </c>
      <c r="Q185" s="172" t="str" cm="1">
        <f t="array" ref="Q185">Common_InputFunctions.Utility_DisplayArrayInTable(Fertiliser_SourceData.Fertiliser_Products_Data4(),FertiliserProducts[[#Headers],[Company]], 91)</f>
        <v>Nitrogen - Ammoniacal</v>
      </c>
      <c r="R185" s="172" cm="1">
        <f t="array" ref="R185">Common_InputFunctions.Utility_DisplayArrayInTable(Fertiliser_SourceData.Fertiliser_Products_Data4(),FertiliserProducts[[#Headers],[Company]], 91)</f>
        <v>0.16500000000000001</v>
      </c>
      <c r="S185" s="172" t="str" cm="1">
        <f t="array" ref="S185">Common_InputFunctions.Utility_DisplayArrayInTable(Fertiliser_SourceData.Fertiliser_Products_Data4(),FertiliserProducts[[#Headers],[Company]], 91)</f>
        <v>Sulfur - Generic</v>
      </c>
      <c r="T185" s="172" cm="1">
        <f t="array" ref="T185">Common_InputFunctions.Utility_DisplayArrayInTable(Fertiliser_SourceData.Fertiliser_Products_Data4(),FertiliserProducts[[#Headers],[Company]], 91)</f>
        <v>0.108</v>
      </c>
      <c r="U185" s="172" t="str" cm="1">
        <f t="array" ref="U185">Common_InputFunctions.Utility_DisplayArrayInTable(Fertiliser_SourceData.Fertiliser_Products_Data4(),FertiliserProducts[[#Headers],[Company]], 91)</f>
        <v>Calcium</v>
      </c>
      <c r="V185" s="172" cm="1">
        <f t="array" ref="V185">Common_InputFunctions.Utility_DisplayArrayInTable(Fertiliser_SourceData.Fertiliser_Products_Data4(),FertiliserProducts[[#Headers],[Company]], 91)</f>
        <v>4.3999999999999997E-2</v>
      </c>
      <c r="W185" s="172" t="str" cm="1">
        <f t="array" ref="W185">Common_InputFunctions.Utility_DisplayArrayInTable(Fertiliser_SourceData.Fertiliser_Products_Data4(),FertiliserProducts[[#Headers],[Company]], 91)</f>
        <v/>
      </c>
      <c r="X185" s="172" t="str" cm="1">
        <f t="array" ref="X185">Common_InputFunctions.Utility_DisplayArrayInTable(Fertiliser_SourceData.Fertiliser_Products_Data4(),FertiliserProducts[[#Headers],[Company]], 91)</f>
        <v/>
      </c>
      <c r="Y185" s="172" t="str" cm="1">
        <f t="array" ref="Y185">Common_InputFunctions.Utility_DisplayArrayInTable(Fertiliser_SourceData.Fertiliser_Products_Data4(),FertiliserProducts[[#Headers],[Company]], 91)</f>
        <v/>
      </c>
      <c r="Z185" s="172" t="str" cm="1">
        <f t="array" ref="Z185">Common_InputFunctions.Utility_DisplayArrayInTable(Fertiliser_SourceData.Fertiliser_Products_Data4(),FertiliserProducts[[#Headers],[Company]], 91)</f>
        <v/>
      </c>
      <c r="AA185" s="172" t="str" cm="1">
        <f t="array" ref="AA185">Common_InputFunctions.Utility_DisplayArrayInTable(Fertiliser_SourceData.Fertiliser_Products_Data4(),FertiliserProducts[[#Headers],[Company]], 91)</f>
        <v/>
      </c>
      <c r="AB185" s="172" t="str" cm="1">
        <f t="array" ref="AB185">Common_InputFunctions.Utility_DisplayArrayInTable(Fertiliser_SourceData.Fertiliser_Products_Data4(),FertiliserProducts[[#Headers],[Company]], 91)</f>
        <v/>
      </c>
      <c r="AC185" s="172" t="str" cm="1">
        <f t="array" ref="AC185">Common_InputFunctions.Utility_DisplayArrayInTable(Fertiliser_SourceData.Fertiliser_Products_Data4(),FertiliserProducts[[#Headers],[Company]], 91)</f>
        <v/>
      </c>
      <c r="AD185" s="172" t="str" cm="1">
        <f t="array" ref="AD185">Common_InputFunctions.Utility_DisplayArrayInTable(Fertiliser_SourceData.Fertiliser_Products_Data4(),FertiliserProducts[[#Headers],[Company]], 91)</f>
        <v/>
      </c>
      <c r="AE185" s="172" t="str" cm="1">
        <f t="array" ref="AE185">Common_InputFunctions.Utility_DisplayArrayInTable(Fertiliser_SourceData.Fertiliser_Products_Data4(),FertiliserProducts[[#Headers],[Company]], 91)</f>
        <v/>
      </c>
      <c r="AF185" s="172" t="str" cm="1">
        <f t="array" ref="AF185">Common_InputFunctions.Utility_DisplayArrayInTable(Fertiliser_SourceData.Fertiliser_Products_Data4(),FertiliserProducts[[#Headers],[Company]], 91)</f>
        <v/>
      </c>
      <c r="AG185" s="172" t="str" cm="1">
        <f t="array" ref="AG185">Common_InputFunctions.Utility_DisplayArrayInTable(Fertiliser_SourceData.Fertiliser_Products_Data4(),FertiliserProducts[[#Headers],[Company]], 91)</f>
        <v/>
      </c>
      <c r="AH185" s="172" t="str" cm="1">
        <f t="array" ref="AH185">Common_InputFunctions.Utility_DisplayArrayInTable(Fertiliser_SourceData.Fertiliser_Products_Data4(),FertiliserProducts[[#Headers],[Company]], 91)</f>
        <v/>
      </c>
    </row>
    <row r="186" spans="4:37" x14ac:dyDescent="0.25">
      <c r="D186" s="172" t="str" cm="1">
        <f t="array" ref="D186">Common_InputFunctions.Utility_DisplayArrayInTable(Fertiliser_SourceData.Fertiliser_Products_Data4(),FertiliserProducts[[#Headers],[Company]], 91)</f>
        <v>Pacific Fertiliser / Incitec Pivot Fertilisers</v>
      </c>
      <c r="E186" s="172" t="str" cm="1">
        <f t="array" ref="E186">Common_InputFunctions.Utility_DisplayArrayInTable(Fertiliser_SourceData.Fertiliser_Products_Data4(),FertiliserProducts[[#Headers],[Company]], 91)</f>
        <v>Cal-Gran 50/50</v>
      </c>
      <c r="F186" s="172" t="str" cm="1">
        <f t="array" ref="F186">Common_InputFunctions.Utility_DisplayArrayInTable(Fertiliser_SourceData.Fertiliser_Products_Data4(),FertiliserProducts[[#Headers],[Company]], 91)</f>
        <v>kg</v>
      </c>
      <c r="G186" s="172" cm="1">
        <f t="array" ref="G186">Common_InputFunctions.Utility_DisplayArrayInTable(Fertiliser_SourceData.Fertiliser_Products_Data4(),FertiliserProducts[[#Headers],[Company]], 91)</f>
        <v>1</v>
      </c>
      <c r="H186" s="172" t="str" cm="1">
        <f t="array" ref="H186">Common_InputFunctions.Utility_DisplayArrayInTable(Fertiliser_SourceData.Fertiliser_Products_Data4(),FertiliserProducts[[#Headers],[Company]], 91)</f>
        <v/>
      </c>
      <c r="I186" s="172" t="str" cm="1">
        <f t="array" ref="I186">Common_InputFunctions.Utility_DisplayArrayInTable(Fertiliser_SourceData.Fertiliser_Products_Data4(),FertiliserProducts[[#Headers],[Company]], 91)</f>
        <v/>
      </c>
      <c r="J186" s="172" t="str" cm="1">
        <f t="array" ref="J186">Common_InputFunctions.Utility_DisplayArrayInTable(Fertiliser_SourceData.Fertiliser_Products_Data4(),FertiliserProducts[[#Headers],[Company]], 91)</f>
        <v/>
      </c>
      <c r="K186" s="172" cm="1">
        <f t="array" ref="K186">Common_InputFunctions.Utility_DisplayArrayInTable(Fertiliser_SourceData.Fertiliser_Products_Data4(),FertiliserProducts[[#Headers],[Company]], 91)</f>
        <v>17.899999999999999</v>
      </c>
      <c r="L186" s="172" t="str" cm="1">
        <f t="array" ref="L186">Common_InputFunctions.Utility_DisplayArrayInTable(Fertiliser_SourceData.Fertiliser_Products_Data4(),FertiliserProducts[[#Headers],[Company]], 91)</f>
        <v/>
      </c>
      <c r="M186" s="172" cm="1">
        <f t="array" ref="M186">Common_InputFunctions.Utility_DisplayArrayInTable(Fertiliser_SourceData.Fertiliser_Products_Data4(),FertiliserProducts[[#Headers],[Company]], 91)</f>
        <v>15</v>
      </c>
      <c r="N186" s="172" cm="1">
        <f t="array" ref="N186">Common_InputFunctions.Utility_DisplayArrayInTable(Fertiliser_SourceData.Fertiliser_Products_Data4(),FertiliserProducts[[#Headers],[Company]], 91)</f>
        <v>3.6</v>
      </c>
      <c r="O186" s="172" t="str" cm="1">
        <f t="array" ref="O186">Common_InputFunctions.Utility_DisplayArrayInTable(Fertiliser_SourceData.Fertiliser_Products_Data4(),FertiliserProducts[[#Headers],[Company]], 91)</f>
        <v>Nitrogen - Nitrate</v>
      </c>
      <c r="P186" s="172" cm="1">
        <f t="array" ref="P186">Common_InputFunctions.Utility_DisplayArrayInTable(Fertiliser_SourceData.Fertiliser_Products_Data4(),FertiliserProducts[[#Headers],[Company]], 91)</f>
        <v>5.5E-2</v>
      </c>
      <c r="Q186" s="172" t="str" cm="1">
        <f t="array" ref="Q186">Common_InputFunctions.Utility_DisplayArrayInTable(Fertiliser_SourceData.Fertiliser_Products_Data4(),FertiliserProducts[[#Headers],[Company]], 91)</f>
        <v>Nitrogen - Ammoniacal</v>
      </c>
      <c r="R186" s="172" cm="1">
        <f t="array" ref="R186">Common_InputFunctions.Utility_DisplayArrayInTable(Fertiliser_SourceData.Fertiliser_Products_Data4(),FertiliserProducts[[#Headers],[Company]], 91)</f>
        <v>0.124</v>
      </c>
      <c r="S186" s="172" t="str" cm="1">
        <f t="array" ref="S186">Common_InputFunctions.Utility_DisplayArrayInTable(Fertiliser_SourceData.Fertiliser_Products_Data4(),FertiliserProducts[[#Headers],[Company]], 91)</f>
        <v>Potassium - Generic</v>
      </c>
      <c r="T186" s="172" cm="1">
        <f t="array" ref="T186">Common_InputFunctions.Utility_DisplayArrayInTable(Fertiliser_SourceData.Fertiliser_Products_Data4(),FertiliserProducts[[#Headers],[Company]], 91)</f>
        <v>0.15</v>
      </c>
      <c r="U186" s="172" t="str" cm="1">
        <f t="array" ref="U186">Common_InputFunctions.Utility_DisplayArrayInTable(Fertiliser_SourceData.Fertiliser_Products_Data4(),FertiliserProducts[[#Headers],[Company]], 91)</f>
        <v>Sulfur - Generic</v>
      </c>
      <c r="V186" s="172" cm="1">
        <f t="array" ref="V186">Common_InputFunctions.Utility_DisplayArrayInTable(Fertiliser_SourceData.Fertiliser_Products_Data4(),FertiliserProducts[[#Headers],[Company]], 91)</f>
        <v>3.5999999999999997E-2</v>
      </c>
      <c r="W186" s="172" t="str" cm="1">
        <f t="array" ref="W186">Common_InputFunctions.Utility_DisplayArrayInTable(Fertiliser_SourceData.Fertiliser_Products_Data4(),FertiliserProducts[[#Headers],[Company]], 91)</f>
        <v>Calcium</v>
      </c>
      <c r="X186" s="172" cm="1">
        <f t="array" ref="X186">Common_InputFunctions.Utility_DisplayArrayInTable(Fertiliser_SourceData.Fertiliser_Products_Data4(),FertiliserProducts[[#Headers],[Company]], 91)</f>
        <v>4.3999999999999997E-2</v>
      </c>
      <c r="Y186" s="172" t="str" cm="1">
        <f t="array" ref="Y186">Common_InputFunctions.Utility_DisplayArrayInTable(Fertiliser_SourceData.Fertiliser_Products_Data4(),FertiliserProducts[[#Headers],[Company]], 91)</f>
        <v/>
      </c>
      <c r="Z186" s="172" t="str" cm="1">
        <f t="array" ref="Z186">Common_InputFunctions.Utility_DisplayArrayInTable(Fertiliser_SourceData.Fertiliser_Products_Data4(),FertiliserProducts[[#Headers],[Company]], 91)</f>
        <v/>
      </c>
      <c r="AA186" s="172" t="str" cm="1">
        <f t="array" ref="AA186">Common_InputFunctions.Utility_DisplayArrayInTable(Fertiliser_SourceData.Fertiliser_Products_Data4(),FertiliserProducts[[#Headers],[Company]], 91)</f>
        <v/>
      </c>
      <c r="AB186" s="172" t="str" cm="1">
        <f t="array" ref="AB186">Common_InputFunctions.Utility_DisplayArrayInTable(Fertiliser_SourceData.Fertiliser_Products_Data4(),FertiliserProducts[[#Headers],[Company]], 91)</f>
        <v/>
      </c>
      <c r="AC186" s="172" t="str" cm="1">
        <f t="array" ref="AC186">Common_InputFunctions.Utility_DisplayArrayInTable(Fertiliser_SourceData.Fertiliser_Products_Data4(),FertiliserProducts[[#Headers],[Company]], 91)</f>
        <v/>
      </c>
      <c r="AD186" s="172" t="str" cm="1">
        <f t="array" ref="AD186">Common_InputFunctions.Utility_DisplayArrayInTable(Fertiliser_SourceData.Fertiliser_Products_Data4(),FertiliserProducts[[#Headers],[Company]], 91)</f>
        <v/>
      </c>
      <c r="AE186" s="172" t="str" cm="1">
        <f t="array" ref="AE186">Common_InputFunctions.Utility_DisplayArrayInTable(Fertiliser_SourceData.Fertiliser_Products_Data4(),FertiliserProducts[[#Headers],[Company]], 91)</f>
        <v/>
      </c>
      <c r="AF186" s="172" t="str" cm="1">
        <f t="array" ref="AF186">Common_InputFunctions.Utility_DisplayArrayInTable(Fertiliser_SourceData.Fertiliser_Products_Data4(),FertiliserProducts[[#Headers],[Company]], 91)</f>
        <v/>
      </c>
      <c r="AG186" s="172" t="str" cm="1">
        <f t="array" ref="AG186">Common_InputFunctions.Utility_DisplayArrayInTable(Fertiliser_SourceData.Fertiliser_Products_Data4(),FertiliserProducts[[#Headers],[Company]], 91)</f>
        <v/>
      </c>
      <c r="AH186" s="172" t="str" cm="1">
        <f t="array" ref="AH186">Common_InputFunctions.Utility_DisplayArrayInTable(Fertiliser_SourceData.Fertiliser_Products_Data4(),FertiliserProducts[[#Headers],[Company]], 91)</f>
        <v/>
      </c>
    </row>
    <row r="187" spans="4:37" x14ac:dyDescent="0.25">
      <c r="D187" s="172" t="str" cm="1">
        <f t="array" ref="D187">Common_InputFunctions.Utility_DisplayArrayInTable(Fertiliser_SourceData.Fertiliser_Products_Data4(),FertiliserProducts[[#Headers],[Company]], 91)</f>
        <v>Pacific Fertiliser / Incitec Pivot Fertilisers</v>
      </c>
      <c r="E187" s="172" t="str" cm="1">
        <f t="array" ref="E187">Common_InputFunctions.Utility_DisplayArrayInTable(Fertiliser_SourceData.Fertiliser_Products_Data4(),FertiliserProducts[[#Headers],[Company]], 91)</f>
        <v>Cal-Gran 50/50 (S)</v>
      </c>
      <c r="F187" s="172" t="str" cm="1">
        <f t="array" ref="F187">Common_InputFunctions.Utility_DisplayArrayInTable(Fertiliser_SourceData.Fertiliser_Products_Data4(),FertiliserProducts[[#Headers],[Company]], 91)</f>
        <v>kg</v>
      </c>
      <c r="G187" s="172" cm="1">
        <f t="array" ref="G187">Common_InputFunctions.Utility_DisplayArrayInTable(Fertiliser_SourceData.Fertiliser_Products_Data4(),FertiliserProducts[[#Headers],[Company]], 91)</f>
        <v>1</v>
      </c>
      <c r="H187" s="172" t="str" cm="1">
        <f t="array" ref="H187">Common_InputFunctions.Utility_DisplayArrayInTable(Fertiliser_SourceData.Fertiliser_Products_Data4(),FertiliserProducts[[#Headers],[Company]], 91)</f>
        <v/>
      </c>
      <c r="I187" s="172" t="str" cm="1">
        <f t="array" ref="I187">Common_InputFunctions.Utility_DisplayArrayInTable(Fertiliser_SourceData.Fertiliser_Products_Data4(),FertiliserProducts[[#Headers],[Company]], 91)</f>
        <v/>
      </c>
      <c r="J187" s="172" t="str" cm="1">
        <f t="array" ref="J187">Common_InputFunctions.Utility_DisplayArrayInTable(Fertiliser_SourceData.Fertiliser_Products_Data4(),FertiliserProducts[[#Headers],[Company]], 91)</f>
        <v/>
      </c>
      <c r="K187" s="172" cm="1">
        <f t="array" ref="K187">Common_InputFunctions.Utility_DisplayArrayInTable(Fertiliser_SourceData.Fertiliser_Products_Data4(),FertiliserProducts[[#Headers],[Company]], 91)</f>
        <v>16.899999999999999</v>
      </c>
      <c r="L187" s="172" t="str" cm="1">
        <f t="array" ref="L187">Common_InputFunctions.Utility_DisplayArrayInTable(Fertiliser_SourceData.Fertiliser_Products_Data4(),FertiliserProducts[[#Headers],[Company]], 91)</f>
        <v/>
      </c>
      <c r="M187" s="172" cm="1">
        <f t="array" ref="M187">Common_InputFunctions.Utility_DisplayArrayInTable(Fertiliser_SourceData.Fertiliser_Products_Data4(),FertiliserProducts[[#Headers],[Company]], 91)</f>
        <v>14.4</v>
      </c>
      <c r="N187" s="172" cm="1">
        <f t="array" ref="N187">Common_InputFunctions.Utility_DisplayArrayInTable(Fertiliser_SourceData.Fertiliser_Products_Data4(),FertiliserProducts[[#Headers],[Company]], 91)</f>
        <v>8.6999999999999993</v>
      </c>
      <c r="O187" s="172" t="str" cm="1">
        <f t="array" ref="O187">Common_InputFunctions.Utility_DisplayArrayInTable(Fertiliser_SourceData.Fertiliser_Products_Data4(),FertiliserProducts[[#Headers],[Company]], 91)</f>
        <v>Nitrogen - Nitrate</v>
      </c>
      <c r="P187" s="172" cm="1">
        <f t="array" ref="P187">Common_InputFunctions.Utility_DisplayArrayInTable(Fertiliser_SourceData.Fertiliser_Products_Data4(),FertiliserProducts[[#Headers],[Company]], 91)</f>
        <v>5.1999999999999998E-2</v>
      </c>
      <c r="Q187" s="172" t="str" cm="1">
        <f t="array" ref="Q187">Common_InputFunctions.Utility_DisplayArrayInTable(Fertiliser_SourceData.Fertiliser_Products_Data4(),FertiliserProducts[[#Headers],[Company]], 91)</f>
        <v>Nitrogen - Ammoniacal</v>
      </c>
      <c r="R187" s="172" cm="1">
        <f t="array" ref="R187">Common_InputFunctions.Utility_DisplayArrayInTable(Fertiliser_SourceData.Fertiliser_Products_Data4(),FertiliserProducts[[#Headers],[Company]], 91)</f>
        <v>0.11700000000000001</v>
      </c>
      <c r="S187" s="172" t="str" cm="1">
        <f t="array" ref="S187">Common_InputFunctions.Utility_DisplayArrayInTable(Fertiliser_SourceData.Fertiliser_Products_Data4(),FertiliserProducts[[#Headers],[Company]], 91)</f>
        <v>Potassium - Generic</v>
      </c>
      <c r="T187" s="172" cm="1">
        <f t="array" ref="T187">Common_InputFunctions.Utility_DisplayArrayInTable(Fertiliser_SourceData.Fertiliser_Products_Data4(),FertiliserProducts[[#Headers],[Company]], 91)</f>
        <v>0.14399999999999999</v>
      </c>
      <c r="U187" s="172" t="str" cm="1">
        <f t="array" ref="U187">Common_InputFunctions.Utility_DisplayArrayInTable(Fertiliser_SourceData.Fertiliser_Products_Data4(),FertiliserProducts[[#Headers],[Company]], 91)</f>
        <v>Sulfur - Generic</v>
      </c>
      <c r="V187" s="172" cm="1">
        <f t="array" ref="V187">Common_InputFunctions.Utility_DisplayArrayInTable(Fertiliser_SourceData.Fertiliser_Products_Data4(),FertiliserProducts[[#Headers],[Company]], 91)</f>
        <v>8.6999999999999994E-2</v>
      </c>
      <c r="W187" s="172" t="str" cm="1">
        <f t="array" ref="W187">Common_InputFunctions.Utility_DisplayArrayInTable(Fertiliser_SourceData.Fertiliser_Products_Data4(),FertiliserProducts[[#Headers],[Company]], 91)</f>
        <v>Calcium</v>
      </c>
      <c r="X187" s="172" cm="1">
        <f t="array" ref="X187">Common_InputFunctions.Utility_DisplayArrayInTable(Fertiliser_SourceData.Fertiliser_Products_Data4(),FertiliserProducts[[#Headers],[Company]], 91)</f>
        <v>4.3999999999999997E-2</v>
      </c>
      <c r="Y187" s="172" t="str" cm="1">
        <f t="array" ref="Y187">Common_InputFunctions.Utility_DisplayArrayInTable(Fertiliser_SourceData.Fertiliser_Products_Data4(),FertiliserProducts[[#Headers],[Company]], 91)</f>
        <v/>
      </c>
      <c r="Z187" s="172" t="str" cm="1">
        <f t="array" ref="Z187">Common_InputFunctions.Utility_DisplayArrayInTable(Fertiliser_SourceData.Fertiliser_Products_Data4(),FertiliserProducts[[#Headers],[Company]], 91)</f>
        <v/>
      </c>
      <c r="AA187" s="172" t="str" cm="1">
        <f t="array" ref="AA187">Common_InputFunctions.Utility_DisplayArrayInTable(Fertiliser_SourceData.Fertiliser_Products_Data4(),FertiliserProducts[[#Headers],[Company]], 91)</f>
        <v/>
      </c>
      <c r="AB187" s="172" t="str" cm="1">
        <f t="array" ref="AB187">Common_InputFunctions.Utility_DisplayArrayInTable(Fertiliser_SourceData.Fertiliser_Products_Data4(),FertiliserProducts[[#Headers],[Company]], 91)</f>
        <v/>
      </c>
      <c r="AC187" s="172" t="str" cm="1">
        <f t="array" ref="AC187">Common_InputFunctions.Utility_DisplayArrayInTable(Fertiliser_SourceData.Fertiliser_Products_Data4(),FertiliserProducts[[#Headers],[Company]], 91)</f>
        <v/>
      </c>
      <c r="AD187" s="172" t="str" cm="1">
        <f t="array" ref="AD187">Common_InputFunctions.Utility_DisplayArrayInTable(Fertiliser_SourceData.Fertiliser_Products_Data4(),FertiliserProducts[[#Headers],[Company]], 91)</f>
        <v/>
      </c>
      <c r="AE187" s="172" t="str" cm="1">
        <f t="array" ref="AE187">Common_InputFunctions.Utility_DisplayArrayInTable(Fertiliser_SourceData.Fertiliser_Products_Data4(),FertiliserProducts[[#Headers],[Company]], 91)</f>
        <v/>
      </c>
      <c r="AF187" s="172" t="str" cm="1">
        <f t="array" ref="AF187">Common_InputFunctions.Utility_DisplayArrayInTable(Fertiliser_SourceData.Fertiliser_Products_Data4(),FertiliserProducts[[#Headers],[Company]], 91)</f>
        <v/>
      </c>
      <c r="AG187" s="172" t="str" cm="1">
        <f t="array" ref="AG187">Common_InputFunctions.Utility_DisplayArrayInTable(Fertiliser_SourceData.Fertiliser_Products_Data4(),FertiliserProducts[[#Headers],[Company]], 91)</f>
        <v/>
      </c>
      <c r="AH187" s="172" t="str" cm="1">
        <f t="array" ref="AH187">Common_InputFunctions.Utility_DisplayArrayInTable(Fertiliser_SourceData.Fertiliser_Products_Data4(),FertiliserProducts[[#Headers],[Company]], 91)</f>
        <v/>
      </c>
    </row>
    <row r="188" spans="4:37" x14ac:dyDescent="0.25">
      <c r="D188" s="172" t="str" cm="1">
        <f t="array" ref="D188">Common_InputFunctions.Utility_DisplayArrayInTable(Fertiliser_SourceData.Fertiliser_Products_Data4(),FertiliserProducts[[#Headers],[Company]], 91)</f>
        <v>Pacific Fertiliser / Incitec Pivot Fertilisers</v>
      </c>
      <c r="E188" s="172" t="str" cm="1">
        <f t="array" ref="E188">Common_InputFunctions.Utility_DisplayArrayInTable(Fertiliser_SourceData.Fertiliser_Products_Data4(),FertiliserProducts[[#Headers],[Company]], 91)</f>
        <v>Cal-Gran 130</v>
      </c>
      <c r="F188" s="172" t="str" cm="1">
        <f t="array" ref="F188">Common_InputFunctions.Utility_DisplayArrayInTable(Fertiliser_SourceData.Fertiliser_Products_Data4(),FertiliserProducts[[#Headers],[Company]], 91)</f>
        <v>kg</v>
      </c>
      <c r="G188" s="172" cm="1">
        <f t="array" ref="G188">Common_InputFunctions.Utility_DisplayArrayInTable(Fertiliser_SourceData.Fertiliser_Products_Data4(),FertiliserProducts[[#Headers],[Company]], 91)</f>
        <v>1</v>
      </c>
      <c r="H188" s="172" t="str" cm="1">
        <f t="array" ref="H188">Common_InputFunctions.Utility_DisplayArrayInTable(Fertiliser_SourceData.Fertiliser_Products_Data4(),FertiliserProducts[[#Headers],[Company]], 91)</f>
        <v/>
      </c>
      <c r="I188" s="172" t="str" cm="1">
        <f t="array" ref="I188">Common_InputFunctions.Utility_DisplayArrayInTable(Fertiliser_SourceData.Fertiliser_Products_Data4(),FertiliserProducts[[#Headers],[Company]], 91)</f>
        <v/>
      </c>
      <c r="J188" s="172" t="str" cm="1">
        <f t="array" ref="J188">Common_InputFunctions.Utility_DisplayArrayInTable(Fertiliser_SourceData.Fertiliser_Products_Data4(),FertiliserProducts[[#Headers],[Company]], 91)</f>
        <v/>
      </c>
      <c r="K188" s="172" cm="1">
        <f t="array" ref="K188">Common_InputFunctions.Utility_DisplayArrayInTable(Fertiliser_SourceData.Fertiliser_Products_Data4(),FertiliserProducts[[#Headers],[Company]], 91)</f>
        <v>18.8</v>
      </c>
      <c r="L188" s="172" cm="1">
        <f t="array" ref="L188">Common_InputFunctions.Utility_DisplayArrayInTable(Fertiliser_SourceData.Fertiliser_Products_Data4(),FertiliserProducts[[#Headers],[Company]], 91)</f>
        <v>1</v>
      </c>
      <c r="M188" s="172" cm="1">
        <f t="array" ref="M188">Common_InputFunctions.Utility_DisplayArrayInTable(Fertiliser_SourceData.Fertiliser_Products_Data4(),FertiliserProducts[[#Headers],[Company]], 91)</f>
        <v>12.5</v>
      </c>
      <c r="N188" s="172" cm="1">
        <f t="array" ref="N188">Common_InputFunctions.Utility_DisplayArrayInTable(Fertiliser_SourceData.Fertiliser_Products_Data4(),FertiliserProducts[[#Headers],[Company]], 91)</f>
        <v>3.7</v>
      </c>
      <c r="O188" s="172" t="str" cm="1">
        <f t="array" ref="O188">Common_InputFunctions.Utility_DisplayArrayInTable(Fertiliser_SourceData.Fertiliser_Products_Data4(),FertiliserProducts[[#Headers],[Company]], 91)</f>
        <v>Nitrogen - Nitrate</v>
      </c>
      <c r="P188" s="172" cm="1">
        <f t="array" ref="P188">Common_InputFunctions.Utility_DisplayArrayInTable(Fertiliser_SourceData.Fertiliser_Products_Data4(),FertiliserProducts[[#Headers],[Company]], 91)</f>
        <v>5.8000000000000003E-2</v>
      </c>
      <c r="Q188" s="172" t="str" cm="1">
        <f t="array" ref="Q188">Common_InputFunctions.Utility_DisplayArrayInTable(Fertiliser_SourceData.Fertiliser_Products_Data4(),FertiliserProducts[[#Headers],[Company]], 91)</f>
        <v>Nitrogen - Ammoniacal</v>
      </c>
      <c r="R188" s="172" cm="1">
        <f t="array" ref="R188">Common_InputFunctions.Utility_DisplayArrayInTable(Fertiliser_SourceData.Fertiliser_Products_Data4(),FertiliserProducts[[#Headers],[Company]], 91)</f>
        <v>0.13</v>
      </c>
      <c r="S188" s="172" t="str" cm="1">
        <f t="array" ref="S188">Common_InputFunctions.Utility_DisplayArrayInTable(Fertiliser_SourceData.Fertiliser_Products_Data4(),FertiliserProducts[[#Headers],[Company]], 91)</f>
        <v>Phosphorus - Generic</v>
      </c>
      <c r="T188" s="172" cm="1">
        <f t="array" ref="T188">Common_InputFunctions.Utility_DisplayArrayInTable(Fertiliser_SourceData.Fertiliser_Products_Data4(),FertiliserProducts[[#Headers],[Company]], 91)</f>
        <v>0.01</v>
      </c>
      <c r="U188" s="172" t="str" cm="1">
        <f t="array" ref="U188">Common_InputFunctions.Utility_DisplayArrayInTable(Fertiliser_SourceData.Fertiliser_Products_Data4(),FertiliserProducts[[#Headers],[Company]], 91)</f>
        <v>Potassium - Generic</v>
      </c>
      <c r="V188" s="172" cm="1">
        <f t="array" ref="V188">Common_InputFunctions.Utility_DisplayArrayInTable(Fertiliser_SourceData.Fertiliser_Products_Data4(),FertiliserProducts[[#Headers],[Company]], 91)</f>
        <v>0.125</v>
      </c>
      <c r="W188" s="172" t="str" cm="1">
        <f t="array" ref="W188">Common_InputFunctions.Utility_DisplayArrayInTable(Fertiliser_SourceData.Fertiliser_Products_Data4(),FertiliserProducts[[#Headers],[Company]], 91)</f>
        <v>Sulfur - Generic</v>
      </c>
      <c r="X188" s="172" cm="1">
        <f t="array" ref="X188">Common_InputFunctions.Utility_DisplayArrayInTable(Fertiliser_SourceData.Fertiliser_Products_Data4(),FertiliserProducts[[#Headers],[Company]], 91)</f>
        <v>3.6999999999999998E-2</v>
      </c>
      <c r="Y188" s="172" t="str" cm="1">
        <f t="array" ref="Y188">Common_InputFunctions.Utility_DisplayArrayInTable(Fertiliser_SourceData.Fertiliser_Products_Data4(),FertiliserProducts[[#Headers],[Company]], 91)</f>
        <v>Calcium</v>
      </c>
      <c r="Z188" s="172" cm="1">
        <f t="array" ref="Z188">Common_InputFunctions.Utility_DisplayArrayInTable(Fertiliser_SourceData.Fertiliser_Products_Data4(),FertiliserProducts[[#Headers],[Company]], 91)</f>
        <v>4.3999999999999997E-2</v>
      </c>
      <c r="AA188" s="172" t="str" cm="1">
        <f t="array" ref="AA188">Common_InputFunctions.Utility_DisplayArrayInTable(Fertiliser_SourceData.Fertiliser_Products_Data4(),FertiliserProducts[[#Headers],[Company]], 91)</f>
        <v/>
      </c>
      <c r="AB188" s="172" t="str" cm="1">
        <f t="array" ref="AB188">Common_InputFunctions.Utility_DisplayArrayInTable(Fertiliser_SourceData.Fertiliser_Products_Data4(),FertiliserProducts[[#Headers],[Company]], 91)</f>
        <v/>
      </c>
      <c r="AC188" s="172" t="str" cm="1">
        <f t="array" ref="AC188">Common_InputFunctions.Utility_DisplayArrayInTable(Fertiliser_SourceData.Fertiliser_Products_Data4(),FertiliserProducts[[#Headers],[Company]], 91)</f>
        <v/>
      </c>
      <c r="AD188" s="172" t="str" cm="1">
        <f t="array" ref="AD188">Common_InputFunctions.Utility_DisplayArrayInTable(Fertiliser_SourceData.Fertiliser_Products_Data4(),FertiliserProducts[[#Headers],[Company]], 91)</f>
        <v/>
      </c>
      <c r="AE188" s="172" t="str" cm="1">
        <f t="array" ref="AE188">Common_InputFunctions.Utility_DisplayArrayInTable(Fertiliser_SourceData.Fertiliser_Products_Data4(),FertiliserProducts[[#Headers],[Company]], 91)</f>
        <v/>
      </c>
      <c r="AF188" s="172" t="str" cm="1">
        <f t="array" ref="AF188">Common_InputFunctions.Utility_DisplayArrayInTable(Fertiliser_SourceData.Fertiliser_Products_Data4(),FertiliserProducts[[#Headers],[Company]], 91)</f>
        <v/>
      </c>
      <c r="AG188" s="172" t="str" cm="1">
        <f t="array" ref="AG188">Common_InputFunctions.Utility_DisplayArrayInTable(Fertiliser_SourceData.Fertiliser_Products_Data4(),FertiliserProducts[[#Headers],[Company]], 91)</f>
        <v/>
      </c>
      <c r="AH188" s="172" t="str" cm="1">
        <f t="array" ref="AH188">Common_InputFunctions.Utility_DisplayArrayInTable(Fertiliser_SourceData.Fertiliser_Products_Data4(),FertiliserProducts[[#Headers],[Company]], 91)</f>
        <v/>
      </c>
    </row>
    <row r="189" spans="4:37" x14ac:dyDescent="0.25">
      <c r="D189" s="172" t="str" cm="1">
        <f t="array" ref="D189">Common_InputFunctions.Utility_DisplayArrayInTable(Fertiliser_SourceData.Fertiliser_Products_Data4(),FertiliserProducts[[#Headers],[Company]], 91)</f>
        <v>Pacific Fertiliser / Incitec Pivot Fertilisers</v>
      </c>
      <c r="E189" s="172" t="str" cm="1">
        <f t="array" ref="E189">Common_InputFunctions.Utility_DisplayArrayInTable(Fertiliser_SourceData.Fertiliser_Products_Data4(),FertiliserProducts[[#Headers],[Company]], 91)</f>
        <v>Cal-Gran 150</v>
      </c>
      <c r="F189" s="172" t="str" cm="1">
        <f t="array" ref="F189">Common_InputFunctions.Utility_DisplayArrayInTable(Fertiliser_SourceData.Fertiliser_Products_Data4(),FertiliserProducts[[#Headers],[Company]], 91)</f>
        <v>kg</v>
      </c>
      <c r="G189" s="172" cm="1">
        <f t="array" ref="G189">Common_InputFunctions.Utility_DisplayArrayInTable(Fertiliser_SourceData.Fertiliser_Products_Data4(),FertiliserProducts[[#Headers],[Company]], 91)</f>
        <v>1</v>
      </c>
      <c r="H189" s="172" t="str" cm="1">
        <f t="array" ref="H189">Common_InputFunctions.Utility_DisplayArrayInTable(Fertiliser_SourceData.Fertiliser_Products_Data4(),FertiliserProducts[[#Headers],[Company]], 91)</f>
        <v/>
      </c>
      <c r="I189" s="172" t="str" cm="1">
        <f t="array" ref="I189">Common_InputFunctions.Utility_DisplayArrayInTable(Fertiliser_SourceData.Fertiliser_Products_Data4(),FertiliserProducts[[#Headers],[Company]], 91)</f>
        <v/>
      </c>
      <c r="J189" s="172" t="str" cm="1">
        <f t="array" ref="J189">Common_InputFunctions.Utility_DisplayArrayInTable(Fertiliser_SourceData.Fertiliser_Products_Data4(),FertiliserProducts[[#Headers],[Company]], 91)</f>
        <v/>
      </c>
      <c r="K189" s="172" cm="1">
        <f t="array" ref="K189">Common_InputFunctions.Utility_DisplayArrayInTable(Fertiliser_SourceData.Fertiliser_Products_Data4(),FertiliserProducts[[#Headers],[Company]], 91)</f>
        <v>18.600000000000001</v>
      </c>
      <c r="L189" s="172" cm="1">
        <f t="array" ref="L189">Common_InputFunctions.Utility_DisplayArrayInTable(Fertiliser_SourceData.Fertiliser_Products_Data4(),FertiliserProducts[[#Headers],[Company]], 91)</f>
        <v>3</v>
      </c>
      <c r="M189" s="172" cm="1">
        <f t="array" ref="M189">Common_InputFunctions.Utility_DisplayArrayInTable(Fertiliser_SourceData.Fertiliser_Products_Data4(),FertiliserProducts[[#Headers],[Company]], 91)</f>
        <v>12.5</v>
      </c>
      <c r="N189" s="172" cm="1">
        <f t="array" ref="N189">Common_InputFunctions.Utility_DisplayArrayInTable(Fertiliser_SourceData.Fertiliser_Products_Data4(),FertiliserProducts[[#Headers],[Company]], 91)</f>
        <v>1.4</v>
      </c>
      <c r="O189" s="172" t="str" cm="1">
        <f t="array" ref="O189">Common_InputFunctions.Utility_DisplayArrayInTable(Fertiliser_SourceData.Fertiliser_Products_Data4(),FertiliserProducts[[#Headers],[Company]], 91)</f>
        <v>Nitrogen - Nitrate</v>
      </c>
      <c r="P189" s="172" cm="1">
        <f t="array" ref="P189">Common_InputFunctions.Utility_DisplayArrayInTable(Fertiliser_SourceData.Fertiliser_Products_Data4(),FertiliserProducts[[#Headers],[Company]], 91)</f>
        <v>5.8000000000000003E-2</v>
      </c>
      <c r="Q189" s="172" t="str" cm="1">
        <f t="array" ref="Q189">Common_InputFunctions.Utility_DisplayArrayInTable(Fertiliser_SourceData.Fertiliser_Products_Data4(),FertiliserProducts[[#Headers],[Company]], 91)</f>
        <v>Nitrogen - Ammoniacal</v>
      </c>
      <c r="R189" s="172" cm="1">
        <f t="array" ref="R189">Common_InputFunctions.Utility_DisplayArrayInTable(Fertiliser_SourceData.Fertiliser_Products_Data4(),FertiliserProducts[[#Headers],[Company]], 91)</f>
        <v>0.128</v>
      </c>
      <c r="S189" s="172" t="str" cm="1">
        <f t="array" ref="S189">Common_InputFunctions.Utility_DisplayArrayInTable(Fertiliser_SourceData.Fertiliser_Products_Data4(),FertiliserProducts[[#Headers],[Company]], 91)</f>
        <v>Phosphorus - Generic</v>
      </c>
      <c r="T189" s="172" cm="1">
        <f t="array" ref="T189">Common_InputFunctions.Utility_DisplayArrayInTable(Fertiliser_SourceData.Fertiliser_Products_Data4(),FertiliserProducts[[#Headers],[Company]], 91)</f>
        <v>0.03</v>
      </c>
      <c r="U189" s="172" t="str" cm="1">
        <f t="array" ref="U189">Common_InputFunctions.Utility_DisplayArrayInTable(Fertiliser_SourceData.Fertiliser_Products_Data4(),FertiliserProducts[[#Headers],[Company]], 91)</f>
        <v>Potassium - Generic</v>
      </c>
      <c r="V189" s="172" cm="1">
        <f t="array" ref="V189">Common_InputFunctions.Utility_DisplayArrayInTable(Fertiliser_SourceData.Fertiliser_Products_Data4(),FertiliserProducts[[#Headers],[Company]], 91)</f>
        <v>0.125</v>
      </c>
      <c r="W189" s="172" t="str" cm="1">
        <f t="array" ref="W189">Common_InputFunctions.Utility_DisplayArrayInTable(Fertiliser_SourceData.Fertiliser_Products_Data4(),FertiliserProducts[[#Headers],[Company]], 91)</f>
        <v>Sulfur - Generic</v>
      </c>
      <c r="X189" s="172" cm="1">
        <f t="array" ref="X189">Common_InputFunctions.Utility_DisplayArrayInTable(Fertiliser_SourceData.Fertiliser_Products_Data4(),FertiliserProducts[[#Headers],[Company]], 91)</f>
        <v>1.4E-2</v>
      </c>
      <c r="Y189" s="172" t="str" cm="1">
        <f t="array" ref="Y189">Common_InputFunctions.Utility_DisplayArrayInTable(Fertiliser_SourceData.Fertiliser_Products_Data4(),FertiliserProducts[[#Headers],[Company]], 91)</f>
        <v>Calcium</v>
      </c>
      <c r="Z189" s="172" cm="1">
        <f t="array" ref="Z189">Common_InputFunctions.Utility_DisplayArrayInTable(Fertiliser_SourceData.Fertiliser_Products_Data4(),FertiliserProducts[[#Headers],[Company]], 91)</f>
        <v>4.3999999999999997E-2</v>
      </c>
      <c r="AA189" s="172" t="str" cm="1">
        <f t="array" ref="AA189">Common_InputFunctions.Utility_DisplayArrayInTable(Fertiliser_SourceData.Fertiliser_Products_Data4(),FertiliserProducts[[#Headers],[Company]], 91)</f>
        <v/>
      </c>
      <c r="AB189" s="172" t="str" cm="1">
        <f t="array" ref="AB189">Common_InputFunctions.Utility_DisplayArrayInTable(Fertiliser_SourceData.Fertiliser_Products_Data4(),FertiliserProducts[[#Headers],[Company]], 91)</f>
        <v/>
      </c>
      <c r="AC189" s="172" t="str" cm="1">
        <f t="array" ref="AC189">Common_InputFunctions.Utility_DisplayArrayInTable(Fertiliser_SourceData.Fertiliser_Products_Data4(),FertiliserProducts[[#Headers],[Company]], 91)</f>
        <v/>
      </c>
      <c r="AD189" s="172" t="str" cm="1">
        <f t="array" ref="AD189">Common_InputFunctions.Utility_DisplayArrayInTable(Fertiliser_SourceData.Fertiliser_Products_Data4(),FertiliserProducts[[#Headers],[Company]], 91)</f>
        <v/>
      </c>
      <c r="AE189" s="172" t="str" cm="1">
        <f t="array" ref="AE189">Common_InputFunctions.Utility_DisplayArrayInTable(Fertiliser_SourceData.Fertiliser_Products_Data4(),FertiliserProducts[[#Headers],[Company]], 91)</f>
        <v/>
      </c>
      <c r="AF189" s="172" t="str" cm="1">
        <f t="array" ref="AF189">Common_InputFunctions.Utility_DisplayArrayInTable(Fertiliser_SourceData.Fertiliser_Products_Data4(),FertiliserProducts[[#Headers],[Company]], 91)</f>
        <v/>
      </c>
      <c r="AG189" s="172" t="str" cm="1">
        <f t="array" ref="AG189">Common_InputFunctions.Utility_DisplayArrayInTable(Fertiliser_SourceData.Fertiliser_Products_Data4(),FertiliserProducts[[#Headers],[Company]], 91)</f>
        <v/>
      </c>
      <c r="AH189" s="172" t="str" cm="1">
        <f t="array" ref="AH189">Common_InputFunctions.Utility_DisplayArrayInTable(Fertiliser_SourceData.Fertiliser_Products_Data4(),FertiliserProducts[[#Headers],[Company]], 91)</f>
        <v/>
      </c>
    </row>
    <row r="190" spans="4:37" x14ac:dyDescent="0.25">
      <c r="D190" s="172" t="str" cm="1">
        <f t="array" ref="D190">Common_InputFunctions.Utility_DisplayArrayInTable(Fertiliser_SourceData.Fertiliser_Products_Data4(),FertiliserProducts[[#Headers],[Company]], 91)</f>
        <v>Pacific Fertiliser / Incitec Pivot Fertilisers</v>
      </c>
      <c r="E190" s="172" t="str" cm="1">
        <f t="array" ref="E190">Common_InputFunctions.Utility_DisplayArrayInTable(Fertiliser_SourceData.Fertiliser_Products_Data4(),FertiliserProducts[[#Headers],[Company]], 91)</f>
        <v>Cal-Gran Extra K</v>
      </c>
      <c r="F190" s="172" t="str" cm="1">
        <f t="array" ref="F190">Common_InputFunctions.Utility_DisplayArrayInTable(Fertiliser_SourceData.Fertiliser_Products_Data4(),FertiliserProducts[[#Headers],[Company]], 91)</f>
        <v>kg</v>
      </c>
      <c r="G190" s="172" cm="1">
        <f t="array" ref="G190">Common_InputFunctions.Utility_DisplayArrayInTable(Fertiliser_SourceData.Fertiliser_Products_Data4(),FertiliserProducts[[#Headers],[Company]], 91)</f>
        <v>1</v>
      </c>
      <c r="H190" s="172" t="str" cm="1">
        <f t="array" ref="H190">Common_InputFunctions.Utility_DisplayArrayInTable(Fertiliser_SourceData.Fertiliser_Products_Data4(),FertiliserProducts[[#Headers],[Company]], 91)</f>
        <v/>
      </c>
      <c r="I190" s="172" t="str" cm="1">
        <f t="array" ref="I190">Common_InputFunctions.Utility_DisplayArrayInTable(Fertiliser_SourceData.Fertiliser_Products_Data4(),FertiliserProducts[[#Headers],[Company]], 91)</f>
        <v/>
      </c>
      <c r="J190" s="172" t="str" cm="1">
        <f t="array" ref="J190">Common_InputFunctions.Utility_DisplayArrayInTable(Fertiliser_SourceData.Fertiliser_Products_Data4(),FertiliserProducts[[#Headers],[Company]], 91)</f>
        <v/>
      </c>
      <c r="K190" s="172" cm="1">
        <f t="array" ref="K190">Common_InputFunctions.Utility_DisplayArrayInTable(Fertiliser_SourceData.Fertiliser_Products_Data4(),FertiliserProducts[[#Headers],[Company]], 91)</f>
        <v>15.8</v>
      </c>
      <c r="L190" s="172" t="str" cm="1">
        <f t="array" ref="L190">Common_InputFunctions.Utility_DisplayArrayInTable(Fertiliser_SourceData.Fertiliser_Products_Data4(),FertiliserProducts[[#Headers],[Company]], 91)</f>
        <v/>
      </c>
      <c r="M190" s="172" cm="1">
        <f t="array" ref="M190">Common_InputFunctions.Utility_DisplayArrayInTable(Fertiliser_SourceData.Fertiliser_Products_Data4(),FertiliserProducts[[#Headers],[Company]], 91)</f>
        <v>19</v>
      </c>
      <c r="N190" s="172" cm="1">
        <f t="array" ref="N190">Common_InputFunctions.Utility_DisplayArrayInTable(Fertiliser_SourceData.Fertiliser_Products_Data4(),FertiliserProducts[[#Headers],[Company]], 91)</f>
        <v>3.2</v>
      </c>
      <c r="O190" s="172" t="str" cm="1">
        <f t="array" ref="O190">Common_InputFunctions.Utility_DisplayArrayInTable(Fertiliser_SourceData.Fertiliser_Products_Data4(),FertiliserProducts[[#Headers],[Company]], 91)</f>
        <v>Nitrogen - Nitrate</v>
      </c>
      <c r="P190" s="172" cm="1">
        <f t="array" ref="P190">Common_InputFunctions.Utility_DisplayArrayInTable(Fertiliser_SourceData.Fertiliser_Products_Data4(),FertiliserProducts[[#Headers],[Company]], 91)</f>
        <v>4.9000000000000002E-2</v>
      </c>
      <c r="Q190" s="172" t="str" cm="1">
        <f t="array" ref="Q190">Common_InputFunctions.Utility_DisplayArrayInTable(Fertiliser_SourceData.Fertiliser_Products_Data4(),FertiliserProducts[[#Headers],[Company]], 91)</f>
        <v>Nitrogen - Ammoniacal</v>
      </c>
      <c r="R190" s="172" cm="1">
        <f t="array" ref="R190">Common_InputFunctions.Utility_DisplayArrayInTable(Fertiliser_SourceData.Fertiliser_Products_Data4(),FertiliserProducts[[#Headers],[Company]], 91)</f>
        <v>0.109</v>
      </c>
      <c r="S190" s="172" t="str" cm="1">
        <f t="array" ref="S190">Common_InputFunctions.Utility_DisplayArrayInTable(Fertiliser_SourceData.Fertiliser_Products_Data4(),FertiliserProducts[[#Headers],[Company]], 91)</f>
        <v>Potassium - Generic</v>
      </c>
      <c r="T190" s="172" cm="1">
        <f t="array" ref="T190">Common_InputFunctions.Utility_DisplayArrayInTable(Fertiliser_SourceData.Fertiliser_Products_Data4(),FertiliserProducts[[#Headers],[Company]], 91)</f>
        <v>0.19</v>
      </c>
      <c r="U190" s="172" t="str" cm="1">
        <f t="array" ref="U190">Common_InputFunctions.Utility_DisplayArrayInTable(Fertiliser_SourceData.Fertiliser_Products_Data4(),FertiliserProducts[[#Headers],[Company]], 91)</f>
        <v>Sulfur - Generic</v>
      </c>
      <c r="V190" s="172" cm="1">
        <f t="array" ref="V190">Common_InputFunctions.Utility_DisplayArrayInTable(Fertiliser_SourceData.Fertiliser_Products_Data4(),FertiliserProducts[[#Headers],[Company]], 91)</f>
        <v>3.2000000000000001E-2</v>
      </c>
      <c r="W190" s="172" t="str" cm="1">
        <f t="array" ref="W190">Common_InputFunctions.Utility_DisplayArrayInTable(Fertiliser_SourceData.Fertiliser_Products_Data4(),FertiliserProducts[[#Headers],[Company]], 91)</f>
        <v>Calcium</v>
      </c>
      <c r="X190" s="172" cm="1">
        <f t="array" ref="X190">Common_InputFunctions.Utility_DisplayArrayInTable(Fertiliser_SourceData.Fertiliser_Products_Data4(),FertiliserProducts[[#Headers],[Company]], 91)</f>
        <v>3.9E-2</v>
      </c>
      <c r="Y190" s="172" t="str" cm="1">
        <f t="array" ref="Y190">Common_InputFunctions.Utility_DisplayArrayInTable(Fertiliser_SourceData.Fertiliser_Products_Data4(),FertiliserProducts[[#Headers],[Company]], 91)</f>
        <v/>
      </c>
      <c r="Z190" s="172" t="str" cm="1">
        <f t="array" ref="Z190">Common_InputFunctions.Utility_DisplayArrayInTable(Fertiliser_SourceData.Fertiliser_Products_Data4(),FertiliserProducts[[#Headers],[Company]], 91)</f>
        <v/>
      </c>
      <c r="AA190" s="172" t="str" cm="1">
        <f t="array" ref="AA190">Common_InputFunctions.Utility_DisplayArrayInTable(Fertiliser_SourceData.Fertiliser_Products_Data4(),FertiliserProducts[[#Headers],[Company]], 91)</f>
        <v/>
      </c>
      <c r="AB190" s="172" t="str" cm="1">
        <f t="array" ref="AB190">Common_InputFunctions.Utility_DisplayArrayInTable(Fertiliser_SourceData.Fertiliser_Products_Data4(),FertiliserProducts[[#Headers],[Company]], 91)</f>
        <v/>
      </c>
      <c r="AC190" s="172" t="str" cm="1">
        <f t="array" ref="AC190">Common_InputFunctions.Utility_DisplayArrayInTable(Fertiliser_SourceData.Fertiliser_Products_Data4(),FertiliserProducts[[#Headers],[Company]], 91)</f>
        <v/>
      </c>
      <c r="AD190" s="172" t="str" cm="1">
        <f t="array" ref="AD190">Common_InputFunctions.Utility_DisplayArrayInTable(Fertiliser_SourceData.Fertiliser_Products_Data4(),FertiliserProducts[[#Headers],[Company]], 91)</f>
        <v/>
      </c>
      <c r="AE190" s="172" t="str" cm="1">
        <f t="array" ref="AE190">Common_InputFunctions.Utility_DisplayArrayInTable(Fertiliser_SourceData.Fertiliser_Products_Data4(),FertiliserProducts[[#Headers],[Company]], 91)</f>
        <v/>
      </c>
      <c r="AF190" s="172" t="str" cm="1">
        <f t="array" ref="AF190">Common_InputFunctions.Utility_DisplayArrayInTable(Fertiliser_SourceData.Fertiliser_Products_Data4(),FertiliserProducts[[#Headers],[Company]], 91)</f>
        <v/>
      </c>
      <c r="AG190" s="172" t="str" cm="1">
        <f t="array" ref="AG190">Common_InputFunctions.Utility_DisplayArrayInTable(Fertiliser_SourceData.Fertiliser_Products_Data4(),FertiliserProducts[[#Headers],[Company]], 91)</f>
        <v/>
      </c>
      <c r="AH190" s="172" t="str" cm="1">
        <f t="array" ref="AH190">Common_InputFunctions.Utility_DisplayArrayInTable(Fertiliser_SourceData.Fertiliser_Products_Data4(),FertiliserProducts[[#Headers],[Company]], 91)</f>
        <v/>
      </c>
    </row>
    <row r="191" spans="4:37" x14ac:dyDescent="0.25">
      <c r="D191" s="172" t="str" cm="1">
        <f t="array" ref="D191">Common_InputFunctions.Utility_DisplayArrayInTable(Fertiliser_SourceData.Fertiliser_Products_Data4(),FertiliserProducts[[#Headers],[Company]], 91)</f>
        <v>Incitec Pivot Fertilisers</v>
      </c>
      <c r="E191" s="172" t="str" cm="1">
        <f t="array" ref="E191">Common_InputFunctions.Utility_DisplayArrayInTable(Fertiliser_SourceData.Fertiliser_Products_Data4(),FertiliserProducts[[#Headers],[Company]], 91)</f>
        <v>Dairy Pro</v>
      </c>
      <c r="F191" s="172" t="str" cm="1">
        <f t="array" ref="F191">Common_InputFunctions.Utility_DisplayArrayInTable(Fertiliser_SourceData.Fertiliser_Products_Data4(),FertiliserProducts[[#Headers],[Company]], 91)</f>
        <v>kg</v>
      </c>
      <c r="G191" s="172" cm="1">
        <f t="array" ref="G191">Common_InputFunctions.Utility_DisplayArrayInTable(Fertiliser_SourceData.Fertiliser_Products_Data4(),FertiliserProducts[[#Headers],[Company]], 91)</f>
        <v>1</v>
      </c>
      <c r="H191" s="172" t="str" cm="1">
        <f t="array" ref="H191">Common_InputFunctions.Utility_DisplayArrayInTable(Fertiliser_SourceData.Fertiliser_Products_Data4(),FertiliserProducts[[#Headers],[Company]], 91)</f>
        <v/>
      </c>
      <c r="I191" s="172" t="str" cm="1">
        <f t="array" ref="I191">Common_InputFunctions.Utility_DisplayArrayInTable(Fertiliser_SourceData.Fertiliser_Products_Data4(),FertiliserProducts[[#Headers],[Company]], 91)</f>
        <v/>
      </c>
      <c r="J191" s="172" t="str" cm="1">
        <f t="array" ref="J191">Common_InputFunctions.Utility_DisplayArrayInTable(Fertiliser_SourceData.Fertiliser_Products_Data4(),FertiliserProducts[[#Headers],[Company]], 91)</f>
        <v/>
      </c>
      <c r="K191" s="172" cm="1">
        <f t="array" ref="K191">Common_InputFunctions.Utility_DisplayArrayInTable(Fertiliser_SourceData.Fertiliser_Products_Data4(),FertiliserProducts[[#Headers],[Company]], 91)</f>
        <v>25.9</v>
      </c>
      <c r="L191" s="172" cm="1">
        <f t="array" ref="L191">Common_InputFunctions.Utility_DisplayArrayInTable(Fertiliser_SourceData.Fertiliser_Products_Data4(),FertiliserProducts[[#Headers],[Company]], 91)</f>
        <v>3.9</v>
      </c>
      <c r="M191" s="172" cm="1">
        <f t="array" ref="M191">Common_InputFunctions.Utility_DisplayArrayInTable(Fertiliser_SourceData.Fertiliser_Products_Data4(),FertiliserProducts[[#Headers],[Company]], 91)</f>
        <v>15.9</v>
      </c>
      <c r="N191" s="172" cm="1">
        <f t="array" ref="N191">Common_InputFunctions.Utility_DisplayArrayInTable(Fertiliser_SourceData.Fertiliser_Products_Data4(),FertiliserProducts[[#Headers],[Company]], 91)</f>
        <v>0.3</v>
      </c>
      <c r="O191" s="172" t="str" cm="1">
        <f t="array" ref="O191">Common_InputFunctions.Utility_DisplayArrayInTable(Fertiliser_SourceData.Fertiliser_Products_Data4(),FertiliserProducts[[#Headers],[Company]], 91)</f>
        <v>Nitrogen - Generic</v>
      </c>
      <c r="P191" s="172" cm="1">
        <f t="array" ref="P191">Common_InputFunctions.Utility_DisplayArrayInTable(Fertiliser_SourceData.Fertiliser_Products_Data4(),FertiliserProducts[[#Headers],[Company]], 91)</f>
        <v>0.25900000000000001</v>
      </c>
      <c r="Q191" s="172" t="str" cm="1">
        <f t="array" ref="Q191">Common_InputFunctions.Utility_DisplayArrayInTable(Fertiliser_SourceData.Fertiliser_Products_Data4(),FertiliserProducts[[#Headers],[Company]], 91)</f>
        <v>Phosphorus - Generic</v>
      </c>
      <c r="R191" s="172" cm="1">
        <f t="array" ref="R191">Common_InputFunctions.Utility_DisplayArrayInTable(Fertiliser_SourceData.Fertiliser_Products_Data4(),FertiliserProducts[[#Headers],[Company]], 91)</f>
        <v>3.9E-2</v>
      </c>
      <c r="S191" s="172" t="str" cm="1">
        <f t="array" ref="S191">Common_InputFunctions.Utility_DisplayArrayInTable(Fertiliser_SourceData.Fertiliser_Products_Data4(),FertiliserProducts[[#Headers],[Company]], 91)</f>
        <v>Potassium - Generic</v>
      </c>
      <c r="T191" s="172" cm="1">
        <f t="array" ref="T191">Common_InputFunctions.Utility_DisplayArrayInTable(Fertiliser_SourceData.Fertiliser_Products_Data4(),FertiliserProducts[[#Headers],[Company]], 91)</f>
        <v>0.159</v>
      </c>
      <c r="U191" s="172" t="str" cm="1">
        <f t="array" ref="U191">Common_InputFunctions.Utility_DisplayArrayInTable(Fertiliser_SourceData.Fertiliser_Products_Data4(),FertiliserProducts[[#Headers],[Company]], 91)</f>
        <v>Sulfur - Generic</v>
      </c>
      <c r="V191" s="172" cm="1">
        <f t="array" ref="V191">Common_InputFunctions.Utility_DisplayArrayInTable(Fertiliser_SourceData.Fertiliser_Products_Data4(),FertiliserProducts[[#Headers],[Company]], 91)</f>
        <v>3.0000000000000001E-3</v>
      </c>
      <c r="W191" s="172" t="str" cm="1">
        <f t="array" ref="W191">Common_InputFunctions.Utility_DisplayArrayInTable(Fertiliser_SourceData.Fertiliser_Products_Data4(),FertiliserProducts[[#Headers],[Company]], 91)</f>
        <v/>
      </c>
      <c r="X191" s="172" t="str" cm="1">
        <f t="array" ref="X191">Common_InputFunctions.Utility_DisplayArrayInTable(Fertiliser_SourceData.Fertiliser_Products_Data4(),FertiliserProducts[[#Headers],[Company]], 91)</f>
        <v/>
      </c>
      <c r="Y191" s="172" t="str" cm="1">
        <f t="array" ref="Y191">Common_InputFunctions.Utility_DisplayArrayInTable(Fertiliser_SourceData.Fertiliser_Products_Data4(),FertiliserProducts[[#Headers],[Company]], 91)</f>
        <v/>
      </c>
      <c r="Z191" s="172" t="str" cm="1">
        <f t="array" ref="Z191">Common_InputFunctions.Utility_DisplayArrayInTable(Fertiliser_SourceData.Fertiliser_Products_Data4(),FertiliserProducts[[#Headers],[Company]], 91)</f>
        <v/>
      </c>
      <c r="AA191" s="172" t="str" cm="1">
        <f t="array" ref="AA191">Common_InputFunctions.Utility_DisplayArrayInTable(Fertiliser_SourceData.Fertiliser_Products_Data4(),FertiliserProducts[[#Headers],[Company]], 91)</f>
        <v/>
      </c>
      <c r="AB191" s="172" t="str" cm="1">
        <f t="array" ref="AB191">Common_InputFunctions.Utility_DisplayArrayInTable(Fertiliser_SourceData.Fertiliser_Products_Data4(),FertiliserProducts[[#Headers],[Company]], 91)</f>
        <v/>
      </c>
      <c r="AC191" s="172" t="str" cm="1">
        <f t="array" ref="AC191">Common_InputFunctions.Utility_DisplayArrayInTable(Fertiliser_SourceData.Fertiliser_Products_Data4(),FertiliserProducts[[#Headers],[Company]], 91)</f>
        <v/>
      </c>
      <c r="AD191" s="172" t="str" cm="1">
        <f t="array" ref="AD191">Common_InputFunctions.Utility_DisplayArrayInTable(Fertiliser_SourceData.Fertiliser_Products_Data4(),FertiliserProducts[[#Headers],[Company]], 91)</f>
        <v/>
      </c>
      <c r="AE191" s="172" t="str" cm="1">
        <f t="array" ref="AE191">Common_InputFunctions.Utility_DisplayArrayInTable(Fertiliser_SourceData.Fertiliser_Products_Data4(),FertiliserProducts[[#Headers],[Company]], 91)</f>
        <v/>
      </c>
      <c r="AF191" s="172" t="str" cm="1">
        <f t="array" ref="AF191">Common_InputFunctions.Utility_DisplayArrayInTable(Fertiliser_SourceData.Fertiliser_Products_Data4(),FertiliserProducts[[#Headers],[Company]], 91)</f>
        <v/>
      </c>
      <c r="AG191" s="172" t="str" cm="1">
        <f t="array" ref="AG191">Common_InputFunctions.Utility_DisplayArrayInTable(Fertiliser_SourceData.Fertiliser_Products_Data4(),FertiliserProducts[[#Headers],[Company]], 91)</f>
        <v/>
      </c>
      <c r="AH191" s="172" t="str" cm="1">
        <f t="array" ref="AH191">Common_InputFunctions.Utility_DisplayArrayInTable(Fertiliser_SourceData.Fertiliser_Products_Data4(),FertiliserProducts[[#Headers],[Company]], 91)</f>
        <v/>
      </c>
    </row>
    <row r="192" spans="4:37" x14ac:dyDescent="0.25">
      <c r="D192" s="172" t="str" cm="1">
        <f t="array" ref="D192">Common_InputFunctions.Utility_DisplayArrayInTable(Fertiliser_SourceData.Fertiliser_Products_Data4(),FertiliserProducts[[#Headers],[Company]], 91)</f>
        <v>Yara Australia</v>
      </c>
      <c r="E192" s="172" t="str" cm="1">
        <f t="array" ref="E192">Common_InputFunctions.Utility_DisplayArrayInTable(Fertiliser_SourceData.Fertiliser_Products_Data4(),FertiliserProducts[[#Headers],[Company]], 91)</f>
        <v>YaraMila ACTYVA S</v>
      </c>
      <c r="F192" s="172" t="str" cm="1">
        <f t="array" ref="F192">Common_InputFunctions.Utility_DisplayArrayInTable(Fertiliser_SourceData.Fertiliser_Products_Data4(),FertiliserProducts[[#Headers],[Company]], 91)</f>
        <v>kg</v>
      </c>
      <c r="G192" s="172" cm="1">
        <f t="array" ref="G192">Common_InputFunctions.Utility_DisplayArrayInTable(Fertiliser_SourceData.Fertiliser_Products_Data4(),FertiliserProducts[[#Headers],[Company]], 91)</f>
        <v>1</v>
      </c>
      <c r="H192" s="172" t="str" cm="1">
        <f t="array" ref="H192">Common_InputFunctions.Utility_DisplayArrayInTable(Fertiliser_SourceData.Fertiliser_Products_Data4(),FertiliserProducts[[#Headers],[Company]], 91)</f>
        <v/>
      </c>
      <c r="I192" s="172" t="str" cm="1">
        <f t="array" ref="I192">Common_InputFunctions.Utility_DisplayArrayInTable(Fertiliser_SourceData.Fertiliser_Products_Data4(),FertiliserProducts[[#Headers],[Company]], 91)</f>
        <v/>
      </c>
      <c r="J192" s="172" t="str" cm="1">
        <f t="array" ref="J192">Common_InputFunctions.Utility_DisplayArrayInTable(Fertiliser_SourceData.Fertiliser_Products_Data4(),FertiliserProducts[[#Headers],[Company]], 91)</f>
        <v/>
      </c>
      <c r="K192" s="172" cm="1">
        <f t="array" ref="K192">Common_InputFunctions.Utility_DisplayArrayInTable(Fertiliser_SourceData.Fertiliser_Products_Data4(),FertiliserProducts[[#Headers],[Company]], 91)</f>
        <v>15.6</v>
      </c>
      <c r="L192" s="172" cm="1">
        <f t="array" ref="L192">Common_InputFunctions.Utility_DisplayArrayInTable(Fertiliser_SourceData.Fertiliser_Products_Data4(),FertiliserProducts[[#Headers],[Company]], 91)</f>
        <v>6.37</v>
      </c>
      <c r="M192" s="172" cm="1">
        <f t="array" ref="M192">Common_InputFunctions.Utility_DisplayArrayInTable(Fertiliser_SourceData.Fertiliser_Products_Data4(),FertiliserProducts[[#Headers],[Company]], 91)</f>
        <v>12.45</v>
      </c>
      <c r="N192" s="172" cm="1">
        <f t="array" ref="N192">Common_InputFunctions.Utility_DisplayArrayInTable(Fertiliser_SourceData.Fertiliser_Products_Data4(),FertiliserProducts[[#Headers],[Company]], 91)</f>
        <v>2.6</v>
      </c>
      <c r="O192" s="172" t="str" cm="1">
        <f t="array" ref="O192">Common_InputFunctions.Utility_DisplayArrayInTable(Fertiliser_SourceData.Fertiliser_Products_Data4(),FertiliserProducts[[#Headers],[Company]], 91)</f>
        <v>Nitrogen - Nitrate</v>
      </c>
      <c r="P192" s="172" cm="1">
        <f t="array" ref="P192">Common_InputFunctions.Utility_DisplayArrayInTable(Fertiliser_SourceData.Fertiliser_Products_Data4(),FertiliserProducts[[#Headers],[Company]], 91)</f>
        <v>5.8000000000000003E-2</v>
      </c>
      <c r="Q192" s="172" t="str" cm="1">
        <f t="array" ref="Q192">Common_InputFunctions.Utility_DisplayArrayInTable(Fertiliser_SourceData.Fertiliser_Products_Data4(),FertiliserProducts[[#Headers],[Company]], 91)</f>
        <v>Nitrogen - Ammoniacal</v>
      </c>
      <c r="R192" s="172" cm="1">
        <f t="array" ref="R192">Common_InputFunctions.Utility_DisplayArrayInTable(Fertiliser_SourceData.Fertiliser_Products_Data4(),FertiliserProducts[[#Headers],[Company]], 91)</f>
        <v>9.8000000000000004E-2</v>
      </c>
      <c r="S192" s="172" t="str" cm="1">
        <f t="array" ref="S192">Common_InputFunctions.Utility_DisplayArrayInTable(Fertiliser_SourceData.Fertiliser_Products_Data4(),FertiliserProducts[[#Headers],[Company]], 91)</f>
        <v>Phosphorus - Generic</v>
      </c>
      <c r="T192" s="172" cm="1">
        <f t="array" ref="T192">Common_InputFunctions.Utility_DisplayArrayInTable(Fertiliser_SourceData.Fertiliser_Products_Data4(),FertiliserProducts[[#Headers],[Company]], 91)</f>
        <v>6.3714000000000007E-2</v>
      </c>
      <c r="U192" s="172" t="str" cm="1">
        <f t="array" ref="U192">Common_InputFunctions.Utility_DisplayArrayInTable(Fertiliser_SourceData.Fertiliser_Products_Data4(),FertiliserProducts[[#Headers],[Company]], 91)</f>
        <v>Potassium - Generic</v>
      </c>
      <c r="V192" s="172" cm="1">
        <f t="array" ref="V192">Common_InputFunctions.Utility_DisplayArrayInTable(Fertiliser_SourceData.Fertiliser_Products_Data4(),FertiliserProducts[[#Headers],[Company]], 91)</f>
        <v>0.124515</v>
      </c>
      <c r="W192" s="172" t="str" cm="1">
        <f t="array" ref="W192">Common_InputFunctions.Utility_DisplayArrayInTable(Fertiliser_SourceData.Fertiliser_Products_Data4(),FertiliserProducts[[#Headers],[Company]], 91)</f>
        <v>Sulfur - Generic</v>
      </c>
      <c r="X192" s="172" cm="1">
        <f t="array" ref="X192">Common_InputFunctions.Utility_DisplayArrayInTable(Fertiliser_SourceData.Fertiliser_Products_Data4(),FertiliserProducts[[#Headers],[Company]], 91)</f>
        <v>2.5999999999999999E-2</v>
      </c>
      <c r="Y192" s="172" t="str" cm="1">
        <f t="array" ref="Y192">Common_InputFunctions.Utility_DisplayArrayInTable(Fertiliser_SourceData.Fertiliser_Products_Data4(),FertiliserProducts[[#Headers],[Company]], 91)</f>
        <v/>
      </c>
      <c r="Z192" s="172" t="str" cm="1">
        <f t="array" ref="Z192">Common_InputFunctions.Utility_DisplayArrayInTable(Fertiliser_SourceData.Fertiliser_Products_Data4(),FertiliserProducts[[#Headers],[Company]], 91)</f>
        <v/>
      </c>
      <c r="AA192" s="172" t="str" cm="1">
        <f t="array" ref="AA192">Common_InputFunctions.Utility_DisplayArrayInTable(Fertiliser_SourceData.Fertiliser_Products_Data4(),FertiliserProducts[[#Headers],[Company]], 91)</f>
        <v/>
      </c>
      <c r="AB192" s="172" t="str" cm="1">
        <f t="array" ref="AB192">Common_InputFunctions.Utility_DisplayArrayInTable(Fertiliser_SourceData.Fertiliser_Products_Data4(),FertiliserProducts[[#Headers],[Company]], 91)</f>
        <v/>
      </c>
      <c r="AC192" s="172" t="str" cm="1">
        <f t="array" ref="AC192">Common_InputFunctions.Utility_DisplayArrayInTable(Fertiliser_SourceData.Fertiliser_Products_Data4(),FertiliserProducts[[#Headers],[Company]], 91)</f>
        <v/>
      </c>
      <c r="AD192" s="172" t="str" cm="1">
        <f t="array" ref="AD192">Common_InputFunctions.Utility_DisplayArrayInTable(Fertiliser_SourceData.Fertiliser_Products_Data4(),FertiliserProducts[[#Headers],[Company]], 91)</f>
        <v/>
      </c>
      <c r="AE192" s="172" t="str" cm="1">
        <f t="array" ref="AE192">Common_InputFunctions.Utility_DisplayArrayInTable(Fertiliser_SourceData.Fertiliser_Products_Data4(),FertiliserProducts[[#Headers],[Company]], 91)</f>
        <v/>
      </c>
      <c r="AF192" s="172" t="str" cm="1">
        <f t="array" ref="AF192">Common_InputFunctions.Utility_DisplayArrayInTable(Fertiliser_SourceData.Fertiliser_Products_Data4(),FertiliserProducts[[#Headers],[Company]], 91)</f>
        <v/>
      </c>
      <c r="AG192" s="172" t="str" cm="1">
        <f t="array" ref="AG192">Common_InputFunctions.Utility_DisplayArrayInTable(Fertiliser_SourceData.Fertiliser_Products_Data4(),FertiliserProducts[[#Headers],[Company]], 91)</f>
        <v/>
      </c>
      <c r="AH192" s="172" t="str" cm="1">
        <f t="array" ref="AH192">Common_InputFunctions.Utility_DisplayArrayInTable(Fertiliser_SourceData.Fertiliser_Products_Data4(),FertiliserProducts[[#Headers],[Company]], 91)</f>
        <v/>
      </c>
    </row>
    <row r="193" spans="4:34" x14ac:dyDescent="0.25">
      <c r="D193" s="172" t="str" cm="1">
        <f t="array" ref="D193">Common_InputFunctions.Utility_DisplayArrayInTable(Fertiliser_SourceData.Fertiliser_Products_Data4(),FertiliserProducts[[#Headers],[Company]], 91)</f>
        <v>CSBP</v>
      </c>
      <c r="E193" s="172" t="str" cm="1">
        <f t="array" ref="E193">Common_InputFunctions.Utility_DisplayArrayInTable(Fertiliser_SourceData.Fertiliser_Products_Data4(),FertiliserProducts[[#Headers],[Company]], 91)</f>
        <v>Agflow Extra</v>
      </c>
      <c r="F193" s="172" t="str" cm="1">
        <f t="array" ref="F193">Common_InputFunctions.Utility_DisplayArrayInTable(Fertiliser_SourceData.Fertiliser_Products_Data4(),FertiliserProducts[[#Headers],[Company]], 91)</f>
        <v>kg</v>
      </c>
      <c r="G193" s="172" cm="1">
        <f t="array" ref="G193">Common_InputFunctions.Utility_DisplayArrayInTable(Fertiliser_SourceData.Fertiliser_Products_Data4(),FertiliserProducts[[#Headers],[Company]], 91)</f>
        <v>1</v>
      </c>
      <c r="H193" s="172" t="str" cm="1">
        <f t="array" ref="H193">Common_InputFunctions.Utility_DisplayArrayInTable(Fertiliser_SourceData.Fertiliser_Products_Data4(),FertiliserProducts[[#Headers],[Company]], 91)</f>
        <v/>
      </c>
      <c r="I193" s="172" t="str" cm="1">
        <f t="array" ref="I193">Common_InputFunctions.Utility_DisplayArrayInTable(Fertiliser_SourceData.Fertiliser_Products_Data4(),FertiliserProducts[[#Headers],[Company]], 91)</f>
        <v/>
      </c>
      <c r="J193" s="172" t="str" cm="1">
        <f t="array" ref="J193">Common_InputFunctions.Utility_DisplayArrayInTable(Fertiliser_SourceData.Fertiliser_Products_Data4(),FertiliserProducts[[#Headers],[Company]], 91)</f>
        <v/>
      </c>
      <c r="K193" s="172" cm="1">
        <f t="array" ref="K193">Common_InputFunctions.Utility_DisplayArrayInTable(Fertiliser_SourceData.Fertiliser_Products_Data4(),FertiliserProducts[[#Headers],[Company]], 91)</f>
        <v>11.15</v>
      </c>
      <c r="L193" s="172" cm="1">
        <f t="array" ref="L193">Common_InputFunctions.Utility_DisplayArrayInTable(Fertiliser_SourceData.Fertiliser_Products_Data4(),FertiliserProducts[[#Headers],[Company]], 91)</f>
        <v>17.52</v>
      </c>
      <c r="M193" s="172" t="str" cm="1">
        <f t="array" ref="M193">Common_InputFunctions.Utility_DisplayArrayInTable(Fertiliser_SourceData.Fertiliser_Products_Data4(),FertiliserProducts[[#Headers],[Company]], 91)</f>
        <v/>
      </c>
      <c r="N193" s="172" cm="1">
        <f t="array" ref="N193">Common_InputFunctions.Utility_DisplayArrayInTable(Fertiliser_SourceData.Fertiliser_Products_Data4(),FertiliserProducts[[#Headers],[Company]], 91)</f>
        <v>3.6</v>
      </c>
      <c r="O193" s="172" t="str" cm="1">
        <f t="array" ref="O193">Common_InputFunctions.Utility_DisplayArrayInTable(Fertiliser_SourceData.Fertiliser_Products_Data4(),FertiliserProducts[[#Headers],[Company]], 91)</f>
        <v>Monoammonium phosphate (MAP)</v>
      </c>
      <c r="P193" s="172" cm="1">
        <f t="array" ref="P193">Common_InputFunctions.Utility_DisplayArrayInTable(Fertiliser_SourceData.Fertiliser_Products_Data4(),FertiliserProducts[[#Headers],[Company]], 91)</f>
        <v>0.8</v>
      </c>
      <c r="Q193" s="172" t="str" cm="1">
        <f t="array" ref="Q193">Common_InputFunctions.Utility_DisplayArrayInTable(Fertiliser_SourceData.Fertiliser_Products_Data4(),FertiliserProducts[[#Headers],[Company]], 91)</f>
        <v>Sulphate of ammonia (SOA)</v>
      </c>
      <c r="R193" s="172" cm="1">
        <f t="array" ref="R193">Common_InputFunctions.Utility_DisplayArrayInTable(Fertiliser_SourceData.Fertiliser_Products_Data4(),FertiliserProducts[[#Headers],[Company]], 91)</f>
        <v>0.15</v>
      </c>
      <c r="S193" s="172" t="str" cm="1">
        <f t="array" ref="S193">Common_InputFunctions.Utility_DisplayArrayInTable(Fertiliser_SourceData.Fertiliser_Products_Data4(),FertiliserProducts[[#Headers],[Company]], 91)</f>
        <v>Copper</v>
      </c>
      <c r="T193" s="172" t="str" cm="1">
        <f t="array" ref="T193">Common_InputFunctions.Utility_DisplayArrayInTable(Fertiliser_SourceData.Fertiliser_Products_Data4(),FertiliserProducts[[#Headers],[Company]], 91)</f>
        <v>No data</v>
      </c>
      <c r="U193" s="172" t="str" cm="1">
        <f t="array" ref="U193">Common_InputFunctions.Utility_DisplayArrayInTable(Fertiliser_SourceData.Fertiliser_Products_Data4(),FertiliserProducts[[#Headers],[Company]], 91)</f>
        <v>Molybdenum</v>
      </c>
      <c r="V193" s="172" t="str" cm="1">
        <f t="array" ref="V193">Common_InputFunctions.Utility_DisplayArrayInTable(Fertiliser_SourceData.Fertiliser_Products_Data4(),FertiliserProducts[[#Headers],[Company]], 91)</f>
        <v>No data</v>
      </c>
      <c r="W193" s="172" t="str" cm="1">
        <f t="array" ref="W193">Common_InputFunctions.Utility_DisplayArrayInTable(Fertiliser_SourceData.Fertiliser_Products_Data4(),FertiliserProducts[[#Headers],[Company]], 91)</f>
        <v>Zinc</v>
      </c>
      <c r="X193" s="172" t="str" cm="1">
        <f t="array" ref="X193">Common_InputFunctions.Utility_DisplayArrayInTable(Fertiliser_SourceData.Fertiliser_Products_Data4(),FertiliserProducts[[#Headers],[Company]], 91)</f>
        <v>No data</v>
      </c>
      <c r="Y193" s="172" t="str" cm="1">
        <f t="array" ref="Y193">Common_InputFunctions.Utility_DisplayArrayInTable(Fertiliser_SourceData.Fertiliser_Products_Data4(),FertiliserProducts[[#Headers],[Company]], 91)</f>
        <v/>
      </c>
      <c r="Z193" s="172" t="str" cm="1">
        <f t="array" ref="Z193">Common_InputFunctions.Utility_DisplayArrayInTable(Fertiliser_SourceData.Fertiliser_Products_Data4(),FertiliserProducts[[#Headers],[Company]], 91)</f>
        <v/>
      </c>
      <c r="AA193" s="172" t="str" cm="1">
        <f t="array" ref="AA193">Common_InputFunctions.Utility_DisplayArrayInTable(Fertiliser_SourceData.Fertiliser_Products_Data4(),FertiliserProducts[[#Headers],[Company]], 91)</f>
        <v/>
      </c>
      <c r="AB193" s="172" t="str" cm="1">
        <f t="array" ref="AB193">Common_InputFunctions.Utility_DisplayArrayInTable(Fertiliser_SourceData.Fertiliser_Products_Data4(),FertiliserProducts[[#Headers],[Company]], 91)</f>
        <v/>
      </c>
      <c r="AC193" s="172" t="str" cm="1">
        <f t="array" ref="AC193">Common_InputFunctions.Utility_DisplayArrayInTable(Fertiliser_SourceData.Fertiliser_Products_Data4(),FertiliserProducts[[#Headers],[Company]], 91)</f>
        <v/>
      </c>
      <c r="AD193" s="172" t="str" cm="1">
        <f t="array" ref="AD193">Common_InputFunctions.Utility_DisplayArrayInTable(Fertiliser_SourceData.Fertiliser_Products_Data4(),FertiliserProducts[[#Headers],[Company]], 91)</f>
        <v/>
      </c>
      <c r="AE193" s="172" t="str" cm="1">
        <f t="array" ref="AE193">Common_InputFunctions.Utility_DisplayArrayInTable(Fertiliser_SourceData.Fertiliser_Products_Data4(),FertiliserProducts[[#Headers],[Company]], 91)</f>
        <v/>
      </c>
      <c r="AF193" s="172" t="str" cm="1">
        <f t="array" ref="AF193">Common_InputFunctions.Utility_DisplayArrayInTable(Fertiliser_SourceData.Fertiliser_Products_Data4(),FertiliserProducts[[#Headers],[Company]], 91)</f>
        <v/>
      </c>
      <c r="AG193" s="172" t="str" cm="1">
        <f t="array" ref="AG193">Common_InputFunctions.Utility_DisplayArrayInTable(Fertiliser_SourceData.Fertiliser_Products_Data4(),FertiliserProducts[[#Headers],[Company]], 91)</f>
        <v/>
      </c>
      <c r="AH193" s="172" t="str" cm="1">
        <f t="array" ref="AH193">Common_InputFunctions.Utility_DisplayArrayInTable(Fertiliser_SourceData.Fertiliser_Products_Data4(),FertiliserProducts[[#Headers],[Company]], 91)</f>
        <v/>
      </c>
    </row>
    <row r="194" spans="4:34" x14ac:dyDescent="0.25">
      <c r="D194" s="172" t="str" cm="1">
        <f t="array" ref="D194">Common_InputFunctions.Utility_DisplayArrayInTable(Fertiliser_SourceData.Fertiliser_Products_Data4(),FertiliserProducts[[#Headers],[Company]], 91)</f>
        <v>CSBP</v>
      </c>
      <c r="E194" s="172" t="str" cm="1">
        <f t="array" ref="E194">Common_InputFunctions.Utility_DisplayArrayInTable(Fertiliser_SourceData.Fertiliser_Products_Data4(),FertiliserProducts[[#Headers],[Company]], 91)</f>
        <v>Super &amp; Potash 3:1</v>
      </c>
      <c r="F194" s="172" t="str" cm="1">
        <f t="array" ref="F194">Common_InputFunctions.Utility_DisplayArrayInTable(Fertiliser_SourceData.Fertiliser_Products_Data4(),FertiliserProducts[[#Headers],[Company]], 91)</f>
        <v>kg</v>
      </c>
      <c r="G194" s="172" cm="1">
        <f t="array" ref="G194">Common_InputFunctions.Utility_DisplayArrayInTable(Fertiliser_SourceData.Fertiliser_Products_Data4(),FertiliserProducts[[#Headers],[Company]], 91)</f>
        <v>1</v>
      </c>
      <c r="H194" s="172" t="str" cm="1">
        <f t="array" ref="H194">Common_InputFunctions.Utility_DisplayArrayInTable(Fertiliser_SourceData.Fertiliser_Products_Data4(),FertiliserProducts[[#Headers],[Company]], 91)</f>
        <v/>
      </c>
      <c r="I194" s="172" t="str" cm="1">
        <f t="array" ref="I194">Common_InputFunctions.Utility_DisplayArrayInTable(Fertiliser_SourceData.Fertiliser_Products_Data4(),FertiliserProducts[[#Headers],[Company]], 91)</f>
        <v/>
      </c>
      <c r="J194" s="172" t="str" cm="1">
        <f t="array" ref="J194">Common_InputFunctions.Utility_DisplayArrayInTable(Fertiliser_SourceData.Fertiliser_Products_Data4(),FertiliserProducts[[#Headers],[Company]], 91)</f>
        <v/>
      </c>
      <c r="K194" s="172" t="str" cm="1">
        <f t="array" ref="K194">Common_InputFunctions.Utility_DisplayArrayInTable(Fertiliser_SourceData.Fertiliser_Products_Data4(),FertiliserProducts[[#Headers],[Company]], 91)</f>
        <v/>
      </c>
      <c r="L194" s="172" cm="1">
        <f t="array" ref="L194">Common_InputFunctions.Utility_DisplayArrayInTable(Fertiliser_SourceData.Fertiliser_Products_Data4(),FertiliserProducts[[#Headers],[Company]], 91)</f>
        <v>5.5</v>
      </c>
      <c r="M194" s="172" cm="1">
        <f t="array" ref="M194">Common_InputFunctions.Utility_DisplayArrayInTable(Fertiliser_SourceData.Fertiliser_Products_Data4(),FertiliserProducts[[#Headers],[Company]], 91)</f>
        <v>15</v>
      </c>
      <c r="N194" s="172" cm="1">
        <f t="array" ref="N194">Common_InputFunctions.Utility_DisplayArrayInTable(Fertiliser_SourceData.Fertiliser_Products_Data4(),FertiliserProducts[[#Headers],[Company]], 91)</f>
        <v>6.88</v>
      </c>
      <c r="O194" s="172" t="str" cm="1">
        <f t="array" ref="O194">Common_InputFunctions.Utility_DisplayArrayInTable(Fertiliser_SourceData.Fertiliser_Products_Data4(),FertiliserProducts[[#Headers],[Company]], 91)</f>
        <v>Single superphosphate (SSP)</v>
      </c>
      <c r="P194" s="172" cm="1">
        <f t="array" ref="P194">Common_InputFunctions.Utility_DisplayArrayInTable(Fertiliser_SourceData.Fertiliser_Products_Data4(),FertiliserProducts[[#Headers],[Company]], 91)</f>
        <v>0.625</v>
      </c>
      <c r="Q194" s="172" t="str" cm="1">
        <f t="array" ref="Q194">Common_InputFunctions.Utility_DisplayArrayInTable(Fertiliser_SourceData.Fertiliser_Products_Data4(),FertiliserProducts[[#Headers],[Company]], 91)</f>
        <v>Muriate of potash (MOP)</v>
      </c>
      <c r="R194" s="172" cm="1">
        <f t="array" ref="R194">Common_InputFunctions.Utility_DisplayArrayInTable(Fertiliser_SourceData.Fertiliser_Products_Data4(),FertiliserProducts[[#Headers],[Company]], 91)</f>
        <v>0.3</v>
      </c>
      <c r="S194" s="172" t="str" cm="1">
        <f t="array" ref="S194">Common_InputFunctions.Utility_DisplayArrayInTable(Fertiliser_SourceData.Fertiliser_Products_Data4(),FertiliserProducts[[#Headers],[Company]], 91)</f>
        <v/>
      </c>
      <c r="T194" s="172" t="str" cm="1">
        <f t="array" ref="T194">Common_InputFunctions.Utility_DisplayArrayInTable(Fertiliser_SourceData.Fertiliser_Products_Data4(),FertiliserProducts[[#Headers],[Company]], 91)</f>
        <v/>
      </c>
      <c r="U194" s="172" t="str" cm="1">
        <f t="array" ref="U194">Common_InputFunctions.Utility_DisplayArrayInTable(Fertiliser_SourceData.Fertiliser_Products_Data4(),FertiliserProducts[[#Headers],[Company]], 91)</f>
        <v/>
      </c>
      <c r="V194" s="172" t="str" cm="1">
        <f t="array" ref="V194">Common_InputFunctions.Utility_DisplayArrayInTable(Fertiliser_SourceData.Fertiliser_Products_Data4(),FertiliserProducts[[#Headers],[Company]], 91)</f>
        <v/>
      </c>
      <c r="W194" s="172" t="str" cm="1">
        <f t="array" ref="W194">Common_InputFunctions.Utility_DisplayArrayInTable(Fertiliser_SourceData.Fertiliser_Products_Data4(),FertiliserProducts[[#Headers],[Company]], 91)</f>
        <v/>
      </c>
      <c r="X194" s="172" t="str" cm="1">
        <f t="array" ref="X194">Common_InputFunctions.Utility_DisplayArrayInTable(Fertiliser_SourceData.Fertiliser_Products_Data4(),FertiliserProducts[[#Headers],[Company]], 91)</f>
        <v/>
      </c>
      <c r="Y194" s="172" t="str" cm="1">
        <f t="array" ref="Y194">Common_InputFunctions.Utility_DisplayArrayInTable(Fertiliser_SourceData.Fertiliser_Products_Data4(),FertiliserProducts[[#Headers],[Company]], 91)</f>
        <v/>
      </c>
      <c r="Z194" s="172" t="str" cm="1">
        <f t="array" ref="Z194">Common_InputFunctions.Utility_DisplayArrayInTable(Fertiliser_SourceData.Fertiliser_Products_Data4(),FertiliserProducts[[#Headers],[Company]], 91)</f>
        <v/>
      </c>
      <c r="AA194" s="172" t="str" cm="1">
        <f t="array" ref="AA194">Common_InputFunctions.Utility_DisplayArrayInTable(Fertiliser_SourceData.Fertiliser_Products_Data4(),FertiliserProducts[[#Headers],[Company]], 91)</f>
        <v/>
      </c>
      <c r="AB194" s="172" t="str" cm="1">
        <f t="array" ref="AB194">Common_InputFunctions.Utility_DisplayArrayInTable(Fertiliser_SourceData.Fertiliser_Products_Data4(),FertiliserProducts[[#Headers],[Company]], 91)</f>
        <v/>
      </c>
      <c r="AC194" s="172" t="str" cm="1">
        <f t="array" ref="AC194">Common_InputFunctions.Utility_DisplayArrayInTable(Fertiliser_SourceData.Fertiliser_Products_Data4(),FertiliserProducts[[#Headers],[Company]], 91)</f>
        <v/>
      </c>
      <c r="AD194" s="172" t="str" cm="1">
        <f t="array" ref="AD194">Common_InputFunctions.Utility_DisplayArrayInTable(Fertiliser_SourceData.Fertiliser_Products_Data4(),FertiliserProducts[[#Headers],[Company]], 91)</f>
        <v/>
      </c>
      <c r="AE194" s="172" t="str" cm="1">
        <f t="array" ref="AE194">Common_InputFunctions.Utility_DisplayArrayInTable(Fertiliser_SourceData.Fertiliser_Products_Data4(),FertiliserProducts[[#Headers],[Company]], 91)</f>
        <v/>
      </c>
      <c r="AF194" s="172" t="str" cm="1">
        <f t="array" ref="AF194">Common_InputFunctions.Utility_DisplayArrayInTable(Fertiliser_SourceData.Fertiliser_Products_Data4(),FertiliserProducts[[#Headers],[Company]], 91)</f>
        <v/>
      </c>
      <c r="AG194" s="172" t="str" cm="1">
        <f t="array" ref="AG194">Common_InputFunctions.Utility_DisplayArrayInTable(Fertiliser_SourceData.Fertiliser_Products_Data4(),FertiliserProducts[[#Headers],[Company]], 91)</f>
        <v/>
      </c>
      <c r="AH194" s="172" t="str" cm="1">
        <f t="array" ref="AH194">Common_InputFunctions.Utility_DisplayArrayInTable(Fertiliser_SourceData.Fertiliser_Products_Data4(),FertiliserProducts[[#Headers],[Company]], 91)</f>
        <v/>
      </c>
    </row>
    <row r="195" spans="4:34" x14ac:dyDescent="0.25">
      <c r="D195" s="172" t="str" cm="1">
        <f t="array" ref="D195">Common_InputFunctions.Utility_DisplayArrayInTable(Fertiliser_SourceData.Fertiliser_Products_Data4(),FertiliserProducts[[#Headers],[Company]], 91)</f>
        <v>Yara</v>
      </c>
      <c r="E195" s="172" t="str" cm="1">
        <f t="array" ref="E195">Common_InputFunctions.Utility_DisplayArrayInTable(Fertiliser_SourceData.Fertiliser_Products_Data4(),FertiliserProducts[[#Headers],[Company]], 91)</f>
        <v>YaraBela CAN-27</v>
      </c>
      <c r="F195" s="172" t="str" cm="1">
        <f t="array" ref="F195">Common_InputFunctions.Utility_DisplayArrayInTable(Fertiliser_SourceData.Fertiliser_Products_Data4(),FertiliserProducts[[#Headers],[Company]], 91)</f>
        <v>kg</v>
      </c>
      <c r="G195" s="172" cm="1">
        <f t="array" ref="G195">Common_InputFunctions.Utility_DisplayArrayInTable(Fertiliser_SourceData.Fertiliser_Products_Data4(),FertiliserProducts[[#Headers],[Company]], 91)</f>
        <v>1</v>
      </c>
      <c r="H195" s="172" t="str" cm="1">
        <f t="array" ref="H195">Common_InputFunctions.Utility_DisplayArrayInTable(Fertiliser_SourceData.Fertiliser_Products_Data4(),FertiliserProducts[[#Headers],[Company]], 91)</f>
        <v/>
      </c>
      <c r="I195" s="172" t="str" cm="1">
        <f t="array" ref="I195">Common_InputFunctions.Utility_DisplayArrayInTable(Fertiliser_SourceData.Fertiliser_Products_Data4(),FertiliserProducts[[#Headers],[Company]], 91)</f>
        <v/>
      </c>
      <c r="J195" s="172" t="str" cm="1">
        <f t="array" ref="J195">Common_InputFunctions.Utility_DisplayArrayInTable(Fertiliser_SourceData.Fertiliser_Products_Data4(),FertiliserProducts[[#Headers],[Company]], 91)</f>
        <v/>
      </c>
      <c r="K195" s="172" cm="1">
        <f t="array" ref="K195">Common_InputFunctions.Utility_DisplayArrayInTable(Fertiliser_SourceData.Fertiliser_Products_Data4(),FertiliserProducts[[#Headers],[Company]], 91)</f>
        <v>27</v>
      </c>
      <c r="L195" s="172" t="str" cm="1">
        <f t="array" ref="L195">Common_InputFunctions.Utility_DisplayArrayInTable(Fertiliser_SourceData.Fertiliser_Products_Data4(),FertiliserProducts[[#Headers],[Company]], 91)</f>
        <v/>
      </c>
      <c r="M195" s="172" t="str" cm="1">
        <f t="array" ref="M195">Common_InputFunctions.Utility_DisplayArrayInTable(Fertiliser_SourceData.Fertiliser_Products_Data4(),FertiliserProducts[[#Headers],[Company]], 91)</f>
        <v/>
      </c>
      <c r="N195" s="172" t="str" cm="1">
        <f t="array" ref="N195">Common_InputFunctions.Utility_DisplayArrayInTable(Fertiliser_SourceData.Fertiliser_Products_Data4(),FertiliserProducts[[#Headers],[Company]], 91)</f>
        <v/>
      </c>
      <c r="O195" s="172" t="str" cm="1">
        <f t="array" ref="O195">Common_InputFunctions.Utility_DisplayArrayInTable(Fertiliser_SourceData.Fertiliser_Products_Data4(),FertiliserProducts[[#Headers],[Company]], 91)</f>
        <v>Calcium ammonium nitrate (CAN)</v>
      </c>
      <c r="P195" s="172" cm="1">
        <f t="array" ref="P195">Common_InputFunctions.Utility_DisplayArrayInTable(Fertiliser_SourceData.Fertiliser_Products_Data4(),FertiliserProducts[[#Headers],[Company]], 91)</f>
        <v>1</v>
      </c>
      <c r="Q195" s="172" t="str" cm="1">
        <f t="array" ref="Q195">Common_InputFunctions.Utility_DisplayArrayInTable(Fertiliser_SourceData.Fertiliser_Products_Data4(),FertiliserProducts[[#Headers],[Company]], 91)</f>
        <v/>
      </c>
      <c r="R195" s="172" t="str" cm="1">
        <f t="array" ref="R195">Common_InputFunctions.Utility_DisplayArrayInTable(Fertiliser_SourceData.Fertiliser_Products_Data4(),FertiliserProducts[[#Headers],[Company]], 91)</f>
        <v/>
      </c>
      <c r="S195" s="172" t="str" cm="1">
        <f t="array" ref="S195">Common_InputFunctions.Utility_DisplayArrayInTable(Fertiliser_SourceData.Fertiliser_Products_Data4(),FertiliserProducts[[#Headers],[Company]], 91)</f>
        <v/>
      </c>
      <c r="T195" s="172" t="str" cm="1">
        <f t="array" ref="T195">Common_InputFunctions.Utility_DisplayArrayInTable(Fertiliser_SourceData.Fertiliser_Products_Data4(),FertiliserProducts[[#Headers],[Company]], 91)</f>
        <v/>
      </c>
      <c r="U195" s="172" t="str" cm="1">
        <f t="array" ref="U195">Common_InputFunctions.Utility_DisplayArrayInTable(Fertiliser_SourceData.Fertiliser_Products_Data4(),FertiliserProducts[[#Headers],[Company]], 91)</f>
        <v/>
      </c>
      <c r="V195" s="172" t="str" cm="1">
        <f t="array" ref="V195">Common_InputFunctions.Utility_DisplayArrayInTable(Fertiliser_SourceData.Fertiliser_Products_Data4(),FertiliserProducts[[#Headers],[Company]], 91)</f>
        <v/>
      </c>
      <c r="W195" s="172" t="str" cm="1">
        <f t="array" ref="W195">Common_InputFunctions.Utility_DisplayArrayInTable(Fertiliser_SourceData.Fertiliser_Products_Data4(),FertiliserProducts[[#Headers],[Company]], 91)</f>
        <v/>
      </c>
      <c r="X195" s="172" t="str" cm="1">
        <f t="array" ref="X195">Common_InputFunctions.Utility_DisplayArrayInTable(Fertiliser_SourceData.Fertiliser_Products_Data4(),FertiliserProducts[[#Headers],[Company]], 91)</f>
        <v/>
      </c>
      <c r="Y195" s="172" t="str" cm="1">
        <f t="array" ref="Y195">Common_InputFunctions.Utility_DisplayArrayInTable(Fertiliser_SourceData.Fertiliser_Products_Data4(),FertiliserProducts[[#Headers],[Company]], 91)</f>
        <v/>
      </c>
      <c r="Z195" s="172" t="str" cm="1">
        <f t="array" ref="Z195">Common_InputFunctions.Utility_DisplayArrayInTable(Fertiliser_SourceData.Fertiliser_Products_Data4(),FertiliserProducts[[#Headers],[Company]], 91)</f>
        <v/>
      </c>
      <c r="AA195" s="172" t="str" cm="1">
        <f t="array" ref="AA195">Common_InputFunctions.Utility_DisplayArrayInTable(Fertiliser_SourceData.Fertiliser_Products_Data4(),FertiliserProducts[[#Headers],[Company]], 91)</f>
        <v/>
      </c>
      <c r="AB195" s="172" t="str" cm="1">
        <f t="array" ref="AB195">Common_InputFunctions.Utility_DisplayArrayInTable(Fertiliser_SourceData.Fertiliser_Products_Data4(),FertiliserProducts[[#Headers],[Company]], 91)</f>
        <v/>
      </c>
      <c r="AC195" s="172" t="str" cm="1">
        <f t="array" ref="AC195">Common_InputFunctions.Utility_DisplayArrayInTable(Fertiliser_SourceData.Fertiliser_Products_Data4(),FertiliserProducts[[#Headers],[Company]], 91)</f>
        <v/>
      </c>
      <c r="AD195" s="172" t="str" cm="1">
        <f t="array" ref="AD195">Common_InputFunctions.Utility_DisplayArrayInTable(Fertiliser_SourceData.Fertiliser_Products_Data4(),FertiliserProducts[[#Headers],[Company]], 91)</f>
        <v/>
      </c>
      <c r="AE195" s="172" t="str" cm="1">
        <f t="array" ref="AE195">Common_InputFunctions.Utility_DisplayArrayInTable(Fertiliser_SourceData.Fertiliser_Products_Data4(),FertiliserProducts[[#Headers],[Company]], 91)</f>
        <v/>
      </c>
      <c r="AF195" s="172" t="str" cm="1">
        <f t="array" ref="AF195">Common_InputFunctions.Utility_DisplayArrayInTable(Fertiliser_SourceData.Fertiliser_Products_Data4(),FertiliserProducts[[#Headers],[Company]], 91)</f>
        <v/>
      </c>
      <c r="AG195" s="172" t="str" cm="1">
        <f t="array" ref="AG195">Common_InputFunctions.Utility_DisplayArrayInTable(Fertiliser_SourceData.Fertiliser_Products_Data4(),FertiliserProducts[[#Headers],[Company]], 91)</f>
        <v/>
      </c>
      <c r="AH195" s="172" t="str" cm="1">
        <f t="array" ref="AH195">Common_InputFunctions.Utility_DisplayArrayInTable(Fertiliser_SourceData.Fertiliser_Products_Data4(),FertiliserProducts[[#Headers],[Company]], 91)</f>
        <v/>
      </c>
    </row>
    <row r="196" spans="4:34" x14ac:dyDescent="0.25">
      <c r="D196" s="172" t="str" cm="1">
        <f t="array" ref="D196">Common_InputFunctions.Utility_DisplayArrayInTable(Fertiliser_SourceData.Fertiliser_Products_Data4(),FertiliserProducts[[#Headers],[Company]], 91)</f>
        <v>Incitec Pivot Fertilisers</v>
      </c>
      <c r="E196" s="172" t="str" cm="1">
        <f t="array" ref="E196">Common_InputFunctions.Utility_DisplayArrayInTable(Fertiliser_SourceData.Fertiliser_Products_Data4(),FertiliserProducts[[#Headers],[Company]], 91)</f>
        <v>Cal-Gran Aftergraze</v>
      </c>
      <c r="F196" s="172" t="str" cm="1">
        <f t="array" ref="F196">Common_InputFunctions.Utility_DisplayArrayInTable(Fertiliser_SourceData.Fertiliser_Products_Data4(),FertiliserProducts[[#Headers],[Company]], 91)</f>
        <v>kg</v>
      </c>
      <c r="G196" s="172" cm="1">
        <f t="array" ref="G196">Common_InputFunctions.Utility_DisplayArrayInTable(Fertiliser_SourceData.Fertiliser_Products_Data4(),FertiliserProducts[[#Headers],[Company]], 91)</f>
        <v>1</v>
      </c>
      <c r="H196" s="172" t="str" cm="1">
        <f t="array" ref="H196">Common_InputFunctions.Utility_DisplayArrayInTable(Fertiliser_SourceData.Fertiliser_Products_Data4(),FertiliserProducts[[#Headers],[Company]], 91)</f>
        <v/>
      </c>
      <c r="I196" s="172" t="str" cm="1">
        <f t="array" ref="I196">Common_InputFunctions.Utility_DisplayArrayInTable(Fertiliser_SourceData.Fertiliser_Products_Data4(),FertiliserProducts[[#Headers],[Company]], 91)</f>
        <v/>
      </c>
      <c r="J196" s="172" t="str" cm="1">
        <f t="array" ref="J196">Common_InputFunctions.Utility_DisplayArrayInTable(Fertiliser_SourceData.Fertiliser_Products_Data4(),FertiliserProducts[[#Headers],[Company]], 91)</f>
        <v/>
      </c>
      <c r="K196" s="172" cm="1">
        <f t="array" ref="K196">Common_InputFunctions.Utility_DisplayArrayInTable(Fertiliser_SourceData.Fertiliser_Products_Data4(),FertiliserProducts[[#Headers],[Company]], 91)</f>
        <v>20.6</v>
      </c>
      <c r="L196" s="172" cm="1">
        <f t="array" ref="L196">Common_InputFunctions.Utility_DisplayArrayInTable(Fertiliser_SourceData.Fertiliser_Products_Data4(),FertiliserProducts[[#Headers],[Company]], 91)</f>
        <v>3</v>
      </c>
      <c r="M196" s="172" cm="1">
        <f t="array" ref="M196">Common_InputFunctions.Utility_DisplayArrayInTable(Fertiliser_SourceData.Fertiliser_Products_Data4(),FertiliserProducts[[#Headers],[Company]], 91)</f>
        <v>7.5</v>
      </c>
      <c r="N196" s="172" cm="1">
        <f t="array" ref="N196">Common_InputFunctions.Utility_DisplayArrayInTable(Fertiliser_SourceData.Fertiliser_Products_Data4(),FertiliserProducts[[#Headers],[Company]], 91)</f>
        <v>3.8</v>
      </c>
      <c r="O196" s="172" t="str" cm="1">
        <f t="array" ref="O196">Common_InputFunctions.Utility_DisplayArrayInTable(Fertiliser_SourceData.Fertiliser_Products_Data4(),FertiliserProducts[[#Headers],[Company]], 91)</f>
        <v>Nitrogen - Nitrate</v>
      </c>
      <c r="P196" s="172" cm="1">
        <f t="array" ref="P196">Common_InputFunctions.Utility_DisplayArrayInTable(Fertiliser_SourceData.Fertiliser_Products_Data4(),FertiliserProducts[[#Headers],[Company]], 91)</f>
        <v>6.4000000000000001E-2</v>
      </c>
      <c r="Q196" s="172" t="str" cm="1">
        <f t="array" ref="Q196">Common_InputFunctions.Utility_DisplayArrayInTable(Fertiliser_SourceData.Fertiliser_Products_Data4(),FertiliserProducts[[#Headers],[Company]], 91)</f>
        <v>Nitrogen - Ammoniacal</v>
      </c>
      <c r="R196" s="172" cm="1">
        <f t="array" ref="R196">Common_InputFunctions.Utility_DisplayArrayInTable(Fertiliser_SourceData.Fertiliser_Products_Data4(),FertiliserProducts[[#Headers],[Company]], 91)</f>
        <v>0.14199999999999999</v>
      </c>
      <c r="S196" s="172" t="str" cm="1">
        <f t="array" ref="S196">Common_InputFunctions.Utility_DisplayArrayInTable(Fertiliser_SourceData.Fertiliser_Products_Data4(),FertiliserProducts[[#Headers],[Company]], 91)</f>
        <v>Phosphorus - Generic</v>
      </c>
      <c r="T196" s="172" cm="1">
        <f t="array" ref="T196">Common_InputFunctions.Utility_DisplayArrayInTable(Fertiliser_SourceData.Fertiliser_Products_Data4(),FertiliserProducts[[#Headers],[Company]], 91)</f>
        <v>0.03</v>
      </c>
      <c r="U196" s="172" t="str" cm="1">
        <f t="array" ref="U196">Common_InputFunctions.Utility_DisplayArrayInTable(Fertiliser_SourceData.Fertiliser_Products_Data4(),FertiliserProducts[[#Headers],[Company]], 91)</f>
        <v>Potassium - Generic</v>
      </c>
      <c r="V196" s="172" cm="1">
        <f t="array" ref="V196">Common_InputFunctions.Utility_DisplayArrayInTable(Fertiliser_SourceData.Fertiliser_Products_Data4(),FertiliserProducts[[#Headers],[Company]], 91)</f>
        <v>7.4999999999999997E-2</v>
      </c>
      <c r="W196" s="172" t="str" cm="1">
        <f t="array" ref="W196">Common_InputFunctions.Utility_DisplayArrayInTable(Fertiliser_SourceData.Fertiliser_Products_Data4(),FertiliserProducts[[#Headers],[Company]], 91)</f>
        <v>Sulfur - Generic</v>
      </c>
      <c r="X196" s="172" cm="1">
        <f t="array" ref="X196">Common_InputFunctions.Utility_DisplayArrayInTable(Fertiliser_SourceData.Fertiliser_Products_Data4(),FertiliserProducts[[#Headers],[Company]], 91)</f>
        <v>3.7999999999999999E-2</v>
      </c>
      <c r="Y196" s="172" t="str" cm="1">
        <f t="array" ref="Y196">Common_InputFunctions.Utility_DisplayArrayInTable(Fertiliser_SourceData.Fertiliser_Products_Data4(),FertiliserProducts[[#Headers],[Company]], 91)</f>
        <v>Calcium</v>
      </c>
      <c r="Z196" s="172" cm="1">
        <f t="array" ref="Z196">Common_InputFunctions.Utility_DisplayArrayInTable(Fertiliser_SourceData.Fertiliser_Products_Data4(),FertiliserProducts[[#Headers],[Company]], 91)</f>
        <v>4.3999999999999997E-2</v>
      </c>
      <c r="AA196" s="172" t="str" cm="1">
        <f t="array" ref="AA196">Common_InputFunctions.Utility_DisplayArrayInTable(Fertiliser_SourceData.Fertiliser_Products_Data4(),FertiliserProducts[[#Headers],[Company]], 91)</f>
        <v/>
      </c>
      <c r="AB196" s="172" t="str" cm="1">
        <f t="array" ref="AB196">Common_InputFunctions.Utility_DisplayArrayInTable(Fertiliser_SourceData.Fertiliser_Products_Data4(),FertiliserProducts[[#Headers],[Company]], 91)</f>
        <v/>
      </c>
      <c r="AC196" s="172" t="str" cm="1">
        <f t="array" ref="AC196">Common_InputFunctions.Utility_DisplayArrayInTable(Fertiliser_SourceData.Fertiliser_Products_Data4(),FertiliserProducts[[#Headers],[Company]], 91)</f>
        <v/>
      </c>
      <c r="AD196" s="172" t="str" cm="1">
        <f t="array" ref="AD196">Common_InputFunctions.Utility_DisplayArrayInTable(Fertiliser_SourceData.Fertiliser_Products_Data4(),FertiliserProducts[[#Headers],[Company]], 91)</f>
        <v/>
      </c>
      <c r="AE196" s="172" t="str" cm="1">
        <f t="array" ref="AE196">Common_InputFunctions.Utility_DisplayArrayInTable(Fertiliser_SourceData.Fertiliser_Products_Data4(),FertiliserProducts[[#Headers],[Company]], 91)</f>
        <v/>
      </c>
      <c r="AF196" s="172" t="str" cm="1">
        <f t="array" ref="AF196">Common_InputFunctions.Utility_DisplayArrayInTable(Fertiliser_SourceData.Fertiliser_Products_Data4(),FertiliserProducts[[#Headers],[Company]], 91)</f>
        <v/>
      </c>
      <c r="AG196" s="172" t="str" cm="1">
        <f t="array" ref="AG196">Common_InputFunctions.Utility_DisplayArrayInTable(Fertiliser_SourceData.Fertiliser_Products_Data4(),FertiliserProducts[[#Headers],[Company]], 91)</f>
        <v/>
      </c>
      <c r="AH196" s="172" t="str" cm="1">
        <f t="array" ref="AH196">Common_InputFunctions.Utility_DisplayArrayInTable(Fertiliser_SourceData.Fertiliser_Products_Data4(),FertiliserProducts[[#Headers],[Company]], 91)</f>
        <v/>
      </c>
    </row>
    <row r="197" spans="4:34" x14ac:dyDescent="0.25">
      <c r="D197" s="172" t="str" cm="1">
        <f t="array" ref="D197">Common_InputFunctions.Utility_DisplayArrayInTable(Fertiliser_SourceData.Fertiliser_Products_Data4(),FertiliserProducts[[#Headers],[Company]], 91)</f>
        <v>Incitec Pivot Fertilisers</v>
      </c>
      <c r="E197" s="172" t="str" cm="1">
        <f t="array" ref="E197">Common_InputFunctions.Utility_DisplayArrayInTable(Fertiliser_SourceData.Fertiliser_Products_Data4(),FertiliserProducts[[#Headers],[Company]], 91)</f>
        <v>Cal-Gran Prodress</v>
      </c>
      <c r="F197" s="172" t="str" cm="1">
        <f t="array" ref="F197">Common_InputFunctions.Utility_DisplayArrayInTable(Fertiliser_SourceData.Fertiliser_Products_Data4(),FertiliserProducts[[#Headers],[Company]], 91)</f>
        <v>kg</v>
      </c>
      <c r="G197" s="172" cm="1">
        <f t="array" ref="G197">Common_InputFunctions.Utility_DisplayArrayInTable(Fertiliser_SourceData.Fertiliser_Products_Data4(),FertiliserProducts[[#Headers],[Company]], 91)</f>
        <v>1</v>
      </c>
      <c r="H197" s="172" t="str" cm="1">
        <f t="array" ref="H197">Common_InputFunctions.Utility_DisplayArrayInTable(Fertiliser_SourceData.Fertiliser_Products_Data4(),FertiliserProducts[[#Headers],[Company]], 91)</f>
        <v/>
      </c>
      <c r="I197" s="172" t="str" cm="1">
        <f t="array" ref="I197">Common_InputFunctions.Utility_DisplayArrayInTable(Fertiliser_SourceData.Fertiliser_Products_Data4(),FertiliserProducts[[#Headers],[Company]], 91)</f>
        <v/>
      </c>
      <c r="J197" s="172" t="str" cm="1">
        <f t="array" ref="J197">Common_InputFunctions.Utility_DisplayArrayInTable(Fertiliser_SourceData.Fertiliser_Products_Data4(),FertiliserProducts[[#Headers],[Company]], 91)</f>
        <v/>
      </c>
      <c r="K197" s="172" cm="1">
        <f t="array" ref="K197">Common_InputFunctions.Utility_DisplayArrayInTable(Fertiliser_SourceData.Fertiliser_Products_Data4(),FertiliserProducts[[#Headers],[Company]], 91)</f>
        <v>17.8</v>
      </c>
      <c r="L197" s="172" cm="1">
        <f t="array" ref="L197">Common_InputFunctions.Utility_DisplayArrayInTable(Fertiliser_SourceData.Fertiliser_Products_Data4(),FertiliserProducts[[#Headers],[Company]], 91)</f>
        <v>1</v>
      </c>
      <c r="M197" s="172" cm="1">
        <f t="array" ref="M197">Common_InputFunctions.Utility_DisplayArrayInTable(Fertiliser_SourceData.Fertiliser_Products_Data4(),FertiliserProducts[[#Headers],[Company]], 91)</f>
        <v>15</v>
      </c>
      <c r="N197" s="172" cm="1">
        <f t="array" ref="N197">Common_InputFunctions.Utility_DisplayArrayInTable(Fertiliser_SourceData.Fertiliser_Products_Data4(),FertiliserProducts[[#Headers],[Company]], 91)</f>
        <v>2.5</v>
      </c>
      <c r="O197" s="172" t="str" cm="1">
        <f t="array" ref="O197">Common_InputFunctions.Utility_DisplayArrayInTable(Fertiliser_SourceData.Fertiliser_Products_Data4(),FertiliserProducts[[#Headers],[Company]], 91)</f>
        <v>Nitrogen - Nitrate</v>
      </c>
      <c r="P197" s="172" cm="1">
        <f t="array" ref="P197">Common_InputFunctions.Utility_DisplayArrayInTable(Fertiliser_SourceData.Fertiliser_Products_Data4(),FertiliserProducts[[#Headers],[Company]], 91)</f>
        <v>5.5E-2</v>
      </c>
      <c r="Q197" s="172" t="str" cm="1">
        <f t="array" ref="Q197">Common_InputFunctions.Utility_DisplayArrayInTable(Fertiliser_SourceData.Fertiliser_Products_Data4(),FertiliserProducts[[#Headers],[Company]], 91)</f>
        <v>Nitrogen - Ammoniacal</v>
      </c>
      <c r="R197" s="172" cm="1">
        <f t="array" ref="R197">Common_InputFunctions.Utility_DisplayArrayInTable(Fertiliser_SourceData.Fertiliser_Products_Data4(),FertiliserProducts[[#Headers],[Company]], 91)</f>
        <v>0.123</v>
      </c>
      <c r="S197" s="172" t="str" cm="1">
        <f t="array" ref="S197">Common_InputFunctions.Utility_DisplayArrayInTable(Fertiliser_SourceData.Fertiliser_Products_Data4(),FertiliserProducts[[#Headers],[Company]], 91)</f>
        <v>Phosphorus - Generic</v>
      </c>
      <c r="T197" s="172" cm="1">
        <f t="array" ref="T197">Common_InputFunctions.Utility_DisplayArrayInTable(Fertiliser_SourceData.Fertiliser_Products_Data4(),FertiliserProducts[[#Headers],[Company]], 91)</f>
        <v>0.01</v>
      </c>
      <c r="U197" s="172" t="str" cm="1">
        <f t="array" ref="U197">Common_InputFunctions.Utility_DisplayArrayInTable(Fertiliser_SourceData.Fertiliser_Products_Data4(),FertiliserProducts[[#Headers],[Company]], 91)</f>
        <v>Potassium - Generic</v>
      </c>
      <c r="V197" s="172" cm="1">
        <f t="array" ref="V197">Common_InputFunctions.Utility_DisplayArrayInTable(Fertiliser_SourceData.Fertiliser_Products_Data4(),FertiliserProducts[[#Headers],[Company]], 91)</f>
        <v>0.15</v>
      </c>
      <c r="W197" s="172" t="str" cm="1">
        <f t="array" ref="W197">Common_InputFunctions.Utility_DisplayArrayInTable(Fertiliser_SourceData.Fertiliser_Products_Data4(),FertiliserProducts[[#Headers],[Company]], 91)</f>
        <v>Sulfur - Generic</v>
      </c>
      <c r="X197" s="172" cm="1">
        <f t="array" ref="X197">Common_InputFunctions.Utility_DisplayArrayInTable(Fertiliser_SourceData.Fertiliser_Products_Data4(),FertiliserProducts[[#Headers],[Company]], 91)</f>
        <v>2.5000000000000001E-2</v>
      </c>
      <c r="Y197" s="172" t="str" cm="1">
        <f t="array" ref="Y197">Common_InputFunctions.Utility_DisplayArrayInTable(Fertiliser_SourceData.Fertiliser_Products_Data4(),FertiliserProducts[[#Headers],[Company]], 91)</f>
        <v>Calcium</v>
      </c>
      <c r="Z197" s="172" cm="1">
        <f t="array" ref="Z197">Common_InputFunctions.Utility_DisplayArrayInTable(Fertiliser_SourceData.Fertiliser_Products_Data4(),FertiliserProducts[[#Headers],[Company]], 91)</f>
        <v>4.3999999999999997E-2</v>
      </c>
      <c r="AA197" s="172" t="str" cm="1">
        <f t="array" ref="AA197">Common_InputFunctions.Utility_DisplayArrayInTable(Fertiliser_SourceData.Fertiliser_Products_Data4(),FertiliserProducts[[#Headers],[Company]], 91)</f>
        <v/>
      </c>
      <c r="AB197" s="172" t="str" cm="1">
        <f t="array" ref="AB197">Common_InputFunctions.Utility_DisplayArrayInTable(Fertiliser_SourceData.Fertiliser_Products_Data4(),FertiliserProducts[[#Headers],[Company]], 91)</f>
        <v/>
      </c>
      <c r="AC197" s="172" t="str" cm="1">
        <f t="array" ref="AC197">Common_InputFunctions.Utility_DisplayArrayInTable(Fertiliser_SourceData.Fertiliser_Products_Data4(),FertiliserProducts[[#Headers],[Company]], 91)</f>
        <v/>
      </c>
      <c r="AD197" s="172" t="str" cm="1">
        <f t="array" ref="AD197">Common_InputFunctions.Utility_DisplayArrayInTable(Fertiliser_SourceData.Fertiliser_Products_Data4(),FertiliserProducts[[#Headers],[Company]], 91)</f>
        <v/>
      </c>
      <c r="AE197" s="172" t="str" cm="1">
        <f t="array" ref="AE197">Common_InputFunctions.Utility_DisplayArrayInTable(Fertiliser_SourceData.Fertiliser_Products_Data4(),FertiliserProducts[[#Headers],[Company]], 91)</f>
        <v/>
      </c>
      <c r="AF197" s="172" t="str" cm="1">
        <f t="array" ref="AF197">Common_InputFunctions.Utility_DisplayArrayInTable(Fertiliser_SourceData.Fertiliser_Products_Data4(),FertiliserProducts[[#Headers],[Company]], 91)</f>
        <v/>
      </c>
      <c r="AG197" s="172" t="str" cm="1">
        <f t="array" ref="AG197">Common_InputFunctions.Utility_DisplayArrayInTable(Fertiliser_SourceData.Fertiliser_Products_Data4(),FertiliserProducts[[#Headers],[Company]], 91)</f>
        <v/>
      </c>
      <c r="AH197" s="172" t="str" cm="1">
        <f t="array" ref="AH197">Common_InputFunctions.Utility_DisplayArrayInTable(Fertiliser_SourceData.Fertiliser_Products_Data4(),FertiliserProducts[[#Headers],[Company]], 91)</f>
        <v/>
      </c>
    </row>
    <row r="198" spans="4:34" x14ac:dyDescent="0.25">
      <c r="D198" s="172" t="str" cm="1">
        <f t="array" ref="D198">Common_InputFunctions.Utility_DisplayArrayInTable(Fertiliser_SourceData.Fertiliser_Products_Data4(),FertiliserProducts[[#Headers],[Company]], 91)</f>
        <v>Wengfu Australia</v>
      </c>
      <c r="E198" s="172" t="str" cm="1">
        <f t="array" ref="E198">Common_InputFunctions.Utility_DisplayArrayInTable(Fertiliser_SourceData.Fertiliser_Products_Data4(),FertiliserProducts[[#Headers],[Company]], 91)</f>
        <v>Wengfu PrimeZinc 10</v>
      </c>
      <c r="F198" s="172" t="str" cm="1">
        <f t="array" ref="F198">Common_InputFunctions.Utility_DisplayArrayInTable(Fertiliser_SourceData.Fertiliser_Products_Data4(),FertiliserProducts[[#Headers],[Company]], 91)</f>
        <v>kg</v>
      </c>
      <c r="G198" s="172" cm="1">
        <f t="array" ref="G198">Common_InputFunctions.Utility_DisplayArrayInTable(Fertiliser_SourceData.Fertiliser_Products_Data4(),FertiliserProducts[[#Headers],[Company]], 91)</f>
        <v>1</v>
      </c>
      <c r="H198" s="172" t="str" cm="1">
        <f t="array" ref="H198">Common_InputFunctions.Utility_DisplayArrayInTable(Fertiliser_SourceData.Fertiliser_Products_Data4(),FertiliserProducts[[#Headers],[Company]], 91)</f>
        <v/>
      </c>
      <c r="I198" s="172" t="str" cm="1">
        <f t="array" ref="I198">Common_InputFunctions.Utility_DisplayArrayInTable(Fertiliser_SourceData.Fertiliser_Products_Data4(),FertiliserProducts[[#Headers],[Company]], 91)</f>
        <v/>
      </c>
      <c r="J198" s="172" t="str" cm="1">
        <f t="array" ref="J198">Common_InputFunctions.Utility_DisplayArrayInTable(Fertiliser_SourceData.Fertiliser_Products_Data4(),FertiliserProducts[[#Headers],[Company]], 91)</f>
        <v/>
      </c>
      <c r="K198" s="172" cm="1">
        <f t="array" ref="K198">Common_InputFunctions.Utility_DisplayArrayInTable(Fertiliser_SourceData.Fertiliser_Products_Data4(),FertiliserProducts[[#Headers],[Company]], 91)</f>
        <v>10</v>
      </c>
      <c r="L198" s="172" cm="1">
        <f t="array" ref="L198">Common_InputFunctions.Utility_DisplayArrayInTable(Fertiliser_SourceData.Fertiliser_Products_Data4(),FertiliserProducts[[#Headers],[Company]], 91)</f>
        <v>22</v>
      </c>
      <c r="M198" s="172" t="str" cm="1">
        <f t="array" ref="M198">Common_InputFunctions.Utility_DisplayArrayInTable(Fertiliser_SourceData.Fertiliser_Products_Data4(),FertiliserProducts[[#Headers],[Company]], 91)</f>
        <v/>
      </c>
      <c r="N198" s="172" cm="1">
        <f t="array" ref="N198">Common_InputFunctions.Utility_DisplayArrayInTable(Fertiliser_SourceData.Fertiliser_Products_Data4(),FertiliserProducts[[#Headers],[Company]], 91)</f>
        <v>1.5</v>
      </c>
      <c r="O198" s="172" t="str" cm="1">
        <f t="array" ref="O198">Common_InputFunctions.Utility_DisplayArrayInTable(Fertiliser_SourceData.Fertiliser_Products_Data4(),FertiliserProducts[[#Headers],[Company]], 91)</f>
        <v>Nitrogen - Generic</v>
      </c>
      <c r="P198" s="172" cm="1">
        <f t="array" ref="P198">Common_InputFunctions.Utility_DisplayArrayInTable(Fertiliser_SourceData.Fertiliser_Products_Data4(),FertiliserProducts[[#Headers],[Company]], 91)</f>
        <v>0.1</v>
      </c>
      <c r="Q198" s="172" t="str" cm="1">
        <f t="array" ref="Q198">Common_InputFunctions.Utility_DisplayArrayInTable(Fertiliser_SourceData.Fertiliser_Products_Data4(),FertiliserProducts[[#Headers],[Company]], 91)</f>
        <v>Phosphorus - Generic</v>
      </c>
      <c r="R198" s="172" cm="1">
        <f t="array" ref="R198">Common_InputFunctions.Utility_DisplayArrayInTable(Fertiliser_SourceData.Fertiliser_Products_Data4(),FertiliserProducts[[#Headers],[Company]], 91)</f>
        <v>0.22</v>
      </c>
      <c r="S198" s="172" t="str" cm="1">
        <f t="array" ref="S198">Common_InputFunctions.Utility_DisplayArrayInTable(Fertiliser_SourceData.Fertiliser_Products_Data4(),FertiliserProducts[[#Headers],[Company]], 91)</f>
        <v>Sulfur - Generic</v>
      </c>
      <c r="T198" s="172" cm="1">
        <f t="array" ref="T198">Common_InputFunctions.Utility_DisplayArrayInTable(Fertiliser_SourceData.Fertiliser_Products_Data4(),FertiliserProducts[[#Headers],[Company]], 91)</f>
        <v>1.4999999999999999E-2</v>
      </c>
      <c r="U198" s="172" t="str" cm="1">
        <f t="array" ref="U198">Common_InputFunctions.Utility_DisplayArrayInTable(Fertiliser_SourceData.Fertiliser_Products_Data4(),FertiliserProducts[[#Headers],[Company]], 91)</f>
        <v>Zinc</v>
      </c>
      <c r="V198" s="172" cm="1">
        <f t="array" ref="V198">Common_InputFunctions.Utility_DisplayArrayInTable(Fertiliser_SourceData.Fertiliser_Products_Data4(),FertiliserProducts[[#Headers],[Company]], 91)</f>
        <v>0.01</v>
      </c>
      <c r="W198" s="172" t="str" cm="1">
        <f t="array" ref="W198">Common_InputFunctions.Utility_DisplayArrayInTable(Fertiliser_SourceData.Fertiliser_Products_Data4(),FertiliserProducts[[#Headers],[Company]], 91)</f>
        <v/>
      </c>
      <c r="X198" s="172" t="str" cm="1">
        <f t="array" ref="X198">Common_InputFunctions.Utility_DisplayArrayInTable(Fertiliser_SourceData.Fertiliser_Products_Data4(),FertiliserProducts[[#Headers],[Company]], 91)</f>
        <v/>
      </c>
      <c r="Y198" s="172" t="str" cm="1">
        <f t="array" ref="Y198">Common_InputFunctions.Utility_DisplayArrayInTable(Fertiliser_SourceData.Fertiliser_Products_Data4(),FertiliserProducts[[#Headers],[Company]], 91)</f>
        <v/>
      </c>
      <c r="Z198" s="172" t="str" cm="1">
        <f t="array" ref="Z198">Common_InputFunctions.Utility_DisplayArrayInTable(Fertiliser_SourceData.Fertiliser_Products_Data4(),FertiliserProducts[[#Headers],[Company]], 91)</f>
        <v/>
      </c>
      <c r="AA198" s="172" t="str" cm="1">
        <f t="array" ref="AA198">Common_InputFunctions.Utility_DisplayArrayInTable(Fertiliser_SourceData.Fertiliser_Products_Data4(),FertiliserProducts[[#Headers],[Company]], 91)</f>
        <v/>
      </c>
      <c r="AB198" s="172" t="str" cm="1">
        <f t="array" ref="AB198">Common_InputFunctions.Utility_DisplayArrayInTable(Fertiliser_SourceData.Fertiliser_Products_Data4(),FertiliserProducts[[#Headers],[Company]], 91)</f>
        <v/>
      </c>
      <c r="AC198" s="172" t="str" cm="1">
        <f t="array" ref="AC198">Common_InputFunctions.Utility_DisplayArrayInTable(Fertiliser_SourceData.Fertiliser_Products_Data4(),FertiliserProducts[[#Headers],[Company]], 91)</f>
        <v/>
      </c>
      <c r="AD198" s="172" t="str" cm="1">
        <f t="array" ref="AD198">Common_InputFunctions.Utility_DisplayArrayInTable(Fertiliser_SourceData.Fertiliser_Products_Data4(),FertiliserProducts[[#Headers],[Company]], 91)</f>
        <v/>
      </c>
      <c r="AE198" s="172" t="str" cm="1">
        <f t="array" ref="AE198">Common_InputFunctions.Utility_DisplayArrayInTable(Fertiliser_SourceData.Fertiliser_Products_Data4(),FertiliserProducts[[#Headers],[Company]], 91)</f>
        <v/>
      </c>
      <c r="AF198" s="172" t="str" cm="1">
        <f t="array" ref="AF198">Common_InputFunctions.Utility_DisplayArrayInTable(Fertiliser_SourceData.Fertiliser_Products_Data4(),FertiliserProducts[[#Headers],[Company]], 91)</f>
        <v/>
      </c>
      <c r="AG198" s="172" t="str" cm="1">
        <f t="array" ref="AG198">Common_InputFunctions.Utility_DisplayArrayInTable(Fertiliser_SourceData.Fertiliser_Products_Data4(),FertiliserProducts[[#Headers],[Company]], 91)</f>
        <v/>
      </c>
      <c r="AH198" s="172" t="str" cm="1">
        <f t="array" ref="AH198">Common_InputFunctions.Utility_DisplayArrayInTable(Fertiliser_SourceData.Fertiliser_Products_Data4(),FertiliserProducts[[#Headers],[Company]], 91)</f>
        <v/>
      </c>
    </row>
    <row r="199" spans="4:34" x14ac:dyDescent="0.25">
      <c r="D199" s="172" t="str" cm="1">
        <f t="array" ref="D199">Common_InputFunctions.Utility_DisplayArrayInTable(Fertiliser_SourceData.Fertiliser_Products_Data4(),FertiliserProducts[[#Headers],[Company]], 91)</f>
        <v>Wengfu Australia</v>
      </c>
      <c r="E199" s="172" t="str" cm="1">
        <f t="array" ref="E199">Common_InputFunctions.Utility_DisplayArrayInTable(Fertiliser_SourceData.Fertiliser_Products_Data4(),FertiliserProducts[[#Headers],[Company]], 91)</f>
        <v>Wengfu Pasture King</v>
      </c>
      <c r="F199" s="172" t="str" cm="1">
        <f t="array" ref="F199">Common_InputFunctions.Utility_DisplayArrayInTable(Fertiliser_SourceData.Fertiliser_Products_Data4(),FertiliserProducts[[#Headers],[Company]], 91)</f>
        <v>kg</v>
      </c>
      <c r="G199" s="172" cm="1">
        <f t="array" ref="G199">Common_InputFunctions.Utility_DisplayArrayInTable(Fertiliser_SourceData.Fertiliser_Products_Data4(),FertiliserProducts[[#Headers],[Company]], 91)</f>
        <v>1</v>
      </c>
      <c r="H199" s="172" t="str" cm="1">
        <f t="array" ref="H199">Common_InputFunctions.Utility_DisplayArrayInTable(Fertiliser_SourceData.Fertiliser_Products_Data4(),FertiliserProducts[[#Headers],[Company]], 91)</f>
        <v/>
      </c>
      <c r="I199" s="172" t="str" cm="1">
        <f t="array" ref="I199">Common_InputFunctions.Utility_DisplayArrayInTable(Fertiliser_SourceData.Fertiliser_Products_Data4(),FertiliserProducts[[#Headers],[Company]], 91)</f>
        <v/>
      </c>
      <c r="J199" s="172" t="str" cm="1">
        <f t="array" ref="J199">Common_InputFunctions.Utility_DisplayArrayInTable(Fertiliser_SourceData.Fertiliser_Products_Data4(),FertiliserProducts[[#Headers],[Company]], 91)</f>
        <v/>
      </c>
      <c r="K199" s="172" t="str" cm="1">
        <f t="array" ref="K199">Common_InputFunctions.Utility_DisplayArrayInTable(Fertiliser_SourceData.Fertiliser_Products_Data4(),FertiliserProducts[[#Headers],[Company]], 91)</f>
        <v/>
      </c>
      <c r="L199" s="172" cm="1">
        <f t="array" ref="L199">Common_InputFunctions.Utility_DisplayArrayInTable(Fertiliser_SourceData.Fertiliser_Products_Data4(),FertiliserProducts[[#Headers],[Company]], 91)</f>
        <v>15.7</v>
      </c>
      <c r="M199" s="172" t="str" cm="1">
        <f t="array" ref="M199">Common_InputFunctions.Utility_DisplayArrayInTable(Fertiliser_SourceData.Fertiliser_Products_Data4(),FertiliserProducts[[#Headers],[Company]], 91)</f>
        <v/>
      </c>
      <c r="N199" s="172" cm="1">
        <f t="array" ref="N199">Common_InputFunctions.Utility_DisplayArrayInTable(Fertiliser_SourceData.Fertiliser_Products_Data4(),FertiliserProducts[[#Headers],[Company]], 91)</f>
        <v>4.5999999999999996</v>
      </c>
      <c r="O199" s="172" t="str" cm="1">
        <f t="array" ref="O199">Common_InputFunctions.Utility_DisplayArrayInTable(Fertiliser_SourceData.Fertiliser_Products_Data4(),FertiliserProducts[[#Headers],[Company]], 91)</f>
        <v>Phosphorus - Generic</v>
      </c>
      <c r="P199" s="172" cm="1">
        <f t="array" ref="P199">Common_InputFunctions.Utility_DisplayArrayInTable(Fertiliser_SourceData.Fertiliser_Products_Data4(),FertiliserProducts[[#Headers],[Company]], 91)</f>
        <v>0.157</v>
      </c>
      <c r="Q199" s="172" t="str" cm="1">
        <f t="array" ref="Q199">Common_InputFunctions.Utility_DisplayArrayInTable(Fertiliser_SourceData.Fertiliser_Products_Data4(),FertiliserProducts[[#Headers],[Company]], 91)</f>
        <v>Sulfur - Generic</v>
      </c>
      <c r="R199" s="172" cm="1">
        <f t="array" ref="R199">Common_InputFunctions.Utility_DisplayArrayInTable(Fertiliser_SourceData.Fertiliser_Products_Data4(),FertiliserProducts[[#Headers],[Company]], 91)</f>
        <v>4.5999999999999999E-2</v>
      </c>
      <c r="S199" s="172" t="str" cm="1">
        <f t="array" ref="S199">Common_InputFunctions.Utility_DisplayArrayInTable(Fertiliser_SourceData.Fertiliser_Products_Data4(),FertiliserProducts[[#Headers],[Company]], 91)</f>
        <v>Calcium</v>
      </c>
      <c r="T199" s="172" cm="1">
        <f t="array" ref="T199">Common_InputFunctions.Utility_DisplayArrayInTable(Fertiliser_SourceData.Fertiliser_Products_Data4(),FertiliserProducts[[#Headers],[Company]], 91)</f>
        <v>0.14000000000000001</v>
      </c>
      <c r="U199" s="172" t="str" cm="1">
        <f t="array" ref="U199">Common_InputFunctions.Utility_DisplayArrayInTable(Fertiliser_SourceData.Fertiliser_Products_Data4(),FertiliserProducts[[#Headers],[Company]], 91)</f>
        <v/>
      </c>
      <c r="V199" s="172" t="str" cm="1">
        <f t="array" ref="V199">Common_InputFunctions.Utility_DisplayArrayInTable(Fertiliser_SourceData.Fertiliser_Products_Data4(),FertiliserProducts[[#Headers],[Company]], 91)</f>
        <v/>
      </c>
      <c r="W199" s="172" t="str" cm="1">
        <f t="array" ref="W199">Common_InputFunctions.Utility_DisplayArrayInTable(Fertiliser_SourceData.Fertiliser_Products_Data4(),FertiliserProducts[[#Headers],[Company]], 91)</f>
        <v/>
      </c>
      <c r="X199" s="172" t="str" cm="1">
        <f t="array" ref="X199">Common_InputFunctions.Utility_DisplayArrayInTable(Fertiliser_SourceData.Fertiliser_Products_Data4(),FertiliserProducts[[#Headers],[Company]], 91)</f>
        <v/>
      </c>
      <c r="Y199" s="172" t="str" cm="1">
        <f t="array" ref="Y199">Common_InputFunctions.Utility_DisplayArrayInTable(Fertiliser_SourceData.Fertiliser_Products_Data4(),FertiliserProducts[[#Headers],[Company]], 91)</f>
        <v/>
      </c>
      <c r="Z199" s="172" t="str" cm="1">
        <f t="array" ref="Z199">Common_InputFunctions.Utility_DisplayArrayInTable(Fertiliser_SourceData.Fertiliser_Products_Data4(),FertiliserProducts[[#Headers],[Company]], 91)</f>
        <v/>
      </c>
      <c r="AA199" s="172" t="str" cm="1">
        <f t="array" ref="AA199">Common_InputFunctions.Utility_DisplayArrayInTable(Fertiliser_SourceData.Fertiliser_Products_Data4(),FertiliserProducts[[#Headers],[Company]], 91)</f>
        <v/>
      </c>
      <c r="AB199" s="172" t="str" cm="1">
        <f t="array" ref="AB199">Common_InputFunctions.Utility_DisplayArrayInTable(Fertiliser_SourceData.Fertiliser_Products_Data4(),FertiliserProducts[[#Headers],[Company]], 91)</f>
        <v/>
      </c>
      <c r="AC199" s="172" t="str" cm="1">
        <f t="array" ref="AC199">Common_InputFunctions.Utility_DisplayArrayInTable(Fertiliser_SourceData.Fertiliser_Products_Data4(),FertiliserProducts[[#Headers],[Company]], 91)</f>
        <v/>
      </c>
      <c r="AD199" s="172" t="str" cm="1">
        <f t="array" ref="AD199">Common_InputFunctions.Utility_DisplayArrayInTable(Fertiliser_SourceData.Fertiliser_Products_Data4(),FertiliserProducts[[#Headers],[Company]], 91)</f>
        <v/>
      </c>
      <c r="AE199" s="172" t="str" cm="1">
        <f t="array" ref="AE199">Common_InputFunctions.Utility_DisplayArrayInTable(Fertiliser_SourceData.Fertiliser_Products_Data4(),FertiliserProducts[[#Headers],[Company]], 91)</f>
        <v/>
      </c>
      <c r="AF199" s="172" t="str" cm="1">
        <f t="array" ref="AF199">Common_InputFunctions.Utility_DisplayArrayInTable(Fertiliser_SourceData.Fertiliser_Products_Data4(),FertiliserProducts[[#Headers],[Company]], 91)</f>
        <v/>
      </c>
      <c r="AG199" s="172" t="str" cm="1">
        <f t="array" ref="AG199">Common_InputFunctions.Utility_DisplayArrayInTable(Fertiliser_SourceData.Fertiliser_Products_Data4(),FertiliserProducts[[#Headers],[Company]], 91)</f>
        <v/>
      </c>
      <c r="AH199" s="172" t="str" cm="1">
        <f t="array" ref="AH199">Common_InputFunctions.Utility_DisplayArrayInTable(Fertiliser_SourceData.Fertiliser_Products_Data4(),FertiliserProducts[[#Headers],[Company]], 91)</f>
        <v/>
      </c>
    </row>
    <row r="200" spans="4:34" x14ac:dyDescent="0.25">
      <c r="D200" s="172" t="str" cm="1">
        <f t="array" ref="D200">Common_InputFunctions.Utility_DisplayArrayInTable(Fertiliser_SourceData.Fertiliser_Products_Data4(),FertiliserProducts[[#Headers],[Company]], 91)</f>
        <v>Wengfu Australia</v>
      </c>
      <c r="E200" s="172" t="str" cm="1">
        <f t="array" ref="E200">Common_InputFunctions.Utility_DisplayArrayInTable(Fertiliser_SourceData.Fertiliser_Products_Data4(),FertiliserProducts[[#Headers],[Company]], 91)</f>
        <v>Wengfu SuStain</v>
      </c>
      <c r="F200" s="172" t="str" cm="1">
        <f t="array" ref="F200">Common_InputFunctions.Utility_DisplayArrayInTable(Fertiliser_SourceData.Fertiliser_Products_Data4(),FertiliserProducts[[#Headers],[Company]], 91)</f>
        <v>kg</v>
      </c>
      <c r="G200" s="172" cm="1">
        <f t="array" ref="G200">Common_InputFunctions.Utility_DisplayArrayInTable(Fertiliser_SourceData.Fertiliser_Products_Data4(),FertiliserProducts[[#Headers],[Company]], 91)</f>
        <v>1</v>
      </c>
      <c r="H200" s="172" t="str" cm="1">
        <f t="array" ref="H200">Common_InputFunctions.Utility_DisplayArrayInTable(Fertiliser_SourceData.Fertiliser_Products_Data4(),FertiliserProducts[[#Headers],[Company]], 91)</f>
        <v/>
      </c>
      <c r="I200" s="172" t="str" cm="1">
        <f t="array" ref="I200">Common_InputFunctions.Utility_DisplayArrayInTable(Fertiliser_SourceData.Fertiliser_Products_Data4(),FertiliserProducts[[#Headers],[Company]], 91)</f>
        <v/>
      </c>
      <c r="J200" s="172" t="str" cm="1">
        <f t="array" ref="J200">Common_InputFunctions.Utility_DisplayArrayInTable(Fertiliser_SourceData.Fertiliser_Products_Data4(),FertiliserProducts[[#Headers],[Company]], 91)</f>
        <v/>
      </c>
      <c r="K200" s="172" t="str" cm="1">
        <f t="array" ref="K200">Common_InputFunctions.Utility_DisplayArrayInTable(Fertiliser_SourceData.Fertiliser_Products_Data4(),FertiliserProducts[[#Headers],[Company]], 91)</f>
        <v/>
      </c>
      <c r="L200" s="172" t="str" cm="1">
        <f t="array" ref="L200">Common_InputFunctions.Utility_DisplayArrayInTable(Fertiliser_SourceData.Fertiliser_Products_Data4(),FertiliserProducts[[#Headers],[Company]], 91)</f>
        <v/>
      </c>
      <c r="M200" s="172" t="str" cm="1">
        <f t="array" ref="M200">Common_InputFunctions.Utility_DisplayArrayInTable(Fertiliser_SourceData.Fertiliser_Products_Data4(),FertiliserProducts[[#Headers],[Company]], 91)</f>
        <v/>
      </c>
      <c r="N200" s="172" cm="1">
        <f t="array" ref="N200">Common_InputFunctions.Utility_DisplayArrayInTable(Fertiliser_SourceData.Fertiliser_Products_Data4(),FertiliserProducts[[#Headers],[Company]], 91)</f>
        <v>90</v>
      </c>
      <c r="O200" s="172" t="str" cm="1">
        <f t="array" ref="O200">Common_InputFunctions.Utility_DisplayArrayInTable(Fertiliser_SourceData.Fertiliser_Products_Data4(),FertiliserProducts[[#Headers],[Company]], 91)</f>
        <v>Sulfur - Generic</v>
      </c>
      <c r="P200" s="172" cm="1">
        <f t="array" ref="P200">Common_InputFunctions.Utility_DisplayArrayInTable(Fertiliser_SourceData.Fertiliser_Products_Data4(),FertiliserProducts[[#Headers],[Company]], 91)</f>
        <v>0.9</v>
      </c>
      <c r="Q200" s="172" t="str" cm="1">
        <f t="array" ref="Q200">Common_InputFunctions.Utility_DisplayArrayInTable(Fertiliser_SourceData.Fertiliser_Products_Data4(),FertiliserProducts[[#Headers],[Company]], 91)</f>
        <v/>
      </c>
      <c r="R200" s="172" t="str" cm="1">
        <f t="array" ref="R200">Common_InputFunctions.Utility_DisplayArrayInTable(Fertiliser_SourceData.Fertiliser_Products_Data4(),FertiliserProducts[[#Headers],[Company]], 91)</f>
        <v/>
      </c>
      <c r="S200" s="172" t="str" cm="1">
        <f t="array" ref="S200">Common_InputFunctions.Utility_DisplayArrayInTable(Fertiliser_SourceData.Fertiliser_Products_Data4(),FertiliserProducts[[#Headers],[Company]], 91)</f>
        <v/>
      </c>
      <c r="T200" s="172" t="str" cm="1">
        <f t="array" ref="T200">Common_InputFunctions.Utility_DisplayArrayInTable(Fertiliser_SourceData.Fertiliser_Products_Data4(),FertiliserProducts[[#Headers],[Company]], 91)</f>
        <v/>
      </c>
      <c r="U200" s="172" t="str" cm="1">
        <f t="array" ref="U200">Common_InputFunctions.Utility_DisplayArrayInTable(Fertiliser_SourceData.Fertiliser_Products_Data4(),FertiliserProducts[[#Headers],[Company]], 91)</f>
        <v/>
      </c>
      <c r="V200" s="172" t="str" cm="1">
        <f t="array" ref="V200">Common_InputFunctions.Utility_DisplayArrayInTable(Fertiliser_SourceData.Fertiliser_Products_Data4(),FertiliserProducts[[#Headers],[Company]], 91)</f>
        <v/>
      </c>
      <c r="W200" s="172" t="str" cm="1">
        <f t="array" ref="W200">Common_InputFunctions.Utility_DisplayArrayInTable(Fertiliser_SourceData.Fertiliser_Products_Data4(),FertiliserProducts[[#Headers],[Company]], 91)</f>
        <v/>
      </c>
      <c r="X200" s="172" t="str" cm="1">
        <f t="array" ref="X200">Common_InputFunctions.Utility_DisplayArrayInTable(Fertiliser_SourceData.Fertiliser_Products_Data4(),FertiliserProducts[[#Headers],[Company]], 91)</f>
        <v/>
      </c>
      <c r="Y200" s="172" t="str" cm="1">
        <f t="array" ref="Y200">Common_InputFunctions.Utility_DisplayArrayInTable(Fertiliser_SourceData.Fertiliser_Products_Data4(),FertiliserProducts[[#Headers],[Company]], 91)</f>
        <v/>
      </c>
      <c r="Z200" s="172" t="str" cm="1">
        <f t="array" ref="Z200">Common_InputFunctions.Utility_DisplayArrayInTable(Fertiliser_SourceData.Fertiliser_Products_Data4(),FertiliserProducts[[#Headers],[Company]], 91)</f>
        <v/>
      </c>
      <c r="AA200" s="172" t="str" cm="1">
        <f t="array" ref="AA200">Common_InputFunctions.Utility_DisplayArrayInTable(Fertiliser_SourceData.Fertiliser_Products_Data4(),FertiliserProducts[[#Headers],[Company]], 91)</f>
        <v/>
      </c>
      <c r="AB200" s="172" t="str" cm="1">
        <f t="array" ref="AB200">Common_InputFunctions.Utility_DisplayArrayInTable(Fertiliser_SourceData.Fertiliser_Products_Data4(),FertiliserProducts[[#Headers],[Company]], 91)</f>
        <v/>
      </c>
      <c r="AC200" s="172" t="str" cm="1">
        <f t="array" ref="AC200">Common_InputFunctions.Utility_DisplayArrayInTable(Fertiliser_SourceData.Fertiliser_Products_Data4(),FertiliserProducts[[#Headers],[Company]], 91)</f>
        <v/>
      </c>
      <c r="AD200" s="172" t="str" cm="1">
        <f t="array" ref="AD200">Common_InputFunctions.Utility_DisplayArrayInTable(Fertiliser_SourceData.Fertiliser_Products_Data4(),FertiliserProducts[[#Headers],[Company]], 91)</f>
        <v/>
      </c>
      <c r="AE200" s="172" t="str" cm="1">
        <f t="array" ref="AE200">Common_InputFunctions.Utility_DisplayArrayInTable(Fertiliser_SourceData.Fertiliser_Products_Data4(),FertiliserProducts[[#Headers],[Company]], 91)</f>
        <v/>
      </c>
      <c r="AF200" s="172" t="str" cm="1">
        <f t="array" ref="AF200">Common_InputFunctions.Utility_DisplayArrayInTable(Fertiliser_SourceData.Fertiliser_Products_Data4(),FertiliserProducts[[#Headers],[Company]], 91)</f>
        <v/>
      </c>
      <c r="AG200" s="172" t="str" cm="1">
        <f t="array" ref="AG200">Common_InputFunctions.Utility_DisplayArrayInTable(Fertiliser_SourceData.Fertiliser_Products_Data4(),FertiliserProducts[[#Headers],[Company]], 91)</f>
        <v/>
      </c>
      <c r="AH200" s="172" t="str" cm="1">
        <f t="array" ref="AH200">Common_InputFunctions.Utility_DisplayArrayInTable(Fertiliser_SourceData.Fertiliser_Products_Data4(),FertiliserProducts[[#Headers],[Company]], 91)</f>
        <v/>
      </c>
    </row>
    <row r="201" spans="4:34" x14ac:dyDescent="0.25">
      <c r="D201" s="172" t="str" cm="1">
        <f t="array" ref="D201">Common_InputFunctions.Utility_DisplayArrayInTable(Fertiliser_SourceData.Fertiliser_Products_Data4(),FertiliserProducts[[#Headers],[Company]], 91)</f>
        <v>Wengfu Australia</v>
      </c>
      <c r="E201" s="172" t="str" cm="1">
        <f t="array" ref="E201">Common_InputFunctions.Utility_DisplayArrayInTable(Fertiliser_SourceData.Fertiliser_Products_Data4(),FertiliserProducts[[#Headers],[Company]], 91)</f>
        <v>Wengfu Slam</v>
      </c>
      <c r="F201" s="172" t="str" cm="1">
        <f t="array" ref="F201">Common_InputFunctions.Utility_DisplayArrayInTable(Fertiliser_SourceData.Fertiliser_Products_Data4(),FertiliserProducts[[#Headers],[Company]], 91)</f>
        <v>kg</v>
      </c>
      <c r="G201" s="172" cm="1">
        <f t="array" ref="G201">Common_InputFunctions.Utility_DisplayArrayInTable(Fertiliser_SourceData.Fertiliser_Products_Data4(),FertiliserProducts[[#Headers],[Company]], 91)</f>
        <v>1</v>
      </c>
      <c r="H201" s="172" t="str" cm="1">
        <f t="array" ref="H201">Common_InputFunctions.Utility_DisplayArrayInTable(Fertiliser_SourceData.Fertiliser_Products_Data4(),FertiliserProducts[[#Headers],[Company]], 91)</f>
        <v/>
      </c>
      <c r="I201" s="172" t="str" cm="1">
        <f t="array" ref="I201">Common_InputFunctions.Utility_DisplayArrayInTable(Fertiliser_SourceData.Fertiliser_Products_Data4(),FertiliserProducts[[#Headers],[Company]], 91)</f>
        <v/>
      </c>
      <c r="J201" s="172" t="str" cm="1">
        <f t="array" ref="J201">Common_InputFunctions.Utility_DisplayArrayInTable(Fertiliser_SourceData.Fertiliser_Products_Data4(),FertiliserProducts[[#Headers],[Company]], 91)</f>
        <v/>
      </c>
      <c r="K201" s="172" cm="1">
        <f t="array" ref="K201">Common_InputFunctions.Utility_DisplayArrayInTable(Fertiliser_SourceData.Fertiliser_Products_Data4(),FertiliserProducts[[#Headers],[Company]], 91)</f>
        <v>19.5</v>
      </c>
      <c r="L201" s="172" cm="1">
        <f t="array" ref="L201">Common_InputFunctions.Utility_DisplayArrayInTable(Fertiliser_SourceData.Fertiliser_Products_Data4(),FertiliserProducts[[#Headers],[Company]], 91)</f>
        <v>0.7</v>
      </c>
      <c r="M201" s="172" t="str" cm="1">
        <f t="array" ref="M201">Common_InputFunctions.Utility_DisplayArrayInTable(Fertiliser_SourceData.Fertiliser_Products_Data4(),FertiliserProducts[[#Headers],[Company]], 91)</f>
        <v/>
      </c>
      <c r="N201" s="172" cm="1">
        <f t="array" ref="N201">Common_InputFunctions.Utility_DisplayArrayInTable(Fertiliser_SourceData.Fertiliser_Products_Data4(),FertiliserProducts[[#Headers],[Company]], 91)</f>
        <v>23</v>
      </c>
      <c r="O201" s="172" t="str" cm="1">
        <f t="array" ref="O201">Common_InputFunctions.Utility_DisplayArrayInTable(Fertiliser_SourceData.Fertiliser_Products_Data4(),FertiliserProducts[[#Headers],[Company]], 91)</f>
        <v>Nitrogen - Generic</v>
      </c>
      <c r="P201" s="172" cm="1">
        <f t="array" ref="P201">Common_InputFunctions.Utility_DisplayArrayInTable(Fertiliser_SourceData.Fertiliser_Products_Data4(),FertiliserProducts[[#Headers],[Company]], 91)</f>
        <v>0.19500000000000001</v>
      </c>
      <c r="Q201" s="172" t="str" cm="1">
        <f t="array" ref="Q201">Common_InputFunctions.Utility_DisplayArrayInTable(Fertiliser_SourceData.Fertiliser_Products_Data4(),FertiliserProducts[[#Headers],[Company]], 91)</f>
        <v>Phosphorus - Generic</v>
      </c>
      <c r="R201" s="172" cm="1">
        <f t="array" ref="R201">Common_InputFunctions.Utility_DisplayArrayInTable(Fertiliser_SourceData.Fertiliser_Products_Data4(),FertiliserProducts[[#Headers],[Company]], 91)</f>
        <v>7.0000000000000001E-3</v>
      </c>
      <c r="S201" s="172" t="str" cm="1">
        <f t="array" ref="S201">Common_InputFunctions.Utility_DisplayArrayInTable(Fertiliser_SourceData.Fertiliser_Products_Data4(),FertiliserProducts[[#Headers],[Company]], 91)</f>
        <v>Sulfur - Generic</v>
      </c>
      <c r="T201" s="172" cm="1">
        <f t="array" ref="T201">Common_InputFunctions.Utility_DisplayArrayInTable(Fertiliser_SourceData.Fertiliser_Products_Data4(),FertiliserProducts[[#Headers],[Company]], 91)</f>
        <v>0.23</v>
      </c>
      <c r="U201" s="172" t="str" cm="1">
        <f t="array" ref="U201">Common_InputFunctions.Utility_DisplayArrayInTable(Fertiliser_SourceData.Fertiliser_Products_Data4(),FertiliserProducts[[#Headers],[Company]], 91)</f>
        <v/>
      </c>
      <c r="V201" s="172" t="str" cm="1">
        <f t="array" ref="V201">Common_InputFunctions.Utility_DisplayArrayInTable(Fertiliser_SourceData.Fertiliser_Products_Data4(),FertiliserProducts[[#Headers],[Company]], 91)</f>
        <v/>
      </c>
      <c r="W201" s="172" t="str" cm="1">
        <f t="array" ref="W201">Common_InputFunctions.Utility_DisplayArrayInTable(Fertiliser_SourceData.Fertiliser_Products_Data4(),FertiliserProducts[[#Headers],[Company]], 91)</f>
        <v/>
      </c>
      <c r="X201" s="172" t="str" cm="1">
        <f t="array" ref="X201">Common_InputFunctions.Utility_DisplayArrayInTable(Fertiliser_SourceData.Fertiliser_Products_Data4(),FertiliserProducts[[#Headers],[Company]], 91)</f>
        <v/>
      </c>
      <c r="Y201" s="172" t="str" cm="1">
        <f t="array" ref="Y201">Common_InputFunctions.Utility_DisplayArrayInTable(Fertiliser_SourceData.Fertiliser_Products_Data4(),FertiliserProducts[[#Headers],[Company]], 91)</f>
        <v/>
      </c>
      <c r="Z201" s="172" t="str" cm="1">
        <f t="array" ref="Z201">Common_InputFunctions.Utility_DisplayArrayInTable(Fertiliser_SourceData.Fertiliser_Products_Data4(),FertiliserProducts[[#Headers],[Company]], 91)</f>
        <v/>
      </c>
      <c r="AA201" s="172" t="str" cm="1">
        <f t="array" ref="AA201">Common_InputFunctions.Utility_DisplayArrayInTable(Fertiliser_SourceData.Fertiliser_Products_Data4(),FertiliserProducts[[#Headers],[Company]], 91)</f>
        <v/>
      </c>
      <c r="AB201" s="172" t="str" cm="1">
        <f t="array" ref="AB201">Common_InputFunctions.Utility_DisplayArrayInTable(Fertiliser_SourceData.Fertiliser_Products_Data4(),FertiliserProducts[[#Headers],[Company]], 91)</f>
        <v/>
      </c>
      <c r="AC201" s="172" t="str" cm="1">
        <f t="array" ref="AC201">Common_InputFunctions.Utility_DisplayArrayInTable(Fertiliser_SourceData.Fertiliser_Products_Data4(),FertiliserProducts[[#Headers],[Company]], 91)</f>
        <v/>
      </c>
      <c r="AD201" s="172" t="str" cm="1">
        <f t="array" ref="AD201">Common_InputFunctions.Utility_DisplayArrayInTable(Fertiliser_SourceData.Fertiliser_Products_Data4(),FertiliserProducts[[#Headers],[Company]], 91)</f>
        <v/>
      </c>
      <c r="AE201" s="172" t="str" cm="1">
        <f t="array" ref="AE201">Common_InputFunctions.Utility_DisplayArrayInTable(Fertiliser_SourceData.Fertiliser_Products_Data4(),FertiliserProducts[[#Headers],[Company]], 91)</f>
        <v/>
      </c>
      <c r="AF201" s="172" t="str" cm="1">
        <f t="array" ref="AF201">Common_InputFunctions.Utility_DisplayArrayInTable(Fertiliser_SourceData.Fertiliser_Products_Data4(),FertiliserProducts[[#Headers],[Company]], 91)</f>
        <v/>
      </c>
      <c r="AG201" s="172" t="str" cm="1">
        <f t="array" ref="AG201">Common_InputFunctions.Utility_DisplayArrayInTable(Fertiliser_SourceData.Fertiliser_Products_Data4(),FertiliserProducts[[#Headers],[Company]], 91)</f>
        <v/>
      </c>
      <c r="AH201" s="172" t="str" cm="1">
        <f t="array" ref="AH201">Common_InputFunctions.Utility_DisplayArrayInTable(Fertiliser_SourceData.Fertiliser_Products_Data4(),FertiliserProducts[[#Headers],[Company]], 91)</f>
        <v/>
      </c>
    </row>
    <row r="202" spans="4:34" x14ac:dyDescent="0.25">
      <c r="D202" s="172" t="str" cm="1">
        <f t="array" ref="D202">Common_InputFunctions.Utility_DisplayArrayInTable(Fertiliser_SourceData.Fertiliser_Products_Data4(),FertiliserProducts[[#Headers],[Company]], 91)</f>
        <v>Wengfu Australia</v>
      </c>
      <c r="E202" s="172" t="str" cm="1">
        <f t="array" ref="E202">Common_InputFunctions.Utility_DisplayArrayInTable(Fertiliser_SourceData.Fertiliser_Products_Data4(),FertiliserProducts[[#Headers],[Company]], 91)</f>
        <v>Wengfu Prime MSZ</v>
      </c>
      <c r="F202" s="172" t="str" cm="1">
        <f t="array" ref="F202">Common_InputFunctions.Utility_DisplayArrayInTable(Fertiliser_SourceData.Fertiliser_Products_Data4(),FertiliserProducts[[#Headers],[Company]], 91)</f>
        <v>kg</v>
      </c>
      <c r="G202" s="172" cm="1">
        <f t="array" ref="G202">Common_InputFunctions.Utility_DisplayArrayInTable(Fertiliser_SourceData.Fertiliser_Products_Data4(),FertiliserProducts[[#Headers],[Company]], 91)</f>
        <v>1</v>
      </c>
      <c r="H202" s="172" t="str" cm="1">
        <f t="array" ref="H202">Common_InputFunctions.Utility_DisplayArrayInTable(Fertiliser_SourceData.Fertiliser_Products_Data4(),FertiliserProducts[[#Headers],[Company]], 91)</f>
        <v/>
      </c>
      <c r="I202" s="172" t="str" cm="1">
        <f t="array" ref="I202">Common_InputFunctions.Utility_DisplayArrayInTable(Fertiliser_SourceData.Fertiliser_Products_Data4(),FertiliserProducts[[#Headers],[Company]], 91)</f>
        <v/>
      </c>
      <c r="J202" s="172" t="str" cm="1">
        <f t="array" ref="J202">Common_InputFunctions.Utility_DisplayArrayInTable(Fertiliser_SourceData.Fertiliser_Products_Data4(),FertiliserProducts[[#Headers],[Company]], 91)</f>
        <v/>
      </c>
      <c r="K202" s="172" cm="1">
        <f t="array" ref="K202">Common_InputFunctions.Utility_DisplayArrayInTable(Fertiliser_SourceData.Fertiliser_Products_Data4(),FertiliserProducts[[#Headers],[Company]], 91)</f>
        <v>10</v>
      </c>
      <c r="L202" s="172" cm="1">
        <f t="array" ref="L202">Common_InputFunctions.Utility_DisplayArrayInTable(Fertiliser_SourceData.Fertiliser_Products_Data4(),FertiliserProducts[[#Headers],[Company]], 91)</f>
        <v>18</v>
      </c>
      <c r="M202" s="172" t="str" cm="1">
        <f t="array" ref="M202">Common_InputFunctions.Utility_DisplayArrayInTable(Fertiliser_SourceData.Fertiliser_Products_Data4(),FertiliserProducts[[#Headers],[Company]], 91)</f>
        <v/>
      </c>
      <c r="N202" s="172" cm="1">
        <f t="array" ref="N202">Common_InputFunctions.Utility_DisplayArrayInTable(Fertiliser_SourceData.Fertiliser_Products_Data4(),FertiliserProducts[[#Headers],[Company]], 91)</f>
        <v>8</v>
      </c>
      <c r="O202" s="172" t="str" cm="1">
        <f t="array" ref="O202">Common_InputFunctions.Utility_DisplayArrayInTable(Fertiliser_SourceData.Fertiliser_Products_Data4(),FertiliserProducts[[#Headers],[Company]], 91)</f>
        <v>Nitrogen - Generic</v>
      </c>
      <c r="P202" s="172" cm="1">
        <f t="array" ref="P202">Common_InputFunctions.Utility_DisplayArrayInTable(Fertiliser_SourceData.Fertiliser_Products_Data4(),FertiliserProducts[[#Headers],[Company]], 91)</f>
        <v>0.1</v>
      </c>
      <c r="Q202" s="172" t="str" cm="1">
        <f t="array" ref="Q202">Common_InputFunctions.Utility_DisplayArrayInTable(Fertiliser_SourceData.Fertiliser_Products_Data4(),FertiliserProducts[[#Headers],[Company]], 91)</f>
        <v>Phosphorus - Generic</v>
      </c>
      <c r="R202" s="172" cm="1">
        <f t="array" ref="R202">Common_InputFunctions.Utility_DisplayArrayInTable(Fertiliser_SourceData.Fertiliser_Products_Data4(),FertiliserProducts[[#Headers],[Company]], 91)</f>
        <v>0.18</v>
      </c>
      <c r="S202" s="172" t="str" cm="1">
        <f t="array" ref="S202">Common_InputFunctions.Utility_DisplayArrayInTable(Fertiliser_SourceData.Fertiliser_Products_Data4(),FertiliserProducts[[#Headers],[Company]], 91)</f>
        <v>Sulfur - Generic</v>
      </c>
      <c r="T202" s="172" cm="1">
        <f t="array" ref="T202">Common_InputFunctions.Utility_DisplayArrayInTable(Fertiliser_SourceData.Fertiliser_Products_Data4(),FertiliserProducts[[#Headers],[Company]], 91)</f>
        <v>0.08</v>
      </c>
      <c r="U202" s="172" t="str" cm="1">
        <f t="array" ref="U202">Common_InputFunctions.Utility_DisplayArrayInTable(Fertiliser_SourceData.Fertiliser_Products_Data4(),FertiliserProducts[[#Headers],[Company]], 91)</f>
        <v>Zinc</v>
      </c>
      <c r="V202" s="172" cm="1">
        <f t="array" ref="V202">Common_InputFunctions.Utility_DisplayArrayInTable(Fertiliser_SourceData.Fertiliser_Products_Data4(),FertiliserProducts[[#Headers],[Company]], 91)</f>
        <v>5.0000000000000001E-3</v>
      </c>
      <c r="W202" s="172" t="str" cm="1">
        <f t="array" ref="W202">Common_InputFunctions.Utility_DisplayArrayInTable(Fertiliser_SourceData.Fertiliser_Products_Data4(),FertiliserProducts[[#Headers],[Company]], 91)</f>
        <v/>
      </c>
      <c r="X202" s="172" t="str" cm="1">
        <f t="array" ref="X202">Common_InputFunctions.Utility_DisplayArrayInTable(Fertiliser_SourceData.Fertiliser_Products_Data4(),FertiliserProducts[[#Headers],[Company]], 91)</f>
        <v/>
      </c>
      <c r="Y202" s="172" t="str" cm="1">
        <f t="array" ref="Y202">Common_InputFunctions.Utility_DisplayArrayInTable(Fertiliser_SourceData.Fertiliser_Products_Data4(),FertiliserProducts[[#Headers],[Company]], 91)</f>
        <v/>
      </c>
      <c r="Z202" s="172" t="str" cm="1">
        <f t="array" ref="Z202">Common_InputFunctions.Utility_DisplayArrayInTable(Fertiliser_SourceData.Fertiliser_Products_Data4(),FertiliserProducts[[#Headers],[Company]], 91)</f>
        <v/>
      </c>
      <c r="AA202" s="172" t="str" cm="1">
        <f t="array" ref="AA202">Common_InputFunctions.Utility_DisplayArrayInTable(Fertiliser_SourceData.Fertiliser_Products_Data4(),FertiliserProducts[[#Headers],[Company]], 91)</f>
        <v/>
      </c>
      <c r="AB202" s="172" t="str" cm="1">
        <f t="array" ref="AB202">Common_InputFunctions.Utility_DisplayArrayInTable(Fertiliser_SourceData.Fertiliser_Products_Data4(),FertiliserProducts[[#Headers],[Company]], 91)</f>
        <v/>
      </c>
      <c r="AC202" s="172" t="str" cm="1">
        <f t="array" ref="AC202">Common_InputFunctions.Utility_DisplayArrayInTable(Fertiliser_SourceData.Fertiliser_Products_Data4(),FertiliserProducts[[#Headers],[Company]], 91)</f>
        <v/>
      </c>
      <c r="AD202" s="172" t="str" cm="1">
        <f t="array" ref="AD202">Common_InputFunctions.Utility_DisplayArrayInTable(Fertiliser_SourceData.Fertiliser_Products_Data4(),FertiliserProducts[[#Headers],[Company]], 91)</f>
        <v/>
      </c>
      <c r="AE202" s="172" t="str" cm="1">
        <f t="array" ref="AE202">Common_InputFunctions.Utility_DisplayArrayInTable(Fertiliser_SourceData.Fertiliser_Products_Data4(),FertiliserProducts[[#Headers],[Company]], 91)</f>
        <v/>
      </c>
      <c r="AF202" s="172" t="str" cm="1">
        <f t="array" ref="AF202">Common_InputFunctions.Utility_DisplayArrayInTable(Fertiliser_SourceData.Fertiliser_Products_Data4(),FertiliserProducts[[#Headers],[Company]], 91)</f>
        <v/>
      </c>
      <c r="AG202" s="172" t="str" cm="1">
        <f t="array" ref="AG202">Common_InputFunctions.Utility_DisplayArrayInTable(Fertiliser_SourceData.Fertiliser_Products_Data4(),FertiliserProducts[[#Headers],[Company]], 91)</f>
        <v/>
      </c>
      <c r="AH202" s="172" t="str" cm="1">
        <f t="array" ref="AH202">Common_InputFunctions.Utility_DisplayArrayInTable(Fertiliser_SourceData.Fertiliser_Products_Data4(),FertiliserProducts[[#Headers],[Company]], 91)</f>
        <v/>
      </c>
    </row>
    <row r="203" spans="4:34" x14ac:dyDescent="0.25">
      <c r="D203" s="172" t="str" cm="1">
        <f t="array" ref="D203">Common_InputFunctions.Utility_DisplayArrayInTable(Fertiliser_SourceData.Fertiliser_Products_Data4(),FertiliserProducts[[#Headers],[Company]], 91)</f>
        <v>Wengfu Australia</v>
      </c>
      <c r="E203" s="172" t="str" cm="1">
        <f t="array" ref="E203">Common_InputFunctions.Utility_DisplayArrayInTable(Fertiliser_SourceData.Fertiliser_Products_Data4(),FertiliserProducts[[#Headers],[Company]], 91)</f>
        <v>Wengfu 9-20-0-10 MAP SuStain</v>
      </c>
      <c r="F203" s="172" t="str" cm="1">
        <f t="array" ref="F203">Common_InputFunctions.Utility_DisplayArrayInTable(Fertiliser_SourceData.Fertiliser_Products_Data4(),FertiliserProducts[[#Headers],[Company]], 91)</f>
        <v>kg</v>
      </c>
      <c r="G203" s="172" cm="1">
        <f t="array" ref="G203">Common_InputFunctions.Utility_DisplayArrayInTable(Fertiliser_SourceData.Fertiliser_Products_Data4(),FertiliserProducts[[#Headers],[Company]], 91)</f>
        <v>1</v>
      </c>
      <c r="H203" s="172" t="str" cm="1">
        <f t="array" ref="H203">Common_InputFunctions.Utility_DisplayArrayInTable(Fertiliser_SourceData.Fertiliser_Products_Data4(),FertiliserProducts[[#Headers],[Company]], 91)</f>
        <v/>
      </c>
      <c r="I203" s="172" t="str" cm="1">
        <f t="array" ref="I203">Common_InputFunctions.Utility_DisplayArrayInTable(Fertiliser_SourceData.Fertiliser_Products_Data4(),FertiliserProducts[[#Headers],[Company]], 91)</f>
        <v/>
      </c>
      <c r="J203" s="172" t="str" cm="1">
        <f t="array" ref="J203">Common_InputFunctions.Utility_DisplayArrayInTable(Fertiliser_SourceData.Fertiliser_Products_Data4(),FertiliserProducts[[#Headers],[Company]], 91)</f>
        <v/>
      </c>
      <c r="K203" s="172" cm="1">
        <f t="array" ref="K203">Common_InputFunctions.Utility_DisplayArrayInTable(Fertiliser_SourceData.Fertiliser_Products_Data4(),FertiliserProducts[[#Headers],[Company]], 91)</f>
        <v>9</v>
      </c>
      <c r="L203" s="172" cm="1">
        <f t="array" ref="L203">Common_InputFunctions.Utility_DisplayArrayInTable(Fertiliser_SourceData.Fertiliser_Products_Data4(),FertiliserProducts[[#Headers],[Company]], 91)</f>
        <v>19.8</v>
      </c>
      <c r="M203" s="172" cm="1">
        <f t="array" ref="M203">Common_InputFunctions.Utility_DisplayArrayInTable(Fertiliser_SourceData.Fertiliser_Products_Data4(),FertiliserProducts[[#Headers],[Company]], 91)</f>
        <v>0</v>
      </c>
      <c r="N203" s="172" cm="1">
        <f t="array" ref="N203">Common_InputFunctions.Utility_DisplayArrayInTable(Fertiliser_SourceData.Fertiliser_Products_Data4(),FertiliserProducts[[#Headers],[Company]], 91)</f>
        <v>10.4</v>
      </c>
      <c r="O203" s="172" t="str" cm="1">
        <f t="array" ref="O203">Common_InputFunctions.Utility_DisplayArrayInTable(Fertiliser_SourceData.Fertiliser_Products_Data4(),FertiliserProducts[[#Headers],[Company]], 91)</f>
        <v>Nitrogen - Generic</v>
      </c>
      <c r="P203" s="172" cm="1">
        <f t="array" ref="P203">Common_InputFunctions.Utility_DisplayArrayInTable(Fertiliser_SourceData.Fertiliser_Products_Data4(),FertiliserProducts[[#Headers],[Company]], 91)</f>
        <v>0.09</v>
      </c>
      <c r="Q203" s="172" t="str" cm="1">
        <f t="array" ref="Q203">Common_InputFunctions.Utility_DisplayArrayInTable(Fertiliser_SourceData.Fertiliser_Products_Data4(),FertiliserProducts[[#Headers],[Company]], 91)</f>
        <v>Phosphorus - Generic</v>
      </c>
      <c r="R203" s="172" cm="1">
        <f t="array" ref="R203">Common_InputFunctions.Utility_DisplayArrayInTable(Fertiliser_SourceData.Fertiliser_Products_Data4(),FertiliserProducts[[#Headers],[Company]], 91)</f>
        <v>0.19800000000000001</v>
      </c>
      <c r="S203" s="172" t="str" cm="1">
        <f t="array" ref="S203">Common_InputFunctions.Utility_DisplayArrayInTable(Fertiliser_SourceData.Fertiliser_Products_Data4(),FertiliserProducts[[#Headers],[Company]], 91)</f>
        <v>Sulfur - Generic</v>
      </c>
      <c r="T203" s="172" cm="1">
        <f t="array" ref="T203">Common_InputFunctions.Utility_DisplayArrayInTable(Fertiliser_SourceData.Fertiliser_Products_Data4(),FertiliserProducts[[#Headers],[Company]], 91)</f>
        <v>0.104</v>
      </c>
      <c r="U203" s="172" t="str" cm="1">
        <f t="array" ref="U203">Common_InputFunctions.Utility_DisplayArrayInTable(Fertiliser_SourceData.Fertiliser_Products_Data4(),FertiliserProducts[[#Headers],[Company]], 91)</f>
        <v/>
      </c>
      <c r="V203" s="172" t="str" cm="1">
        <f t="array" ref="V203">Common_InputFunctions.Utility_DisplayArrayInTable(Fertiliser_SourceData.Fertiliser_Products_Data4(),FertiliserProducts[[#Headers],[Company]], 91)</f>
        <v/>
      </c>
      <c r="W203" s="172" t="str" cm="1">
        <f t="array" ref="W203">Common_InputFunctions.Utility_DisplayArrayInTable(Fertiliser_SourceData.Fertiliser_Products_Data4(),FertiliserProducts[[#Headers],[Company]], 91)</f>
        <v/>
      </c>
      <c r="X203" s="172" t="str" cm="1">
        <f t="array" ref="X203">Common_InputFunctions.Utility_DisplayArrayInTable(Fertiliser_SourceData.Fertiliser_Products_Data4(),FertiliserProducts[[#Headers],[Company]], 91)</f>
        <v/>
      </c>
      <c r="Y203" s="172" t="str" cm="1">
        <f t="array" ref="Y203">Common_InputFunctions.Utility_DisplayArrayInTable(Fertiliser_SourceData.Fertiliser_Products_Data4(),FertiliserProducts[[#Headers],[Company]], 91)</f>
        <v/>
      </c>
      <c r="Z203" s="172" t="str" cm="1">
        <f t="array" ref="Z203">Common_InputFunctions.Utility_DisplayArrayInTable(Fertiliser_SourceData.Fertiliser_Products_Data4(),FertiliserProducts[[#Headers],[Company]], 91)</f>
        <v/>
      </c>
      <c r="AA203" s="172" t="str" cm="1">
        <f t="array" ref="AA203">Common_InputFunctions.Utility_DisplayArrayInTable(Fertiliser_SourceData.Fertiliser_Products_Data4(),FertiliserProducts[[#Headers],[Company]], 91)</f>
        <v/>
      </c>
      <c r="AB203" s="172" t="str" cm="1">
        <f t="array" ref="AB203">Common_InputFunctions.Utility_DisplayArrayInTable(Fertiliser_SourceData.Fertiliser_Products_Data4(),FertiliserProducts[[#Headers],[Company]], 91)</f>
        <v/>
      </c>
      <c r="AC203" s="172" t="str" cm="1">
        <f t="array" ref="AC203">Common_InputFunctions.Utility_DisplayArrayInTable(Fertiliser_SourceData.Fertiliser_Products_Data4(),FertiliserProducts[[#Headers],[Company]], 91)</f>
        <v/>
      </c>
      <c r="AD203" s="172" t="str" cm="1">
        <f t="array" ref="AD203">Common_InputFunctions.Utility_DisplayArrayInTable(Fertiliser_SourceData.Fertiliser_Products_Data4(),FertiliserProducts[[#Headers],[Company]], 91)</f>
        <v/>
      </c>
      <c r="AE203" s="172" t="str" cm="1">
        <f t="array" ref="AE203">Common_InputFunctions.Utility_DisplayArrayInTable(Fertiliser_SourceData.Fertiliser_Products_Data4(),FertiliserProducts[[#Headers],[Company]], 91)</f>
        <v/>
      </c>
      <c r="AF203" s="172" t="str" cm="1">
        <f t="array" ref="AF203">Common_InputFunctions.Utility_DisplayArrayInTable(Fertiliser_SourceData.Fertiliser_Products_Data4(),FertiliserProducts[[#Headers],[Company]], 91)</f>
        <v/>
      </c>
      <c r="AG203" s="172" t="str" cm="1">
        <f t="array" ref="AG203">Common_InputFunctions.Utility_DisplayArrayInTable(Fertiliser_SourceData.Fertiliser_Products_Data4(),FertiliserProducts[[#Headers],[Company]], 91)</f>
        <v/>
      </c>
      <c r="AH203" s="172" t="str" cm="1">
        <f t="array" ref="AH203">Common_InputFunctions.Utility_DisplayArrayInTable(Fertiliser_SourceData.Fertiliser_Products_Data4(),FertiliserProducts[[#Headers],[Company]], 91)</f>
        <v/>
      </c>
    </row>
    <row r="204" spans="4:34" x14ac:dyDescent="0.25">
      <c r="D204" s="172" t="str" cm="1">
        <f t="array" ref="D204">Common_InputFunctions.Utility_DisplayArrayInTable(Fertiliser_SourceData.Fertiliser_Products_Data4(),FertiliserProducts[[#Headers],[Company]], 91)</f>
        <v>Wengfu Australia</v>
      </c>
      <c r="E204" s="172" t="str" cm="1">
        <f t="array" ref="E204">Common_InputFunctions.Utility_DisplayArrayInTable(Fertiliser_SourceData.Fertiliser_Products_Data4(),FertiliserProducts[[#Headers],[Company]], 91)</f>
        <v>Wengfu 15-17-0-15 DAP SuStain</v>
      </c>
      <c r="F204" s="172" t="str" cm="1">
        <f t="array" ref="F204">Common_InputFunctions.Utility_DisplayArrayInTable(Fertiliser_SourceData.Fertiliser_Products_Data4(),FertiliserProducts[[#Headers],[Company]], 91)</f>
        <v>kg</v>
      </c>
      <c r="G204" s="172" cm="1">
        <f t="array" ref="G204">Common_InputFunctions.Utility_DisplayArrayInTable(Fertiliser_SourceData.Fertiliser_Products_Data4(),FertiliserProducts[[#Headers],[Company]], 91)</f>
        <v>1</v>
      </c>
      <c r="H204" s="172" t="str" cm="1">
        <f t="array" ref="H204">Common_InputFunctions.Utility_DisplayArrayInTable(Fertiliser_SourceData.Fertiliser_Products_Data4(),FertiliserProducts[[#Headers],[Company]], 91)</f>
        <v/>
      </c>
      <c r="I204" s="172" t="str" cm="1">
        <f t="array" ref="I204">Common_InputFunctions.Utility_DisplayArrayInTable(Fertiliser_SourceData.Fertiliser_Products_Data4(),FertiliserProducts[[#Headers],[Company]], 91)</f>
        <v/>
      </c>
      <c r="J204" s="172" t="str" cm="1">
        <f t="array" ref="J204">Common_InputFunctions.Utility_DisplayArrayInTable(Fertiliser_SourceData.Fertiliser_Products_Data4(),FertiliserProducts[[#Headers],[Company]], 91)</f>
        <v/>
      </c>
      <c r="K204" s="172" cm="1">
        <f t="array" ref="K204">Common_InputFunctions.Utility_DisplayArrayInTable(Fertiliser_SourceData.Fertiliser_Products_Data4(),FertiliserProducts[[#Headers],[Company]], 91)</f>
        <v>15.2</v>
      </c>
      <c r="L204" s="172" cm="1">
        <f t="array" ref="L204">Common_InputFunctions.Utility_DisplayArrayInTable(Fertiliser_SourceData.Fertiliser_Products_Data4(),FertiliserProducts[[#Headers],[Company]], 91)</f>
        <v>16.899999999999999</v>
      </c>
      <c r="M204" s="172" cm="1">
        <f t="array" ref="M204">Common_InputFunctions.Utility_DisplayArrayInTable(Fertiliser_SourceData.Fertiliser_Products_Data4(),FertiliserProducts[[#Headers],[Company]], 91)</f>
        <v>0</v>
      </c>
      <c r="N204" s="172" cm="1">
        <f t="array" ref="N204">Common_InputFunctions.Utility_DisplayArrayInTable(Fertiliser_SourceData.Fertiliser_Products_Data4(),FertiliserProducts[[#Headers],[Company]], 91)</f>
        <v>15.2</v>
      </c>
      <c r="O204" s="172" t="str" cm="1">
        <f t="array" ref="O204">Common_InputFunctions.Utility_DisplayArrayInTable(Fertiliser_SourceData.Fertiliser_Products_Data4(),FertiliserProducts[[#Headers],[Company]], 91)</f>
        <v>Nitrogen - Generic</v>
      </c>
      <c r="P204" s="172" cm="1">
        <f t="array" ref="P204">Common_InputFunctions.Utility_DisplayArrayInTable(Fertiliser_SourceData.Fertiliser_Products_Data4(),FertiliserProducts[[#Headers],[Company]], 91)</f>
        <v>0.152</v>
      </c>
      <c r="Q204" s="172" t="str" cm="1">
        <f t="array" ref="Q204">Common_InputFunctions.Utility_DisplayArrayInTable(Fertiliser_SourceData.Fertiliser_Products_Data4(),FertiliserProducts[[#Headers],[Company]], 91)</f>
        <v>Phosphorus - Generic</v>
      </c>
      <c r="R204" s="172" cm="1">
        <f t="array" ref="R204">Common_InputFunctions.Utility_DisplayArrayInTable(Fertiliser_SourceData.Fertiliser_Products_Data4(),FertiliserProducts[[#Headers],[Company]], 91)</f>
        <v>0.16900000000000001</v>
      </c>
      <c r="S204" s="172" t="str" cm="1">
        <f t="array" ref="S204">Common_InputFunctions.Utility_DisplayArrayInTable(Fertiliser_SourceData.Fertiliser_Products_Data4(),FertiliserProducts[[#Headers],[Company]], 91)</f>
        <v>Sulfur - Generic</v>
      </c>
      <c r="T204" s="172" cm="1">
        <f t="array" ref="T204">Common_InputFunctions.Utility_DisplayArrayInTable(Fertiliser_SourceData.Fertiliser_Products_Data4(),FertiliserProducts[[#Headers],[Company]], 91)</f>
        <v>0.152</v>
      </c>
      <c r="U204" s="172" t="str" cm="1">
        <f t="array" ref="U204">Common_InputFunctions.Utility_DisplayArrayInTable(Fertiliser_SourceData.Fertiliser_Products_Data4(),FertiliserProducts[[#Headers],[Company]], 91)</f>
        <v/>
      </c>
      <c r="V204" s="172" t="str" cm="1">
        <f t="array" ref="V204">Common_InputFunctions.Utility_DisplayArrayInTable(Fertiliser_SourceData.Fertiliser_Products_Data4(),FertiliserProducts[[#Headers],[Company]], 91)</f>
        <v/>
      </c>
      <c r="W204" s="172" t="str" cm="1">
        <f t="array" ref="W204">Common_InputFunctions.Utility_DisplayArrayInTable(Fertiliser_SourceData.Fertiliser_Products_Data4(),FertiliserProducts[[#Headers],[Company]], 91)</f>
        <v/>
      </c>
      <c r="X204" s="172" t="str" cm="1">
        <f t="array" ref="X204">Common_InputFunctions.Utility_DisplayArrayInTable(Fertiliser_SourceData.Fertiliser_Products_Data4(),FertiliserProducts[[#Headers],[Company]], 91)</f>
        <v/>
      </c>
      <c r="Y204" s="172" t="str" cm="1">
        <f t="array" ref="Y204">Common_InputFunctions.Utility_DisplayArrayInTable(Fertiliser_SourceData.Fertiliser_Products_Data4(),FertiliserProducts[[#Headers],[Company]], 91)</f>
        <v/>
      </c>
      <c r="Z204" s="172" t="str" cm="1">
        <f t="array" ref="Z204">Common_InputFunctions.Utility_DisplayArrayInTable(Fertiliser_SourceData.Fertiliser_Products_Data4(),FertiliserProducts[[#Headers],[Company]], 91)</f>
        <v/>
      </c>
      <c r="AA204" s="172" t="str" cm="1">
        <f t="array" ref="AA204">Common_InputFunctions.Utility_DisplayArrayInTable(Fertiliser_SourceData.Fertiliser_Products_Data4(),FertiliserProducts[[#Headers],[Company]], 91)</f>
        <v/>
      </c>
      <c r="AB204" s="172" t="str" cm="1">
        <f t="array" ref="AB204">Common_InputFunctions.Utility_DisplayArrayInTable(Fertiliser_SourceData.Fertiliser_Products_Data4(),FertiliserProducts[[#Headers],[Company]], 91)</f>
        <v/>
      </c>
      <c r="AC204" s="172" t="str" cm="1">
        <f t="array" ref="AC204">Common_InputFunctions.Utility_DisplayArrayInTable(Fertiliser_SourceData.Fertiliser_Products_Data4(),FertiliserProducts[[#Headers],[Company]], 91)</f>
        <v/>
      </c>
      <c r="AD204" s="172" t="str" cm="1">
        <f t="array" ref="AD204">Common_InputFunctions.Utility_DisplayArrayInTable(Fertiliser_SourceData.Fertiliser_Products_Data4(),FertiliserProducts[[#Headers],[Company]], 91)</f>
        <v/>
      </c>
      <c r="AE204" s="172" t="str" cm="1">
        <f t="array" ref="AE204">Common_InputFunctions.Utility_DisplayArrayInTable(Fertiliser_SourceData.Fertiliser_Products_Data4(),FertiliserProducts[[#Headers],[Company]], 91)</f>
        <v/>
      </c>
      <c r="AF204" s="172" t="str" cm="1">
        <f t="array" ref="AF204">Common_InputFunctions.Utility_DisplayArrayInTable(Fertiliser_SourceData.Fertiliser_Products_Data4(),FertiliserProducts[[#Headers],[Company]], 91)</f>
        <v/>
      </c>
      <c r="AG204" s="172" t="str" cm="1">
        <f t="array" ref="AG204">Common_InputFunctions.Utility_DisplayArrayInTable(Fertiliser_SourceData.Fertiliser_Products_Data4(),FertiliserProducts[[#Headers],[Company]], 91)</f>
        <v/>
      </c>
      <c r="AH204" s="172" t="str" cm="1">
        <f t="array" ref="AH204">Common_InputFunctions.Utility_DisplayArrayInTable(Fertiliser_SourceData.Fertiliser_Products_Data4(),FertiliserProducts[[#Headers],[Company]], 91)</f>
        <v/>
      </c>
    </row>
    <row r="205" spans="4:34" x14ac:dyDescent="0.25">
      <c r="D205" s="172" t="str" cm="1">
        <f t="array" ref="D205">Common_InputFunctions.Utility_DisplayArrayInTable(Fertiliser_SourceData.Fertiliser_Products_Data4(),FertiliserProducts[[#Headers],[Company]], 91)</f>
        <v>Wengfu Australia</v>
      </c>
      <c r="E205" s="172" t="str" cm="1">
        <f t="array" ref="E205">Common_InputFunctions.Utility_DisplayArrayInTable(Fertiliser_SourceData.Fertiliser_Products_Data4(),FertiliserProducts[[#Headers],[Company]], 91)</f>
        <v>Wengfu 16-18-0-10 DAP SuStain</v>
      </c>
      <c r="F205" s="172" t="str" cm="1">
        <f t="array" ref="F205">Common_InputFunctions.Utility_DisplayArrayInTable(Fertiliser_SourceData.Fertiliser_Products_Data4(),FertiliserProducts[[#Headers],[Company]], 91)</f>
        <v>kg</v>
      </c>
      <c r="G205" s="172" cm="1">
        <f t="array" ref="G205">Common_InputFunctions.Utility_DisplayArrayInTable(Fertiliser_SourceData.Fertiliser_Products_Data4(),FertiliserProducts[[#Headers],[Company]], 91)</f>
        <v>1</v>
      </c>
      <c r="H205" s="172" t="str" cm="1">
        <f t="array" ref="H205">Common_InputFunctions.Utility_DisplayArrayInTable(Fertiliser_SourceData.Fertiliser_Products_Data4(),FertiliserProducts[[#Headers],[Company]], 91)</f>
        <v/>
      </c>
      <c r="I205" s="172" t="str" cm="1">
        <f t="array" ref="I205">Common_InputFunctions.Utility_DisplayArrayInTable(Fertiliser_SourceData.Fertiliser_Products_Data4(),FertiliserProducts[[#Headers],[Company]], 91)</f>
        <v/>
      </c>
      <c r="J205" s="172" t="str" cm="1">
        <f t="array" ref="J205">Common_InputFunctions.Utility_DisplayArrayInTable(Fertiliser_SourceData.Fertiliser_Products_Data4(),FertiliserProducts[[#Headers],[Company]], 91)</f>
        <v/>
      </c>
      <c r="K205" s="172" cm="1">
        <f t="array" ref="K205">Common_InputFunctions.Utility_DisplayArrayInTable(Fertiliser_SourceData.Fertiliser_Products_Data4(),FertiliserProducts[[#Headers],[Company]], 91)</f>
        <v>16.2</v>
      </c>
      <c r="L205" s="172" cm="1">
        <f t="array" ref="L205">Common_InputFunctions.Utility_DisplayArrayInTable(Fertiliser_SourceData.Fertiliser_Products_Data4(),FertiliserProducts[[#Headers],[Company]], 91)</f>
        <v>18</v>
      </c>
      <c r="M205" s="172" cm="1">
        <f t="array" ref="M205">Common_InputFunctions.Utility_DisplayArrayInTable(Fertiliser_SourceData.Fertiliser_Products_Data4(),FertiliserProducts[[#Headers],[Company]], 91)</f>
        <v>0</v>
      </c>
      <c r="N205" s="172" cm="1">
        <f t="array" ref="N205">Common_InputFunctions.Utility_DisplayArrayInTable(Fertiliser_SourceData.Fertiliser_Products_Data4(),FertiliserProducts[[#Headers],[Company]], 91)</f>
        <v>10.4</v>
      </c>
      <c r="O205" s="172" t="str" cm="1">
        <f t="array" ref="O205">Common_InputFunctions.Utility_DisplayArrayInTable(Fertiliser_SourceData.Fertiliser_Products_Data4(),FertiliserProducts[[#Headers],[Company]], 91)</f>
        <v>Nitrogen - Generic</v>
      </c>
      <c r="P205" s="172" cm="1">
        <f t="array" ref="P205">Common_InputFunctions.Utility_DisplayArrayInTable(Fertiliser_SourceData.Fertiliser_Products_Data4(),FertiliserProducts[[#Headers],[Company]], 91)</f>
        <v>0.16200000000000001</v>
      </c>
      <c r="Q205" s="172" t="str" cm="1">
        <f t="array" ref="Q205">Common_InputFunctions.Utility_DisplayArrayInTable(Fertiliser_SourceData.Fertiliser_Products_Data4(),FertiliserProducts[[#Headers],[Company]], 91)</f>
        <v>Phosphorus - Generic</v>
      </c>
      <c r="R205" s="172" cm="1">
        <f t="array" ref="R205">Common_InputFunctions.Utility_DisplayArrayInTable(Fertiliser_SourceData.Fertiliser_Products_Data4(),FertiliserProducts[[#Headers],[Company]], 91)</f>
        <v>0.18</v>
      </c>
      <c r="S205" s="172" t="str" cm="1">
        <f t="array" ref="S205">Common_InputFunctions.Utility_DisplayArrayInTable(Fertiliser_SourceData.Fertiliser_Products_Data4(),FertiliserProducts[[#Headers],[Company]], 91)</f>
        <v>Sulfur - Generic</v>
      </c>
      <c r="T205" s="172" cm="1">
        <f t="array" ref="T205">Common_InputFunctions.Utility_DisplayArrayInTable(Fertiliser_SourceData.Fertiliser_Products_Data4(),FertiliserProducts[[#Headers],[Company]], 91)</f>
        <v>0.104</v>
      </c>
      <c r="U205" s="172" t="str" cm="1">
        <f t="array" ref="U205">Common_InputFunctions.Utility_DisplayArrayInTable(Fertiliser_SourceData.Fertiliser_Products_Data4(),FertiliserProducts[[#Headers],[Company]], 91)</f>
        <v/>
      </c>
      <c r="V205" s="172" t="str" cm="1">
        <f t="array" ref="V205">Common_InputFunctions.Utility_DisplayArrayInTable(Fertiliser_SourceData.Fertiliser_Products_Data4(),FertiliserProducts[[#Headers],[Company]], 91)</f>
        <v/>
      </c>
      <c r="W205" s="172" t="str" cm="1">
        <f t="array" ref="W205">Common_InputFunctions.Utility_DisplayArrayInTable(Fertiliser_SourceData.Fertiliser_Products_Data4(),FertiliserProducts[[#Headers],[Company]], 91)</f>
        <v/>
      </c>
      <c r="X205" s="172" t="str" cm="1">
        <f t="array" ref="X205">Common_InputFunctions.Utility_DisplayArrayInTable(Fertiliser_SourceData.Fertiliser_Products_Data4(),FertiliserProducts[[#Headers],[Company]], 91)</f>
        <v/>
      </c>
      <c r="Y205" s="172" t="str" cm="1">
        <f t="array" ref="Y205">Common_InputFunctions.Utility_DisplayArrayInTable(Fertiliser_SourceData.Fertiliser_Products_Data4(),FertiliserProducts[[#Headers],[Company]], 91)</f>
        <v/>
      </c>
      <c r="Z205" s="172" t="str" cm="1">
        <f t="array" ref="Z205">Common_InputFunctions.Utility_DisplayArrayInTable(Fertiliser_SourceData.Fertiliser_Products_Data4(),FertiliserProducts[[#Headers],[Company]], 91)</f>
        <v/>
      </c>
      <c r="AA205" s="172" t="str" cm="1">
        <f t="array" ref="AA205">Common_InputFunctions.Utility_DisplayArrayInTable(Fertiliser_SourceData.Fertiliser_Products_Data4(),FertiliserProducts[[#Headers],[Company]], 91)</f>
        <v/>
      </c>
      <c r="AB205" s="172" t="str" cm="1">
        <f t="array" ref="AB205">Common_InputFunctions.Utility_DisplayArrayInTable(Fertiliser_SourceData.Fertiliser_Products_Data4(),FertiliserProducts[[#Headers],[Company]], 91)</f>
        <v/>
      </c>
      <c r="AC205" s="172" t="str" cm="1">
        <f t="array" ref="AC205">Common_InputFunctions.Utility_DisplayArrayInTable(Fertiliser_SourceData.Fertiliser_Products_Data4(),FertiliserProducts[[#Headers],[Company]], 91)</f>
        <v/>
      </c>
      <c r="AD205" s="172" t="str" cm="1">
        <f t="array" ref="AD205">Common_InputFunctions.Utility_DisplayArrayInTable(Fertiliser_SourceData.Fertiliser_Products_Data4(),FertiliserProducts[[#Headers],[Company]], 91)</f>
        <v/>
      </c>
      <c r="AE205" s="172" t="str" cm="1">
        <f t="array" ref="AE205">Common_InputFunctions.Utility_DisplayArrayInTable(Fertiliser_SourceData.Fertiliser_Products_Data4(),FertiliserProducts[[#Headers],[Company]], 91)</f>
        <v/>
      </c>
      <c r="AF205" s="172" t="str" cm="1">
        <f t="array" ref="AF205">Common_InputFunctions.Utility_DisplayArrayInTable(Fertiliser_SourceData.Fertiliser_Products_Data4(),FertiliserProducts[[#Headers],[Company]], 91)</f>
        <v/>
      </c>
      <c r="AG205" s="172" t="str" cm="1">
        <f t="array" ref="AG205">Common_InputFunctions.Utility_DisplayArrayInTable(Fertiliser_SourceData.Fertiliser_Products_Data4(),FertiliserProducts[[#Headers],[Company]], 91)</f>
        <v/>
      </c>
      <c r="AH205" s="172" t="str" cm="1">
        <f t="array" ref="AH205">Common_InputFunctions.Utility_DisplayArrayInTable(Fertiliser_SourceData.Fertiliser_Products_Data4(),FertiliserProducts[[#Headers],[Company]], 91)</f>
        <v/>
      </c>
    </row>
    <row r="206" spans="4:34" x14ac:dyDescent="0.25">
      <c r="D206" s="172" t="str" cm="1">
        <f t="array" ref="D206">Common_InputFunctions.Utility_DisplayArrayInTable(Fertiliser_SourceData.Fertiliser_Products_Data4(),FertiliserProducts[[#Headers],[Company]], 91)</f>
        <v>Wengfu Australia</v>
      </c>
      <c r="E206" s="172" t="str" cm="1">
        <f t="array" ref="E206">Common_InputFunctions.Utility_DisplayArrayInTable(Fertiliser_SourceData.Fertiliser_Products_Data4(),FertiliserProducts[[#Headers],[Company]], 91)</f>
        <v>Wengfu 5-15-0-6 Fast Start Legume</v>
      </c>
      <c r="F206" s="172" t="str" cm="1">
        <f t="array" ref="F206">Common_InputFunctions.Utility_DisplayArrayInTable(Fertiliser_SourceData.Fertiliser_Products_Data4(),FertiliserProducts[[#Headers],[Company]], 91)</f>
        <v>kg</v>
      </c>
      <c r="G206" s="172" cm="1">
        <f t="array" ref="G206">Common_InputFunctions.Utility_DisplayArrayInTable(Fertiliser_SourceData.Fertiliser_Products_Data4(),FertiliserProducts[[#Headers],[Company]], 91)</f>
        <v>1</v>
      </c>
      <c r="H206" s="172" t="str" cm="1">
        <f t="array" ref="H206">Common_InputFunctions.Utility_DisplayArrayInTable(Fertiliser_SourceData.Fertiliser_Products_Data4(),FertiliserProducts[[#Headers],[Company]], 91)</f>
        <v/>
      </c>
      <c r="I206" s="172" t="str" cm="1">
        <f t="array" ref="I206">Common_InputFunctions.Utility_DisplayArrayInTable(Fertiliser_SourceData.Fertiliser_Products_Data4(),FertiliserProducts[[#Headers],[Company]], 91)</f>
        <v/>
      </c>
      <c r="J206" s="172" t="str" cm="1">
        <f t="array" ref="J206">Common_InputFunctions.Utility_DisplayArrayInTable(Fertiliser_SourceData.Fertiliser_Products_Data4(),FertiliserProducts[[#Headers],[Company]], 91)</f>
        <v/>
      </c>
      <c r="K206" s="172" cm="1">
        <f t="array" ref="K206">Common_InputFunctions.Utility_DisplayArrayInTable(Fertiliser_SourceData.Fertiliser_Products_Data4(),FertiliserProducts[[#Headers],[Company]], 91)</f>
        <v>5</v>
      </c>
      <c r="L206" s="172" cm="1">
        <f t="array" ref="L206">Common_InputFunctions.Utility_DisplayArrayInTable(Fertiliser_SourceData.Fertiliser_Products_Data4(),FertiliserProducts[[#Headers],[Company]], 91)</f>
        <v>15.4</v>
      </c>
      <c r="M206" s="172" cm="1">
        <f t="array" ref="M206">Common_InputFunctions.Utility_DisplayArrayInTable(Fertiliser_SourceData.Fertiliser_Products_Data4(),FertiliserProducts[[#Headers],[Company]], 91)</f>
        <v>0</v>
      </c>
      <c r="N206" s="172" cm="1">
        <f t="array" ref="N206">Common_InputFunctions.Utility_DisplayArrayInTable(Fertiliser_SourceData.Fertiliser_Products_Data4(),FertiliserProducts[[#Headers],[Company]], 91)</f>
        <v>6.3</v>
      </c>
      <c r="O206" s="172" t="str" cm="1">
        <f t="array" ref="O206">Common_InputFunctions.Utility_DisplayArrayInTable(Fertiliser_SourceData.Fertiliser_Products_Data4(),FertiliserProducts[[#Headers],[Company]], 91)</f>
        <v>Nitrogen - Generic</v>
      </c>
      <c r="P206" s="172" cm="1">
        <f t="array" ref="P206">Common_InputFunctions.Utility_DisplayArrayInTable(Fertiliser_SourceData.Fertiliser_Products_Data4(),FertiliserProducts[[#Headers],[Company]], 91)</f>
        <v>0.05</v>
      </c>
      <c r="Q206" s="172" t="str" cm="1">
        <f t="array" ref="Q206">Common_InputFunctions.Utility_DisplayArrayInTable(Fertiliser_SourceData.Fertiliser_Products_Data4(),FertiliserProducts[[#Headers],[Company]], 91)</f>
        <v>Phosphorus - Generic</v>
      </c>
      <c r="R206" s="172" cm="1">
        <f t="array" ref="R206">Common_InputFunctions.Utility_DisplayArrayInTable(Fertiliser_SourceData.Fertiliser_Products_Data4(),FertiliserProducts[[#Headers],[Company]], 91)</f>
        <v>0.154</v>
      </c>
      <c r="S206" s="172" t="str" cm="1">
        <f t="array" ref="S206">Common_InputFunctions.Utility_DisplayArrayInTable(Fertiliser_SourceData.Fertiliser_Products_Data4(),FertiliserProducts[[#Headers],[Company]], 91)</f>
        <v>Sulfur - Generic</v>
      </c>
      <c r="T206" s="172" cm="1">
        <f t="array" ref="T206">Common_InputFunctions.Utility_DisplayArrayInTable(Fertiliser_SourceData.Fertiliser_Products_Data4(),FertiliserProducts[[#Headers],[Company]], 91)</f>
        <v>6.3E-2</v>
      </c>
      <c r="U206" s="172" t="str" cm="1">
        <f t="array" ref="U206">Common_InputFunctions.Utility_DisplayArrayInTable(Fertiliser_SourceData.Fertiliser_Products_Data4(),FertiliserProducts[[#Headers],[Company]], 91)</f>
        <v/>
      </c>
      <c r="V206" s="172" t="str" cm="1">
        <f t="array" ref="V206">Common_InputFunctions.Utility_DisplayArrayInTable(Fertiliser_SourceData.Fertiliser_Products_Data4(),FertiliserProducts[[#Headers],[Company]], 91)</f>
        <v/>
      </c>
      <c r="W206" s="172" t="str" cm="1">
        <f t="array" ref="W206">Common_InputFunctions.Utility_DisplayArrayInTable(Fertiliser_SourceData.Fertiliser_Products_Data4(),FertiliserProducts[[#Headers],[Company]], 91)</f>
        <v/>
      </c>
      <c r="X206" s="172" t="str" cm="1">
        <f t="array" ref="X206">Common_InputFunctions.Utility_DisplayArrayInTable(Fertiliser_SourceData.Fertiliser_Products_Data4(),FertiliserProducts[[#Headers],[Company]], 91)</f>
        <v/>
      </c>
      <c r="Y206" s="172" t="str" cm="1">
        <f t="array" ref="Y206">Common_InputFunctions.Utility_DisplayArrayInTable(Fertiliser_SourceData.Fertiliser_Products_Data4(),FertiliserProducts[[#Headers],[Company]], 91)</f>
        <v/>
      </c>
      <c r="Z206" s="172" t="str" cm="1">
        <f t="array" ref="Z206">Common_InputFunctions.Utility_DisplayArrayInTable(Fertiliser_SourceData.Fertiliser_Products_Data4(),FertiliserProducts[[#Headers],[Company]], 91)</f>
        <v/>
      </c>
      <c r="AA206" s="172" t="str" cm="1">
        <f t="array" ref="AA206">Common_InputFunctions.Utility_DisplayArrayInTable(Fertiliser_SourceData.Fertiliser_Products_Data4(),FertiliserProducts[[#Headers],[Company]], 91)</f>
        <v/>
      </c>
      <c r="AB206" s="172" t="str" cm="1">
        <f t="array" ref="AB206">Common_InputFunctions.Utility_DisplayArrayInTable(Fertiliser_SourceData.Fertiliser_Products_Data4(),FertiliserProducts[[#Headers],[Company]], 91)</f>
        <v/>
      </c>
      <c r="AC206" s="172" t="str" cm="1">
        <f t="array" ref="AC206">Common_InputFunctions.Utility_DisplayArrayInTable(Fertiliser_SourceData.Fertiliser_Products_Data4(),FertiliserProducts[[#Headers],[Company]], 91)</f>
        <v/>
      </c>
      <c r="AD206" s="172" t="str" cm="1">
        <f t="array" ref="AD206">Common_InputFunctions.Utility_DisplayArrayInTable(Fertiliser_SourceData.Fertiliser_Products_Data4(),FertiliserProducts[[#Headers],[Company]], 91)</f>
        <v/>
      </c>
      <c r="AE206" s="172" t="str" cm="1">
        <f t="array" ref="AE206">Common_InputFunctions.Utility_DisplayArrayInTable(Fertiliser_SourceData.Fertiliser_Products_Data4(),FertiliserProducts[[#Headers],[Company]], 91)</f>
        <v/>
      </c>
      <c r="AF206" s="172" t="str" cm="1">
        <f t="array" ref="AF206">Common_InputFunctions.Utility_DisplayArrayInTable(Fertiliser_SourceData.Fertiliser_Products_Data4(),FertiliserProducts[[#Headers],[Company]], 91)</f>
        <v/>
      </c>
      <c r="AG206" s="172" t="str" cm="1">
        <f t="array" ref="AG206">Common_InputFunctions.Utility_DisplayArrayInTable(Fertiliser_SourceData.Fertiliser_Products_Data4(),FertiliserProducts[[#Headers],[Company]], 91)</f>
        <v/>
      </c>
      <c r="AH206" s="172" t="str" cm="1">
        <f t="array" ref="AH206">Common_InputFunctions.Utility_DisplayArrayInTable(Fertiliser_SourceData.Fertiliser_Products_Data4(),FertiliserProducts[[#Headers],[Company]], 91)</f>
        <v/>
      </c>
    </row>
    <row r="207" spans="4:34" x14ac:dyDescent="0.25">
      <c r="D207" s="172" t="str" cm="1">
        <f t="array" ref="D207">Common_InputFunctions.Utility_DisplayArrayInTable(Fertiliser_SourceData.Fertiliser_Products_Data4(),FertiliserProducts[[#Headers],[Company]], 91)</f>
        <v>Wengfu Australia</v>
      </c>
      <c r="E207" s="172" t="str" cm="1">
        <f t="array" ref="E207">Common_InputFunctions.Utility_DisplayArrayInTable(Fertiliser_SourceData.Fertiliser_Products_Data4(),FertiliserProducts[[#Headers],[Company]], 91)</f>
        <v>Wengfu 9-20-0-10 PrimeZinc</v>
      </c>
      <c r="F207" s="172" t="str" cm="1">
        <f t="array" ref="F207">Common_InputFunctions.Utility_DisplayArrayInTable(Fertiliser_SourceData.Fertiliser_Products_Data4(),FertiliserProducts[[#Headers],[Company]], 91)</f>
        <v>kg</v>
      </c>
      <c r="G207" s="172" cm="1">
        <f t="array" ref="G207">Common_InputFunctions.Utility_DisplayArrayInTable(Fertiliser_SourceData.Fertiliser_Products_Data4(),FertiliserProducts[[#Headers],[Company]], 91)</f>
        <v>1</v>
      </c>
      <c r="H207" s="172" t="str" cm="1">
        <f t="array" ref="H207">Common_InputFunctions.Utility_DisplayArrayInTable(Fertiliser_SourceData.Fertiliser_Products_Data4(),FertiliserProducts[[#Headers],[Company]], 91)</f>
        <v/>
      </c>
      <c r="I207" s="172" t="str" cm="1">
        <f t="array" ref="I207">Common_InputFunctions.Utility_DisplayArrayInTable(Fertiliser_SourceData.Fertiliser_Products_Data4(),FertiliserProducts[[#Headers],[Company]], 91)</f>
        <v/>
      </c>
      <c r="J207" s="172" t="str" cm="1">
        <f t="array" ref="J207">Common_InputFunctions.Utility_DisplayArrayInTable(Fertiliser_SourceData.Fertiliser_Products_Data4(),FertiliserProducts[[#Headers],[Company]], 91)</f>
        <v/>
      </c>
      <c r="K207" s="172" cm="1">
        <f t="array" ref="K207">Common_InputFunctions.Utility_DisplayArrayInTable(Fertiliser_SourceData.Fertiliser_Products_Data4(),FertiliserProducts[[#Headers],[Company]], 91)</f>
        <v>9</v>
      </c>
      <c r="L207" s="172" cm="1">
        <f t="array" ref="L207">Common_InputFunctions.Utility_DisplayArrayInTable(Fertiliser_SourceData.Fertiliser_Products_Data4(),FertiliserProducts[[#Headers],[Company]], 91)</f>
        <v>19.8</v>
      </c>
      <c r="M207" s="172" cm="1">
        <f t="array" ref="M207">Common_InputFunctions.Utility_DisplayArrayInTable(Fertiliser_SourceData.Fertiliser_Products_Data4(),FertiliserProducts[[#Headers],[Company]], 91)</f>
        <v>0</v>
      </c>
      <c r="N207" s="172" cm="1">
        <f t="array" ref="N207">Common_InputFunctions.Utility_DisplayArrayInTable(Fertiliser_SourceData.Fertiliser_Products_Data4(),FertiliserProducts[[#Headers],[Company]], 91)</f>
        <v>10.4</v>
      </c>
      <c r="O207" s="172" t="str" cm="1">
        <f t="array" ref="O207">Common_InputFunctions.Utility_DisplayArrayInTable(Fertiliser_SourceData.Fertiliser_Products_Data4(),FertiliserProducts[[#Headers],[Company]], 91)</f>
        <v>Nitrogen - Generic</v>
      </c>
      <c r="P207" s="172" cm="1">
        <f t="array" ref="P207">Common_InputFunctions.Utility_DisplayArrayInTable(Fertiliser_SourceData.Fertiliser_Products_Data4(),FertiliserProducts[[#Headers],[Company]], 91)</f>
        <v>0.09</v>
      </c>
      <c r="Q207" s="172" t="str" cm="1">
        <f t="array" ref="Q207">Common_InputFunctions.Utility_DisplayArrayInTable(Fertiliser_SourceData.Fertiliser_Products_Data4(),FertiliserProducts[[#Headers],[Company]], 91)</f>
        <v>Phosphorus - Generic</v>
      </c>
      <c r="R207" s="172" cm="1">
        <f t="array" ref="R207">Common_InputFunctions.Utility_DisplayArrayInTable(Fertiliser_SourceData.Fertiliser_Products_Data4(),FertiliserProducts[[#Headers],[Company]], 91)</f>
        <v>0.19800000000000001</v>
      </c>
      <c r="S207" s="172" t="str" cm="1">
        <f t="array" ref="S207">Common_InputFunctions.Utility_DisplayArrayInTable(Fertiliser_SourceData.Fertiliser_Products_Data4(),FertiliserProducts[[#Headers],[Company]], 91)</f>
        <v>Sulfur - Generic</v>
      </c>
      <c r="T207" s="172" cm="1">
        <f t="array" ref="T207">Common_InputFunctions.Utility_DisplayArrayInTable(Fertiliser_SourceData.Fertiliser_Products_Data4(),FertiliserProducts[[#Headers],[Company]], 91)</f>
        <v>0.104</v>
      </c>
      <c r="U207" s="172" t="str" cm="1">
        <f t="array" ref="U207">Common_InputFunctions.Utility_DisplayArrayInTable(Fertiliser_SourceData.Fertiliser_Products_Data4(),FertiliserProducts[[#Headers],[Company]], 91)</f>
        <v>Zinc</v>
      </c>
      <c r="V207" s="172" cm="1">
        <f t="array" ref="V207">Common_InputFunctions.Utility_DisplayArrayInTable(Fertiliser_SourceData.Fertiliser_Products_Data4(),FertiliserProducts[[#Headers],[Company]], 91)</f>
        <v>8.9999999999999993E-3</v>
      </c>
      <c r="W207" s="172" t="str" cm="1">
        <f t="array" ref="W207">Common_InputFunctions.Utility_DisplayArrayInTable(Fertiliser_SourceData.Fertiliser_Products_Data4(),FertiliserProducts[[#Headers],[Company]], 91)</f>
        <v/>
      </c>
      <c r="X207" s="172" t="str" cm="1">
        <f t="array" ref="X207">Common_InputFunctions.Utility_DisplayArrayInTable(Fertiliser_SourceData.Fertiliser_Products_Data4(),FertiliserProducts[[#Headers],[Company]], 91)</f>
        <v/>
      </c>
      <c r="Y207" s="172" t="str" cm="1">
        <f t="array" ref="Y207">Common_InputFunctions.Utility_DisplayArrayInTable(Fertiliser_SourceData.Fertiliser_Products_Data4(),FertiliserProducts[[#Headers],[Company]], 91)</f>
        <v/>
      </c>
      <c r="Z207" s="172" t="str" cm="1">
        <f t="array" ref="Z207">Common_InputFunctions.Utility_DisplayArrayInTable(Fertiliser_SourceData.Fertiliser_Products_Data4(),FertiliserProducts[[#Headers],[Company]], 91)</f>
        <v/>
      </c>
      <c r="AA207" s="172" t="str" cm="1">
        <f t="array" ref="AA207">Common_InputFunctions.Utility_DisplayArrayInTable(Fertiliser_SourceData.Fertiliser_Products_Data4(),FertiliserProducts[[#Headers],[Company]], 91)</f>
        <v/>
      </c>
      <c r="AB207" s="172" t="str" cm="1">
        <f t="array" ref="AB207">Common_InputFunctions.Utility_DisplayArrayInTable(Fertiliser_SourceData.Fertiliser_Products_Data4(),FertiliserProducts[[#Headers],[Company]], 91)</f>
        <v/>
      </c>
      <c r="AC207" s="172" t="str" cm="1">
        <f t="array" ref="AC207">Common_InputFunctions.Utility_DisplayArrayInTable(Fertiliser_SourceData.Fertiliser_Products_Data4(),FertiliserProducts[[#Headers],[Company]], 91)</f>
        <v/>
      </c>
      <c r="AD207" s="172" t="str" cm="1">
        <f t="array" ref="AD207">Common_InputFunctions.Utility_DisplayArrayInTable(Fertiliser_SourceData.Fertiliser_Products_Data4(),FertiliserProducts[[#Headers],[Company]], 91)</f>
        <v/>
      </c>
      <c r="AE207" s="172" t="str" cm="1">
        <f t="array" ref="AE207">Common_InputFunctions.Utility_DisplayArrayInTable(Fertiliser_SourceData.Fertiliser_Products_Data4(),FertiliserProducts[[#Headers],[Company]], 91)</f>
        <v/>
      </c>
      <c r="AF207" s="172" t="str" cm="1">
        <f t="array" ref="AF207">Common_InputFunctions.Utility_DisplayArrayInTable(Fertiliser_SourceData.Fertiliser_Products_Data4(),FertiliserProducts[[#Headers],[Company]], 91)</f>
        <v/>
      </c>
      <c r="AG207" s="172" t="str" cm="1">
        <f t="array" ref="AG207">Common_InputFunctions.Utility_DisplayArrayInTable(Fertiliser_SourceData.Fertiliser_Products_Data4(),FertiliserProducts[[#Headers],[Company]], 91)</f>
        <v/>
      </c>
      <c r="AH207" s="172" t="str" cm="1">
        <f t="array" ref="AH207">Common_InputFunctions.Utility_DisplayArrayInTable(Fertiliser_SourceData.Fertiliser_Products_Data4(),FertiliserProducts[[#Headers],[Company]], 91)</f>
        <v/>
      </c>
    </row>
    <row r="208" spans="4:34" x14ac:dyDescent="0.25">
      <c r="D208" s="172" t="str" cm="1">
        <f t="array" ref="D208">Common_InputFunctions.Utility_DisplayArrayInTable(Fertiliser_SourceData.Fertiliser_Products_Data4(),FertiliserProducts[[#Headers],[Company]], 91)</f>
        <v>Wengfu Australia</v>
      </c>
      <c r="E208" s="172" t="str" cm="1">
        <f t="array" ref="E208">Common_InputFunctions.Utility_DisplayArrayInTable(Fertiliser_SourceData.Fertiliser_Products_Data4(),FertiliserProducts[[#Headers],[Company]], 91)</f>
        <v>Wengfu 12-18-0-6 PrimeZinc</v>
      </c>
      <c r="F208" s="172" t="str" cm="1">
        <f t="array" ref="F208">Common_InputFunctions.Utility_DisplayArrayInTable(Fertiliser_SourceData.Fertiliser_Products_Data4(),FertiliserProducts[[#Headers],[Company]], 91)</f>
        <v>kg</v>
      </c>
      <c r="G208" s="172" cm="1">
        <f t="array" ref="G208">Common_InputFunctions.Utility_DisplayArrayInTable(Fertiliser_SourceData.Fertiliser_Products_Data4(),FertiliserProducts[[#Headers],[Company]], 91)</f>
        <v>1</v>
      </c>
      <c r="H208" s="172" t="str" cm="1">
        <f t="array" ref="H208">Common_InputFunctions.Utility_DisplayArrayInTable(Fertiliser_SourceData.Fertiliser_Products_Data4(),FertiliserProducts[[#Headers],[Company]], 91)</f>
        <v/>
      </c>
      <c r="I208" s="172" t="str" cm="1">
        <f t="array" ref="I208">Common_InputFunctions.Utility_DisplayArrayInTable(Fertiliser_SourceData.Fertiliser_Products_Data4(),FertiliserProducts[[#Headers],[Company]], 91)</f>
        <v/>
      </c>
      <c r="J208" s="172" t="str" cm="1">
        <f t="array" ref="J208">Common_InputFunctions.Utility_DisplayArrayInTable(Fertiliser_SourceData.Fertiliser_Products_Data4(),FertiliserProducts[[#Headers],[Company]], 91)</f>
        <v/>
      </c>
      <c r="K208" s="172" cm="1">
        <f t="array" ref="K208">Common_InputFunctions.Utility_DisplayArrayInTable(Fertiliser_SourceData.Fertiliser_Products_Data4(),FertiliserProducts[[#Headers],[Company]], 91)</f>
        <v>11.9</v>
      </c>
      <c r="L208" s="172" cm="1">
        <f t="array" ref="L208">Common_InputFunctions.Utility_DisplayArrayInTable(Fertiliser_SourceData.Fertiliser_Products_Data4(),FertiliserProducts[[#Headers],[Company]], 91)</f>
        <v>17.600000000000001</v>
      </c>
      <c r="M208" s="172" cm="1">
        <f t="array" ref="M208">Common_InputFunctions.Utility_DisplayArrayInTable(Fertiliser_SourceData.Fertiliser_Products_Data4(),FertiliserProducts[[#Headers],[Company]], 91)</f>
        <v>0</v>
      </c>
      <c r="N208" s="172" cm="1">
        <f t="array" ref="N208">Common_InputFunctions.Utility_DisplayArrayInTable(Fertiliser_SourceData.Fertiliser_Products_Data4(),FertiliserProducts[[#Headers],[Company]], 91)</f>
        <v>5.9</v>
      </c>
      <c r="O208" s="172" t="str" cm="1">
        <f t="array" ref="O208">Common_InputFunctions.Utility_DisplayArrayInTable(Fertiliser_SourceData.Fertiliser_Products_Data4(),FertiliserProducts[[#Headers],[Company]], 91)</f>
        <v>Nitrogen - Generic</v>
      </c>
      <c r="P208" s="172" cm="1">
        <f t="array" ref="P208">Common_InputFunctions.Utility_DisplayArrayInTable(Fertiliser_SourceData.Fertiliser_Products_Data4(),FertiliserProducts[[#Headers],[Company]], 91)</f>
        <v>0.11899999999999999</v>
      </c>
      <c r="Q208" s="172" t="str" cm="1">
        <f t="array" ref="Q208">Common_InputFunctions.Utility_DisplayArrayInTable(Fertiliser_SourceData.Fertiliser_Products_Data4(),FertiliserProducts[[#Headers],[Company]], 91)</f>
        <v>Phosphorus - Generic</v>
      </c>
      <c r="R208" s="172" cm="1">
        <f t="array" ref="R208">Common_InputFunctions.Utility_DisplayArrayInTable(Fertiliser_SourceData.Fertiliser_Products_Data4(),FertiliserProducts[[#Headers],[Company]], 91)</f>
        <v>0.17599999999999999</v>
      </c>
      <c r="S208" s="172" t="str" cm="1">
        <f t="array" ref="S208">Common_InputFunctions.Utility_DisplayArrayInTable(Fertiliser_SourceData.Fertiliser_Products_Data4(),FertiliserProducts[[#Headers],[Company]], 91)</f>
        <v>Sulfur - Generic</v>
      </c>
      <c r="T208" s="172" cm="1">
        <f t="array" ref="T208">Common_InputFunctions.Utility_DisplayArrayInTable(Fertiliser_SourceData.Fertiliser_Products_Data4(),FertiliserProducts[[#Headers],[Company]], 91)</f>
        <v>5.8999999999999997E-2</v>
      </c>
      <c r="U208" s="172" t="str" cm="1">
        <f t="array" ref="U208">Common_InputFunctions.Utility_DisplayArrayInTable(Fertiliser_SourceData.Fertiliser_Products_Data4(),FertiliserProducts[[#Headers],[Company]], 91)</f>
        <v>Zinc</v>
      </c>
      <c r="V208" s="172" cm="1">
        <f t="array" ref="V208">Common_InputFunctions.Utility_DisplayArrayInTable(Fertiliser_SourceData.Fertiliser_Products_Data4(),FertiliserProducts[[#Headers],[Company]], 91)</f>
        <v>8.0000000000000002E-3</v>
      </c>
      <c r="W208" s="172" t="str" cm="1">
        <f t="array" ref="W208">Common_InputFunctions.Utility_DisplayArrayInTable(Fertiliser_SourceData.Fertiliser_Products_Data4(),FertiliserProducts[[#Headers],[Company]], 91)</f>
        <v/>
      </c>
      <c r="X208" s="172" t="str" cm="1">
        <f t="array" ref="X208">Common_InputFunctions.Utility_DisplayArrayInTable(Fertiliser_SourceData.Fertiliser_Products_Data4(),FertiliserProducts[[#Headers],[Company]], 91)</f>
        <v/>
      </c>
      <c r="Y208" s="172" t="str" cm="1">
        <f t="array" ref="Y208">Common_InputFunctions.Utility_DisplayArrayInTable(Fertiliser_SourceData.Fertiliser_Products_Data4(),FertiliserProducts[[#Headers],[Company]], 91)</f>
        <v/>
      </c>
      <c r="Z208" s="172" t="str" cm="1">
        <f t="array" ref="Z208">Common_InputFunctions.Utility_DisplayArrayInTable(Fertiliser_SourceData.Fertiliser_Products_Data4(),FertiliserProducts[[#Headers],[Company]], 91)</f>
        <v/>
      </c>
      <c r="AA208" s="172" t="str" cm="1">
        <f t="array" ref="AA208">Common_InputFunctions.Utility_DisplayArrayInTable(Fertiliser_SourceData.Fertiliser_Products_Data4(),FertiliserProducts[[#Headers],[Company]], 91)</f>
        <v/>
      </c>
      <c r="AB208" s="172" t="str" cm="1">
        <f t="array" ref="AB208">Common_InputFunctions.Utility_DisplayArrayInTable(Fertiliser_SourceData.Fertiliser_Products_Data4(),FertiliserProducts[[#Headers],[Company]], 91)</f>
        <v/>
      </c>
      <c r="AC208" s="172" t="str" cm="1">
        <f t="array" ref="AC208">Common_InputFunctions.Utility_DisplayArrayInTable(Fertiliser_SourceData.Fertiliser_Products_Data4(),FertiliserProducts[[#Headers],[Company]], 91)</f>
        <v/>
      </c>
      <c r="AD208" s="172" t="str" cm="1">
        <f t="array" ref="AD208">Common_InputFunctions.Utility_DisplayArrayInTable(Fertiliser_SourceData.Fertiliser_Products_Data4(),FertiliserProducts[[#Headers],[Company]], 91)</f>
        <v/>
      </c>
      <c r="AE208" s="172" t="str" cm="1">
        <f t="array" ref="AE208">Common_InputFunctions.Utility_DisplayArrayInTable(Fertiliser_SourceData.Fertiliser_Products_Data4(),FertiliserProducts[[#Headers],[Company]], 91)</f>
        <v/>
      </c>
      <c r="AF208" s="172" t="str" cm="1">
        <f t="array" ref="AF208">Common_InputFunctions.Utility_DisplayArrayInTable(Fertiliser_SourceData.Fertiliser_Products_Data4(),FertiliserProducts[[#Headers],[Company]], 91)</f>
        <v/>
      </c>
      <c r="AG208" s="172" t="str" cm="1">
        <f t="array" ref="AG208">Common_InputFunctions.Utility_DisplayArrayInTable(Fertiliser_SourceData.Fertiliser_Products_Data4(),FertiliserProducts[[#Headers],[Company]], 91)</f>
        <v/>
      </c>
      <c r="AH208" s="172" t="str" cm="1">
        <f t="array" ref="AH208">Common_InputFunctions.Utility_DisplayArrayInTable(Fertiliser_SourceData.Fertiliser_Products_Data4(),FertiliserProducts[[#Headers],[Company]], 91)</f>
        <v/>
      </c>
    </row>
    <row r="209" spans="4:34" x14ac:dyDescent="0.25">
      <c r="D209" s="172" t="str" cm="1">
        <f t="array" ref="D209">Common_InputFunctions.Utility_DisplayArrayInTable(Fertiliser_SourceData.Fertiliser_Products_Data4(),FertiliserProducts[[#Headers],[Company]], 91)</f>
        <v>Wengfu Australia</v>
      </c>
      <c r="E209" s="172" t="str" cm="1">
        <f t="array" ref="E209">Common_InputFunctions.Utility_DisplayArrayInTable(Fertiliser_SourceData.Fertiliser_Products_Data4(),FertiliserProducts[[#Headers],[Company]], 91)</f>
        <v>Wengfu 14-13-0-11 PrimeZinc</v>
      </c>
      <c r="F209" s="172" t="str" cm="1">
        <f t="array" ref="F209">Common_InputFunctions.Utility_DisplayArrayInTable(Fertiliser_SourceData.Fertiliser_Products_Data4(),FertiliserProducts[[#Headers],[Company]], 91)</f>
        <v>kg</v>
      </c>
      <c r="G209" s="172" cm="1">
        <f t="array" ref="G209">Common_InputFunctions.Utility_DisplayArrayInTable(Fertiliser_SourceData.Fertiliser_Products_Data4(),FertiliserProducts[[#Headers],[Company]], 91)</f>
        <v>1</v>
      </c>
      <c r="H209" s="172" t="str" cm="1">
        <f t="array" ref="H209">Common_InputFunctions.Utility_DisplayArrayInTable(Fertiliser_SourceData.Fertiliser_Products_Data4(),FertiliserProducts[[#Headers],[Company]], 91)</f>
        <v/>
      </c>
      <c r="I209" s="172" t="str" cm="1">
        <f t="array" ref="I209">Common_InputFunctions.Utility_DisplayArrayInTable(Fertiliser_SourceData.Fertiliser_Products_Data4(),FertiliserProducts[[#Headers],[Company]], 91)</f>
        <v/>
      </c>
      <c r="J209" s="172" t="str" cm="1">
        <f t="array" ref="J209">Common_InputFunctions.Utility_DisplayArrayInTable(Fertiliser_SourceData.Fertiliser_Products_Data4(),FertiliserProducts[[#Headers],[Company]], 91)</f>
        <v/>
      </c>
      <c r="K209" s="172" cm="1">
        <f t="array" ref="K209">Common_InputFunctions.Utility_DisplayArrayInTable(Fertiliser_SourceData.Fertiliser_Products_Data4(),FertiliserProducts[[#Headers],[Company]], 91)</f>
        <v>14.1</v>
      </c>
      <c r="L209" s="172" cm="1">
        <f t="array" ref="L209">Common_InputFunctions.Utility_DisplayArrayInTable(Fertiliser_SourceData.Fertiliser_Products_Data4(),FertiliserProducts[[#Headers],[Company]], 91)</f>
        <v>12.8</v>
      </c>
      <c r="M209" s="172" cm="1">
        <f t="array" ref="M209">Common_InputFunctions.Utility_DisplayArrayInTable(Fertiliser_SourceData.Fertiliser_Products_Data4(),FertiliserProducts[[#Headers],[Company]], 91)</f>
        <v>0</v>
      </c>
      <c r="N209" s="172" cm="1">
        <f t="array" ref="N209">Common_InputFunctions.Utility_DisplayArrayInTable(Fertiliser_SourceData.Fertiliser_Products_Data4(),FertiliserProducts[[#Headers],[Company]], 91)</f>
        <v>10.7</v>
      </c>
      <c r="O209" s="172" t="str" cm="1">
        <f t="array" ref="O209">Common_InputFunctions.Utility_DisplayArrayInTable(Fertiliser_SourceData.Fertiliser_Products_Data4(),FertiliserProducts[[#Headers],[Company]], 91)</f>
        <v>Nitrogen - Generic</v>
      </c>
      <c r="P209" s="172" cm="1">
        <f t="array" ref="P209">Common_InputFunctions.Utility_DisplayArrayInTable(Fertiliser_SourceData.Fertiliser_Products_Data4(),FertiliserProducts[[#Headers],[Company]], 91)</f>
        <v>0.14099999999999999</v>
      </c>
      <c r="Q209" s="172" t="str" cm="1">
        <f t="array" ref="Q209">Common_InputFunctions.Utility_DisplayArrayInTable(Fertiliser_SourceData.Fertiliser_Products_Data4(),FertiliserProducts[[#Headers],[Company]], 91)</f>
        <v>Phosphorus - Generic</v>
      </c>
      <c r="R209" s="172" cm="1">
        <f t="array" ref="R209">Common_InputFunctions.Utility_DisplayArrayInTable(Fertiliser_SourceData.Fertiliser_Products_Data4(),FertiliserProducts[[#Headers],[Company]], 91)</f>
        <v>0.128</v>
      </c>
      <c r="S209" s="172" t="str" cm="1">
        <f t="array" ref="S209">Common_InputFunctions.Utility_DisplayArrayInTable(Fertiliser_SourceData.Fertiliser_Products_Data4(),FertiliserProducts[[#Headers],[Company]], 91)</f>
        <v>Sulfur - Generic</v>
      </c>
      <c r="T209" s="172" cm="1">
        <f t="array" ref="T209">Common_InputFunctions.Utility_DisplayArrayInTable(Fertiliser_SourceData.Fertiliser_Products_Data4(),FertiliserProducts[[#Headers],[Company]], 91)</f>
        <v>0.107</v>
      </c>
      <c r="U209" s="172" t="str" cm="1">
        <f t="array" ref="U209">Common_InputFunctions.Utility_DisplayArrayInTable(Fertiliser_SourceData.Fertiliser_Products_Data4(),FertiliserProducts[[#Headers],[Company]], 91)</f>
        <v>Zinc</v>
      </c>
      <c r="V209" s="172" cm="1">
        <f t="array" ref="V209">Common_InputFunctions.Utility_DisplayArrayInTable(Fertiliser_SourceData.Fertiliser_Products_Data4(),FertiliserProducts[[#Headers],[Company]], 91)</f>
        <v>6.0000000000000001E-3</v>
      </c>
      <c r="W209" s="172" t="str" cm="1">
        <f t="array" ref="W209">Common_InputFunctions.Utility_DisplayArrayInTable(Fertiliser_SourceData.Fertiliser_Products_Data4(),FertiliserProducts[[#Headers],[Company]], 91)</f>
        <v/>
      </c>
      <c r="X209" s="172" t="str" cm="1">
        <f t="array" ref="X209">Common_InputFunctions.Utility_DisplayArrayInTable(Fertiliser_SourceData.Fertiliser_Products_Data4(),FertiliserProducts[[#Headers],[Company]], 91)</f>
        <v/>
      </c>
      <c r="Y209" s="172" t="str" cm="1">
        <f t="array" ref="Y209">Common_InputFunctions.Utility_DisplayArrayInTable(Fertiliser_SourceData.Fertiliser_Products_Data4(),FertiliserProducts[[#Headers],[Company]], 91)</f>
        <v/>
      </c>
      <c r="Z209" s="172" t="str" cm="1">
        <f t="array" ref="Z209">Common_InputFunctions.Utility_DisplayArrayInTable(Fertiliser_SourceData.Fertiliser_Products_Data4(),FertiliserProducts[[#Headers],[Company]], 91)</f>
        <v/>
      </c>
      <c r="AA209" s="172" t="str" cm="1">
        <f t="array" ref="AA209">Common_InputFunctions.Utility_DisplayArrayInTable(Fertiliser_SourceData.Fertiliser_Products_Data4(),FertiliserProducts[[#Headers],[Company]], 91)</f>
        <v/>
      </c>
      <c r="AB209" s="172" t="str" cm="1">
        <f t="array" ref="AB209">Common_InputFunctions.Utility_DisplayArrayInTable(Fertiliser_SourceData.Fertiliser_Products_Data4(),FertiliserProducts[[#Headers],[Company]], 91)</f>
        <v/>
      </c>
      <c r="AC209" s="172" t="str" cm="1">
        <f t="array" ref="AC209">Common_InputFunctions.Utility_DisplayArrayInTable(Fertiliser_SourceData.Fertiliser_Products_Data4(),FertiliserProducts[[#Headers],[Company]], 91)</f>
        <v/>
      </c>
      <c r="AD209" s="172" t="str" cm="1">
        <f t="array" ref="AD209">Common_InputFunctions.Utility_DisplayArrayInTable(Fertiliser_SourceData.Fertiliser_Products_Data4(),FertiliserProducts[[#Headers],[Company]], 91)</f>
        <v/>
      </c>
      <c r="AE209" s="172" t="str" cm="1">
        <f t="array" ref="AE209">Common_InputFunctions.Utility_DisplayArrayInTable(Fertiliser_SourceData.Fertiliser_Products_Data4(),FertiliserProducts[[#Headers],[Company]], 91)</f>
        <v/>
      </c>
      <c r="AF209" s="172" t="str" cm="1">
        <f t="array" ref="AF209">Common_InputFunctions.Utility_DisplayArrayInTable(Fertiliser_SourceData.Fertiliser_Products_Data4(),FertiliserProducts[[#Headers],[Company]], 91)</f>
        <v/>
      </c>
      <c r="AG209" s="172" t="str" cm="1">
        <f t="array" ref="AG209">Common_InputFunctions.Utility_DisplayArrayInTable(Fertiliser_SourceData.Fertiliser_Products_Data4(),FertiliserProducts[[#Headers],[Company]], 91)</f>
        <v/>
      </c>
      <c r="AH209" s="172" t="str" cm="1">
        <f t="array" ref="AH209">Common_InputFunctions.Utility_DisplayArrayInTable(Fertiliser_SourceData.Fertiliser_Products_Data4(),FertiliserProducts[[#Headers],[Company]], 91)</f>
        <v/>
      </c>
    </row>
    <row r="210" spans="4:34" x14ac:dyDescent="0.25">
      <c r="D210" s="172" t="str" cm="1">
        <f t="array" ref="D210">Common_InputFunctions.Utility_DisplayArrayInTable(Fertiliser_SourceData.Fertiliser_Products_Data5(),FertiliserProducts[[#Headers],[Company]], 121)</f>
        <v>Wengfu Australia</v>
      </c>
      <c r="E210" s="172" t="str" cm="1">
        <f t="array" ref="E210">Common_InputFunctions.Utility_DisplayArrayInTable(Fertiliser_SourceData.Fertiliser_Products_Data5(),FertiliserProducts[[#Headers],[Company]], 121)</f>
        <v>Wengfu 19-13-0-7 PrimeZinc</v>
      </c>
      <c r="F210" s="172" t="str" cm="1">
        <f t="array" ref="F210">Common_InputFunctions.Utility_DisplayArrayInTable(Fertiliser_SourceData.Fertiliser_Products_Data5(),FertiliserProducts[[#Headers],[Company]], 121)</f>
        <v>kg</v>
      </c>
      <c r="G210" s="172" cm="1">
        <f t="array" ref="G210">Common_InputFunctions.Utility_DisplayArrayInTable(Fertiliser_SourceData.Fertiliser_Products_Data5(),FertiliserProducts[[#Headers],[Company]], 121)</f>
        <v>1</v>
      </c>
      <c r="H210" s="172" t="str" cm="1">
        <f t="array" ref="H210">Common_InputFunctions.Utility_DisplayArrayInTable(Fertiliser_SourceData.Fertiliser_Products_Data5(),FertiliserProducts[[#Headers],[Company]], 121)</f>
        <v/>
      </c>
      <c r="I210" s="172" t="str" cm="1">
        <f t="array" ref="I210">Common_InputFunctions.Utility_DisplayArrayInTable(Fertiliser_SourceData.Fertiliser_Products_Data5(),FertiliserProducts[[#Headers],[Company]], 121)</f>
        <v/>
      </c>
      <c r="J210" s="172" t="str" cm="1">
        <f t="array" ref="J210">Common_InputFunctions.Utility_DisplayArrayInTable(Fertiliser_SourceData.Fertiliser_Products_Data5(),FertiliserProducts[[#Headers],[Company]], 121)</f>
        <v/>
      </c>
      <c r="K210" s="172" cm="1">
        <f t="array" ref="K210">Common_InputFunctions.Utility_DisplayArrayInTable(Fertiliser_SourceData.Fertiliser_Products_Data5(),FertiliserProducts[[#Headers],[Company]], 121)</f>
        <v>18.600000000000001</v>
      </c>
      <c r="L210" s="172" cm="1">
        <f t="array" ref="L210">Common_InputFunctions.Utility_DisplayArrayInTable(Fertiliser_SourceData.Fertiliser_Products_Data5(),FertiliserProducts[[#Headers],[Company]], 121)</f>
        <v>12.7</v>
      </c>
      <c r="M210" s="172" cm="1">
        <f t="array" ref="M210">Common_InputFunctions.Utility_DisplayArrayInTable(Fertiliser_SourceData.Fertiliser_Products_Data5(),FertiliserProducts[[#Headers],[Company]], 121)</f>
        <v>0</v>
      </c>
      <c r="N210" s="172" cm="1">
        <f t="array" ref="N210">Common_InputFunctions.Utility_DisplayArrayInTable(Fertiliser_SourceData.Fertiliser_Products_Data5(),FertiliserProducts[[#Headers],[Company]], 121)</f>
        <v>6.8</v>
      </c>
      <c r="O210" s="172" t="str" cm="1">
        <f t="array" ref="O210">Common_InputFunctions.Utility_DisplayArrayInTable(Fertiliser_SourceData.Fertiliser_Products_Data5(),FertiliserProducts[[#Headers],[Company]], 121)</f>
        <v>Nitrogen - Generic</v>
      </c>
      <c r="P210" s="172" cm="1">
        <f t="array" ref="P210">Common_InputFunctions.Utility_DisplayArrayInTable(Fertiliser_SourceData.Fertiliser_Products_Data5(),FertiliserProducts[[#Headers],[Company]], 121)</f>
        <v>0.186</v>
      </c>
      <c r="Q210" s="172" t="str" cm="1">
        <f t="array" ref="Q210">Common_InputFunctions.Utility_DisplayArrayInTable(Fertiliser_SourceData.Fertiliser_Products_Data5(),FertiliserProducts[[#Headers],[Company]], 121)</f>
        <v>Phosphorus - Generic</v>
      </c>
      <c r="R210" s="172" cm="1">
        <f t="array" ref="R210">Common_InputFunctions.Utility_DisplayArrayInTable(Fertiliser_SourceData.Fertiliser_Products_Data5(),FertiliserProducts[[#Headers],[Company]], 121)</f>
        <v>0.127</v>
      </c>
      <c r="S210" s="172" t="str" cm="1">
        <f t="array" ref="S210">Common_InputFunctions.Utility_DisplayArrayInTable(Fertiliser_SourceData.Fertiliser_Products_Data5(),FertiliserProducts[[#Headers],[Company]], 121)</f>
        <v>Sulfur - Generic</v>
      </c>
      <c r="T210" s="172" cm="1">
        <f t="array" ref="T210">Common_InputFunctions.Utility_DisplayArrayInTable(Fertiliser_SourceData.Fertiliser_Products_Data5(),FertiliserProducts[[#Headers],[Company]], 121)</f>
        <v>6.8000000000000005E-2</v>
      </c>
      <c r="U210" s="172" t="str" cm="1">
        <f t="array" ref="U210">Common_InputFunctions.Utility_DisplayArrayInTable(Fertiliser_SourceData.Fertiliser_Products_Data5(),FertiliserProducts[[#Headers],[Company]], 121)</f>
        <v>Zinc</v>
      </c>
      <c r="V210" s="172" cm="1">
        <f t="array" ref="V210">Common_InputFunctions.Utility_DisplayArrayInTable(Fertiliser_SourceData.Fertiliser_Products_Data5(),FertiliserProducts[[#Headers],[Company]], 121)</f>
        <v>6.0000000000000001E-3</v>
      </c>
      <c r="W210" s="172" t="str" cm="1">
        <f t="array" ref="W210">Common_InputFunctions.Utility_DisplayArrayInTable(Fertiliser_SourceData.Fertiliser_Products_Data5(),FertiliserProducts[[#Headers],[Company]], 121)</f>
        <v/>
      </c>
      <c r="X210" s="172" t="str" cm="1">
        <f t="array" ref="X210">Common_InputFunctions.Utility_DisplayArrayInTable(Fertiliser_SourceData.Fertiliser_Products_Data5(),FertiliserProducts[[#Headers],[Company]], 121)</f>
        <v/>
      </c>
      <c r="Y210" s="172" t="str" cm="1">
        <f t="array" ref="Y210">Common_InputFunctions.Utility_DisplayArrayInTable(Fertiliser_SourceData.Fertiliser_Products_Data5(),FertiliserProducts[[#Headers],[Company]], 121)</f>
        <v/>
      </c>
      <c r="Z210" s="172" t="str" cm="1">
        <f t="array" ref="Z210">Common_InputFunctions.Utility_DisplayArrayInTable(Fertiliser_SourceData.Fertiliser_Products_Data5(),FertiliserProducts[[#Headers],[Company]], 121)</f>
        <v/>
      </c>
      <c r="AA210" s="172" t="str" cm="1">
        <f t="array" ref="AA210">Common_InputFunctions.Utility_DisplayArrayInTable(Fertiliser_SourceData.Fertiliser_Products_Data5(),FertiliserProducts[[#Headers],[Company]], 121)</f>
        <v/>
      </c>
      <c r="AB210" s="172" t="str" cm="1">
        <f t="array" ref="AB210">Common_InputFunctions.Utility_DisplayArrayInTable(Fertiliser_SourceData.Fertiliser_Products_Data5(),FertiliserProducts[[#Headers],[Company]], 121)</f>
        <v/>
      </c>
      <c r="AC210" s="172" t="str" cm="1">
        <f t="array" ref="AC210">Common_InputFunctions.Utility_DisplayArrayInTable(Fertiliser_SourceData.Fertiliser_Products_Data5(),FertiliserProducts[[#Headers],[Company]], 121)</f>
        <v/>
      </c>
      <c r="AD210" s="172" t="str" cm="1">
        <f t="array" ref="AD210">Common_InputFunctions.Utility_DisplayArrayInTable(Fertiliser_SourceData.Fertiliser_Products_Data5(),FertiliserProducts[[#Headers],[Company]], 121)</f>
        <v/>
      </c>
      <c r="AE210" s="172" t="str" cm="1">
        <f t="array" ref="AE210">Common_InputFunctions.Utility_DisplayArrayInTable(Fertiliser_SourceData.Fertiliser_Products_Data5(),FertiliserProducts[[#Headers],[Company]], 121)</f>
        <v/>
      </c>
      <c r="AF210" s="172" t="str" cm="1">
        <f t="array" ref="AF210">Common_InputFunctions.Utility_DisplayArrayInTable(Fertiliser_SourceData.Fertiliser_Products_Data5(),FertiliserProducts[[#Headers],[Company]], 121)</f>
        <v/>
      </c>
      <c r="AG210" s="172" t="str" cm="1">
        <f t="array" ref="AG210">Common_InputFunctions.Utility_DisplayArrayInTable(Fertiliser_SourceData.Fertiliser_Products_Data5(),FertiliserProducts[[#Headers],[Company]], 121)</f>
        <v/>
      </c>
      <c r="AH210" s="172" t="str" cm="1">
        <f t="array" ref="AH210">Common_InputFunctions.Utility_DisplayArrayInTable(Fertiliser_SourceData.Fertiliser_Products_Data5(),FertiliserProducts[[#Headers],[Company]], 121)</f>
        <v/>
      </c>
    </row>
    <row r="211" spans="4:34" x14ac:dyDescent="0.25">
      <c r="D211" s="172" t="str" cm="1">
        <f t="array" ref="D211">Common_InputFunctions.Utility_DisplayArrayInTable(Fertiliser_SourceData.Fertiliser_Products_Data5(),FertiliserProducts[[#Headers],[Company]], 121)</f>
        <v>Wengfu Australia</v>
      </c>
      <c r="E211" s="172" t="str" cm="1">
        <f t="array" ref="E211">Common_InputFunctions.Utility_DisplayArrayInTable(Fertiliser_SourceData.Fertiliser_Products_Data5(),FertiliserProducts[[#Headers],[Company]], 121)</f>
        <v>Wengfu Booster K</v>
      </c>
      <c r="F211" s="172" t="str" cm="1">
        <f t="array" ref="F211">Common_InputFunctions.Utility_DisplayArrayInTable(Fertiliser_SourceData.Fertiliser_Products_Data5(),FertiliserProducts[[#Headers],[Company]], 121)</f>
        <v>kg</v>
      </c>
      <c r="G211" s="172" cm="1">
        <f t="array" ref="G211">Common_InputFunctions.Utility_DisplayArrayInTable(Fertiliser_SourceData.Fertiliser_Products_Data5(),FertiliserProducts[[#Headers],[Company]], 121)</f>
        <v>1</v>
      </c>
      <c r="H211" s="172" t="str" cm="1">
        <f t="array" ref="H211">Common_InputFunctions.Utility_DisplayArrayInTable(Fertiliser_SourceData.Fertiliser_Products_Data5(),FertiliserProducts[[#Headers],[Company]], 121)</f>
        <v/>
      </c>
      <c r="I211" s="172" t="str" cm="1">
        <f t="array" ref="I211">Common_InputFunctions.Utility_DisplayArrayInTable(Fertiliser_SourceData.Fertiliser_Products_Data5(),FertiliserProducts[[#Headers],[Company]], 121)</f>
        <v/>
      </c>
      <c r="J211" s="172" t="str" cm="1">
        <f t="array" ref="J211">Common_InputFunctions.Utility_DisplayArrayInTable(Fertiliser_SourceData.Fertiliser_Products_Data5(),FertiliserProducts[[#Headers],[Company]], 121)</f>
        <v/>
      </c>
      <c r="K211" s="172" cm="1">
        <f t="array" ref="K211">Common_InputFunctions.Utility_DisplayArrayInTable(Fertiliser_SourceData.Fertiliser_Products_Data5(),FertiliserProducts[[#Headers],[Company]], 121)</f>
        <v>32</v>
      </c>
      <c r="L211" s="172" cm="1">
        <f t="array" ref="L211">Common_InputFunctions.Utility_DisplayArrayInTable(Fertiliser_SourceData.Fertiliser_Products_Data5(),FertiliserProducts[[#Headers],[Company]], 121)</f>
        <v>0</v>
      </c>
      <c r="M211" s="172" cm="1">
        <f t="array" ref="M211">Common_InputFunctions.Utility_DisplayArrayInTable(Fertiliser_SourceData.Fertiliser_Products_Data5(),FertiliserProducts[[#Headers],[Company]], 121)</f>
        <v>11</v>
      </c>
      <c r="N211" s="172" cm="1">
        <f t="array" ref="N211">Common_InputFunctions.Utility_DisplayArrayInTable(Fertiliser_SourceData.Fertiliser_Products_Data5(),FertiliserProducts[[#Headers],[Company]], 121)</f>
        <v>3</v>
      </c>
      <c r="O211" s="172" t="str" cm="1">
        <f t="array" ref="O211">Common_InputFunctions.Utility_DisplayArrayInTable(Fertiliser_SourceData.Fertiliser_Products_Data5(),FertiliserProducts[[#Headers],[Company]], 121)</f>
        <v>Nitrogen - Generic</v>
      </c>
      <c r="P211" s="172" cm="1">
        <f t="array" ref="P211">Common_InputFunctions.Utility_DisplayArrayInTable(Fertiliser_SourceData.Fertiliser_Products_Data5(),FertiliserProducts[[#Headers],[Company]], 121)</f>
        <v>0.32</v>
      </c>
      <c r="Q211" s="172" t="str" cm="1">
        <f t="array" ref="Q211">Common_InputFunctions.Utility_DisplayArrayInTable(Fertiliser_SourceData.Fertiliser_Products_Data5(),FertiliserProducts[[#Headers],[Company]], 121)</f>
        <v>Potassium - Generic</v>
      </c>
      <c r="R211" s="172" cm="1">
        <f t="array" ref="R211">Common_InputFunctions.Utility_DisplayArrayInTable(Fertiliser_SourceData.Fertiliser_Products_Data5(),FertiliserProducts[[#Headers],[Company]], 121)</f>
        <v>0.11</v>
      </c>
      <c r="S211" s="172" t="str" cm="1">
        <f t="array" ref="S211">Common_InputFunctions.Utility_DisplayArrayInTable(Fertiliser_SourceData.Fertiliser_Products_Data5(),FertiliserProducts[[#Headers],[Company]], 121)</f>
        <v>Sulfur - Generic</v>
      </c>
      <c r="T211" s="172" cm="1">
        <f t="array" ref="T211">Common_InputFunctions.Utility_DisplayArrayInTable(Fertiliser_SourceData.Fertiliser_Products_Data5(),FertiliserProducts[[#Headers],[Company]], 121)</f>
        <v>0.03</v>
      </c>
      <c r="U211" s="172" t="str" cm="1">
        <f t="array" ref="U211">Common_InputFunctions.Utility_DisplayArrayInTable(Fertiliser_SourceData.Fertiliser_Products_Data5(),FertiliserProducts[[#Headers],[Company]], 121)</f>
        <v/>
      </c>
      <c r="V211" s="172" t="str" cm="1">
        <f t="array" ref="V211">Common_InputFunctions.Utility_DisplayArrayInTable(Fertiliser_SourceData.Fertiliser_Products_Data5(),FertiliserProducts[[#Headers],[Company]], 121)</f>
        <v/>
      </c>
      <c r="W211" s="172" t="str" cm="1">
        <f t="array" ref="W211">Common_InputFunctions.Utility_DisplayArrayInTable(Fertiliser_SourceData.Fertiliser_Products_Data5(),FertiliserProducts[[#Headers],[Company]], 121)</f>
        <v/>
      </c>
      <c r="X211" s="172" t="str" cm="1">
        <f t="array" ref="X211">Common_InputFunctions.Utility_DisplayArrayInTable(Fertiliser_SourceData.Fertiliser_Products_Data5(),FertiliserProducts[[#Headers],[Company]], 121)</f>
        <v/>
      </c>
      <c r="Y211" s="172" t="str" cm="1">
        <f t="array" ref="Y211">Common_InputFunctions.Utility_DisplayArrayInTable(Fertiliser_SourceData.Fertiliser_Products_Data5(),FertiliserProducts[[#Headers],[Company]], 121)</f>
        <v/>
      </c>
      <c r="Z211" s="172" t="str" cm="1">
        <f t="array" ref="Z211">Common_InputFunctions.Utility_DisplayArrayInTable(Fertiliser_SourceData.Fertiliser_Products_Data5(),FertiliserProducts[[#Headers],[Company]], 121)</f>
        <v/>
      </c>
      <c r="AA211" s="172" t="str" cm="1">
        <f t="array" ref="AA211">Common_InputFunctions.Utility_DisplayArrayInTable(Fertiliser_SourceData.Fertiliser_Products_Data5(),FertiliserProducts[[#Headers],[Company]], 121)</f>
        <v/>
      </c>
      <c r="AB211" s="172" t="str" cm="1">
        <f t="array" ref="AB211">Common_InputFunctions.Utility_DisplayArrayInTable(Fertiliser_SourceData.Fertiliser_Products_Data5(),FertiliserProducts[[#Headers],[Company]], 121)</f>
        <v/>
      </c>
      <c r="AC211" s="172" t="str" cm="1">
        <f t="array" ref="AC211">Common_InputFunctions.Utility_DisplayArrayInTable(Fertiliser_SourceData.Fertiliser_Products_Data5(),FertiliserProducts[[#Headers],[Company]], 121)</f>
        <v/>
      </c>
      <c r="AD211" s="172" t="str" cm="1">
        <f t="array" ref="AD211">Common_InputFunctions.Utility_DisplayArrayInTable(Fertiliser_SourceData.Fertiliser_Products_Data5(),FertiliserProducts[[#Headers],[Company]], 121)</f>
        <v/>
      </c>
      <c r="AE211" s="172" t="str" cm="1">
        <f t="array" ref="AE211">Common_InputFunctions.Utility_DisplayArrayInTable(Fertiliser_SourceData.Fertiliser_Products_Data5(),FertiliserProducts[[#Headers],[Company]], 121)</f>
        <v/>
      </c>
      <c r="AF211" s="172" t="str" cm="1">
        <f t="array" ref="AF211">Common_InputFunctions.Utility_DisplayArrayInTable(Fertiliser_SourceData.Fertiliser_Products_Data5(),FertiliserProducts[[#Headers],[Company]], 121)</f>
        <v/>
      </c>
      <c r="AG211" s="172" t="str" cm="1">
        <f t="array" ref="AG211">Common_InputFunctions.Utility_DisplayArrayInTable(Fertiliser_SourceData.Fertiliser_Products_Data5(),FertiliserProducts[[#Headers],[Company]], 121)</f>
        <v/>
      </c>
      <c r="AH211" s="172" t="str" cm="1">
        <f t="array" ref="AH211">Common_InputFunctions.Utility_DisplayArrayInTable(Fertiliser_SourceData.Fertiliser_Products_Data5(),FertiliserProducts[[#Headers],[Company]], 121)</f>
        <v/>
      </c>
    </row>
    <row r="212" spans="4:34" x14ac:dyDescent="0.25">
      <c r="D212" s="172" t="str" cm="1">
        <f t="array" ref="D212">Common_InputFunctions.Utility_DisplayArrayInTable(Fertiliser_SourceData.Fertiliser_Products_Data5(),FertiliserProducts[[#Headers],[Company]], 121)</f>
        <v>Wengfu Australia</v>
      </c>
      <c r="E212" s="172" t="str" cm="1">
        <f t="array" ref="E212">Common_InputFunctions.Utility_DisplayArrayInTable(Fertiliser_SourceData.Fertiliser_Products_Data5(),FertiliserProducts[[#Headers],[Company]], 121)</f>
        <v>Wengfu Booster Rich 1</v>
      </c>
      <c r="F212" s="172" t="str" cm="1">
        <f t="array" ref="F212">Common_InputFunctions.Utility_DisplayArrayInTable(Fertiliser_SourceData.Fertiliser_Products_Data5(),FertiliserProducts[[#Headers],[Company]], 121)</f>
        <v>kg</v>
      </c>
      <c r="G212" s="172" cm="1">
        <f t="array" ref="G212">Common_InputFunctions.Utility_DisplayArrayInTable(Fertiliser_SourceData.Fertiliser_Products_Data5(),FertiliserProducts[[#Headers],[Company]], 121)</f>
        <v>1</v>
      </c>
      <c r="H212" s="172" t="str" cm="1">
        <f t="array" ref="H212">Common_InputFunctions.Utility_DisplayArrayInTable(Fertiliser_SourceData.Fertiliser_Products_Data5(),FertiliserProducts[[#Headers],[Company]], 121)</f>
        <v/>
      </c>
      <c r="I212" s="172" t="str" cm="1">
        <f t="array" ref="I212">Common_InputFunctions.Utility_DisplayArrayInTable(Fertiliser_SourceData.Fertiliser_Products_Data5(),FertiliserProducts[[#Headers],[Company]], 121)</f>
        <v/>
      </c>
      <c r="J212" s="172" t="str" cm="1">
        <f t="array" ref="J212">Common_InputFunctions.Utility_DisplayArrayInTable(Fertiliser_SourceData.Fertiliser_Products_Data5(),FertiliserProducts[[#Headers],[Company]], 121)</f>
        <v/>
      </c>
      <c r="K212" s="172" cm="1">
        <f t="array" ref="K212">Common_InputFunctions.Utility_DisplayArrayInTable(Fertiliser_SourceData.Fertiliser_Products_Data5(),FertiliserProducts[[#Headers],[Company]], 121)</f>
        <v>31</v>
      </c>
      <c r="L212" s="172" cm="1">
        <f t="array" ref="L212">Common_InputFunctions.Utility_DisplayArrayInTable(Fertiliser_SourceData.Fertiliser_Products_Data5(),FertiliserProducts[[#Headers],[Company]], 121)</f>
        <v>6</v>
      </c>
      <c r="M212" s="172" cm="1">
        <f t="array" ref="M212">Common_InputFunctions.Utility_DisplayArrayInTable(Fertiliser_SourceData.Fertiliser_Products_Data5(),FertiliserProducts[[#Headers],[Company]], 121)</f>
        <v>0</v>
      </c>
      <c r="N212" s="172" cm="1">
        <f t="array" ref="N212">Common_InputFunctions.Utility_DisplayArrayInTable(Fertiliser_SourceData.Fertiliser_Products_Data5(),FertiliserProducts[[#Headers],[Company]], 121)</f>
        <v>6</v>
      </c>
      <c r="O212" s="172" t="str" cm="1">
        <f t="array" ref="O212">Common_InputFunctions.Utility_DisplayArrayInTable(Fertiliser_SourceData.Fertiliser_Products_Data5(),FertiliserProducts[[#Headers],[Company]], 121)</f>
        <v>Nitrogen - Generic</v>
      </c>
      <c r="P212" s="172" cm="1">
        <f t="array" ref="P212">Common_InputFunctions.Utility_DisplayArrayInTable(Fertiliser_SourceData.Fertiliser_Products_Data5(),FertiliserProducts[[#Headers],[Company]], 121)</f>
        <v>0.31</v>
      </c>
      <c r="Q212" s="172" t="str" cm="1">
        <f t="array" ref="Q212">Common_InputFunctions.Utility_DisplayArrayInTable(Fertiliser_SourceData.Fertiliser_Products_Data5(),FertiliserProducts[[#Headers],[Company]], 121)</f>
        <v>Phosphorus - Generic</v>
      </c>
      <c r="R212" s="172" cm="1">
        <f t="array" ref="R212">Common_InputFunctions.Utility_DisplayArrayInTable(Fertiliser_SourceData.Fertiliser_Products_Data5(),FertiliserProducts[[#Headers],[Company]], 121)</f>
        <v>0.06</v>
      </c>
      <c r="S212" s="172" t="str" cm="1">
        <f t="array" ref="S212">Common_InputFunctions.Utility_DisplayArrayInTable(Fertiliser_SourceData.Fertiliser_Products_Data5(),FertiliserProducts[[#Headers],[Company]], 121)</f>
        <v>Sulfur - Generic</v>
      </c>
      <c r="T212" s="172" cm="1">
        <f t="array" ref="T212">Common_InputFunctions.Utility_DisplayArrayInTable(Fertiliser_SourceData.Fertiliser_Products_Data5(),FertiliserProducts[[#Headers],[Company]], 121)</f>
        <v>0.06</v>
      </c>
      <c r="U212" s="172" t="str" cm="1">
        <f t="array" ref="U212">Common_InputFunctions.Utility_DisplayArrayInTable(Fertiliser_SourceData.Fertiliser_Products_Data5(),FertiliserProducts[[#Headers],[Company]], 121)</f>
        <v/>
      </c>
      <c r="V212" s="172" t="str" cm="1">
        <f t="array" ref="V212">Common_InputFunctions.Utility_DisplayArrayInTable(Fertiliser_SourceData.Fertiliser_Products_Data5(),FertiliserProducts[[#Headers],[Company]], 121)</f>
        <v/>
      </c>
      <c r="W212" s="172" t="str" cm="1">
        <f t="array" ref="W212">Common_InputFunctions.Utility_DisplayArrayInTable(Fertiliser_SourceData.Fertiliser_Products_Data5(),FertiliserProducts[[#Headers],[Company]], 121)</f>
        <v/>
      </c>
      <c r="X212" s="172" t="str" cm="1">
        <f t="array" ref="X212">Common_InputFunctions.Utility_DisplayArrayInTable(Fertiliser_SourceData.Fertiliser_Products_Data5(),FertiliserProducts[[#Headers],[Company]], 121)</f>
        <v/>
      </c>
      <c r="Y212" s="172" t="str" cm="1">
        <f t="array" ref="Y212">Common_InputFunctions.Utility_DisplayArrayInTable(Fertiliser_SourceData.Fertiliser_Products_Data5(),FertiliserProducts[[#Headers],[Company]], 121)</f>
        <v/>
      </c>
      <c r="Z212" s="172" t="str" cm="1">
        <f t="array" ref="Z212">Common_InputFunctions.Utility_DisplayArrayInTable(Fertiliser_SourceData.Fertiliser_Products_Data5(),FertiliserProducts[[#Headers],[Company]], 121)</f>
        <v/>
      </c>
      <c r="AA212" s="172" t="str" cm="1">
        <f t="array" ref="AA212">Common_InputFunctions.Utility_DisplayArrayInTable(Fertiliser_SourceData.Fertiliser_Products_Data5(),FertiliserProducts[[#Headers],[Company]], 121)</f>
        <v/>
      </c>
      <c r="AB212" s="172" t="str" cm="1">
        <f t="array" ref="AB212">Common_InputFunctions.Utility_DisplayArrayInTable(Fertiliser_SourceData.Fertiliser_Products_Data5(),FertiliserProducts[[#Headers],[Company]], 121)</f>
        <v/>
      </c>
      <c r="AC212" s="172" t="str" cm="1">
        <f t="array" ref="AC212">Common_InputFunctions.Utility_DisplayArrayInTable(Fertiliser_SourceData.Fertiliser_Products_Data5(),FertiliserProducts[[#Headers],[Company]], 121)</f>
        <v/>
      </c>
      <c r="AD212" s="172" t="str" cm="1">
        <f t="array" ref="AD212">Common_InputFunctions.Utility_DisplayArrayInTable(Fertiliser_SourceData.Fertiliser_Products_Data5(),FertiliserProducts[[#Headers],[Company]], 121)</f>
        <v/>
      </c>
      <c r="AE212" s="172" t="str" cm="1">
        <f t="array" ref="AE212">Common_InputFunctions.Utility_DisplayArrayInTable(Fertiliser_SourceData.Fertiliser_Products_Data5(),FertiliserProducts[[#Headers],[Company]], 121)</f>
        <v/>
      </c>
      <c r="AF212" s="172" t="str" cm="1">
        <f t="array" ref="AF212">Common_InputFunctions.Utility_DisplayArrayInTable(Fertiliser_SourceData.Fertiliser_Products_Data5(),FertiliserProducts[[#Headers],[Company]], 121)</f>
        <v/>
      </c>
      <c r="AG212" s="172" t="str" cm="1">
        <f t="array" ref="AG212">Common_InputFunctions.Utility_DisplayArrayInTable(Fertiliser_SourceData.Fertiliser_Products_Data5(),FertiliserProducts[[#Headers],[Company]], 121)</f>
        <v/>
      </c>
      <c r="AH212" s="172" t="str" cm="1">
        <f t="array" ref="AH212">Common_InputFunctions.Utility_DisplayArrayInTable(Fertiliser_SourceData.Fertiliser_Products_Data5(),FertiliserProducts[[#Headers],[Company]], 121)</f>
        <v/>
      </c>
    </row>
    <row r="213" spans="4:34" x14ac:dyDescent="0.25">
      <c r="D213" s="172" t="str" cm="1">
        <f t="array" ref="D213">Common_InputFunctions.Utility_DisplayArrayInTable(Fertiliser_SourceData.Fertiliser_Products_Data5(),FertiliserProducts[[#Headers],[Company]], 121)</f>
        <v>Wengfu Australia</v>
      </c>
      <c r="E213" s="172" t="str" cm="1">
        <f t="array" ref="E213">Common_InputFunctions.Utility_DisplayArrayInTable(Fertiliser_SourceData.Fertiliser_Products_Data5(),FertiliserProducts[[#Headers],[Company]], 121)</f>
        <v>Wengfu Booster Grass DAP</v>
      </c>
      <c r="F213" s="172" t="str" cm="1">
        <f t="array" ref="F213">Common_InputFunctions.Utility_DisplayArrayInTable(Fertiliser_SourceData.Fertiliser_Products_Data5(),FertiliserProducts[[#Headers],[Company]], 121)</f>
        <v>kg</v>
      </c>
      <c r="G213" s="172" cm="1">
        <f t="array" ref="G213">Common_InputFunctions.Utility_DisplayArrayInTable(Fertiliser_SourceData.Fertiliser_Products_Data5(),FertiliserProducts[[#Headers],[Company]], 121)</f>
        <v>1</v>
      </c>
      <c r="H213" s="172" t="str" cm="1">
        <f t="array" ref="H213">Common_InputFunctions.Utility_DisplayArrayInTable(Fertiliser_SourceData.Fertiliser_Products_Data5(),FertiliserProducts[[#Headers],[Company]], 121)</f>
        <v/>
      </c>
      <c r="I213" s="172" t="str" cm="1">
        <f t="array" ref="I213">Common_InputFunctions.Utility_DisplayArrayInTable(Fertiliser_SourceData.Fertiliser_Products_Data5(),FertiliserProducts[[#Headers],[Company]], 121)</f>
        <v/>
      </c>
      <c r="J213" s="172" t="str" cm="1">
        <f t="array" ref="J213">Common_InputFunctions.Utility_DisplayArrayInTable(Fertiliser_SourceData.Fertiliser_Products_Data5(),FertiliserProducts[[#Headers],[Company]], 121)</f>
        <v/>
      </c>
      <c r="K213" s="172" cm="1">
        <f t="array" ref="K213">Common_InputFunctions.Utility_DisplayArrayInTable(Fertiliser_SourceData.Fertiliser_Products_Data5(),FertiliserProducts[[#Headers],[Company]], 121)</f>
        <v>21</v>
      </c>
      <c r="L213" s="172" cm="1">
        <f t="array" ref="L213">Common_InputFunctions.Utility_DisplayArrayInTable(Fertiliser_SourceData.Fertiliser_Products_Data5(),FertiliserProducts[[#Headers],[Company]], 121)</f>
        <v>4</v>
      </c>
      <c r="M213" s="172" cm="1">
        <f t="array" ref="M213">Common_InputFunctions.Utility_DisplayArrayInTable(Fertiliser_SourceData.Fertiliser_Products_Data5(),FertiliserProducts[[#Headers],[Company]], 121)</f>
        <v>8</v>
      </c>
      <c r="N213" s="172" cm="1">
        <f t="array" ref="N213">Common_InputFunctions.Utility_DisplayArrayInTable(Fertiliser_SourceData.Fertiliser_Products_Data5(),FertiliserProducts[[#Headers],[Company]], 121)</f>
        <v>7</v>
      </c>
      <c r="O213" s="172" t="str" cm="1">
        <f t="array" ref="O213">Common_InputFunctions.Utility_DisplayArrayInTable(Fertiliser_SourceData.Fertiliser_Products_Data5(),FertiliserProducts[[#Headers],[Company]], 121)</f>
        <v>Nitrogen - Generic</v>
      </c>
      <c r="P213" s="172" cm="1">
        <f t="array" ref="P213">Common_InputFunctions.Utility_DisplayArrayInTable(Fertiliser_SourceData.Fertiliser_Products_Data5(),FertiliserProducts[[#Headers],[Company]], 121)</f>
        <v>0.21</v>
      </c>
      <c r="Q213" s="172" t="str" cm="1">
        <f t="array" ref="Q213">Common_InputFunctions.Utility_DisplayArrayInTable(Fertiliser_SourceData.Fertiliser_Products_Data5(),FertiliserProducts[[#Headers],[Company]], 121)</f>
        <v>Phosphorus - Generic</v>
      </c>
      <c r="R213" s="172" cm="1">
        <f t="array" ref="R213">Common_InputFunctions.Utility_DisplayArrayInTable(Fertiliser_SourceData.Fertiliser_Products_Data5(),FertiliserProducts[[#Headers],[Company]], 121)</f>
        <v>0.04</v>
      </c>
      <c r="S213" s="172" t="str" cm="1">
        <f t="array" ref="S213">Common_InputFunctions.Utility_DisplayArrayInTable(Fertiliser_SourceData.Fertiliser_Products_Data5(),FertiliserProducts[[#Headers],[Company]], 121)</f>
        <v>Potassium - Generic</v>
      </c>
      <c r="T213" s="172" cm="1">
        <f t="array" ref="T213">Common_InputFunctions.Utility_DisplayArrayInTable(Fertiliser_SourceData.Fertiliser_Products_Data5(),FertiliserProducts[[#Headers],[Company]], 121)</f>
        <v>0.08</v>
      </c>
      <c r="U213" s="172" t="str" cm="1">
        <f t="array" ref="U213">Common_InputFunctions.Utility_DisplayArrayInTable(Fertiliser_SourceData.Fertiliser_Products_Data5(),FertiliserProducts[[#Headers],[Company]], 121)</f>
        <v>Sulfur - Generic</v>
      </c>
      <c r="V213" s="172" cm="1">
        <f t="array" ref="V213">Common_InputFunctions.Utility_DisplayArrayInTable(Fertiliser_SourceData.Fertiliser_Products_Data5(),FertiliserProducts[[#Headers],[Company]], 121)</f>
        <v>7.0000000000000007E-2</v>
      </c>
      <c r="W213" s="172" t="str" cm="1">
        <f t="array" ref="W213">Common_InputFunctions.Utility_DisplayArrayInTable(Fertiliser_SourceData.Fertiliser_Products_Data5(),FertiliserProducts[[#Headers],[Company]], 121)</f>
        <v/>
      </c>
      <c r="X213" s="172" t="str" cm="1">
        <f t="array" ref="X213">Common_InputFunctions.Utility_DisplayArrayInTable(Fertiliser_SourceData.Fertiliser_Products_Data5(),FertiliserProducts[[#Headers],[Company]], 121)</f>
        <v/>
      </c>
      <c r="Y213" s="172" t="str" cm="1">
        <f t="array" ref="Y213">Common_InputFunctions.Utility_DisplayArrayInTable(Fertiliser_SourceData.Fertiliser_Products_Data5(),FertiliserProducts[[#Headers],[Company]], 121)</f>
        <v/>
      </c>
      <c r="Z213" s="172" t="str" cm="1">
        <f t="array" ref="Z213">Common_InputFunctions.Utility_DisplayArrayInTable(Fertiliser_SourceData.Fertiliser_Products_Data5(),FertiliserProducts[[#Headers],[Company]], 121)</f>
        <v/>
      </c>
      <c r="AA213" s="172" t="str" cm="1">
        <f t="array" ref="AA213">Common_InputFunctions.Utility_DisplayArrayInTable(Fertiliser_SourceData.Fertiliser_Products_Data5(),FertiliserProducts[[#Headers],[Company]], 121)</f>
        <v/>
      </c>
      <c r="AB213" s="172" t="str" cm="1">
        <f t="array" ref="AB213">Common_InputFunctions.Utility_DisplayArrayInTable(Fertiliser_SourceData.Fertiliser_Products_Data5(),FertiliserProducts[[#Headers],[Company]], 121)</f>
        <v/>
      </c>
      <c r="AC213" s="172" t="str" cm="1">
        <f t="array" ref="AC213">Common_InputFunctions.Utility_DisplayArrayInTable(Fertiliser_SourceData.Fertiliser_Products_Data5(),FertiliserProducts[[#Headers],[Company]], 121)</f>
        <v/>
      </c>
      <c r="AD213" s="172" t="str" cm="1">
        <f t="array" ref="AD213">Common_InputFunctions.Utility_DisplayArrayInTable(Fertiliser_SourceData.Fertiliser_Products_Data5(),FertiliserProducts[[#Headers],[Company]], 121)</f>
        <v/>
      </c>
      <c r="AE213" s="172" t="str" cm="1">
        <f t="array" ref="AE213">Common_InputFunctions.Utility_DisplayArrayInTable(Fertiliser_SourceData.Fertiliser_Products_Data5(),FertiliserProducts[[#Headers],[Company]], 121)</f>
        <v/>
      </c>
      <c r="AF213" s="172" t="str" cm="1">
        <f t="array" ref="AF213">Common_InputFunctions.Utility_DisplayArrayInTable(Fertiliser_SourceData.Fertiliser_Products_Data5(),FertiliserProducts[[#Headers],[Company]], 121)</f>
        <v/>
      </c>
      <c r="AG213" s="172" t="str" cm="1">
        <f t="array" ref="AG213">Common_InputFunctions.Utility_DisplayArrayInTable(Fertiliser_SourceData.Fertiliser_Products_Data5(),FertiliserProducts[[#Headers],[Company]], 121)</f>
        <v/>
      </c>
      <c r="AH213" s="172" t="str" cm="1">
        <f t="array" ref="AH213">Common_InputFunctions.Utility_DisplayArrayInTable(Fertiliser_SourceData.Fertiliser_Products_Data5(),FertiliserProducts[[#Headers],[Company]], 121)</f>
        <v/>
      </c>
    </row>
    <row r="214" spans="4:34" x14ac:dyDescent="0.25">
      <c r="D214" s="172" t="str" cm="1">
        <f t="array" ref="D214">Common_InputFunctions.Utility_DisplayArrayInTable(Fertiliser_SourceData.Fertiliser_Products_Data5(),FertiliserProducts[[#Headers],[Company]], 121)</f>
        <v>Wengfu Australia</v>
      </c>
      <c r="E214" s="172" t="str" cm="1">
        <f t="array" ref="E214">Common_InputFunctions.Utility_DisplayArrayInTable(Fertiliser_SourceData.Fertiliser_Products_Data5(),FertiliserProducts[[#Headers],[Company]], 121)</f>
        <v>Wengfu Aftergraze</v>
      </c>
      <c r="F214" s="172" t="str" cm="1">
        <f t="array" ref="F214">Common_InputFunctions.Utility_DisplayArrayInTable(Fertiliser_SourceData.Fertiliser_Products_Data5(),FertiliserProducts[[#Headers],[Company]], 121)</f>
        <v>kg</v>
      </c>
      <c r="G214" s="172" cm="1">
        <f t="array" ref="G214">Common_InputFunctions.Utility_DisplayArrayInTable(Fertiliser_SourceData.Fertiliser_Products_Data5(),FertiliserProducts[[#Headers],[Company]], 121)</f>
        <v>1</v>
      </c>
      <c r="H214" s="172" t="str" cm="1">
        <f t="array" ref="H214">Common_InputFunctions.Utility_DisplayArrayInTable(Fertiliser_SourceData.Fertiliser_Products_Data5(),FertiliserProducts[[#Headers],[Company]], 121)</f>
        <v/>
      </c>
      <c r="I214" s="172" t="str" cm="1">
        <f t="array" ref="I214">Common_InputFunctions.Utility_DisplayArrayInTable(Fertiliser_SourceData.Fertiliser_Products_Data5(),FertiliserProducts[[#Headers],[Company]], 121)</f>
        <v/>
      </c>
      <c r="J214" s="172" t="str" cm="1">
        <f t="array" ref="J214">Common_InputFunctions.Utility_DisplayArrayInTable(Fertiliser_SourceData.Fertiliser_Products_Data5(),FertiliserProducts[[#Headers],[Company]], 121)</f>
        <v/>
      </c>
      <c r="K214" s="172" cm="1">
        <f t="array" ref="K214">Common_InputFunctions.Utility_DisplayArrayInTable(Fertiliser_SourceData.Fertiliser_Products_Data5(),FertiliserProducts[[#Headers],[Company]], 121)</f>
        <v>23</v>
      </c>
      <c r="L214" s="172" cm="1">
        <f t="array" ref="L214">Common_InputFunctions.Utility_DisplayArrayInTable(Fertiliser_SourceData.Fertiliser_Products_Data5(),FertiliserProducts[[#Headers],[Company]], 121)</f>
        <v>0</v>
      </c>
      <c r="M214" s="172" cm="1">
        <f t="array" ref="M214">Common_InputFunctions.Utility_DisplayArrayInTable(Fertiliser_SourceData.Fertiliser_Products_Data5(),FertiliserProducts[[#Headers],[Company]], 121)</f>
        <v>25</v>
      </c>
      <c r="N214" s="172" cm="1">
        <f t="array" ref="N214">Common_InputFunctions.Utility_DisplayArrayInTable(Fertiliser_SourceData.Fertiliser_Products_Data5(),FertiliserProducts[[#Headers],[Company]], 121)</f>
        <v>0</v>
      </c>
      <c r="O214" s="172" t="str" cm="1">
        <f t="array" ref="O214">Common_InputFunctions.Utility_DisplayArrayInTable(Fertiliser_SourceData.Fertiliser_Products_Data5(),FertiliserProducts[[#Headers],[Company]], 121)</f>
        <v>Nitrogen - Generic</v>
      </c>
      <c r="P214" s="172" cm="1">
        <f t="array" ref="P214">Common_InputFunctions.Utility_DisplayArrayInTable(Fertiliser_SourceData.Fertiliser_Products_Data5(),FertiliserProducts[[#Headers],[Company]], 121)</f>
        <v>0.23</v>
      </c>
      <c r="Q214" s="172" t="str" cm="1">
        <f t="array" ref="Q214">Common_InputFunctions.Utility_DisplayArrayInTable(Fertiliser_SourceData.Fertiliser_Products_Data5(),FertiliserProducts[[#Headers],[Company]], 121)</f>
        <v>Potassium - Generic</v>
      </c>
      <c r="R214" s="172" cm="1">
        <f t="array" ref="R214">Common_InputFunctions.Utility_DisplayArrayInTable(Fertiliser_SourceData.Fertiliser_Products_Data5(),FertiliserProducts[[#Headers],[Company]], 121)</f>
        <v>0.25</v>
      </c>
      <c r="S214" s="172" t="str" cm="1">
        <f t="array" ref="S214">Common_InputFunctions.Utility_DisplayArrayInTable(Fertiliser_SourceData.Fertiliser_Products_Data5(),FertiliserProducts[[#Headers],[Company]], 121)</f>
        <v/>
      </c>
      <c r="T214" s="172" t="str" cm="1">
        <f t="array" ref="T214">Common_InputFunctions.Utility_DisplayArrayInTable(Fertiliser_SourceData.Fertiliser_Products_Data5(),FertiliserProducts[[#Headers],[Company]], 121)</f>
        <v/>
      </c>
      <c r="U214" s="172" t="str" cm="1">
        <f t="array" ref="U214">Common_InputFunctions.Utility_DisplayArrayInTable(Fertiliser_SourceData.Fertiliser_Products_Data5(),FertiliserProducts[[#Headers],[Company]], 121)</f>
        <v/>
      </c>
      <c r="V214" s="172" t="str" cm="1">
        <f t="array" ref="V214">Common_InputFunctions.Utility_DisplayArrayInTable(Fertiliser_SourceData.Fertiliser_Products_Data5(),FertiliserProducts[[#Headers],[Company]], 121)</f>
        <v/>
      </c>
      <c r="W214" s="172" t="str" cm="1">
        <f t="array" ref="W214">Common_InputFunctions.Utility_DisplayArrayInTable(Fertiliser_SourceData.Fertiliser_Products_Data5(),FertiliserProducts[[#Headers],[Company]], 121)</f>
        <v/>
      </c>
      <c r="X214" s="172" t="str" cm="1">
        <f t="array" ref="X214">Common_InputFunctions.Utility_DisplayArrayInTable(Fertiliser_SourceData.Fertiliser_Products_Data5(),FertiliserProducts[[#Headers],[Company]], 121)</f>
        <v/>
      </c>
      <c r="Y214" s="172" t="str" cm="1">
        <f t="array" ref="Y214">Common_InputFunctions.Utility_DisplayArrayInTable(Fertiliser_SourceData.Fertiliser_Products_Data5(),FertiliserProducts[[#Headers],[Company]], 121)</f>
        <v/>
      </c>
      <c r="Z214" s="172" t="str" cm="1">
        <f t="array" ref="Z214">Common_InputFunctions.Utility_DisplayArrayInTable(Fertiliser_SourceData.Fertiliser_Products_Data5(),FertiliserProducts[[#Headers],[Company]], 121)</f>
        <v/>
      </c>
      <c r="AA214" s="172" t="str" cm="1">
        <f t="array" ref="AA214">Common_InputFunctions.Utility_DisplayArrayInTable(Fertiliser_SourceData.Fertiliser_Products_Data5(),FertiliserProducts[[#Headers],[Company]], 121)</f>
        <v/>
      </c>
      <c r="AB214" s="172" t="str" cm="1">
        <f t="array" ref="AB214">Common_InputFunctions.Utility_DisplayArrayInTable(Fertiliser_SourceData.Fertiliser_Products_Data5(),FertiliserProducts[[#Headers],[Company]], 121)</f>
        <v/>
      </c>
      <c r="AC214" s="172" t="str" cm="1">
        <f t="array" ref="AC214">Common_InputFunctions.Utility_DisplayArrayInTable(Fertiliser_SourceData.Fertiliser_Products_Data5(),FertiliserProducts[[#Headers],[Company]], 121)</f>
        <v/>
      </c>
      <c r="AD214" s="172" t="str" cm="1">
        <f t="array" ref="AD214">Common_InputFunctions.Utility_DisplayArrayInTable(Fertiliser_SourceData.Fertiliser_Products_Data5(),FertiliserProducts[[#Headers],[Company]], 121)</f>
        <v/>
      </c>
      <c r="AE214" s="172" t="str" cm="1">
        <f t="array" ref="AE214">Common_InputFunctions.Utility_DisplayArrayInTable(Fertiliser_SourceData.Fertiliser_Products_Data5(),FertiliserProducts[[#Headers],[Company]], 121)</f>
        <v/>
      </c>
      <c r="AF214" s="172" t="str" cm="1">
        <f t="array" ref="AF214">Common_InputFunctions.Utility_DisplayArrayInTable(Fertiliser_SourceData.Fertiliser_Products_Data5(),FertiliserProducts[[#Headers],[Company]], 121)</f>
        <v/>
      </c>
      <c r="AG214" s="172" t="str" cm="1">
        <f t="array" ref="AG214">Common_InputFunctions.Utility_DisplayArrayInTable(Fertiliser_SourceData.Fertiliser_Products_Data5(),FertiliserProducts[[#Headers],[Company]], 121)</f>
        <v/>
      </c>
      <c r="AH214" s="172" t="str" cm="1">
        <f t="array" ref="AH214">Common_InputFunctions.Utility_DisplayArrayInTable(Fertiliser_SourceData.Fertiliser_Products_Data5(),FertiliserProducts[[#Headers],[Company]], 121)</f>
        <v/>
      </c>
    </row>
    <row r="215" spans="4:34" x14ac:dyDescent="0.25">
      <c r="D215" s="172" t="str" cm="1">
        <f t="array" ref="D215">Common_InputFunctions.Utility_DisplayArrayInTable(Fertiliser_SourceData.Fertiliser_Products_Data5(),FertiliserProducts[[#Headers],[Company]], 121)</f>
        <v>Wengfu Australia</v>
      </c>
      <c r="E215" s="172" t="str" cm="1">
        <f t="array" ref="E215">Common_InputFunctions.Utility_DisplayArrayInTable(Fertiliser_SourceData.Fertiliser_Products_Data5(),FertiliserProducts[[#Headers],[Company]], 121)</f>
        <v>Wengfu Sidedress</v>
      </c>
      <c r="F215" s="172" t="str" cm="1">
        <f t="array" ref="F215">Common_InputFunctions.Utility_DisplayArrayInTable(Fertiliser_SourceData.Fertiliser_Products_Data5(),FertiliserProducts[[#Headers],[Company]], 121)</f>
        <v>kg</v>
      </c>
      <c r="G215" s="172" cm="1">
        <f t="array" ref="G215">Common_InputFunctions.Utility_DisplayArrayInTable(Fertiliser_SourceData.Fertiliser_Products_Data5(),FertiliserProducts[[#Headers],[Company]], 121)</f>
        <v>1</v>
      </c>
      <c r="H215" s="172" t="str" cm="1">
        <f t="array" ref="H215">Common_InputFunctions.Utility_DisplayArrayInTable(Fertiliser_SourceData.Fertiliser_Products_Data5(),FertiliserProducts[[#Headers],[Company]], 121)</f>
        <v/>
      </c>
      <c r="I215" s="172" t="str" cm="1">
        <f t="array" ref="I215">Common_InputFunctions.Utility_DisplayArrayInTable(Fertiliser_SourceData.Fertiliser_Products_Data5(),FertiliserProducts[[#Headers],[Company]], 121)</f>
        <v/>
      </c>
      <c r="J215" s="172" t="str" cm="1">
        <f t="array" ref="J215">Common_InputFunctions.Utility_DisplayArrayInTable(Fertiliser_SourceData.Fertiliser_Products_Data5(),FertiliserProducts[[#Headers],[Company]], 121)</f>
        <v/>
      </c>
      <c r="K215" s="172" cm="1">
        <f t="array" ref="K215">Common_InputFunctions.Utility_DisplayArrayInTable(Fertiliser_SourceData.Fertiliser_Products_Data5(),FertiliserProducts[[#Headers],[Company]], 121)</f>
        <v>25</v>
      </c>
      <c r="L215" s="172" cm="1">
        <f t="array" ref="L215">Common_InputFunctions.Utility_DisplayArrayInTable(Fertiliser_SourceData.Fertiliser_Products_Data5(),FertiliserProducts[[#Headers],[Company]], 121)</f>
        <v>4</v>
      </c>
      <c r="M215" s="172" cm="1">
        <f t="array" ref="M215">Common_InputFunctions.Utility_DisplayArrayInTable(Fertiliser_SourceData.Fertiliser_Products_Data5(),FertiliserProducts[[#Headers],[Company]], 121)</f>
        <v>13</v>
      </c>
      <c r="N215" s="172" cm="1">
        <f t="array" ref="N215">Common_InputFunctions.Utility_DisplayArrayInTable(Fertiliser_SourceData.Fertiliser_Products_Data5(),FertiliserProducts[[#Headers],[Company]], 121)</f>
        <v>4</v>
      </c>
      <c r="O215" s="172" t="str" cm="1">
        <f t="array" ref="O215">Common_InputFunctions.Utility_DisplayArrayInTable(Fertiliser_SourceData.Fertiliser_Products_Data5(),FertiliserProducts[[#Headers],[Company]], 121)</f>
        <v>Nitrogen - Generic</v>
      </c>
      <c r="P215" s="172" cm="1">
        <f t="array" ref="P215">Common_InputFunctions.Utility_DisplayArrayInTable(Fertiliser_SourceData.Fertiliser_Products_Data5(),FertiliserProducts[[#Headers],[Company]], 121)</f>
        <v>0.25</v>
      </c>
      <c r="Q215" s="172" t="str" cm="1">
        <f t="array" ref="Q215">Common_InputFunctions.Utility_DisplayArrayInTable(Fertiliser_SourceData.Fertiliser_Products_Data5(),FertiliserProducts[[#Headers],[Company]], 121)</f>
        <v>Phosphorus - Generic</v>
      </c>
      <c r="R215" s="172" cm="1">
        <f t="array" ref="R215">Common_InputFunctions.Utility_DisplayArrayInTable(Fertiliser_SourceData.Fertiliser_Products_Data5(),FertiliserProducts[[#Headers],[Company]], 121)</f>
        <v>0.04</v>
      </c>
      <c r="S215" s="172" t="str" cm="1">
        <f t="array" ref="S215">Common_InputFunctions.Utility_DisplayArrayInTable(Fertiliser_SourceData.Fertiliser_Products_Data5(),FertiliserProducts[[#Headers],[Company]], 121)</f>
        <v>Potassium - Generic</v>
      </c>
      <c r="T215" s="172" cm="1">
        <f t="array" ref="T215">Common_InputFunctions.Utility_DisplayArrayInTable(Fertiliser_SourceData.Fertiliser_Products_Data5(),FertiliserProducts[[#Headers],[Company]], 121)</f>
        <v>0.13</v>
      </c>
      <c r="U215" s="172" t="str" cm="1">
        <f t="array" ref="U215">Common_InputFunctions.Utility_DisplayArrayInTable(Fertiliser_SourceData.Fertiliser_Products_Data5(),FertiliserProducts[[#Headers],[Company]], 121)</f>
        <v>Sulfur - Generic</v>
      </c>
      <c r="V215" s="172" cm="1">
        <f t="array" ref="V215">Common_InputFunctions.Utility_DisplayArrayInTable(Fertiliser_SourceData.Fertiliser_Products_Data5(),FertiliserProducts[[#Headers],[Company]], 121)</f>
        <v>0.04</v>
      </c>
      <c r="W215" s="172" t="str" cm="1">
        <f t="array" ref="W215">Common_InputFunctions.Utility_DisplayArrayInTable(Fertiliser_SourceData.Fertiliser_Products_Data5(),FertiliserProducts[[#Headers],[Company]], 121)</f>
        <v/>
      </c>
      <c r="X215" s="172" t="str" cm="1">
        <f t="array" ref="X215">Common_InputFunctions.Utility_DisplayArrayInTable(Fertiliser_SourceData.Fertiliser_Products_Data5(),FertiliserProducts[[#Headers],[Company]], 121)</f>
        <v/>
      </c>
      <c r="Y215" s="172" t="str" cm="1">
        <f t="array" ref="Y215">Common_InputFunctions.Utility_DisplayArrayInTable(Fertiliser_SourceData.Fertiliser_Products_Data5(),FertiliserProducts[[#Headers],[Company]], 121)</f>
        <v/>
      </c>
      <c r="Z215" s="172" t="str" cm="1">
        <f t="array" ref="Z215">Common_InputFunctions.Utility_DisplayArrayInTable(Fertiliser_SourceData.Fertiliser_Products_Data5(),FertiliserProducts[[#Headers],[Company]], 121)</f>
        <v/>
      </c>
      <c r="AA215" s="172" t="str" cm="1">
        <f t="array" ref="AA215">Common_InputFunctions.Utility_DisplayArrayInTable(Fertiliser_SourceData.Fertiliser_Products_Data5(),FertiliserProducts[[#Headers],[Company]], 121)</f>
        <v/>
      </c>
      <c r="AB215" s="172" t="str" cm="1">
        <f t="array" ref="AB215">Common_InputFunctions.Utility_DisplayArrayInTable(Fertiliser_SourceData.Fertiliser_Products_Data5(),FertiliserProducts[[#Headers],[Company]], 121)</f>
        <v/>
      </c>
      <c r="AC215" s="172" t="str" cm="1">
        <f t="array" ref="AC215">Common_InputFunctions.Utility_DisplayArrayInTable(Fertiliser_SourceData.Fertiliser_Products_Data5(),FertiliserProducts[[#Headers],[Company]], 121)</f>
        <v/>
      </c>
      <c r="AD215" s="172" t="str" cm="1">
        <f t="array" ref="AD215">Common_InputFunctions.Utility_DisplayArrayInTable(Fertiliser_SourceData.Fertiliser_Products_Data5(),FertiliserProducts[[#Headers],[Company]], 121)</f>
        <v/>
      </c>
      <c r="AE215" s="172" t="str" cm="1">
        <f t="array" ref="AE215">Common_InputFunctions.Utility_DisplayArrayInTable(Fertiliser_SourceData.Fertiliser_Products_Data5(),FertiliserProducts[[#Headers],[Company]], 121)</f>
        <v/>
      </c>
      <c r="AF215" s="172" t="str" cm="1">
        <f t="array" ref="AF215">Common_InputFunctions.Utility_DisplayArrayInTable(Fertiliser_SourceData.Fertiliser_Products_Data5(),FertiliserProducts[[#Headers],[Company]], 121)</f>
        <v/>
      </c>
      <c r="AG215" s="172" t="str" cm="1">
        <f t="array" ref="AG215">Common_InputFunctions.Utility_DisplayArrayInTable(Fertiliser_SourceData.Fertiliser_Products_Data5(),FertiliserProducts[[#Headers],[Company]], 121)</f>
        <v/>
      </c>
      <c r="AH215" s="172" t="str" cm="1">
        <f t="array" ref="AH215">Common_InputFunctions.Utility_DisplayArrayInTable(Fertiliser_SourceData.Fertiliser_Products_Data5(),FertiliserProducts[[#Headers],[Company]], 121)</f>
        <v/>
      </c>
    </row>
    <row r="216" spans="4:34" x14ac:dyDescent="0.25">
      <c r="D216" s="172" t="str" cm="1">
        <f t="array" ref="D216">Common_InputFunctions.Utility_DisplayArrayInTable(Fertiliser_SourceData.Fertiliser_Products_Data5(),FertiliserProducts[[#Headers],[Company]], 121)</f>
        <v>Wengfu Australia</v>
      </c>
      <c r="E216" s="172" t="str" cm="1">
        <f t="array" ref="E216">Common_InputFunctions.Utility_DisplayArrayInTable(Fertiliser_SourceData.Fertiliser_Products_Data5(),FertiliserProducts[[#Headers],[Company]], 121)</f>
        <v>Wengfu Pasture Booster</v>
      </c>
      <c r="F216" s="172" t="str" cm="1">
        <f t="array" ref="F216">Common_InputFunctions.Utility_DisplayArrayInTable(Fertiliser_SourceData.Fertiliser_Products_Data5(),FertiliserProducts[[#Headers],[Company]], 121)</f>
        <v>kg</v>
      </c>
      <c r="G216" s="172" cm="1">
        <f t="array" ref="G216">Common_InputFunctions.Utility_DisplayArrayInTable(Fertiliser_SourceData.Fertiliser_Products_Data5(),FertiliserProducts[[#Headers],[Company]], 121)</f>
        <v>1</v>
      </c>
      <c r="H216" s="172" t="str" cm="1">
        <f t="array" ref="H216">Common_InputFunctions.Utility_DisplayArrayInTable(Fertiliser_SourceData.Fertiliser_Products_Data5(),FertiliserProducts[[#Headers],[Company]], 121)</f>
        <v/>
      </c>
      <c r="I216" s="172" t="str" cm="1">
        <f t="array" ref="I216">Common_InputFunctions.Utility_DisplayArrayInTable(Fertiliser_SourceData.Fertiliser_Products_Data5(),FertiliserProducts[[#Headers],[Company]], 121)</f>
        <v/>
      </c>
      <c r="J216" s="172" t="str" cm="1">
        <f t="array" ref="J216">Common_InputFunctions.Utility_DisplayArrayInTable(Fertiliser_SourceData.Fertiliser_Products_Data5(),FertiliserProducts[[#Headers],[Company]], 121)</f>
        <v/>
      </c>
      <c r="K216" s="172" cm="1">
        <f t="array" ref="K216">Common_InputFunctions.Utility_DisplayArrayInTable(Fertiliser_SourceData.Fertiliser_Products_Data5(),FertiliserProducts[[#Headers],[Company]], 121)</f>
        <v>13</v>
      </c>
      <c r="L216" s="172" cm="1">
        <f t="array" ref="L216">Common_InputFunctions.Utility_DisplayArrayInTable(Fertiliser_SourceData.Fertiliser_Products_Data5(),FertiliserProducts[[#Headers],[Company]], 121)</f>
        <v>5</v>
      </c>
      <c r="M216" s="172" cm="1">
        <f t="array" ref="M216">Common_InputFunctions.Utility_DisplayArrayInTable(Fertiliser_SourceData.Fertiliser_Products_Data5(),FertiliserProducts[[#Headers],[Company]], 121)</f>
        <v>24</v>
      </c>
      <c r="N216" s="172" cm="1">
        <f t="array" ref="N216">Common_InputFunctions.Utility_DisplayArrayInTable(Fertiliser_SourceData.Fertiliser_Products_Data5(),FertiliserProducts[[#Headers],[Company]], 121)</f>
        <v>5</v>
      </c>
      <c r="O216" s="172" t="str" cm="1">
        <f t="array" ref="O216">Common_InputFunctions.Utility_DisplayArrayInTable(Fertiliser_SourceData.Fertiliser_Products_Data5(),FertiliserProducts[[#Headers],[Company]], 121)</f>
        <v>Nitrogen - Generic</v>
      </c>
      <c r="P216" s="172" cm="1">
        <f t="array" ref="P216">Common_InputFunctions.Utility_DisplayArrayInTable(Fertiliser_SourceData.Fertiliser_Products_Data5(),FertiliserProducts[[#Headers],[Company]], 121)</f>
        <v>0.13</v>
      </c>
      <c r="Q216" s="172" t="str" cm="1">
        <f t="array" ref="Q216">Common_InputFunctions.Utility_DisplayArrayInTable(Fertiliser_SourceData.Fertiliser_Products_Data5(),FertiliserProducts[[#Headers],[Company]], 121)</f>
        <v>Phosphorus - Generic</v>
      </c>
      <c r="R216" s="172" cm="1">
        <f t="array" ref="R216">Common_InputFunctions.Utility_DisplayArrayInTable(Fertiliser_SourceData.Fertiliser_Products_Data5(),FertiliserProducts[[#Headers],[Company]], 121)</f>
        <v>0.05</v>
      </c>
      <c r="S216" s="172" t="str" cm="1">
        <f t="array" ref="S216">Common_InputFunctions.Utility_DisplayArrayInTable(Fertiliser_SourceData.Fertiliser_Products_Data5(),FertiliserProducts[[#Headers],[Company]], 121)</f>
        <v>Potassium - Generic</v>
      </c>
      <c r="T216" s="172" cm="1">
        <f t="array" ref="T216">Common_InputFunctions.Utility_DisplayArrayInTable(Fertiliser_SourceData.Fertiliser_Products_Data5(),FertiliserProducts[[#Headers],[Company]], 121)</f>
        <v>0.24</v>
      </c>
      <c r="U216" s="172" t="str" cm="1">
        <f t="array" ref="U216">Common_InputFunctions.Utility_DisplayArrayInTable(Fertiliser_SourceData.Fertiliser_Products_Data5(),FertiliserProducts[[#Headers],[Company]], 121)</f>
        <v>Sulfur - Generic</v>
      </c>
      <c r="V216" s="172" cm="1">
        <f t="array" ref="V216">Common_InputFunctions.Utility_DisplayArrayInTable(Fertiliser_SourceData.Fertiliser_Products_Data5(),FertiliserProducts[[#Headers],[Company]], 121)</f>
        <v>0.05</v>
      </c>
      <c r="W216" s="172" t="str" cm="1">
        <f t="array" ref="W216">Common_InputFunctions.Utility_DisplayArrayInTable(Fertiliser_SourceData.Fertiliser_Products_Data5(),FertiliserProducts[[#Headers],[Company]], 121)</f>
        <v/>
      </c>
      <c r="X216" s="172" t="str" cm="1">
        <f t="array" ref="X216">Common_InputFunctions.Utility_DisplayArrayInTable(Fertiliser_SourceData.Fertiliser_Products_Data5(),FertiliserProducts[[#Headers],[Company]], 121)</f>
        <v/>
      </c>
      <c r="Y216" s="172" t="str" cm="1">
        <f t="array" ref="Y216">Common_InputFunctions.Utility_DisplayArrayInTable(Fertiliser_SourceData.Fertiliser_Products_Data5(),FertiliserProducts[[#Headers],[Company]], 121)</f>
        <v/>
      </c>
      <c r="Z216" s="172" t="str" cm="1">
        <f t="array" ref="Z216">Common_InputFunctions.Utility_DisplayArrayInTable(Fertiliser_SourceData.Fertiliser_Products_Data5(),FertiliserProducts[[#Headers],[Company]], 121)</f>
        <v/>
      </c>
      <c r="AA216" s="172" t="str" cm="1">
        <f t="array" ref="AA216">Common_InputFunctions.Utility_DisplayArrayInTable(Fertiliser_SourceData.Fertiliser_Products_Data5(),FertiliserProducts[[#Headers],[Company]], 121)</f>
        <v/>
      </c>
      <c r="AB216" s="172" t="str" cm="1">
        <f t="array" ref="AB216">Common_InputFunctions.Utility_DisplayArrayInTable(Fertiliser_SourceData.Fertiliser_Products_Data5(),FertiliserProducts[[#Headers],[Company]], 121)</f>
        <v/>
      </c>
      <c r="AC216" s="172" t="str" cm="1">
        <f t="array" ref="AC216">Common_InputFunctions.Utility_DisplayArrayInTable(Fertiliser_SourceData.Fertiliser_Products_Data5(),FertiliserProducts[[#Headers],[Company]], 121)</f>
        <v/>
      </c>
      <c r="AD216" s="172" t="str" cm="1">
        <f t="array" ref="AD216">Common_InputFunctions.Utility_DisplayArrayInTable(Fertiliser_SourceData.Fertiliser_Products_Data5(),FertiliserProducts[[#Headers],[Company]], 121)</f>
        <v/>
      </c>
      <c r="AE216" s="172" t="str" cm="1">
        <f t="array" ref="AE216">Common_InputFunctions.Utility_DisplayArrayInTable(Fertiliser_SourceData.Fertiliser_Products_Data5(),FertiliserProducts[[#Headers],[Company]], 121)</f>
        <v/>
      </c>
      <c r="AF216" s="172" t="str" cm="1">
        <f t="array" ref="AF216">Common_InputFunctions.Utility_DisplayArrayInTable(Fertiliser_SourceData.Fertiliser_Products_Data5(),FertiliserProducts[[#Headers],[Company]], 121)</f>
        <v/>
      </c>
      <c r="AG216" s="172" t="str" cm="1">
        <f t="array" ref="AG216">Common_InputFunctions.Utility_DisplayArrayInTable(Fertiliser_SourceData.Fertiliser_Products_Data5(),FertiliserProducts[[#Headers],[Company]], 121)</f>
        <v/>
      </c>
      <c r="AH216" s="172" t="str" cm="1">
        <f t="array" ref="AH216">Common_InputFunctions.Utility_DisplayArrayInTable(Fertiliser_SourceData.Fertiliser_Products_Data5(),FertiliserProducts[[#Headers],[Company]], 121)</f>
        <v/>
      </c>
    </row>
    <row r="217" spans="4:34" x14ac:dyDescent="0.25">
      <c r="D217" s="172" t="str" cm="1">
        <f t="array" ref="D217">Common_InputFunctions.Utility_DisplayArrayInTable(Fertiliser_SourceData.Fertiliser_Products_Data5(),FertiliserProducts[[#Headers],[Company]], 121)</f>
        <v>Wengfu Australia</v>
      </c>
      <c r="E217" s="172" t="str" cm="1">
        <f t="array" ref="E217">Common_InputFunctions.Utility_DisplayArrayInTable(Fertiliser_SourceData.Fertiliser_Products_Data5(),FertiliserProducts[[#Headers],[Company]], 121)</f>
        <v>Wengfu DAP Hay Booster</v>
      </c>
      <c r="F217" s="172" t="str" cm="1">
        <f t="array" ref="F217">Common_InputFunctions.Utility_DisplayArrayInTable(Fertiliser_SourceData.Fertiliser_Products_Data5(),FertiliserProducts[[#Headers],[Company]], 121)</f>
        <v>kg</v>
      </c>
      <c r="G217" s="172" cm="1">
        <f t="array" ref="G217">Common_InputFunctions.Utility_DisplayArrayInTable(Fertiliser_SourceData.Fertiliser_Products_Data5(),FertiliserProducts[[#Headers],[Company]], 121)</f>
        <v>1</v>
      </c>
      <c r="H217" s="172" t="str" cm="1">
        <f t="array" ref="H217">Common_InputFunctions.Utility_DisplayArrayInTable(Fertiliser_SourceData.Fertiliser_Products_Data5(),FertiliserProducts[[#Headers],[Company]], 121)</f>
        <v/>
      </c>
      <c r="I217" s="172" t="str" cm="1">
        <f t="array" ref="I217">Common_InputFunctions.Utility_DisplayArrayInTable(Fertiliser_SourceData.Fertiliser_Products_Data5(),FertiliserProducts[[#Headers],[Company]], 121)</f>
        <v/>
      </c>
      <c r="J217" s="172" t="str" cm="1">
        <f t="array" ref="J217">Common_InputFunctions.Utility_DisplayArrayInTable(Fertiliser_SourceData.Fertiliser_Products_Data5(),FertiliserProducts[[#Headers],[Company]], 121)</f>
        <v/>
      </c>
      <c r="K217" s="172" cm="1">
        <f t="array" ref="K217">Common_InputFunctions.Utility_DisplayArrayInTable(Fertiliser_SourceData.Fertiliser_Products_Data5(),FertiliserProducts[[#Headers],[Company]], 121)</f>
        <v>11</v>
      </c>
      <c r="L217" s="172" cm="1">
        <f t="array" ref="L217">Common_InputFunctions.Utility_DisplayArrayInTable(Fertiliser_SourceData.Fertiliser_Products_Data5(),FertiliserProducts[[#Headers],[Company]], 121)</f>
        <v>5</v>
      </c>
      <c r="M217" s="172" cm="1">
        <f t="array" ref="M217">Common_InputFunctions.Utility_DisplayArrayInTable(Fertiliser_SourceData.Fertiliser_Products_Data5(),FertiliserProducts[[#Headers],[Company]], 121)</f>
        <v>24</v>
      </c>
      <c r="N217" s="172" cm="1">
        <f t="array" ref="N217">Common_InputFunctions.Utility_DisplayArrayInTable(Fertiliser_SourceData.Fertiliser_Products_Data5(),FertiliserProducts[[#Headers],[Company]], 121)</f>
        <v>4</v>
      </c>
      <c r="O217" s="172" t="str" cm="1">
        <f t="array" ref="O217">Common_InputFunctions.Utility_DisplayArrayInTable(Fertiliser_SourceData.Fertiliser_Products_Data5(),FertiliserProducts[[#Headers],[Company]], 121)</f>
        <v>Nitrogen - Generic</v>
      </c>
      <c r="P217" s="172" cm="1">
        <f t="array" ref="P217">Common_InputFunctions.Utility_DisplayArrayInTable(Fertiliser_SourceData.Fertiliser_Products_Data5(),FertiliserProducts[[#Headers],[Company]], 121)</f>
        <v>0.11</v>
      </c>
      <c r="Q217" s="172" t="str" cm="1">
        <f t="array" ref="Q217">Common_InputFunctions.Utility_DisplayArrayInTable(Fertiliser_SourceData.Fertiliser_Products_Data5(),FertiliserProducts[[#Headers],[Company]], 121)</f>
        <v>Phosphorus - Generic</v>
      </c>
      <c r="R217" s="172" cm="1">
        <f t="array" ref="R217">Common_InputFunctions.Utility_DisplayArrayInTable(Fertiliser_SourceData.Fertiliser_Products_Data5(),FertiliserProducts[[#Headers],[Company]], 121)</f>
        <v>0.05</v>
      </c>
      <c r="S217" s="172" t="str" cm="1">
        <f t="array" ref="S217">Common_InputFunctions.Utility_DisplayArrayInTable(Fertiliser_SourceData.Fertiliser_Products_Data5(),FertiliserProducts[[#Headers],[Company]], 121)</f>
        <v>Potassium - Generic</v>
      </c>
      <c r="T217" s="172" cm="1">
        <f t="array" ref="T217">Common_InputFunctions.Utility_DisplayArrayInTable(Fertiliser_SourceData.Fertiliser_Products_Data5(),FertiliserProducts[[#Headers],[Company]], 121)</f>
        <v>0.24</v>
      </c>
      <c r="U217" s="172" t="str" cm="1">
        <f t="array" ref="U217">Common_InputFunctions.Utility_DisplayArrayInTable(Fertiliser_SourceData.Fertiliser_Products_Data5(),FertiliserProducts[[#Headers],[Company]], 121)</f>
        <v>Sulfur - Generic</v>
      </c>
      <c r="V217" s="172" cm="1">
        <f t="array" ref="V217">Common_InputFunctions.Utility_DisplayArrayInTable(Fertiliser_SourceData.Fertiliser_Products_Data5(),FertiliserProducts[[#Headers],[Company]], 121)</f>
        <v>0.04</v>
      </c>
      <c r="W217" s="172" t="str" cm="1">
        <f t="array" ref="W217">Common_InputFunctions.Utility_DisplayArrayInTable(Fertiliser_SourceData.Fertiliser_Products_Data5(),FertiliserProducts[[#Headers],[Company]], 121)</f>
        <v/>
      </c>
      <c r="X217" s="172" t="str" cm="1">
        <f t="array" ref="X217">Common_InputFunctions.Utility_DisplayArrayInTable(Fertiliser_SourceData.Fertiliser_Products_Data5(),FertiliserProducts[[#Headers],[Company]], 121)</f>
        <v/>
      </c>
      <c r="Y217" s="172" t="str" cm="1">
        <f t="array" ref="Y217">Common_InputFunctions.Utility_DisplayArrayInTable(Fertiliser_SourceData.Fertiliser_Products_Data5(),FertiliserProducts[[#Headers],[Company]], 121)</f>
        <v/>
      </c>
      <c r="Z217" s="172" t="str" cm="1">
        <f t="array" ref="Z217">Common_InputFunctions.Utility_DisplayArrayInTable(Fertiliser_SourceData.Fertiliser_Products_Data5(),FertiliserProducts[[#Headers],[Company]], 121)</f>
        <v/>
      </c>
      <c r="AA217" s="172" t="str" cm="1">
        <f t="array" ref="AA217">Common_InputFunctions.Utility_DisplayArrayInTable(Fertiliser_SourceData.Fertiliser_Products_Data5(),FertiliserProducts[[#Headers],[Company]], 121)</f>
        <v/>
      </c>
      <c r="AB217" s="172" t="str" cm="1">
        <f t="array" ref="AB217">Common_InputFunctions.Utility_DisplayArrayInTable(Fertiliser_SourceData.Fertiliser_Products_Data5(),FertiliserProducts[[#Headers],[Company]], 121)</f>
        <v/>
      </c>
      <c r="AC217" s="172" t="str" cm="1">
        <f t="array" ref="AC217">Common_InputFunctions.Utility_DisplayArrayInTable(Fertiliser_SourceData.Fertiliser_Products_Data5(),FertiliserProducts[[#Headers],[Company]], 121)</f>
        <v/>
      </c>
      <c r="AD217" s="172" t="str" cm="1">
        <f t="array" ref="AD217">Common_InputFunctions.Utility_DisplayArrayInTable(Fertiliser_SourceData.Fertiliser_Products_Data5(),FertiliserProducts[[#Headers],[Company]], 121)</f>
        <v/>
      </c>
      <c r="AE217" s="172" t="str" cm="1">
        <f t="array" ref="AE217">Common_InputFunctions.Utility_DisplayArrayInTable(Fertiliser_SourceData.Fertiliser_Products_Data5(),FertiliserProducts[[#Headers],[Company]], 121)</f>
        <v/>
      </c>
      <c r="AF217" s="172" t="str" cm="1">
        <f t="array" ref="AF217">Common_InputFunctions.Utility_DisplayArrayInTable(Fertiliser_SourceData.Fertiliser_Products_Data5(),FertiliserProducts[[#Headers],[Company]], 121)</f>
        <v/>
      </c>
      <c r="AG217" s="172" t="str" cm="1">
        <f t="array" ref="AG217">Common_InputFunctions.Utility_DisplayArrayInTable(Fertiliser_SourceData.Fertiliser_Products_Data5(),FertiliserProducts[[#Headers],[Company]], 121)</f>
        <v/>
      </c>
      <c r="AH217" s="172" t="str" cm="1">
        <f t="array" ref="AH217">Common_InputFunctions.Utility_DisplayArrayInTable(Fertiliser_SourceData.Fertiliser_Products_Data5(),FertiliserProducts[[#Headers],[Company]], 121)</f>
        <v/>
      </c>
    </row>
    <row r="218" spans="4:34" x14ac:dyDescent="0.25">
      <c r="D218" s="172" t="str" cm="1">
        <f t="array" ref="D218">Common_InputFunctions.Utility_DisplayArrayInTable(Fertiliser_SourceData.Fertiliser_Products_Data5(),FertiliserProducts[[#Headers],[Company]], 121)</f>
        <v>Wengfu Australia</v>
      </c>
      <c r="E218" s="172" t="str" cm="1">
        <f t="array" ref="E218">Common_InputFunctions.Utility_DisplayArrayInTable(Fertiliser_SourceData.Fertiliser_Products_Data5(),FertiliserProducts[[#Headers],[Company]], 121)</f>
        <v>Wengfu MAP Hay Booster</v>
      </c>
      <c r="F218" s="172" t="str" cm="1">
        <f t="array" ref="F218">Common_InputFunctions.Utility_DisplayArrayInTable(Fertiliser_SourceData.Fertiliser_Products_Data5(),FertiliserProducts[[#Headers],[Company]], 121)</f>
        <v>kg</v>
      </c>
      <c r="G218" s="172" cm="1">
        <f t="array" ref="G218">Common_InputFunctions.Utility_DisplayArrayInTable(Fertiliser_SourceData.Fertiliser_Products_Data5(),FertiliserProducts[[#Headers],[Company]], 121)</f>
        <v>1</v>
      </c>
      <c r="H218" s="172" t="str" cm="1">
        <f t="array" ref="H218">Common_InputFunctions.Utility_DisplayArrayInTable(Fertiliser_SourceData.Fertiliser_Products_Data5(),FertiliserProducts[[#Headers],[Company]], 121)</f>
        <v/>
      </c>
      <c r="I218" s="172" t="str" cm="1">
        <f t="array" ref="I218">Common_InputFunctions.Utility_DisplayArrayInTable(Fertiliser_SourceData.Fertiliser_Products_Data5(),FertiliserProducts[[#Headers],[Company]], 121)</f>
        <v/>
      </c>
      <c r="J218" s="172" t="str" cm="1">
        <f t="array" ref="J218">Common_InputFunctions.Utility_DisplayArrayInTable(Fertiliser_SourceData.Fertiliser_Products_Data5(),FertiliserProducts[[#Headers],[Company]], 121)</f>
        <v/>
      </c>
      <c r="K218" s="172" cm="1">
        <f t="array" ref="K218">Common_InputFunctions.Utility_DisplayArrayInTable(Fertiliser_SourceData.Fertiliser_Products_Data5(),FertiliserProducts[[#Headers],[Company]], 121)</f>
        <v>11</v>
      </c>
      <c r="L218" s="172" cm="1">
        <f t="array" ref="L218">Common_InputFunctions.Utility_DisplayArrayInTable(Fertiliser_SourceData.Fertiliser_Products_Data5(),FertiliserProducts[[#Headers],[Company]], 121)</f>
        <v>8</v>
      </c>
      <c r="M218" s="172" cm="1">
        <f t="array" ref="M218">Common_InputFunctions.Utility_DisplayArrayInTable(Fertiliser_SourceData.Fertiliser_Products_Data5(),FertiliserProducts[[#Headers],[Company]], 121)</f>
        <v>20</v>
      </c>
      <c r="N218" s="172" cm="1">
        <f t="array" ref="N218">Common_InputFunctions.Utility_DisplayArrayInTable(Fertiliser_SourceData.Fertiliser_Products_Data5(),FertiliserProducts[[#Headers],[Company]], 121)</f>
        <v>6</v>
      </c>
      <c r="O218" s="172" t="str" cm="1">
        <f t="array" ref="O218">Common_InputFunctions.Utility_DisplayArrayInTable(Fertiliser_SourceData.Fertiliser_Products_Data5(),FertiliserProducts[[#Headers],[Company]], 121)</f>
        <v>Nitrogen - Generic</v>
      </c>
      <c r="P218" s="172" cm="1">
        <f t="array" ref="P218">Common_InputFunctions.Utility_DisplayArrayInTable(Fertiliser_SourceData.Fertiliser_Products_Data5(),FertiliserProducts[[#Headers],[Company]], 121)</f>
        <v>0.11</v>
      </c>
      <c r="Q218" s="172" t="str" cm="1">
        <f t="array" ref="Q218">Common_InputFunctions.Utility_DisplayArrayInTable(Fertiliser_SourceData.Fertiliser_Products_Data5(),FertiliserProducts[[#Headers],[Company]], 121)</f>
        <v>Phosphorus - Generic</v>
      </c>
      <c r="R218" s="172" cm="1">
        <f t="array" ref="R218">Common_InputFunctions.Utility_DisplayArrayInTable(Fertiliser_SourceData.Fertiliser_Products_Data5(),FertiliserProducts[[#Headers],[Company]], 121)</f>
        <v>0.08</v>
      </c>
      <c r="S218" s="172" t="str" cm="1">
        <f t="array" ref="S218">Common_InputFunctions.Utility_DisplayArrayInTable(Fertiliser_SourceData.Fertiliser_Products_Data5(),FertiliserProducts[[#Headers],[Company]], 121)</f>
        <v>Potassium - Generic</v>
      </c>
      <c r="T218" s="172" cm="1">
        <f t="array" ref="T218">Common_InputFunctions.Utility_DisplayArrayInTable(Fertiliser_SourceData.Fertiliser_Products_Data5(),FertiliserProducts[[#Headers],[Company]], 121)</f>
        <v>0.2</v>
      </c>
      <c r="U218" s="172" t="str" cm="1">
        <f t="array" ref="U218">Common_InputFunctions.Utility_DisplayArrayInTable(Fertiliser_SourceData.Fertiliser_Products_Data5(),FertiliserProducts[[#Headers],[Company]], 121)</f>
        <v>Sulfur - Generic</v>
      </c>
      <c r="V218" s="172" cm="1">
        <f t="array" ref="V218">Common_InputFunctions.Utility_DisplayArrayInTable(Fertiliser_SourceData.Fertiliser_Products_Data5(),FertiliserProducts[[#Headers],[Company]], 121)</f>
        <v>0.06</v>
      </c>
      <c r="W218" s="172" t="str" cm="1">
        <f t="array" ref="W218">Common_InputFunctions.Utility_DisplayArrayInTable(Fertiliser_SourceData.Fertiliser_Products_Data5(),FertiliserProducts[[#Headers],[Company]], 121)</f>
        <v/>
      </c>
      <c r="X218" s="172" t="str" cm="1">
        <f t="array" ref="X218">Common_InputFunctions.Utility_DisplayArrayInTable(Fertiliser_SourceData.Fertiliser_Products_Data5(),FertiliserProducts[[#Headers],[Company]], 121)</f>
        <v/>
      </c>
      <c r="Y218" s="172" t="str" cm="1">
        <f t="array" ref="Y218">Common_InputFunctions.Utility_DisplayArrayInTable(Fertiliser_SourceData.Fertiliser_Products_Data5(),FertiliserProducts[[#Headers],[Company]], 121)</f>
        <v/>
      </c>
      <c r="Z218" s="172" t="str" cm="1">
        <f t="array" ref="Z218">Common_InputFunctions.Utility_DisplayArrayInTable(Fertiliser_SourceData.Fertiliser_Products_Data5(),FertiliserProducts[[#Headers],[Company]], 121)</f>
        <v/>
      </c>
      <c r="AA218" s="172" t="str" cm="1">
        <f t="array" ref="AA218">Common_InputFunctions.Utility_DisplayArrayInTable(Fertiliser_SourceData.Fertiliser_Products_Data5(),FertiliserProducts[[#Headers],[Company]], 121)</f>
        <v/>
      </c>
      <c r="AB218" s="172" t="str" cm="1">
        <f t="array" ref="AB218">Common_InputFunctions.Utility_DisplayArrayInTable(Fertiliser_SourceData.Fertiliser_Products_Data5(),FertiliserProducts[[#Headers],[Company]], 121)</f>
        <v/>
      </c>
      <c r="AC218" s="172" t="str" cm="1">
        <f t="array" ref="AC218">Common_InputFunctions.Utility_DisplayArrayInTable(Fertiliser_SourceData.Fertiliser_Products_Data5(),FertiliserProducts[[#Headers],[Company]], 121)</f>
        <v/>
      </c>
      <c r="AD218" s="172" t="str" cm="1">
        <f t="array" ref="AD218">Common_InputFunctions.Utility_DisplayArrayInTable(Fertiliser_SourceData.Fertiliser_Products_Data5(),FertiliserProducts[[#Headers],[Company]], 121)</f>
        <v/>
      </c>
      <c r="AE218" s="172" t="str" cm="1">
        <f t="array" ref="AE218">Common_InputFunctions.Utility_DisplayArrayInTable(Fertiliser_SourceData.Fertiliser_Products_Data5(),FertiliserProducts[[#Headers],[Company]], 121)</f>
        <v/>
      </c>
      <c r="AF218" s="172" t="str" cm="1">
        <f t="array" ref="AF218">Common_InputFunctions.Utility_DisplayArrayInTable(Fertiliser_SourceData.Fertiliser_Products_Data5(),FertiliserProducts[[#Headers],[Company]], 121)</f>
        <v/>
      </c>
      <c r="AG218" s="172" t="str" cm="1">
        <f t="array" ref="AG218">Common_InputFunctions.Utility_DisplayArrayInTable(Fertiliser_SourceData.Fertiliser_Products_Data5(),FertiliserProducts[[#Headers],[Company]], 121)</f>
        <v/>
      </c>
      <c r="AH218" s="172" t="str" cm="1">
        <f t="array" ref="AH218">Common_InputFunctions.Utility_DisplayArrayInTable(Fertiliser_SourceData.Fertiliser_Products_Data5(),FertiliserProducts[[#Headers],[Company]], 121)</f>
        <v/>
      </c>
    </row>
    <row r="219" spans="4:34" x14ac:dyDescent="0.25">
      <c r="D219" s="172" t="str" cm="1">
        <f t="array" ref="D219">Common_InputFunctions.Utility_DisplayArrayInTable(Fertiliser_SourceData.Fertiliser_Products_Data5(),FertiliserProducts[[#Headers],[Company]], 121)</f>
        <v>Wengfu Australia</v>
      </c>
      <c r="E219" s="172" t="str" cm="1">
        <f t="array" ref="E219">Common_InputFunctions.Utility_DisplayArrayInTable(Fertiliser_SourceData.Fertiliser_Products_Data5(),FertiliserProducts[[#Headers],[Company]], 121)</f>
        <v>Wengfu Fodder Booster</v>
      </c>
      <c r="F219" s="172" t="str" cm="1">
        <f t="array" ref="F219">Common_InputFunctions.Utility_DisplayArrayInTable(Fertiliser_SourceData.Fertiliser_Products_Data5(),FertiliserProducts[[#Headers],[Company]], 121)</f>
        <v>kg</v>
      </c>
      <c r="G219" s="172" cm="1">
        <f t="array" ref="G219">Common_InputFunctions.Utility_DisplayArrayInTable(Fertiliser_SourceData.Fertiliser_Products_Data5(),FertiliserProducts[[#Headers],[Company]], 121)</f>
        <v>1</v>
      </c>
      <c r="H219" s="172" t="str" cm="1">
        <f t="array" ref="H219">Common_InputFunctions.Utility_DisplayArrayInTable(Fertiliser_SourceData.Fertiliser_Products_Data5(),FertiliserProducts[[#Headers],[Company]], 121)</f>
        <v/>
      </c>
      <c r="I219" s="172" t="str" cm="1">
        <f t="array" ref="I219">Common_InputFunctions.Utility_DisplayArrayInTable(Fertiliser_SourceData.Fertiliser_Products_Data5(),FertiliserProducts[[#Headers],[Company]], 121)</f>
        <v/>
      </c>
      <c r="J219" s="172" t="str" cm="1">
        <f t="array" ref="J219">Common_InputFunctions.Utility_DisplayArrayInTable(Fertiliser_SourceData.Fertiliser_Products_Data5(),FertiliserProducts[[#Headers],[Company]], 121)</f>
        <v/>
      </c>
      <c r="K219" s="172" cm="1">
        <f t="array" ref="K219">Common_InputFunctions.Utility_DisplayArrayInTable(Fertiliser_SourceData.Fertiliser_Products_Data5(),FertiliserProducts[[#Headers],[Company]], 121)</f>
        <v>9</v>
      </c>
      <c r="L219" s="172" cm="1">
        <f t="array" ref="L219">Common_InputFunctions.Utility_DisplayArrayInTable(Fertiliser_SourceData.Fertiliser_Products_Data5(),FertiliserProducts[[#Headers],[Company]], 121)</f>
        <v>4</v>
      </c>
      <c r="M219" s="172" cm="1">
        <f t="array" ref="M219">Common_InputFunctions.Utility_DisplayArrayInTable(Fertiliser_SourceData.Fertiliser_Products_Data5(),FertiliserProducts[[#Headers],[Company]], 121)</f>
        <v>5</v>
      </c>
      <c r="N219" s="172" cm="1">
        <f t="array" ref="N219">Common_InputFunctions.Utility_DisplayArrayInTable(Fertiliser_SourceData.Fertiliser_Products_Data5(),FertiliserProducts[[#Headers],[Company]], 121)</f>
        <v>15</v>
      </c>
      <c r="O219" s="172" t="str" cm="1">
        <f t="array" ref="O219">Common_InputFunctions.Utility_DisplayArrayInTable(Fertiliser_SourceData.Fertiliser_Products_Data5(),FertiliserProducts[[#Headers],[Company]], 121)</f>
        <v>Nitrogen - Generic</v>
      </c>
      <c r="P219" s="172" cm="1">
        <f t="array" ref="P219">Common_InputFunctions.Utility_DisplayArrayInTable(Fertiliser_SourceData.Fertiliser_Products_Data5(),FertiliserProducts[[#Headers],[Company]], 121)</f>
        <v>0.09</v>
      </c>
      <c r="Q219" s="172" t="str" cm="1">
        <f t="array" ref="Q219">Common_InputFunctions.Utility_DisplayArrayInTable(Fertiliser_SourceData.Fertiliser_Products_Data5(),FertiliserProducts[[#Headers],[Company]], 121)</f>
        <v>Phosphorus - Generic</v>
      </c>
      <c r="R219" s="172" cm="1">
        <f t="array" ref="R219">Common_InputFunctions.Utility_DisplayArrayInTable(Fertiliser_SourceData.Fertiliser_Products_Data5(),FertiliserProducts[[#Headers],[Company]], 121)</f>
        <v>0.04</v>
      </c>
      <c r="S219" s="172" t="str" cm="1">
        <f t="array" ref="S219">Common_InputFunctions.Utility_DisplayArrayInTable(Fertiliser_SourceData.Fertiliser_Products_Data5(),FertiliserProducts[[#Headers],[Company]], 121)</f>
        <v>Potassium - Generic</v>
      </c>
      <c r="T219" s="172" cm="1">
        <f t="array" ref="T219">Common_InputFunctions.Utility_DisplayArrayInTable(Fertiliser_SourceData.Fertiliser_Products_Data5(),FertiliserProducts[[#Headers],[Company]], 121)</f>
        <v>0.05</v>
      </c>
      <c r="U219" s="172" t="str" cm="1">
        <f t="array" ref="U219">Common_InputFunctions.Utility_DisplayArrayInTable(Fertiliser_SourceData.Fertiliser_Products_Data5(),FertiliserProducts[[#Headers],[Company]], 121)</f>
        <v>Sulfur - Generic</v>
      </c>
      <c r="V219" s="172" cm="1">
        <f t="array" ref="V219">Common_InputFunctions.Utility_DisplayArrayInTable(Fertiliser_SourceData.Fertiliser_Products_Data5(),FertiliserProducts[[#Headers],[Company]], 121)</f>
        <v>0.15</v>
      </c>
      <c r="W219" s="172" t="str" cm="1">
        <f t="array" ref="W219">Common_InputFunctions.Utility_DisplayArrayInTable(Fertiliser_SourceData.Fertiliser_Products_Data5(),FertiliserProducts[[#Headers],[Company]], 121)</f>
        <v/>
      </c>
      <c r="X219" s="172" t="str" cm="1">
        <f t="array" ref="X219">Common_InputFunctions.Utility_DisplayArrayInTable(Fertiliser_SourceData.Fertiliser_Products_Data5(),FertiliserProducts[[#Headers],[Company]], 121)</f>
        <v/>
      </c>
      <c r="Y219" s="172" t="str" cm="1">
        <f t="array" ref="Y219">Common_InputFunctions.Utility_DisplayArrayInTable(Fertiliser_SourceData.Fertiliser_Products_Data5(),FertiliserProducts[[#Headers],[Company]], 121)</f>
        <v/>
      </c>
      <c r="Z219" s="172" t="str" cm="1">
        <f t="array" ref="Z219">Common_InputFunctions.Utility_DisplayArrayInTable(Fertiliser_SourceData.Fertiliser_Products_Data5(),FertiliserProducts[[#Headers],[Company]], 121)</f>
        <v/>
      </c>
      <c r="AA219" s="172" t="str" cm="1">
        <f t="array" ref="AA219">Common_InputFunctions.Utility_DisplayArrayInTable(Fertiliser_SourceData.Fertiliser_Products_Data5(),FertiliserProducts[[#Headers],[Company]], 121)</f>
        <v/>
      </c>
      <c r="AB219" s="172" t="str" cm="1">
        <f t="array" ref="AB219">Common_InputFunctions.Utility_DisplayArrayInTable(Fertiliser_SourceData.Fertiliser_Products_Data5(),FertiliserProducts[[#Headers],[Company]], 121)</f>
        <v/>
      </c>
      <c r="AC219" s="172" t="str" cm="1">
        <f t="array" ref="AC219">Common_InputFunctions.Utility_DisplayArrayInTable(Fertiliser_SourceData.Fertiliser_Products_Data5(),FertiliserProducts[[#Headers],[Company]], 121)</f>
        <v/>
      </c>
      <c r="AD219" s="172" t="str" cm="1">
        <f t="array" ref="AD219">Common_InputFunctions.Utility_DisplayArrayInTable(Fertiliser_SourceData.Fertiliser_Products_Data5(),FertiliserProducts[[#Headers],[Company]], 121)</f>
        <v/>
      </c>
      <c r="AE219" s="172" t="str" cm="1">
        <f t="array" ref="AE219">Common_InputFunctions.Utility_DisplayArrayInTable(Fertiliser_SourceData.Fertiliser_Products_Data5(),FertiliserProducts[[#Headers],[Company]], 121)</f>
        <v/>
      </c>
      <c r="AF219" s="172" t="str" cm="1">
        <f t="array" ref="AF219">Common_InputFunctions.Utility_DisplayArrayInTable(Fertiliser_SourceData.Fertiliser_Products_Data5(),FertiliserProducts[[#Headers],[Company]], 121)</f>
        <v/>
      </c>
      <c r="AG219" s="172" t="str" cm="1">
        <f t="array" ref="AG219">Common_InputFunctions.Utility_DisplayArrayInTable(Fertiliser_SourceData.Fertiliser_Products_Data5(),FertiliserProducts[[#Headers],[Company]], 121)</f>
        <v/>
      </c>
      <c r="AH219" s="172" t="str" cm="1">
        <f t="array" ref="AH219">Common_InputFunctions.Utility_DisplayArrayInTable(Fertiliser_SourceData.Fertiliser_Products_Data5(),FertiliserProducts[[#Headers],[Company]], 121)</f>
        <v/>
      </c>
    </row>
    <row r="220" spans="4:34" x14ac:dyDescent="0.25">
      <c r="D220" s="172" t="str" cm="1">
        <f t="array" ref="D220">Common_InputFunctions.Utility_DisplayArrayInTable(Fertiliser_SourceData.Fertiliser_Products_Data5(),FertiliserProducts[[#Headers],[Company]], 121)</f>
        <v>CSBP</v>
      </c>
      <c r="E220" s="172" t="str" cm="1">
        <f t="array" ref="E220">Common_InputFunctions.Utility_DisplayArrayInTable(Fertiliser_SourceData.Fertiliser_Products_Data5(),FertiliserProducts[[#Headers],[Company]], 121)</f>
        <v>K-Till Extra</v>
      </c>
      <c r="F220" s="172" t="str" cm="1">
        <f t="array" ref="F220">Common_InputFunctions.Utility_DisplayArrayInTable(Fertiliser_SourceData.Fertiliser_Products_Data5(),FertiliserProducts[[#Headers],[Company]], 121)</f>
        <v>kg</v>
      </c>
      <c r="G220" s="172" cm="1">
        <f t="array" ref="G220">Common_InputFunctions.Utility_DisplayArrayInTable(Fertiliser_SourceData.Fertiliser_Products_Data5(),FertiliserProducts[[#Headers],[Company]], 121)</f>
        <v>1</v>
      </c>
      <c r="H220" s="172" t="str" cm="1">
        <f t="array" ref="H220">Common_InputFunctions.Utility_DisplayArrayInTable(Fertiliser_SourceData.Fertiliser_Products_Data5(),FertiliserProducts[[#Headers],[Company]], 121)</f>
        <v/>
      </c>
      <c r="I220" s="172" t="str" cm="1">
        <f t="array" ref="I220">Common_InputFunctions.Utility_DisplayArrayInTable(Fertiliser_SourceData.Fertiliser_Products_Data5(),FertiliserProducts[[#Headers],[Company]], 121)</f>
        <v/>
      </c>
      <c r="J220" s="172" t="str" cm="1">
        <f t="array" ref="J220">Common_InputFunctions.Utility_DisplayArrayInTable(Fertiliser_SourceData.Fertiliser_Products_Data5(),FertiliserProducts[[#Headers],[Company]], 121)</f>
        <v/>
      </c>
      <c r="K220" s="172" cm="1">
        <f t="array" ref="K220">Common_InputFunctions.Utility_DisplayArrayInTable(Fertiliser_SourceData.Fertiliser_Products_Data5(),FertiliserProducts[[#Headers],[Company]], 121)</f>
        <v>10.73</v>
      </c>
      <c r="L220" s="172" cm="1">
        <f t="array" ref="L220">Common_InputFunctions.Utility_DisplayArrayInTable(Fertiliser_SourceData.Fertiliser_Products_Data5(),FertiliserProducts[[#Headers],[Company]], 121)</f>
        <v>10.95</v>
      </c>
      <c r="M220" s="172" cm="1">
        <f t="array" ref="M220">Common_InputFunctions.Utility_DisplayArrayInTable(Fertiliser_SourceData.Fertiliser_Products_Data5(),FertiliserProducts[[#Headers],[Company]], 121)</f>
        <v>11.35</v>
      </c>
      <c r="N220" s="172" cm="1">
        <f t="array" ref="N220">Common_InputFunctions.Utility_DisplayArrayInTable(Fertiliser_SourceData.Fertiliser_Products_Data5(),FertiliserProducts[[#Headers],[Company]], 121)</f>
        <v>6.55</v>
      </c>
      <c r="O220" s="172" t="str" cm="1">
        <f t="array" ref="O220">Common_InputFunctions.Utility_DisplayArrayInTable(Fertiliser_SourceData.Fertiliser_Products_Data5(),FertiliserProducts[[#Headers],[Company]], 121)</f>
        <v>Monoammonium phosphate (MAP)</v>
      </c>
      <c r="P220" s="172" cm="1">
        <f t="array" ref="P220">Common_InputFunctions.Utility_DisplayArrayInTable(Fertiliser_SourceData.Fertiliser_Products_Data5(),FertiliserProducts[[#Headers],[Company]], 121)</f>
        <v>0.5</v>
      </c>
      <c r="Q220" s="172" t="str" cm="1">
        <f t="array" ref="Q220">Common_InputFunctions.Utility_DisplayArrayInTable(Fertiliser_SourceData.Fertiliser_Products_Data5(),FertiliserProducts[[#Headers],[Company]], 121)</f>
        <v>Sulphate of ammonia (SOA)</v>
      </c>
      <c r="R220" s="172" cm="1">
        <f t="array" ref="R220">Common_InputFunctions.Utility_DisplayArrayInTable(Fertiliser_SourceData.Fertiliser_Products_Data5(),FertiliserProducts[[#Headers],[Company]], 121)</f>
        <v>0.27300000000000002</v>
      </c>
      <c r="S220" s="172" t="str" cm="1">
        <f t="array" ref="S220">Common_InputFunctions.Utility_DisplayArrayInTable(Fertiliser_SourceData.Fertiliser_Products_Data5(),FertiliserProducts[[#Headers],[Company]], 121)</f>
        <v>Muriate of potash (MOP)</v>
      </c>
      <c r="T220" s="172" cm="1">
        <f t="array" ref="T220">Common_InputFunctions.Utility_DisplayArrayInTable(Fertiliser_SourceData.Fertiliser_Products_Data5(),FertiliserProducts[[#Headers],[Company]], 121)</f>
        <v>0.22700000000000001</v>
      </c>
      <c r="U220" s="172" t="str" cm="1">
        <f t="array" ref="U220">Common_InputFunctions.Utility_DisplayArrayInTable(Fertiliser_SourceData.Fertiliser_Products_Data5(),FertiliserProducts[[#Headers],[Company]], 121)</f>
        <v>Copper</v>
      </c>
      <c r="V220" s="172" t="str" cm="1">
        <f t="array" ref="V220">Common_InputFunctions.Utility_DisplayArrayInTable(Fertiliser_SourceData.Fertiliser_Products_Data5(),FertiliserProducts[[#Headers],[Company]], 121)</f>
        <v>No data</v>
      </c>
      <c r="W220" s="172" t="str" cm="1">
        <f t="array" ref="W220">Common_InputFunctions.Utility_DisplayArrayInTable(Fertiliser_SourceData.Fertiliser_Products_Data5(),FertiliserProducts[[#Headers],[Company]], 121)</f>
        <v>Zinc</v>
      </c>
      <c r="X220" s="172" t="str" cm="1">
        <f t="array" ref="X220">Common_InputFunctions.Utility_DisplayArrayInTable(Fertiliser_SourceData.Fertiliser_Products_Data5(),FertiliserProducts[[#Headers],[Company]], 121)</f>
        <v>No data</v>
      </c>
      <c r="Y220" s="172" t="str" cm="1">
        <f t="array" ref="Y220">Common_InputFunctions.Utility_DisplayArrayInTable(Fertiliser_SourceData.Fertiliser_Products_Data5(),FertiliserProducts[[#Headers],[Company]], 121)</f>
        <v/>
      </c>
      <c r="Z220" s="172" t="str" cm="1">
        <f t="array" ref="Z220">Common_InputFunctions.Utility_DisplayArrayInTable(Fertiliser_SourceData.Fertiliser_Products_Data5(),FertiliserProducts[[#Headers],[Company]], 121)</f>
        <v/>
      </c>
      <c r="AA220" s="172" t="str" cm="1">
        <f t="array" ref="AA220">Common_InputFunctions.Utility_DisplayArrayInTable(Fertiliser_SourceData.Fertiliser_Products_Data5(),FertiliserProducts[[#Headers],[Company]], 121)</f>
        <v/>
      </c>
      <c r="AB220" s="172" t="str" cm="1">
        <f t="array" ref="AB220">Common_InputFunctions.Utility_DisplayArrayInTable(Fertiliser_SourceData.Fertiliser_Products_Data5(),FertiliserProducts[[#Headers],[Company]], 121)</f>
        <v/>
      </c>
      <c r="AC220" s="172" t="str" cm="1">
        <f t="array" ref="AC220">Common_InputFunctions.Utility_DisplayArrayInTable(Fertiliser_SourceData.Fertiliser_Products_Data5(),FertiliserProducts[[#Headers],[Company]], 121)</f>
        <v/>
      </c>
      <c r="AD220" s="172" t="str" cm="1">
        <f t="array" ref="AD220">Common_InputFunctions.Utility_DisplayArrayInTable(Fertiliser_SourceData.Fertiliser_Products_Data5(),FertiliserProducts[[#Headers],[Company]], 121)</f>
        <v/>
      </c>
      <c r="AE220" s="172" t="str" cm="1">
        <f t="array" ref="AE220">Common_InputFunctions.Utility_DisplayArrayInTable(Fertiliser_SourceData.Fertiliser_Products_Data5(),FertiliserProducts[[#Headers],[Company]], 121)</f>
        <v/>
      </c>
      <c r="AF220" s="172" t="str" cm="1">
        <f t="array" ref="AF220">Common_InputFunctions.Utility_DisplayArrayInTable(Fertiliser_SourceData.Fertiliser_Products_Data5(),FertiliserProducts[[#Headers],[Company]], 121)</f>
        <v/>
      </c>
      <c r="AG220" s="172" t="str" cm="1">
        <f t="array" ref="AG220">Common_InputFunctions.Utility_DisplayArrayInTable(Fertiliser_SourceData.Fertiliser_Products_Data5(),FertiliserProducts[[#Headers],[Company]], 121)</f>
        <v/>
      </c>
      <c r="AH220" s="172" t="str" cm="1">
        <f t="array" ref="AH220">Common_InputFunctions.Utility_DisplayArrayInTable(Fertiliser_SourceData.Fertiliser_Products_Data5(),FertiliserProducts[[#Headers],[Company]], 121)</f>
        <v/>
      </c>
    </row>
    <row r="221" spans="4:34" x14ac:dyDescent="0.25">
      <c r="D221" s="172" t="str" cm="1">
        <f t="array" ref="D221">Common_InputFunctions.Utility_DisplayArrayInTable(Fertiliser_SourceData.Fertiliser_Products_Data5(),FertiliserProducts[[#Headers],[Company]], 121)</f>
        <v>CSBP</v>
      </c>
      <c r="E221" s="172" t="str" cm="1">
        <f t="array" ref="E221">Common_InputFunctions.Utility_DisplayArrayInTable(Fertiliser_SourceData.Fertiliser_Products_Data5(),FertiliserProducts[[#Headers],[Company]], 121)</f>
        <v>Agras Extra</v>
      </c>
      <c r="F221" s="172" t="str" cm="1">
        <f t="array" ref="F221">Common_InputFunctions.Utility_DisplayArrayInTable(Fertiliser_SourceData.Fertiliser_Products_Data5(),FertiliserProducts[[#Headers],[Company]], 121)</f>
        <v>kg</v>
      </c>
      <c r="G221" s="172" cm="1">
        <f t="array" ref="G221">Common_InputFunctions.Utility_DisplayArrayInTable(Fertiliser_SourceData.Fertiliser_Products_Data5(),FertiliserProducts[[#Headers],[Company]], 121)</f>
        <v>1</v>
      </c>
      <c r="H221" s="172" t="str" cm="1">
        <f t="array" ref="H221">Common_InputFunctions.Utility_DisplayArrayInTable(Fertiliser_SourceData.Fertiliser_Products_Data5(),FertiliserProducts[[#Headers],[Company]], 121)</f>
        <v/>
      </c>
      <c r="I221" s="172" t="str" cm="1">
        <f t="array" ref="I221">Common_InputFunctions.Utility_DisplayArrayInTable(Fertiliser_SourceData.Fertiliser_Products_Data5(),FertiliserProducts[[#Headers],[Company]], 121)</f>
        <v/>
      </c>
      <c r="J221" s="172" t="str" cm="1">
        <f t="array" ref="J221">Common_InputFunctions.Utility_DisplayArrayInTable(Fertiliser_SourceData.Fertiliser_Products_Data5(),FertiliserProducts[[#Headers],[Company]], 121)</f>
        <v/>
      </c>
      <c r="K221" s="172" cm="1">
        <f t="array" ref="K221">Common_InputFunctions.Utility_DisplayArrayInTable(Fertiliser_SourceData.Fertiliser_Products_Data5(),FertiliserProducts[[#Headers],[Company]], 121)</f>
        <v>16.95</v>
      </c>
      <c r="L221" s="172" cm="1">
        <f t="array" ref="L221">Common_InputFunctions.Utility_DisplayArrayInTable(Fertiliser_SourceData.Fertiliser_Products_Data5(),FertiliserProducts[[#Headers],[Company]], 121)</f>
        <v>8.06</v>
      </c>
      <c r="M221" s="172" t="str" cm="1">
        <f t="array" ref="M221">Common_InputFunctions.Utility_DisplayArrayInTable(Fertiliser_SourceData.Fertiliser_Products_Data5(),FertiliserProducts[[#Headers],[Company]], 121)</f>
        <v/>
      </c>
      <c r="N221" s="172" cm="1">
        <f t="array" ref="N221">Common_InputFunctions.Utility_DisplayArrayInTable(Fertiliser_SourceData.Fertiliser_Products_Data5(),FertiliserProducts[[#Headers],[Company]], 121)</f>
        <v>15.17</v>
      </c>
      <c r="O221" s="172" t="str" cm="1">
        <f t="array" ref="O221">Common_InputFunctions.Utility_DisplayArrayInTable(Fertiliser_SourceData.Fertiliser_Products_Data5(),FertiliserProducts[[#Headers],[Company]], 121)</f>
        <v>Sulphate of ammonia (SOA)</v>
      </c>
      <c r="P221" s="172" cm="1">
        <f t="array" ref="P221">Common_InputFunctions.Utility_DisplayArrayInTable(Fertiliser_SourceData.Fertiliser_Products_Data5(),FertiliserProducts[[#Headers],[Company]], 121)</f>
        <v>0.63200000000000001</v>
      </c>
      <c r="Q221" s="172" t="str" cm="1">
        <f t="array" ref="Q221">Common_InputFunctions.Utility_DisplayArrayInTable(Fertiliser_SourceData.Fertiliser_Products_Data5(),FertiliserProducts[[#Headers],[Company]], 121)</f>
        <v>Monoammonium phosphate (MAP)</v>
      </c>
      <c r="R221" s="172" cm="1">
        <f t="array" ref="R221">Common_InputFunctions.Utility_DisplayArrayInTable(Fertiliser_SourceData.Fertiliser_Products_Data5(),FertiliserProducts[[#Headers],[Company]], 121)</f>
        <v>0.36799999999999999</v>
      </c>
      <c r="S221" s="172" t="str" cm="1">
        <f t="array" ref="S221">Common_InputFunctions.Utility_DisplayArrayInTable(Fertiliser_SourceData.Fertiliser_Products_Data5(),FertiliserProducts[[#Headers],[Company]], 121)</f>
        <v>Zinc</v>
      </c>
      <c r="T221" s="172" t="str" cm="1">
        <f t="array" ref="T221">Common_InputFunctions.Utility_DisplayArrayInTable(Fertiliser_SourceData.Fertiliser_Products_Data5(),FertiliserProducts[[#Headers],[Company]], 121)</f>
        <v>No data</v>
      </c>
      <c r="U221" s="172" t="str" cm="1">
        <f t="array" ref="U221">Common_InputFunctions.Utility_DisplayArrayInTable(Fertiliser_SourceData.Fertiliser_Products_Data5(),FertiliserProducts[[#Headers],[Company]], 121)</f>
        <v>Copper</v>
      </c>
      <c r="V221" s="172" t="str" cm="1">
        <f t="array" ref="V221">Common_InputFunctions.Utility_DisplayArrayInTable(Fertiliser_SourceData.Fertiliser_Products_Data5(),FertiliserProducts[[#Headers],[Company]], 121)</f>
        <v>No data</v>
      </c>
      <c r="W221" s="172" t="str" cm="1">
        <f t="array" ref="W221">Common_InputFunctions.Utility_DisplayArrayInTable(Fertiliser_SourceData.Fertiliser_Products_Data5(),FertiliserProducts[[#Headers],[Company]], 121)</f>
        <v>Molybdenum</v>
      </c>
      <c r="X221" s="172" t="str" cm="1">
        <f t="array" ref="X221">Common_InputFunctions.Utility_DisplayArrayInTable(Fertiliser_SourceData.Fertiliser_Products_Data5(),FertiliserProducts[[#Headers],[Company]], 121)</f>
        <v>No data</v>
      </c>
      <c r="Y221" s="172" t="str" cm="1">
        <f t="array" ref="Y221">Common_InputFunctions.Utility_DisplayArrayInTable(Fertiliser_SourceData.Fertiliser_Products_Data5(),FertiliserProducts[[#Headers],[Company]], 121)</f>
        <v>Cobalt</v>
      </c>
      <c r="Z221" s="172" t="str" cm="1">
        <f t="array" ref="Z221">Common_InputFunctions.Utility_DisplayArrayInTable(Fertiliser_SourceData.Fertiliser_Products_Data5(),FertiliserProducts[[#Headers],[Company]], 121)</f>
        <v>No data</v>
      </c>
      <c r="AA221" s="172" t="str" cm="1">
        <f t="array" ref="AA221">Common_InputFunctions.Utility_DisplayArrayInTable(Fertiliser_SourceData.Fertiliser_Products_Data5(),FertiliserProducts[[#Headers],[Company]], 121)</f>
        <v/>
      </c>
      <c r="AB221" s="172" t="str" cm="1">
        <f t="array" ref="AB221">Common_InputFunctions.Utility_DisplayArrayInTable(Fertiliser_SourceData.Fertiliser_Products_Data5(),FertiliserProducts[[#Headers],[Company]], 121)</f>
        <v/>
      </c>
      <c r="AC221" s="172" t="str" cm="1">
        <f t="array" ref="AC221">Common_InputFunctions.Utility_DisplayArrayInTable(Fertiliser_SourceData.Fertiliser_Products_Data5(),FertiliserProducts[[#Headers],[Company]], 121)</f>
        <v/>
      </c>
      <c r="AD221" s="172" t="str" cm="1">
        <f t="array" ref="AD221">Common_InputFunctions.Utility_DisplayArrayInTable(Fertiliser_SourceData.Fertiliser_Products_Data5(),FertiliserProducts[[#Headers],[Company]], 121)</f>
        <v/>
      </c>
      <c r="AE221" s="172" t="str" cm="1">
        <f t="array" ref="AE221">Common_InputFunctions.Utility_DisplayArrayInTable(Fertiliser_SourceData.Fertiliser_Products_Data5(),FertiliserProducts[[#Headers],[Company]], 121)</f>
        <v/>
      </c>
      <c r="AF221" s="172" t="str" cm="1">
        <f t="array" ref="AF221">Common_InputFunctions.Utility_DisplayArrayInTable(Fertiliser_SourceData.Fertiliser_Products_Data5(),FertiliserProducts[[#Headers],[Company]], 121)</f>
        <v/>
      </c>
      <c r="AG221" s="172" t="str" cm="1">
        <f t="array" ref="AG221">Common_InputFunctions.Utility_DisplayArrayInTable(Fertiliser_SourceData.Fertiliser_Products_Data5(),FertiliserProducts[[#Headers],[Company]], 121)</f>
        <v/>
      </c>
      <c r="AH221" s="172" t="str" cm="1">
        <f t="array" ref="AH221">Common_InputFunctions.Utility_DisplayArrayInTable(Fertiliser_SourceData.Fertiliser_Products_Data5(),FertiliserProducts[[#Headers],[Company]], 121)</f>
        <v/>
      </c>
    </row>
    <row r="222" spans="4:34" x14ac:dyDescent="0.25">
      <c r="D222" s="172" t="str" cm="1">
        <f t="array" ref="D222">Common_InputFunctions.Utility_DisplayArrayInTable(Fertiliser_SourceData.Fertiliser_Products_Data5(),FertiliserProducts[[#Headers],[Company]], 121)</f>
        <v>CSBP</v>
      </c>
      <c r="E222" s="172" t="str" cm="1">
        <f t="array" ref="E222">Common_InputFunctions.Utility_DisplayArrayInTable(Fertiliser_SourceData.Fertiliser_Products_Data5(),FertiliserProducts[[#Headers],[Company]], 121)</f>
        <v>Super Copper Zinc Moly</v>
      </c>
      <c r="F222" s="172" t="str" cm="1">
        <f t="array" ref="F222">Common_InputFunctions.Utility_DisplayArrayInTable(Fertiliser_SourceData.Fertiliser_Products_Data5(),FertiliserProducts[[#Headers],[Company]], 121)</f>
        <v>kg</v>
      </c>
      <c r="G222" s="172" cm="1">
        <f t="array" ref="G222">Common_InputFunctions.Utility_DisplayArrayInTable(Fertiliser_SourceData.Fertiliser_Products_Data5(),FertiliserProducts[[#Headers],[Company]], 121)</f>
        <v>1</v>
      </c>
      <c r="H222" s="172" t="str" cm="1">
        <f t="array" ref="H222">Common_InputFunctions.Utility_DisplayArrayInTable(Fertiliser_SourceData.Fertiliser_Products_Data5(),FertiliserProducts[[#Headers],[Company]], 121)</f>
        <v/>
      </c>
      <c r="I222" s="172" t="str" cm="1">
        <f t="array" ref="I222">Common_InputFunctions.Utility_DisplayArrayInTable(Fertiliser_SourceData.Fertiliser_Products_Data5(),FertiliserProducts[[#Headers],[Company]], 121)</f>
        <v/>
      </c>
      <c r="J222" s="172" t="str" cm="1">
        <f t="array" ref="J222">Common_InputFunctions.Utility_DisplayArrayInTable(Fertiliser_SourceData.Fertiliser_Products_Data5(),FertiliserProducts[[#Headers],[Company]], 121)</f>
        <v/>
      </c>
      <c r="K222" s="172" t="str" cm="1">
        <f t="array" ref="K222">Common_InputFunctions.Utility_DisplayArrayInTable(Fertiliser_SourceData.Fertiliser_Products_Data5(),FertiliserProducts[[#Headers],[Company]], 121)</f>
        <v/>
      </c>
      <c r="L222" s="172" cm="1">
        <f t="array" ref="L222">Common_InputFunctions.Utility_DisplayArrayInTable(Fertiliser_SourceData.Fertiliser_Products_Data5(),FertiliserProducts[[#Headers],[Company]], 121)</f>
        <v>8.8000000000000007</v>
      </c>
      <c r="M222" s="172" t="str" cm="1">
        <f t="array" ref="M222">Common_InputFunctions.Utility_DisplayArrayInTable(Fertiliser_SourceData.Fertiliser_Products_Data5(),FertiliserProducts[[#Headers],[Company]], 121)</f>
        <v/>
      </c>
      <c r="N222" s="172" cm="1">
        <f t="array" ref="N222">Common_InputFunctions.Utility_DisplayArrayInTable(Fertiliser_SourceData.Fertiliser_Products_Data5(),FertiliserProducts[[#Headers],[Company]], 121)</f>
        <v>11</v>
      </c>
      <c r="O222" s="172" t="str" cm="1">
        <f t="array" ref="O222">Common_InputFunctions.Utility_DisplayArrayInTable(Fertiliser_SourceData.Fertiliser_Products_Data5(),FertiliserProducts[[#Headers],[Company]], 121)</f>
        <v>Single superphosphate (SSP)</v>
      </c>
      <c r="P222" s="172" cm="1">
        <f t="array" ref="P222">Common_InputFunctions.Utility_DisplayArrayInTable(Fertiliser_SourceData.Fertiliser_Products_Data5(),FertiliserProducts[[#Headers],[Company]], 121)</f>
        <v>1</v>
      </c>
      <c r="Q222" s="172" t="str" cm="1">
        <f t="array" ref="Q222">Common_InputFunctions.Utility_DisplayArrayInTable(Fertiliser_SourceData.Fertiliser_Products_Data5(),FertiliserProducts[[#Headers],[Company]], 121)</f>
        <v>Copper</v>
      </c>
      <c r="R222" s="172" cm="1">
        <f t="array" ref="R222">Common_InputFunctions.Utility_DisplayArrayInTable(Fertiliser_SourceData.Fertiliser_Products_Data5(),FertiliserProducts[[#Headers],[Company]], 121)</f>
        <v>6.0000000000000001E-3</v>
      </c>
      <c r="S222" s="172" t="str" cm="1">
        <f t="array" ref="S222">Common_InputFunctions.Utility_DisplayArrayInTable(Fertiliser_SourceData.Fertiliser_Products_Data5(),FertiliserProducts[[#Headers],[Company]], 121)</f>
        <v>Zinc</v>
      </c>
      <c r="T222" s="172" cm="1">
        <f t="array" ref="T222">Common_InputFunctions.Utility_DisplayArrayInTable(Fertiliser_SourceData.Fertiliser_Products_Data5(),FertiliserProducts[[#Headers],[Company]], 121)</f>
        <v>3.0000000000000001E-3</v>
      </c>
      <c r="U222" s="172" t="str" cm="1">
        <f t="array" ref="U222">Common_InputFunctions.Utility_DisplayArrayInTable(Fertiliser_SourceData.Fertiliser_Products_Data5(),FertiliserProducts[[#Headers],[Company]], 121)</f>
        <v>Molybdenum</v>
      </c>
      <c r="V222" s="172" cm="1">
        <f t="array" ref="V222">Common_InputFunctions.Utility_DisplayArrayInTable(Fertiliser_SourceData.Fertiliser_Products_Data5(),FertiliserProducts[[#Headers],[Company]], 121)</f>
        <v>5.9999999999999995E-4</v>
      </c>
      <c r="W222" s="172" t="str" cm="1">
        <f t="array" ref="W222">Common_InputFunctions.Utility_DisplayArrayInTable(Fertiliser_SourceData.Fertiliser_Products_Data5(),FertiliserProducts[[#Headers],[Company]], 121)</f>
        <v/>
      </c>
      <c r="X222" s="172" t="str" cm="1">
        <f t="array" ref="X222">Common_InputFunctions.Utility_DisplayArrayInTable(Fertiliser_SourceData.Fertiliser_Products_Data5(),FertiliserProducts[[#Headers],[Company]], 121)</f>
        <v/>
      </c>
      <c r="Y222" s="172" t="str" cm="1">
        <f t="array" ref="Y222">Common_InputFunctions.Utility_DisplayArrayInTable(Fertiliser_SourceData.Fertiliser_Products_Data5(),FertiliserProducts[[#Headers],[Company]], 121)</f>
        <v/>
      </c>
      <c r="Z222" s="172" t="str" cm="1">
        <f t="array" ref="Z222">Common_InputFunctions.Utility_DisplayArrayInTable(Fertiliser_SourceData.Fertiliser_Products_Data5(),FertiliserProducts[[#Headers],[Company]], 121)</f>
        <v/>
      </c>
      <c r="AA222" s="172" t="str" cm="1">
        <f t="array" ref="AA222">Common_InputFunctions.Utility_DisplayArrayInTable(Fertiliser_SourceData.Fertiliser_Products_Data5(),FertiliserProducts[[#Headers],[Company]], 121)</f>
        <v/>
      </c>
      <c r="AB222" s="172" t="str" cm="1">
        <f t="array" ref="AB222">Common_InputFunctions.Utility_DisplayArrayInTable(Fertiliser_SourceData.Fertiliser_Products_Data5(),FertiliserProducts[[#Headers],[Company]], 121)</f>
        <v/>
      </c>
      <c r="AC222" s="172" t="str" cm="1">
        <f t="array" ref="AC222">Common_InputFunctions.Utility_DisplayArrayInTable(Fertiliser_SourceData.Fertiliser_Products_Data5(),FertiliserProducts[[#Headers],[Company]], 121)</f>
        <v/>
      </c>
      <c r="AD222" s="172" t="str" cm="1">
        <f t="array" ref="AD222">Common_InputFunctions.Utility_DisplayArrayInTable(Fertiliser_SourceData.Fertiliser_Products_Data5(),FertiliserProducts[[#Headers],[Company]], 121)</f>
        <v/>
      </c>
      <c r="AE222" s="172" t="str" cm="1">
        <f t="array" ref="AE222">Common_InputFunctions.Utility_DisplayArrayInTable(Fertiliser_SourceData.Fertiliser_Products_Data5(),FertiliserProducts[[#Headers],[Company]], 121)</f>
        <v/>
      </c>
      <c r="AF222" s="172" t="str" cm="1">
        <f t="array" ref="AF222">Common_InputFunctions.Utility_DisplayArrayInTable(Fertiliser_SourceData.Fertiliser_Products_Data5(),FertiliserProducts[[#Headers],[Company]], 121)</f>
        <v/>
      </c>
      <c r="AG222" s="172" t="str" cm="1">
        <f t="array" ref="AG222">Common_InputFunctions.Utility_DisplayArrayInTable(Fertiliser_SourceData.Fertiliser_Products_Data5(),FertiliserProducts[[#Headers],[Company]], 121)</f>
        <v/>
      </c>
      <c r="AH222" s="172" t="str" cm="1">
        <f t="array" ref="AH222">Common_InputFunctions.Utility_DisplayArrayInTable(Fertiliser_SourceData.Fertiliser_Products_Data5(),FertiliserProducts[[#Headers],[Company]], 121)</f>
        <v/>
      </c>
    </row>
    <row r="223" spans="4:34" x14ac:dyDescent="0.25">
      <c r="D223" s="172" t="str" cm="1">
        <f t="array" ref="D223">Common_InputFunctions.Utility_DisplayArrayInTable(Fertiliser_SourceData.Fertiliser_Products_Data5(),FertiliserProducts[[#Headers],[Company]], 121)</f>
        <v>CSBP</v>
      </c>
      <c r="E223" s="172" t="str" cm="1">
        <f t="array" ref="E223">Common_InputFunctions.Utility_DisplayArrayInTable(Fertiliser_SourceData.Fertiliser_Products_Data5(),FertiliserProducts[[#Headers],[Company]], 121)</f>
        <v>Flexi-N</v>
      </c>
      <c r="F223" s="172" t="str" cm="1">
        <f t="array" ref="F223">Common_InputFunctions.Utility_DisplayArrayInTable(Fertiliser_SourceData.Fertiliser_Products_Data5(),FertiliserProducts[[#Headers],[Company]], 121)</f>
        <v>L</v>
      </c>
      <c r="G223" s="172" cm="1">
        <f t="array" ref="G223">Common_InputFunctions.Utility_DisplayArrayInTable(Fertiliser_SourceData.Fertiliser_Products_Data5(),FertiliserProducts[[#Headers],[Company]], 121)</f>
        <v>1.32</v>
      </c>
      <c r="H223" s="172" t="str" cm="1">
        <f t="array" ref="H223">Common_InputFunctions.Utility_DisplayArrayInTable(Fertiliser_SourceData.Fertiliser_Products_Data5(),FertiliserProducts[[#Headers],[Company]], 121)</f>
        <v/>
      </c>
      <c r="I223" s="172" t="str" cm="1">
        <f t="array" ref="I223">Common_InputFunctions.Utility_DisplayArrayInTable(Fertiliser_SourceData.Fertiliser_Products_Data5(),FertiliserProducts[[#Headers],[Company]], 121)</f>
        <v/>
      </c>
      <c r="J223" s="172" t="str" cm="1">
        <f t="array" ref="J223">Common_InputFunctions.Utility_DisplayArrayInTable(Fertiliser_SourceData.Fertiliser_Products_Data5(),FertiliserProducts[[#Headers],[Company]], 121)</f>
        <v/>
      </c>
      <c r="K223" s="172" cm="1">
        <f t="array" ref="K223">Common_InputFunctions.Utility_DisplayArrayInTable(Fertiliser_SourceData.Fertiliser_Products_Data5(),FertiliserProducts[[#Headers],[Company]], 121)</f>
        <v>32</v>
      </c>
      <c r="L223" s="172" t="str" cm="1">
        <f t="array" ref="L223">Common_InputFunctions.Utility_DisplayArrayInTable(Fertiliser_SourceData.Fertiliser_Products_Data5(),FertiliserProducts[[#Headers],[Company]], 121)</f>
        <v/>
      </c>
      <c r="M223" s="172" t="str" cm="1">
        <f t="array" ref="M223">Common_InputFunctions.Utility_DisplayArrayInTable(Fertiliser_SourceData.Fertiliser_Products_Data5(),FertiliserProducts[[#Headers],[Company]], 121)</f>
        <v/>
      </c>
      <c r="N223" s="172" t="str" cm="1">
        <f t="array" ref="N223">Common_InputFunctions.Utility_DisplayArrayInTable(Fertiliser_SourceData.Fertiliser_Products_Data5(),FertiliserProducts[[#Headers],[Company]], 121)</f>
        <v/>
      </c>
      <c r="O223" s="172" t="str" cm="1">
        <f t="array" ref="O223">Common_InputFunctions.Utility_DisplayArrayInTable(Fertiliser_SourceData.Fertiliser_Products_Data5(),FertiliserProducts[[#Headers],[Company]], 121)</f>
        <v>Urea-ammonium nitrate (UAN)</v>
      </c>
      <c r="P223" s="172" cm="1">
        <f t="array" ref="P223">Common_InputFunctions.Utility_DisplayArrayInTable(Fertiliser_SourceData.Fertiliser_Products_Data5(),FertiliserProducts[[#Headers],[Company]], 121)</f>
        <v>1</v>
      </c>
      <c r="Q223" s="172" t="str" cm="1">
        <f t="array" ref="Q223">Common_InputFunctions.Utility_DisplayArrayInTable(Fertiliser_SourceData.Fertiliser_Products_Data5(),FertiliserProducts[[#Headers],[Company]], 121)</f>
        <v/>
      </c>
      <c r="R223" s="172" t="str" cm="1">
        <f t="array" ref="R223">Common_InputFunctions.Utility_DisplayArrayInTable(Fertiliser_SourceData.Fertiliser_Products_Data5(),FertiliserProducts[[#Headers],[Company]], 121)</f>
        <v/>
      </c>
      <c r="S223" s="172" t="str" cm="1">
        <f t="array" ref="S223">Common_InputFunctions.Utility_DisplayArrayInTable(Fertiliser_SourceData.Fertiliser_Products_Data5(),FertiliserProducts[[#Headers],[Company]], 121)</f>
        <v/>
      </c>
      <c r="T223" s="172" t="str" cm="1">
        <f t="array" ref="T223">Common_InputFunctions.Utility_DisplayArrayInTable(Fertiliser_SourceData.Fertiliser_Products_Data5(),FertiliserProducts[[#Headers],[Company]], 121)</f>
        <v/>
      </c>
      <c r="U223" s="172" t="str" cm="1">
        <f t="array" ref="U223">Common_InputFunctions.Utility_DisplayArrayInTable(Fertiliser_SourceData.Fertiliser_Products_Data5(),FertiliserProducts[[#Headers],[Company]], 121)</f>
        <v/>
      </c>
      <c r="V223" s="172" t="str" cm="1">
        <f t="array" ref="V223">Common_InputFunctions.Utility_DisplayArrayInTable(Fertiliser_SourceData.Fertiliser_Products_Data5(),FertiliserProducts[[#Headers],[Company]], 121)</f>
        <v/>
      </c>
      <c r="W223" s="172" t="str" cm="1">
        <f t="array" ref="W223">Common_InputFunctions.Utility_DisplayArrayInTable(Fertiliser_SourceData.Fertiliser_Products_Data5(),FertiliserProducts[[#Headers],[Company]], 121)</f>
        <v/>
      </c>
      <c r="X223" s="172" t="str" cm="1">
        <f t="array" ref="X223">Common_InputFunctions.Utility_DisplayArrayInTable(Fertiliser_SourceData.Fertiliser_Products_Data5(),FertiliserProducts[[#Headers],[Company]], 121)</f>
        <v/>
      </c>
      <c r="Y223" s="172" t="str" cm="1">
        <f t="array" ref="Y223">Common_InputFunctions.Utility_DisplayArrayInTable(Fertiliser_SourceData.Fertiliser_Products_Data5(),FertiliserProducts[[#Headers],[Company]], 121)</f>
        <v/>
      </c>
      <c r="Z223" s="172" t="str" cm="1">
        <f t="array" ref="Z223">Common_InputFunctions.Utility_DisplayArrayInTable(Fertiliser_SourceData.Fertiliser_Products_Data5(),FertiliserProducts[[#Headers],[Company]], 121)</f>
        <v/>
      </c>
      <c r="AA223" s="172" t="str" cm="1">
        <f t="array" ref="AA223">Common_InputFunctions.Utility_DisplayArrayInTable(Fertiliser_SourceData.Fertiliser_Products_Data5(),FertiliserProducts[[#Headers],[Company]], 121)</f>
        <v/>
      </c>
      <c r="AB223" s="172" t="str" cm="1">
        <f t="array" ref="AB223">Common_InputFunctions.Utility_DisplayArrayInTable(Fertiliser_SourceData.Fertiliser_Products_Data5(),FertiliserProducts[[#Headers],[Company]], 121)</f>
        <v/>
      </c>
      <c r="AC223" s="172" t="str" cm="1">
        <f t="array" ref="AC223">Common_InputFunctions.Utility_DisplayArrayInTable(Fertiliser_SourceData.Fertiliser_Products_Data5(),FertiliserProducts[[#Headers],[Company]], 121)</f>
        <v/>
      </c>
      <c r="AD223" s="172" t="str" cm="1">
        <f t="array" ref="AD223">Common_InputFunctions.Utility_DisplayArrayInTable(Fertiliser_SourceData.Fertiliser_Products_Data5(),FertiliserProducts[[#Headers],[Company]], 121)</f>
        <v/>
      </c>
      <c r="AE223" s="172" t="str" cm="1">
        <f t="array" ref="AE223">Common_InputFunctions.Utility_DisplayArrayInTable(Fertiliser_SourceData.Fertiliser_Products_Data5(),FertiliserProducts[[#Headers],[Company]], 121)</f>
        <v/>
      </c>
      <c r="AF223" s="172" t="str" cm="1">
        <f t="array" ref="AF223">Common_InputFunctions.Utility_DisplayArrayInTable(Fertiliser_SourceData.Fertiliser_Products_Data5(),FertiliserProducts[[#Headers],[Company]], 121)</f>
        <v/>
      </c>
      <c r="AG223" s="172" t="str" cm="1">
        <f t="array" ref="AG223">Common_InputFunctions.Utility_DisplayArrayInTable(Fertiliser_SourceData.Fertiliser_Products_Data5(),FertiliserProducts[[#Headers],[Company]], 121)</f>
        <v/>
      </c>
      <c r="AH223" s="172" t="str" cm="1">
        <f t="array" ref="AH223">Common_InputFunctions.Utility_DisplayArrayInTable(Fertiliser_SourceData.Fertiliser_Products_Data5(),FertiliserProducts[[#Headers],[Company]], 121)</f>
        <v/>
      </c>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1D57B6-A9CF-449D-9855-76BFEA525BF1}">
  <dimension ref="A1:AI165"/>
  <sheetViews>
    <sheetView showGridLines="0" topLeftCell="A138" workbookViewId="0" zoomScale="100" zoomScaleNormal="100">
      <selection activeCell="A50" sqref="A50"/>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497</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Fuel_SourceData.Fuel_Scope1Scope3EmissionFactorsTransport_Title()</f>
        <v>Fuel scope 1 and 3 emission factors - Transport</v>
      </c>
      <c r="E5" s="159"/>
      <c r="F5" s="159"/>
      <c r="G5" s="159"/>
      <c r="H5" s="159"/>
      <c r="I5" s="159"/>
      <c r="J5" s="159"/>
      <c r="K5" s="159"/>
      <c r="L5" s="159"/>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159"/>
      <c r="F6" s="159"/>
      <c r="G6" s="159"/>
      <c r="H6" s="159"/>
      <c r="I6" s="159"/>
      <c r="J6" s="159"/>
      <c r="K6" s="159"/>
      <c r="L6" s="159"/>
    </row>
    <row r="7" spans="1:35" ht="20.100000000000001" customHeight="1" x14ac:dyDescent="0.25">
      <c r="D7" s="27" t="str" cm="1">
        <f t="array" ref="D7">Fuel_SourceData.Fuel_Scope1Scope3EmissionFactorsTransport_Source()</f>
        <v>Australian National Greenhouse Accounts Factors 2025 - Table 9</v>
      </c>
      <c r="E7" s="159"/>
      <c r="F7" s="159"/>
      <c r="G7" s="159"/>
      <c r="H7" s="159"/>
      <c r="I7" s="159"/>
      <c r="J7" s="159"/>
      <c r="K7" s="159"/>
      <c r="L7" s="159"/>
    </row>
    <row r="8" spans="1:35" ht="20.100000000000001" customHeight="1" x14ac:dyDescent="0.25">
      <c r="A8" s="7" t="s">
        <v>0</v>
      </c>
      <c r="D8" s="36" t="str" cm="1">
        <f t="array" ref="D8">"⚠️" &amp; Fuel_SourceData.Fuel_Scope1Scope3EmissionFactorsTransport_Variation()</f>
        <v>⚠️VARIATION OF SOURCE DATA: 'NE' values returned as zero for calculations.</v>
      </c>
      <c r="E8" s="159"/>
      <c r="F8" s="159"/>
      <c r="G8" s="159"/>
      <c r="H8" s="159"/>
      <c r="I8" s="159"/>
      <c r="J8" s="159"/>
      <c r="K8" s="159"/>
      <c r="L8" s="159"/>
    </row>
    <row r="9" spans="1:35" ht="20.100000000000001" customHeight="1" x14ac:dyDescent="0.25">
      <c r="A9" s="5" t="str">
        <f>HYPERLINK("#'Input - Enterprise'!A1", "Enterprise")</f>
        <v>Enterprise</v>
      </c>
      <c r="D9" s="214" t="s">
        <v>498</v>
      </c>
      <c r="E9" s="214" t="s">
        <v>499</v>
      </c>
      <c r="F9" s="214" t="s">
        <v>500</v>
      </c>
      <c r="G9" s="214" t="s">
        <v>501</v>
      </c>
      <c r="H9" s="214" t="s">
        <v>502</v>
      </c>
      <c r="I9" s="214" t="s">
        <v>503</v>
      </c>
      <c r="J9" s="214" t="s">
        <v>504</v>
      </c>
      <c r="K9" s="214" t="s">
        <v>505</v>
      </c>
      <c r="L9" s="214" t="s">
        <v>506</v>
      </c>
    </row>
    <row r="10" spans="1:35" ht="20.100000000000001" customHeight="1" x14ac:dyDescent="0.25">
      <c r="A10" s="5" t="str">
        <f>HYPERLINK("#'Input - Site'!A1", "Site")</f>
        <v>Site</v>
      </c>
      <c r="D10" s="215" t="str" cm="1">
        <f t="array" ref="D10">Common_InputFunctions.Utility_DisplayArrayInTable(Fuel_SourceData.Fuel_Scope1Scope3EmissionFactorsTransport_Data(), Table_Fuel_EFs_Transport[[#Headers],[Transport type]], 0)</f>
        <v>Cars and light commercial vehicles</v>
      </c>
      <c r="E10" s="215" t="str" cm="1">
        <f t="array" ref="E10">Common_InputFunctions.Utility_DisplayArrayInTable(Fuel_SourceData.Fuel_Scope1Scope3EmissionFactorsTransport_Data(), Table_Fuel_EFs_Transport[[#Headers],[Transport type]], 0)</f>
        <v>Gasoline</v>
      </c>
      <c r="F10" s="215" cm="1">
        <f t="array" ref="F10">Common_InputFunctions.Utility_DisplayArrayInTable(Fuel_SourceData.Fuel_Scope1Scope3EmissionFactorsTransport_Data(), Table_Fuel_EFs_Transport[[#Headers],[Transport type]], 0)</f>
        <v>34.200000000000003</v>
      </c>
      <c r="G10" s="215" t="str" cm="1">
        <f t="array" ref="G10">Common_InputFunctions.Utility_DisplayArrayInTable(Fuel_SourceData.Fuel_Scope1Scope3EmissionFactorsTransport_Data(), Table_Fuel_EFs_Transport[[#Headers],[Transport type]], 0)</f>
        <v>kl</v>
      </c>
      <c r="H10" s="215" cm="1">
        <f t="array" ref="H10">Common_InputFunctions.Utility_DisplayArrayInTable(Fuel_SourceData.Fuel_Scope1Scope3EmissionFactorsTransport_Data(), Table_Fuel_EFs_Transport[[#Headers],[Transport type]], 0)</f>
        <v>67.400000000000006</v>
      </c>
      <c r="I10" s="215" cm="1">
        <f t="array" ref="I10">Common_InputFunctions.Utility_DisplayArrayInTable(Fuel_SourceData.Fuel_Scope1Scope3EmissionFactorsTransport_Data(), Table_Fuel_EFs_Transport[[#Headers],[Transport type]], 0)</f>
        <v>0.02</v>
      </c>
      <c r="J10" s="215" cm="1">
        <f t="array" ref="J10">Common_InputFunctions.Utility_DisplayArrayInTable(Fuel_SourceData.Fuel_Scope1Scope3EmissionFactorsTransport_Data(), Table_Fuel_EFs_Transport[[#Headers],[Transport type]], 0)</f>
        <v>0.2</v>
      </c>
      <c r="K10" s="215" cm="1">
        <f t="array" ref="K10">Common_InputFunctions.Utility_DisplayArrayInTable(Fuel_SourceData.Fuel_Scope1Scope3EmissionFactorsTransport_Data(), Table_Fuel_EFs_Transport[[#Headers],[Transport type]], 0)</f>
        <v>67.62</v>
      </c>
      <c r="L10" s="215" cm="1">
        <f t="array" ref="L10">Common_InputFunctions.Utility_DisplayArrayInTable(Fuel_SourceData.Fuel_Scope1Scope3EmissionFactorsTransport_Data(), Table_Fuel_EFs_Transport[[#Headers],[Transport type]], 0)</f>
        <v>17.2</v>
      </c>
    </row>
    <row r="11" spans="1:35" ht="20.100000000000001" customHeight="1" x14ac:dyDescent="0.25">
      <c r="A11" s="5" t="str">
        <f>HYPERLINK("#'Input - Crop'!A1", "Crop")</f>
        <v>Crop</v>
      </c>
      <c r="D11" s="215" t="str" cm="1">
        <f t="array" ref="D11">Common_InputFunctions.Utility_DisplayArrayInTable(Fuel_SourceData.Fuel_Scope1Scope3EmissionFactorsTransport_Data(), Table_Fuel_EFs_Transport[[#Headers],[Transport type]], 0)</f>
        <v>Cars and light commercial vehicles</v>
      </c>
      <c r="E11" s="215" t="str" cm="1">
        <f t="array" ref="E11">Common_InputFunctions.Utility_DisplayArrayInTable(Fuel_SourceData.Fuel_Scope1Scope3EmissionFactorsTransport_Data(), Table_Fuel_EFs_Transport[[#Headers],[Transport type]], 0)</f>
        <v>Diesel oil</v>
      </c>
      <c r="F11" s="215" cm="1">
        <f t="array" ref="F11">Common_InputFunctions.Utility_DisplayArrayInTable(Fuel_SourceData.Fuel_Scope1Scope3EmissionFactorsTransport_Data(), Table_Fuel_EFs_Transport[[#Headers],[Transport type]], 0)</f>
        <v>38.6</v>
      </c>
      <c r="G11" s="215" t="str" cm="1">
        <f t="array" ref="G11">Common_InputFunctions.Utility_DisplayArrayInTable(Fuel_SourceData.Fuel_Scope1Scope3EmissionFactorsTransport_Data(), Table_Fuel_EFs_Transport[[#Headers],[Transport type]], 0)</f>
        <v>kl</v>
      </c>
      <c r="H11" s="215" cm="1">
        <f t="array" ref="H11">Common_InputFunctions.Utility_DisplayArrayInTable(Fuel_SourceData.Fuel_Scope1Scope3EmissionFactorsTransport_Data(), Table_Fuel_EFs_Transport[[#Headers],[Transport type]], 0)</f>
        <v>69.900000000000006</v>
      </c>
      <c r="I11" s="215" cm="1">
        <f t="array" ref="I11">Common_InputFunctions.Utility_DisplayArrayInTable(Fuel_SourceData.Fuel_Scope1Scope3EmissionFactorsTransport_Data(), Table_Fuel_EFs_Transport[[#Headers],[Transport type]], 0)</f>
        <v>0.01</v>
      </c>
      <c r="J11" s="215" cm="1">
        <f t="array" ref="J11">Common_InputFunctions.Utility_DisplayArrayInTable(Fuel_SourceData.Fuel_Scope1Scope3EmissionFactorsTransport_Data(), Table_Fuel_EFs_Transport[[#Headers],[Transport type]], 0)</f>
        <v>0.5</v>
      </c>
      <c r="K11" s="215" cm="1">
        <f t="array" ref="K11">Common_InputFunctions.Utility_DisplayArrayInTable(Fuel_SourceData.Fuel_Scope1Scope3EmissionFactorsTransport_Data(), Table_Fuel_EFs_Transport[[#Headers],[Transport type]], 0)</f>
        <v>70.41</v>
      </c>
      <c r="L11" s="215" cm="1">
        <f t="array" ref="L11">Common_InputFunctions.Utility_DisplayArrayInTable(Fuel_SourceData.Fuel_Scope1Scope3EmissionFactorsTransport_Data(), Table_Fuel_EFs_Transport[[#Headers],[Transport type]], 0)</f>
        <v>17.3</v>
      </c>
    </row>
    <row r="12" spans="1:35" ht="20.100000000000001" customHeight="1" x14ac:dyDescent="0.25">
      <c r="A12" s="5" t="str">
        <f>HYPERLINK("#'Input - Fert Prod System'!A1", "Fert Prod System")</f>
        <v>Fert Prod System</v>
      </c>
      <c r="D12" s="215" t="str" cm="1">
        <f t="array" ref="D12">Common_InputFunctions.Utility_DisplayArrayInTable(Fuel_SourceData.Fuel_Scope1Scope3EmissionFactorsTransport_Data(), Table_Fuel_EFs_Transport[[#Headers],[Transport type]], 0)</f>
        <v>Cars and light commercial vehicles</v>
      </c>
      <c r="E12" s="215" t="str" cm="1">
        <f t="array" ref="E12">Common_InputFunctions.Utility_DisplayArrayInTable(Fuel_SourceData.Fuel_Scope1Scope3EmissionFactorsTransport_Data(), Table_Fuel_EFs_Transport[[#Headers],[Transport type]], 0)</f>
        <v>Liquefied petroleum gas (LPG)</v>
      </c>
      <c r="F12" s="215" cm="1">
        <f t="array" ref="F12">Common_InputFunctions.Utility_DisplayArrayInTable(Fuel_SourceData.Fuel_Scope1Scope3EmissionFactorsTransport_Data(), Table_Fuel_EFs_Transport[[#Headers],[Transport type]], 0)</f>
        <v>26.2</v>
      </c>
      <c r="G12" s="215" t="str" cm="1">
        <f t="array" ref="G12">Common_InputFunctions.Utility_DisplayArrayInTable(Fuel_SourceData.Fuel_Scope1Scope3EmissionFactorsTransport_Data(), Table_Fuel_EFs_Transport[[#Headers],[Transport type]], 0)</f>
        <v>kl</v>
      </c>
      <c r="H12" s="215" cm="1">
        <f t="array" ref="H12">Common_InputFunctions.Utility_DisplayArrayInTable(Fuel_SourceData.Fuel_Scope1Scope3EmissionFactorsTransport_Data(), Table_Fuel_EFs_Transport[[#Headers],[Transport type]], 0)</f>
        <v>60.2</v>
      </c>
      <c r="I12" s="215" cm="1">
        <f t="array" ref="I12">Common_InputFunctions.Utility_DisplayArrayInTable(Fuel_SourceData.Fuel_Scope1Scope3EmissionFactorsTransport_Data(), Table_Fuel_EFs_Transport[[#Headers],[Transport type]], 0)</f>
        <v>0.5</v>
      </c>
      <c r="J12" s="215" cm="1">
        <f t="array" ref="J12">Common_InputFunctions.Utility_DisplayArrayInTable(Fuel_SourceData.Fuel_Scope1Scope3EmissionFactorsTransport_Data(), Table_Fuel_EFs_Transport[[#Headers],[Transport type]], 0)</f>
        <v>0.3</v>
      </c>
      <c r="K12" s="215" cm="1">
        <f t="array" ref="K12">Common_InputFunctions.Utility_DisplayArrayInTable(Fuel_SourceData.Fuel_Scope1Scope3EmissionFactorsTransport_Data(), Table_Fuel_EFs_Transport[[#Headers],[Transport type]], 0)</f>
        <v>61</v>
      </c>
      <c r="L12" s="215" cm="1">
        <f t="array" ref="L12">Common_InputFunctions.Utility_DisplayArrayInTable(Fuel_SourceData.Fuel_Scope1Scope3EmissionFactorsTransport_Data(), Table_Fuel_EFs_Transport[[#Headers],[Transport type]], 0)</f>
        <v>20.2</v>
      </c>
    </row>
    <row r="13" spans="1:35" ht="20.100000000000001" customHeight="1" x14ac:dyDescent="0.25">
      <c r="A13" s="5" t="str">
        <f>HYPERLINK("#'Input - Fertiliser'!A1", "Fertiliser")</f>
        <v>Fertiliser</v>
      </c>
      <c r="D13" s="215" t="str" cm="1">
        <f t="array" ref="D13">Common_InputFunctions.Utility_DisplayArrayInTable(Fuel_SourceData.Fuel_Scope1Scope3EmissionFactorsTransport_Data(), Table_Fuel_EFs_Transport[[#Headers],[Transport type]], 0)</f>
        <v>Cars and light commercial vehicles</v>
      </c>
      <c r="E13" s="215" t="str" cm="1">
        <f t="array" ref="E13">Common_InputFunctions.Utility_DisplayArrayInTable(Fuel_SourceData.Fuel_Scope1Scope3EmissionFactorsTransport_Data(), Table_Fuel_EFs_Transport[[#Headers],[Transport type]], 0)</f>
        <v>Fuel oil</v>
      </c>
      <c r="F13" s="215" cm="1">
        <f t="array" ref="F13">Common_InputFunctions.Utility_DisplayArrayInTable(Fuel_SourceData.Fuel_Scope1Scope3EmissionFactorsTransport_Data(), Table_Fuel_EFs_Transport[[#Headers],[Transport type]], 0)</f>
        <v>39.700000000000003</v>
      </c>
      <c r="G13" s="215" t="str" cm="1">
        <f t="array" ref="G13">Common_InputFunctions.Utility_DisplayArrayInTable(Fuel_SourceData.Fuel_Scope1Scope3EmissionFactorsTransport_Data(), Table_Fuel_EFs_Transport[[#Headers],[Transport type]], 0)</f>
        <v>kl</v>
      </c>
      <c r="H13" s="215" cm="1">
        <f t="array" ref="H13">Common_InputFunctions.Utility_DisplayArrayInTable(Fuel_SourceData.Fuel_Scope1Scope3EmissionFactorsTransport_Data(), Table_Fuel_EFs_Transport[[#Headers],[Transport type]], 0)</f>
        <v>73.599999999999994</v>
      </c>
      <c r="I13" s="215" cm="1">
        <f t="array" ref="I13">Common_InputFunctions.Utility_DisplayArrayInTable(Fuel_SourceData.Fuel_Scope1Scope3EmissionFactorsTransport_Data(), Table_Fuel_EFs_Transport[[#Headers],[Transport type]], 0)</f>
        <v>0.08</v>
      </c>
      <c r="J13" s="215" cm="1">
        <f t="array" ref="J13">Common_InputFunctions.Utility_DisplayArrayInTable(Fuel_SourceData.Fuel_Scope1Scope3EmissionFactorsTransport_Data(), Table_Fuel_EFs_Transport[[#Headers],[Transport type]], 0)</f>
        <v>0.5</v>
      </c>
      <c r="K13" s="215" cm="1">
        <f t="array" ref="K13">Common_InputFunctions.Utility_DisplayArrayInTable(Fuel_SourceData.Fuel_Scope1Scope3EmissionFactorsTransport_Data(), Table_Fuel_EFs_Transport[[#Headers],[Transport type]], 0)</f>
        <v>74.180000000000007</v>
      </c>
      <c r="L13" s="215" cm="1">
        <f t="array" ref="L13">Common_InputFunctions.Utility_DisplayArrayInTable(Fuel_SourceData.Fuel_Scope1Scope3EmissionFactorsTransport_Data(), Table_Fuel_EFs_Transport[[#Headers],[Transport type]], 0)</f>
        <v>18</v>
      </c>
    </row>
    <row r="14" spans="1:35" ht="20.100000000000001" customHeight="1" x14ac:dyDescent="0.25">
      <c r="A14" s="5" t="str">
        <f>HYPERLINK("#'Input - Fuel'!A1", "Fuel")</f>
        <v>Fuel</v>
      </c>
      <c r="D14" s="215" t="str" cm="1">
        <f t="array" ref="D14">Common_InputFunctions.Utility_DisplayArrayInTable(Fuel_SourceData.Fuel_Scope1Scope3EmissionFactorsTransport_Data(), Table_Fuel_EFs_Transport[[#Headers],[Transport type]], 0)</f>
        <v>Cars and light commercial vehicles</v>
      </c>
      <c r="E14" s="215" t="str" cm="1">
        <f t="array" ref="E14">Common_InputFunctions.Utility_DisplayArrayInTable(Fuel_SourceData.Fuel_Scope1Scope3EmissionFactorsTransport_Data(), Table_Fuel_EFs_Transport[[#Headers],[Transport type]], 0)</f>
        <v>Ethanol</v>
      </c>
      <c r="F14" s="215" cm="1">
        <f t="array" ref="F14">Common_InputFunctions.Utility_DisplayArrayInTable(Fuel_SourceData.Fuel_Scope1Scope3EmissionFactorsTransport_Data(), Table_Fuel_EFs_Transport[[#Headers],[Transport type]], 0)</f>
        <v>23.4</v>
      </c>
      <c r="G14" s="215" t="str" cm="1">
        <f t="array" ref="G14">Common_InputFunctions.Utility_DisplayArrayInTable(Fuel_SourceData.Fuel_Scope1Scope3EmissionFactorsTransport_Data(), Table_Fuel_EFs_Transport[[#Headers],[Transport type]], 0)</f>
        <v>kl</v>
      </c>
      <c r="H14" s="215" cm="1">
        <f t="array" ref="H14">Common_InputFunctions.Utility_DisplayArrayInTable(Fuel_SourceData.Fuel_Scope1Scope3EmissionFactorsTransport_Data(), Table_Fuel_EFs_Transport[[#Headers],[Transport type]], 0)</f>
        <v>0</v>
      </c>
      <c r="I14" s="215" cm="1">
        <f t="array" ref="I14">Common_InputFunctions.Utility_DisplayArrayInTable(Fuel_SourceData.Fuel_Scope1Scope3EmissionFactorsTransport_Data(), Table_Fuel_EFs_Transport[[#Headers],[Transport type]], 0)</f>
        <v>0.2</v>
      </c>
      <c r="J14" s="215" cm="1">
        <f t="array" ref="J14">Common_InputFunctions.Utility_DisplayArrayInTable(Fuel_SourceData.Fuel_Scope1Scope3EmissionFactorsTransport_Data(), Table_Fuel_EFs_Transport[[#Headers],[Transport type]], 0)</f>
        <v>0.2</v>
      </c>
      <c r="K14" s="215" cm="1">
        <f t="array" ref="K14">Common_InputFunctions.Utility_DisplayArrayInTable(Fuel_SourceData.Fuel_Scope1Scope3EmissionFactorsTransport_Data(), Table_Fuel_EFs_Transport[[#Headers],[Transport type]], 0)</f>
        <v>0.4</v>
      </c>
      <c r="L14" s="215" t="str" cm="1">
        <f t="array" ref="L14">Common_InputFunctions.Utility_DisplayArrayInTable(Fuel_SourceData.Fuel_Scope1Scope3EmissionFactorsTransport_Data(), Table_Fuel_EFs_Transport[[#Headers],[Transport type]], 0)</f>
        <v>NE</v>
      </c>
    </row>
    <row r="15" spans="1:35" ht="20.100000000000001" customHeight="1" x14ac:dyDescent="0.25">
      <c r="A15" s="5" t="str">
        <f>HYPERLINK("#'Input - Electricity'!A1", "Electricity")</f>
        <v>Electricity</v>
      </c>
      <c r="D15" s="215" t="str" cm="1">
        <f t="array" ref="D15">Common_InputFunctions.Utility_DisplayArrayInTable(Fuel_SourceData.Fuel_Scope1Scope3EmissionFactorsTransport_Data(), Table_Fuel_EFs_Transport[[#Headers],[Transport type]], 0)</f>
        <v>Cars and light commercial vehicles</v>
      </c>
      <c r="E15" s="215" t="str" cm="1">
        <f t="array" ref="E15">Common_InputFunctions.Utility_DisplayArrayInTable(Fuel_SourceData.Fuel_Scope1Scope3EmissionFactorsTransport_Data(), Table_Fuel_EFs_Transport[[#Headers],[Transport type]], 0)</f>
        <v>Biodiesel</v>
      </c>
      <c r="F15" s="215" cm="1">
        <f t="array" ref="F15">Common_InputFunctions.Utility_DisplayArrayInTable(Fuel_SourceData.Fuel_Scope1Scope3EmissionFactorsTransport_Data(), Table_Fuel_EFs_Transport[[#Headers],[Transport type]], 0)</f>
        <v>34.6</v>
      </c>
      <c r="G15" s="215" t="str" cm="1">
        <f t="array" ref="G15">Common_InputFunctions.Utility_DisplayArrayInTable(Fuel_SourceData.Fuel_Scope1Scope3EmissionFactorsTransport_Data(), Table_Fuel_EFs_Transport[[#Headers],[Transport type]], 0)</f>
        <v>kl</v>
      </c>
      <c r="H15" s="215" cm="1">
        <f t="array" ref="H15">Common_InputFunctions.Utility_DisplayArrayInTable(Fuel_SourceData.Fuel_Scope1Scope3EmissionFactorsTransport_Data(), Table_Fuel_EFs_Transport[[#Headers],[Transport type]], 0)</f>
        <v>0</v>
      </c>
      <c r="I15" s="215" cm="1">
        <f t="array" ref="I15">Common_InputFunctions.Utility_DisplayArrayInTable(Fuel_SourceData.Fuel_Scope1Scope3EmissionFactorsTransport_Data(), Table_Fuel_EFs_Transport[[#Headers],[Transport type]], 0)</f>
        <v>0.8</v>
      </c>
      <c r="J15" s="215" cm="1">
        <f t="array" ref="J15">Common_InputFunctions.Utility_DisplayArrayInTable(Fuel_SourceData.Fuel_Scope1Scope3EmissionFactorsTransport_Data(), Table_Fuel_EFs_Transport[[#Headers],[Transport type]], 0)</f>
        <v>1.7</v>
      </c>
      <c r="K15" s="215" cm="1">
        <f t="array" ref="K15">Common_InputFunctions.Utility_DisplayArrayInTable(Fuel_SourceData.Fuel_Scope1Scope3EmissionFactorsTransport_Data(), Table_Fuel_EFs_Transport[[#Headers],[Transport type]], 0)</f>
        <v>2.5</v>
      </c>
      <c r="L15" s="215" t="str" cm="1">
        <f t="array" ref="L15">Common_InputFunctions.Utility_DisplayArrayInTable(Fuel_SourceData.Fuel_Scope1Scope3EmissionFactorsTransport_Data(), Table_Fuel_EFs_Transport[[#Headers],[Transport type]], 0)</f>
        <v>NE</v>
      </c>
    </row>
    <row r="16" spans="1:35" ht="20.100000000000001" customHeight="1" x14ac:dyDescent="0.25">
      <c r="A16" s="5" t="str">
        <f>HYPERLINK("#'Input - Common farm inputs'!A1", "Common farm inputs")</f>
        <v>Common farm inputs</v>
      </c>
      <c r="D16" s="215" t="str" cm="1">
        <f t="array" ref="D16">Common_InputFunctions.Utility_DisplayArrayInTable(Fuel_SourceData.Fuel_Scope1Scope3EmissionFactorsTransport_Data(), Table_Fuel_EFs_Transport[[#Headers],[Transport type]], 0)</f>
        <v>Cars and light commercial vehicles</v>
      </c>
      <c r="E16" s="215" t="str" cm="1">
        <f t="array" ref="E16">Common_InputFunctions.Utility_DisplayArrayInTable(Fuel_SourceData.Fuel_Scope1Scope3EmissionFactorsTransport_Data(), Table_Fuel_EFs_Transport[[#Headers],[Transport type]], 0)</f>
        <v>Renewable diesel</v>
      </c>
      <c r="F16" s="215" cm="1">
        <f t="array" ref="F16">Common_InputFunctions.Utility_DisplayArrayInTable(Fuel_SourceData.Fuel_Scope1Scope3EmissionFactorsTransport_Data(), Table_Fuel_EFs_Transport[[#Headers],[Transport type]], 0)</f>
        <v>38.6</v>
      </c>
      <c r="G16" s="215" t="str" cm="1">
        <f t="array" ref="G16">Common_InputFunctions.Utility_DisplayArrayInTable(Fuel_SourceData.Fuel_Scope1Scope3EmissionFactorsTransport_Data(), Table_Fuel_EFs_Transport[[#Headers],[Transport type]], 0)</f>
        <v>kl</v>
      </c>
      <c r="H16" s="215" cm="1">
        <f t="array" ref="H16">Common_InputFunctions.Utility_DisplayArrayInTable(Fuel_SourceData.Fuel_Scope1Scope3EmissionFactorsTransport_Data(), Table_Fuel_EFs_Transport[[#Headers],[Transport type]], 0)</f>
        <v>0</v>
      </c>
      <c r="I16" s="215" cm="1">
        <f t="array" ref="I16">Common_InputFunctions.Utility_DisplayArrayInTable(Fuel_SourceData.Fuel_Scope1Scope3EmissionFactorsTransport_Data(), Table_Fuel_EFs_Transport[[#Headers],[Transport type]], 0)</f>
        <v>0.01</v>
      </c>
      <c r="J16" s="215" cm="1">
        <f t="array" ref="J16">Common_InputFunctions.Utility_DisplayArrayInTable(Fuel_SourceData.Fuel_Scope1Scope3EmissionFactorsTransport_Data(), Table_Fuel_EFs_Transport[[#Headers],[Transport type]], 0)</f>
        <v>0.5</v>
      </c>
      <c r="K16" s="215" cm="1">
        <f t="array" ref="K16">Common_InputFunctions.Utility_DisplayArrayInTable(Fuel_SourceData.Fuel_Scope1Scope3EmissionFactorsTransport_Data(), Table_Fuel_EFs_Transport[[#Headers],[Transport type]], 0)</f>
        <v>0.51</v>
      </c>
      <c r="L16" s="215" t="str" cm="1">
        <f t="array" ref="L16">Common_InputFunctions.Utility_DisplayArrayInTable(Fuel_SourceData.Fuel_Scope1Scope3EmissionFactorsTransport_Data(), Table_Fuel_EFs_Transport[[#Headers],[Transport type]], 0)</f>
        <v>NE</v>
      </c>
    </row>
    <row r="17" spans="1:12" ht="20.100000000000001" customHeight="1" x14ac:dyDescent="0.25">
      <c r="A17" s="5" t="str">
        <f>HYPERLINK("#'Input - Crop pasture farm input'!A1", "Crop pasture farm input")</f>
        <v>Crop pasture farm input</v>
      </c>
      <c r="D17" s="215" t="str" cm="1">
        <f t="array" ref="D17">Common_InputFunctions.Utility_DisplayArrayInTable(Fuel_SourceData.Fuel_Scope1Scope3EmissionFactorsTransport_Data(), Table_Fuel_EFs_Transport[[#Headers],[Transport type]], 0)</f>
        <v>Cars and light commercial vehicles</v>
      </c>
      <c r="E17" s="215" t="str" cm="1">
        <f t="array" ref="E17">Common_InputFunctions.Utility_DisplayArrayInTable(Fuel_SourceData.Fuel_Scope1Scope3EmissionFactorsTransport_Data(), Table_Fuel_EFs_Transport[[#Headers],[Transport type]], 0)</f>
        <v>Other biofuels</v>
      </c>
      <c r="F17" s="215" cm="1">
        <f t="array" ref="F17">Common_InputFunctions.Utility_DisplayArrayInTable(Fuel_SourceData.Fuel_Scope1Scope3EmissionFactorsTransport_Data(), Table_Fuel_EFs_Transport[[#Headers],[Transport type]], 0)</f>
        <v>23.4</v>
      </c>
      <c r="G17" s="215" t="str" cm="1">
        <f t="array" ref="G17">Common_InputFunctions.Utility_DisplayArrayInTable(Fuel_SourceData.Fuel_Scope1Scope3EmissionFactorsTransport_Data(), Table_Fuel_EFs_Transport[[#Headers],[Transport type]], 0)</f>
        <v>kl</v>
      </c>
      <c r="H17" s="215" cm="1">
        <f t="array" ref="H17">Common_InputFunctions.Utility_DisplayArrayInTable(Fuel_SourceData.Fuel_Scope1Scope3EmissionFactorsTransport_Data(), Table_Fuel_EFs_Transport[[#Headers],[Transport type]], 0)</f>
        <v>0</v>
      </c>
      <c r="I17" s="215" cm="1">
        <f t="array" ref="I17">Common_InputFunctions.Utility_DisplayArrayInTable(Fuel_SourceData.Fuel_Scope1Scope3EmissionFactorsTransport_Data(), Table_Fuel_EFs_Transport[[#Headers],[Transport type]], 0)</f>
        <v>0.8</v>
      </c>
      <c r="J17" s="215" cm="1">
        <f t="array" ref="J17">Common_InputFunctions.Utility_DisplayArrayInTable(Fuel_SourceData.Fuel_Scope1Scope3EmissionFactorsTransport_Data(), Table_Fuel_EFs_Transport[[#Headers],[Transport type]], 0)</f>
        <v>1.7</v>
      </c>
      <c r="K17" s="215" cm="1">
        <f t="array" ref="K17">Common_InputFunctions.Utility_DisplayArrayInTable(Fuel_SourceData.Fuel_Scope1Scope3EmissionFactorsTransport_Data(), Table_Fuel_EFs_Transport[[#Headers],[Transport type]], 0)</f>
        <v>2.5</v>
      </c>
      <c r="L17" s="215" t="str" cm="1">
        <f t="array" ref="L17">Common_InputFunctions.Utility_DisplayArrayInTable(Fuel_SourceData.Fuel_Scope1Scope3EmissionFactorsTransport_Data(), Table_Fuel_EFs_Transport[[#Headers],[Transport type]], 0)</f>
        <v>NE</v>
      </c>
    </row>
    <row r="18" spans="1:12" ht="20.100000000000001" customHeight="1" x14ac:dyDescent="0.25">
      <c r="A18" s="5" t="str">
        <f>HYPERLINK("#'Input - Freight'!A1", "Freight")</f>
        <v>Freight</v>
      </c>
      <c r="D18" s="215" t="str" cm="1">
        <f t="array" ref="D18">Common_InputFunctions.Utility_DisplayArrayInTable(Fuel_SourceData.Fuel_Scope1Scope3EmissionFactorsTransport_Data(), Table_Fuel_EFs_Transport[[#Headers],[Transport type]], 0)</f>
        <v>Light duty vehicles</v>
      </c>
      <c r="E18" s="215" t="str" cm="1">
        <f t="array" ref="E18">Common_InputFunctions.Utility_DisplayArrayInTable(Fuel_SourceData.Fuel_Scope1Scope3EmissionFactorsTransport_Data(), Table_Fuel_EFs_Transport[[#Headers],[Transport type]], 0)</f>
        <v>Compressed natural gas</v>
      </c>
      <c r="F18" s="215" cm="1">
        <f t="array" ref="F18">Common_InputFunctions.Utility_DisplayArrayInTable(Fuel_SourceData.Fuel_Scope1Scope3EmissionFactorsTransport_Data(), Table_Fuel_EFs_Transport[[#Headers],[Transport type]], 0)</f>
        <v>3.9300000000000002E-2</v>
      </c>
      <c r="G18" s="215" t="str" cm="1">
        <f t="array" ref="G18">Common_InputFunctions.Utility_DisplayArrayInTable(Fuel_SourceData.Fuel_Scope1Scope3EmissionFactorsTransport_Data(), Table_Fuel_EFs_Transport[[#Headers],[Transport type]], 0)</f>
        <v>m3</v>
      </c>
      <c r="H18" s="215" cm="1">
        <f t="array" ref="H18">Common_InputFunctions.Utility_DisplayArrayInTable(Fuel_SourceData.Fuel_Scope1Scope3EmissionFactorsTransport_Data(), Table_Fuel_EFs_Transport[[#Headers],[Transport type]], 0)</f>
        <v>51.4</v>
      </c>
      <c r="I18" s="215" cm="1">
        <f t="array" ref="I18">Common_InputFunctions.Utility_DisplayArrayInTable(Fuel_SourceData.Fuel_Scope1Scope3EmissionFactorsTransport_Data(), Table_Fuel_EFs_Transport[[#Headers],[Transport type]], 0)</f>
        <v>7.3</v>
      </c>
      <c r="J18" s="215" cm="1">
        <f t="array" ref="J18">Common_InputFunctions.Utility_DisplayArrayInTable(Fuel_SourceData.Fuel_Scope1Scope3EmissionFactorsTransport_Data(), Table_Fuel_EFs_Transport[[#Headers],[Transport type]], 0)</f>
        <v>0.3</v>
      </c>
      <c r="K18" s="215" cm="1">
        <f t="array" ref="K18">Common_InputFunctions.Utility_DisplayArrayInTable(Fuel_SourceData.Fuel_Scope1Scope3EmissionFactorsTransport_Data(), Table_Fuel_EFs_Transport[[#Headers],[Transport type]], 0)</f>
        <v>59</v>
      </c>
      <c r="L18" s="215" cm="1">
        <f t="array" ref="L18">Common_InputFunctions.Utility_DisplayArrayInTable(Fuel_SourceData.Fuel_Scope1Scope3EmissionFactorsTransport_Data(), Table_Fuel_EFs_Transport[[#Headers],[Transport type]], 0)</f>
        <v>18</v>
      </c>
    </row>
    <row r="19" spans="1:12" ht="20.100000000000001" customHeight="1" x14ac:dyDescent="0.25">
      <c r="A19" s="5" t="str">
        <f>HYPERLINK("#'Input - Manure sent off-site'!A1", "Manure sent off-site")</f>
        <v>Manure sent off-site</v>
      </c>
      <c r="D19" s="215" t="str" cm="1">
        <f t="array" ref="D19">Common_InputFunctions.Utility_DisplayArrayInTable(Fuel_SourceData.Fuel_Scope1Scope3EmissionFactorsTransport_Data(), Table_Fuel_EFs_Transport[[#Headers],[Transport type]], 0)</f>
        <v>Light duty vehicles</v>
      </c>
      <c r="E19" s="215" t="str" cm="1">
        <f t="array" ref="E19">Common_InputFunctions.Utility_DisplayArrayInTable(Fuel_SourceData.Fuel_Scope1Scope3EmissionFactorsTransport_Data(), Table_Fuel_EFs_Transport[[#Headers],[Transport type]], 0)</f>
        <v>Liquefied natural gas</v>
      </c>
      <c r="F19" s="215" cm="1">
        <f t="array" ref="F19">Common_InputFunctions.Utility_DisplayArrayInTable(Fuel_SourceData.Fuel_Scope1Scope3EmissionFactorsTransport_Data(), Table_Fuel_EFs_Transport[[#Headers],[Transport type]], 0)</f>
        <v>25.3</v>
      </c>
      <c r="G19" s="215" t="str" cm="1">
        <f t="array" ref="G19">Common_InputFunctions.Utility_DisplayArrayInTable(Fuel_SourceData.Fuel_Scope1Scope3EmissionFactorsTransport_Data(), Table_Fuel_EFs_Transport[[#Headers],[Transport type]], 0)</f>
        <v>kl</v>
      </c>
      <c r="H19" s="215" cm="1">
        <f t="array" ref="H19">Common_InputFunctions.Utility_DisplayArrayInTable(Fuel_SourceData.Fuel_Scope1Scope3EmissionFactorsTransport_Data(), Table_Fuel_EFs_Transport[[#Headers],[Transport type]], 0)</f>
        <v>51.4</v>
      </c>
      <c r="I19" s="215" cm="1">
        <f t="array" ref="I19">Common_InputFunctions.Utility_DisplayArrayInTable(Fuel_SourceData.Fuel_Scope1Scope3EmissionFactorsTransport_Data(), Table_Fuel_EFs_Transport[[#Headers],[Transport type]], 0)</f>
        <v>7.3</v>
      </c>
      <c r="J19" s="215" cm="1">
        <f t="array" ref="J19">Common_InputFunctions.Utility_DisplayArrayInTable(Fuel_SourceData.Fuel_Scope1Scope3EmissionFactorsTransport_Data(), Table_Fuel_EFs_Transport[[#Headers],[Transport type]], 0)</f>
        <v>0.3</v>
      </c>
      <c r="K19" s="215" cm="1">
        <f t="array" ref="K19">Common_InputFunctions.Utility_DisplayArrayInTable(Fuel_SourceData.Fuel_Scope1Scope3EmissionFactorsTransport_Data(), Table_Fuel_EFs_Transport[[#Headers],[Transport type]], 0)</f>
        <v>59</v>
      </c>
      <c r="L19" s="215" cm="1">
        <f t="array" ref="L19">Common_InputFunctions.Utility_DisplayArrayInTable(Fuel_SourceData.Fuel_Scope1Scope3EmissionFactorsTransport_Data(), Table_Fuel_EFs_Transport[[#Headers],[Transport type]], 0)</f>
        <v>18</v>
      </c>
    </row>
    <row r="20" spans="1:12" ht="20.100000000000001" customHeight="1" x14ac:dyDescent="0.25">
      <c r="A20" s="5" t="str">
        <f>HYPERLINK("#'Input - Solid waste'!A1", "Solid waste")</f>
        <v>Solid waste</v>
      </c>
      <c r="D20" s="215" t="str" cm="1">
        <f t="array" ref="D20">Common_InputFunctions.Utility_DisplayArrayInTable(Fuel_SourceData.Fuel_Scope1Scope3EmissionFactorsTransport_Data(), Table_Fuel_EFs_Transport[[#Headers],[Transport type]], 0)</f>
        <v>Heavy duty vehicles</v>
      </c>
      <c r="E20" s="215" t="str" cm="1">
        <f t="array" ref="E20">Common_InputFunctions.Utility_DisplayArrayInTable(Fuel_SourceData.Fuel_Scope1Scope3EmissionFactorsTransport_Data(), Table_Fuel_EFs_Transport[[#Headers],[Transport type]], 0)</f>
        <v>Compressed natural gas</v>
      </c>
      <c r="F20" s="215" cm="1">
        <f t="array" ref="F20">Common_InputFunctions.Utility_DisplayArrayInTable(Fuel_SourceData.Fuel_Scope1Scope3EmissionFactorsTransport_Data(), Table_Fuel_EFs_Transport[[#Headers],[Transport type]], 0)</f>
        <v>3.9300000000000002E-2</v>
      </c>
      <c r="G20" s="215" t="str" cm="1">
        <f t="array" ref="G20">Common_InputFunctions.Utility_DisplayArrayInTable(Fuel_SourceData.Fuel_Scope1Scope3EmissionFactorsTransport_Data(), Table_Fuel_EFs_Transport[[#Headers],[Transport type]], 0)</f>
        <v>m3</v>
      </c>
      <c r="H20" s="215" cm="1">
        <f t="array" ref="H20">Common_InputFunctions.Utility_DisplayArrayInTable(Fuel_SourceData.Fuel_Scope1Scope3EmissionFactorsTransport_Data(), Table_Fuel_EFs_Transport[[#Headers],[Transport type]], 0)</f>
        <v>51.4</v>
      </c>
      <c r="I20" s="215" cm="1">
        <f t="array" ref="I20">Common_InputFunctions.Utility_DisplayArrayInTable(Fuel_SourceData.Fuel_Scope1Scope3EmissionFactorsTransport_Data(), Table_Fuel_EFs_Transport[[#Headers],[Transport type]], 0)</f>
        <v>2.8</v>
      </c>
      <c r="J20" s="215" cm="1">
        <f t="array" ref="J20">Common_InputFunctions.Utility_DisplayArrayInTable(Fuel_SourceData.Fuel_Scope1Scope3EmissionFactorsTransport_Data(), Table_Fuel_EFs_Transport[[#Headers],[Transport type]], 0)</f>
        <v>0.3</v>
      </c>
      <c r="K20" s="215" cm="1">
        <f t="array" ref="K20">Common_InputFunctions.Utility_DisplayArrayInTable(Fuel_SourceData.Fuel_Scope1Scope3EmissionFactorsTransport_Data(), Table_Fuel_EFs_Transport[[#Headers],[Transport type]], 0)</f>
        <v>54.5</v>
      </c>
      <c r="L20" s="215" cm="1">
        <f t="array" ref="L20">Common_InputFunctions.Utility_DisplayArrayInTable(Fuel_SourceData.Fuel_Scope1Scope3EmissionFactorsTransport_Data(), Table_Fuel_EFs_Transport[[#Headers],[Transport type]], 0)</f>
        <v>18</v>
      </c>
    </row>
    <row r="21" spans="1:12" ht="20.100000000000001" customHeight="1" x14ac:dyDescent="0.25">
      <c r="A21" s="5" t="str">
        <f>HYPERLINK("#'Input - Data quality'!A1", "Data quality")</f>
        <v>Data quality</v>
      </c>
      <c r="D21" s="215" t="str" cm="1">
        <f t="array" ref="D21">Common_InputFunctions.Utility_DisplayArrayInTable(Fuel_SourceData.Fuel_Scope1Scope3EmissionFactorsTransport_Data(), Table_Fuel_EFs_Transport[[#Headers],[Transport type]], 0)</f>
        <v>Heavy duty vehicles</v>
      </c>
      <c r="E21" s="215" t="str" cm="1">
        <f t="array" ref="E21">Common_InputFunctions.Utility_DisplayArrayInTable(Fuel_SourceData.Fuel_Scope1Scope3EmissionFactorsTransport_Data(), Table_Fuel_EFs_Transport[[#Headers],[Transport type]], 0)</f>
        <v>Liquefied natural gas</v>
      </c>
      <c r="F21" s="215" cm="1">
        <f t="array" ref="F21">Common_InputFunctions.Utility_DisplayArrayInTable(Fuel_SourceData.Fuel_Scope1Scope3EmissionFactorsTransport_Data(), Table_Fuel_EFs_Transport[[#Headers],[Transport type]], 0)</f>
        <v>25.3</v>
      </c>
      <c r="G21" s="215" t="str" cm="1">
        <f t="array" ref="G21">Common_InputFunctions.Utility_DisplayArrayInTable(Fuel_SourceData.Fuel_Scope1Scope3EmissionFactorsTransport_Data(), Table_Fuel_EFs_Transport[[#Headers],[Transport type]], 0)</f>
        <v>kl</v>
      </c>
      <c r="H21" s="215" cm="1">
        <f t="array" ref="H21">Common_InputFunctions.Utility_DisplayArrayInTable(Fuel_SourceData.Fuel_Scope1Scope3EmissionFactorsTransport_Data(), Table_Fuel_EFs_Transport[[#Headers],[Transport type]], 0)</f>
        <v>51.4</v>
      </c>
      <c r="I21" s="215" cm="1">
        <f t="array" ref="I21">Common_InputFunctions.Utility_DisplayArrayInTable(Fuel_SourceData.Fuel_Scope1Scope3EmissionFactorsTransport_Data(), Table_Fuel_EFs_Transport[[#Headers],[Transport type]], 0)</f>
        <v>2.8</v>
      </c>
      <c r="J21" s="215" cm="1">
        <f t="array" ref="J21">Common_InputFunctions.Utility_DisplayArrayInTable(Fuel_SourceData.Fuel_Scope1Scope3EmissionFactorsTransport_Data(), Table_Fuel_EFs_Transport[[#Headers],[Transport type]], 0)</f>
        <v>0.3</v>
      </c>
      <c r="K21" s="215" cm="1">
        <f t="array" ref="K21">Common_InputFunctions.Utility_DisplayArrayInTable(Fuel_SourceData.Fuel_Scope1Scope3EmissionFactorsTransport_Data(), Table_Fuel_EFs_Transport[[#Headers],[Transport type]], 0)</f>
        <v>54.5</v>
      </c>
      <c r="L21" s="215" cm="1">
        <f t="array" ref="L21">Common_InputFunctions.Utility_DisplayArrayInTable(Fuel_SourceData.Fuel_Scope1Scope3EmissionFactorsTransport_Data(), Table_Fuel_EFs_Transport[[#Headers],[Transport type]], 0)</f>
        <v>18</v>
      </c>
    </row>
    <row r="22" spans="1:12" ht="20.100000000000001" customHeight="1" x14ac:dyDescent="0.25">
      <c r="D22" s="215" t="str" cm="1">
        <f t="array" ref="D22">Common_InputFunctions.Utility_DisplayArrayInTable(Fuel_SourceData.Fuel_Scope1Scope3EmissionFactorsTransport_Data(), Table_Fuel_EFs_Transport[[#Headers],[Transport type]], 0)</f>
        <v>Heavy duty vehicles</v>
      </c>
      <c r="E22" s="215" t="str" cm="1">
        <f t="array" ref="E22">Common_InputFunctions.Utility_DisplayArrayInTable(Fuel_SourceData.Fuel_Scope1Scope3EmissionFactorsTransport_Data(), Table_Fuel_EFs_Transport[[#Headers],[Transport type]], 0)</f>
        <v>Diesel oil - Euro iv or higher</v>
      </c>
      <c r="F22" s="215" cm="1">
        <f t="array" ref="F22">Common_InputFunctions.Utility_DisplayArrayInTable(Fuel_SourceData.Fuel_Scope1Scope3EmissionFactorsTransport_Data(), Table_Fuel_EFs_Transport[[#Headers],[Transport type]], 0)</f>
        <v>38.6</v>
      </c>
      <c r="G22" s="215" t="str" cm="1">
        <f t="array" ref="G22">Common_InputFunctions.Utility_DisplayArrayInTable(Fuel_SourceData.Fuel_Scope1Scope3EmissionFactorsTransport_Data(), Table_Fuel_EFs_Transport[[#Headers],[Transport type]], 0)</f>
        <v>kl</v>
      </c>
      <c r="H22" s="215" cm="1">
        <f t="array" ref="H22">Common_InputFunctions.Utility_DisplayArrayInTable(Fuel_SourceData.Fuel_Scope1Scope3EmissionFactorsTransport_Data(), Table_Fuel_EFs_Transport[[#Headers],[Transport type]], 0)</f>
        <v>69.900000000000006</v>
      </c>
      <c r="I22" s="215" cm="1">
        <f t="array" ref="I22">Common_InputFunctions.Utility_DisplayArrayInTable(Fuel_SourceData.Fuel_Scope1Scope3EmissionFactorsTransport_Data(), Table_Fuel_EFs_Transport[[#Headers],[Transport type]], 0)</f>
        <v>7.0000000000000007E-2</v>
      </c>
      <c r="J22" s="215" cm="1">
        <f t="array" ref="J22">Common_InputFunctions.Utility_DisplayArrayInTable(Fuel_SourceData.Fuel_Scope1Scope3EmissionFactorsTransport_Data(), Table_Fuel_EFs_Transport[[#Headers],[Transport type]], 0)</f>
        <v>0.4</v>
      </c>
      <c r="K22" s="215" cm="1">
        <f t="array" ref="K22">Common_InputFunctions.Utility_DisplayArrayInTable(Fuel_SourceData.Fuel_Scope1Scope3EmissionFactorsTransport_Data(), Table_Fuel_EFs_Transport[[#Headers],[Transport type]], 0)</f>
        <v>70.37</v>
      </c>
      <c r="L22" s="215" cm="1">
        <f t="array" ref="L22">Common_InputFunctions.Utility_DisplayArrayInTable(Fuel_SourceData.Fuel_Scope1Scope3EmissionFactorsTransport_Data(), Table_Fuel_EFs_Transport[[#Headers],[Transport type]], 0)</f>
        <v>17.3</v>
      </c>
    </row>
    <row r="23" spans="1:12" ht="20.100000000000001" customHeight="1" x14ac:dyDescent="0.25">
      <c r="D23" s="215" t="str" cm="1">
        <f t="array" ref="D23">Common_InputFunctions.Utility_DisplayArrayInTable(Fuel_SourceData.Fuel_Scope1Scope3EmissionFactorsTransport_Data(), Table_Fuel_EFs_Transport[[#Headers],[Transport type]], 0)</f>
        <v>Heavy duty vehicles</v>
      </c>
      <c r="E23" s="215" t="str" cm="1">
        <f t="array" ref="E23">Common_InputFunctions.Utility_DisplayArrayInTable(Fuel_SourceData.Fuel_Scope1Scope3EmissionFactorsTransport_Data(), Table_Fuel_EFs_Transport[[#Headers],[Transport type]], 0)</f>
        <v>Diesel oil - Euro iii</v>
      </c>
      <c r="F23" s="215" cm="1">
        <f t="array" ref="F23">Common_InputFunctions.Utility_DisplayArrayInTable(Fuel_SourceData.Fuel_Scope1Scope3EmissionFactorsTransport_Data(), Table_Fuel_EFs_Transport[[#Headers],[Transport type]], 0)</f>
        <v>38.6</v>
      </c>
      <c r="G23" s="215" t="str" cm="1">
        <f t="array" ref="G23">Common_InputFunctions.Utility_DisplayArrayInTable(Fuel_SourceData.Fuel_Scope1Scope3EmissionFactorsTransport_Data(), Table_Fuel_EFs_Transport[[#Headers],[Transport type]], 0)</f>
        <v>kl</v>
      </c>
      <c r="H23" s="215" cm="1">
        <f t="array" ref="H23">Common_InputFunctions.Utility_DisplayArrayInTable(Fuel_SourceData.Fuel_Scope1Scope3EmissionFactorsTransport_Data(), Table_Fuel_EFs_Transport[[#Headers],[Transport type]], 0)</f>
        <v>69.900000000000006</v>
      </c>
      <c r="I23" s="215" cm="1">
        <f t="array" ref="I23">Common_InputFunctions.Utility_DisplayArrayInTable(Fuel_SourceData.Fuel_Scope1Scope3EmissionFactorsTransport_Data(), Table_Fuel_EFs_Transport[[#Headers],[Transport type]], 0)</f>
        <v>0.1</v>
      </c>
      <c r="J23" s="215" cm="1">
        <f t="array" ref="J23">Common_InputFunctions.Utility_DisplayArrayInTable(Fuel_SourceData.Fuel_Scope1Scope3EmissionFactorsTransport_Data(), Table_Fuel_EFs_Transport[[#Headers],[Transport type]], 0)</f>
        <v>0.4</v>
      </c>
      <c r="K23" s="215" cm="1">
        <f t="array" ref="K23">Common_InputFunctions.Utility_DisplayArrayInTable(Fuel_SourceData.Fuel_Scope1Scope3EmissionFactorsTransport_Data(), Table_Fuel_EFs_Transport[[#Headers],[Transport type]], 0)</f>
        <v>70.400000000000006</v>
      </c>
      <c r="L23" s="215" cm="1">
        <f t="array" ref="L23">Common_InputFunctions.Utility_DisplayArrayInTable(Fuel_SourceData.Fuel_Scope1Scope3EmissionFactorsTransport_Data(), Table_Fuel_EFs_Transport[[#Headers],[Transport type]], 0)</f>
        <v>17.3</v>
      </c>
    </row>
    <row r="24" spans="1:12" ht="20.100000000000001" customHeight="1" x14ac:dyDescent="0.25">
      <c r="A24" s="6" t="s">
        <v>2</v>
      </c>
      <c r="D24" s="215" t="str" cm="1">
        <f t="array" ref="D24">Common_InputFunctions.Utility_DisplayArrayInTable(Fuel_SourceData.Fuel_Scope1Scope3EmissionFactorsTransport_Data(), Table_Fuel_EFs_Transport[[#Headers],[Transport type]], 0)</f>
        <v>Heavy duty vehicles</v>
      </c>
      <c r="E24" s="215" t="str" cm="1">
        <f t="array" ref="E24">Common_InputFunctions.Utility_DisplayArrayInTable(Fuel_SourceData.Fuel_Scope1Scope3EmissionFactorsTransport_Data(), Table_Fuel_EFs_Transport[[#Headers],[Transport type]], 0)</f>
        <v>Diesel oil - Euro i</v>
      </c>
      <c r="F24" s="215" cm="1">
        <f t="array" ref="F24">Common_InputFunctions.Utility_DisplayArrayInTable(Fuel_SourceData.Fuel_Scope1Scope3EmissionFactorsTransport_Data(), Table_Fuel_EFs_Transport[[#Headers],[Transport type]], 0)</f>
        <v>38.6</v>
      </c>
      <c r="G24" s="215" t="str" cm="1">
        <f t="array" ref="G24">Common_InputFunctions.Utility_DisplayArrayInTable(Fuel_SourceData.Fuel_Scope1Scope3EmissionFactorsTransport_Data(), Table_Fuel_EFs_Transport[[#Headers],[Transport type]], 0)</f>
        <v>kl</v>
      </c>
      <c r="H24" s="215" cm="1">
        <f t="array" ref="H24">Common_InputFunctions.Utility_DisplayArrayInTable(Fuel_SourceData.Fuel_Scope1Scope3EmissionFactorsTransport_Data(), Table_Fuel_EFs_Transport[[#Headers],[Transport type]], 0)</f>
        <v>69.900000000000006</v>
      </c>
      <c r="I24" s="215" cm="1">
        <f t="array" ref="I24">Common_InputFunctions.Utility_DisplayArrayInTable(Fuel_SourceData.Fuel_Scope1Scope3EmissionFactorsTransport_Data(), Table_Fuel_EFs_Transport[[#Headers],[Transport type]], 0)</f>
        <v>0.2</v>
      </c>
      <c r="J24" s="215" cm="1">
        <f t="array" ref="J24">Common_InputFunctions.Utility_DisplayArrayInTable(Fuel_SourceData.Fuel_Scope1Scope3EmissionFactorsTransport_Data(), Table_Fuel_EFs_Transport[[#Headers],[Transport type]], 0)</f>
        <v>0.4</v>
      </c>
      <c r="K24" s="215" cm="1">
        <f t="array" ref="K24">Common_InputFunctions.Utility_DisplayArrayInTable(Fuel_SourceData.Fuel_Scope1Scope3EmissionFactorsTransport_Data(), Table_Fuel_EFs_Transport[[#Headers],[Transport type]], 0)</f>
        <v>70.5</v>
      </c>
      <c r="L24" s="215" cm="1">
        <f t="array" ref="L24">Common_InputFunctions.Utility_DisplayArrayInTable(Fuel_SourceData.Fuel_Scope1Scope3EmissionFactorsTransport_Data(), Table_Fuel_EFs_Transport[[#Headers],[Transport type]], 0)</f>
        <v>17.3</v>
      </c>
    </row>
    <row r="25" spans="1:12" ht="20.100000000000001" customHeight="1" x14ac:dyDescent="0.25">
      <c r="A25" s="5" t="str">
        <f>HYPERLINK("#'5.1.1.1-2 Inorganic fert N2O'!A1", "5.1.1.1-2 Inorganic fert N2O")</f>
        <v>5.1.1.1-2 Inorganic fert N2O</v>
      </c>
      <c r="D25" s="215" t="str" cm="1">
        <f t="array" ref="D25">Common_InputFunctions.Utility_DisplayArrayInTable(Fuel_SourceData.Fuel_Scope1Scope3EmissionFactorsTransport_Data(), Table_Fuel_EFs_Transport[[#Headers],[Transport type]], 0)</f>
        <v>Heavy duty vehicles</v>
      </c>
      <c r="E25" s="215" t="str" cm="1">
        <f t="array" ref="E25">Common_InputFunctions.Utility_DisplayArrayInTable(Fuel_SourceData.Fuel_Scope1Scope3EmissionFactorsTransport_Data(), Table_Fuel_EFs_Transport[[#Headers],[Transport type]], 0)</f>
        <v>Renewable diesel – Euro iv or higher</v>
      </c>
      <c r="F25" s="215" cm="1">
        <f t="array" ref="F25">Common_InputFunctions.Utility_DisplayArrayInTable(Fuel_SourceData.Fuel_Scope1Scope3EmissionFactorsTransport_Data(), Table_Fuel_EFs_Transport[[#Headers],[Transport type]], 0)</f>
        <v>38.6</v>
      </c>
      <c r="G25" s="215" t="str" cm="1">
        <f t="array" ref="G25">Common_InputFunctions.Utility_DisplayArrayInTable(Fuel_SourceData.Fuel_Scope1Scope3EmissionFactorsTransport_Data(), Table_Fuel_EFs_Transport[[#Headers],[Transport type]], 0)</f>
        <v>kl</v>
      </c>
      <c r="H25" s="215" cm="1">
        <f t="array" ref="H25">Common_InputFunctions.Utility_DisplayArrayInTable(Fuel_SourceData.Fuel_Scope1Scope3EmissionFactorsTransport_Data(), Table_Fuel_EFs_Transport[[#Headers],[Transport type]], 0)</f>
        <v>0</v>
      </c>
      <c r="I25" s="215" cm="1">
        <f t="array" ref="I25">Common_InputFunctions.Utility_DisplayArrayInTable(Fuel_SourceData.Fuel_Scope1Scope3EmissionFactorsTransport_Data(), Table_Fuel_EFs_Transport[[#Headers],[Transport type]], 0)</f>
        <v>7.0000000000000007E-2</v>
      </c>
      <c r="J25" s="215" cm="1">
        <f t="array" ref="J25">Common_InputFunctions.Utility_DisplayArrayInTable(Fuel_SourceData.Fuel_Scope1Scope3EmissionFactorsTransport_Data(), Table_Fuel_EFs_Transport[[#Headers],[Transport type]], 0)</f>
        <v>0.4</v>
      </c>
      <c r="K25" s="215" cm="1">
        <f t="array" ref="K25">Common_InputFunctions.Utility_DisplayArrayInTable(Fuel_SourceData.Fuel_Scope1Scope3EmissionFactorsTransport_Data(), Table_Fuel_EFs_Transport[[#Headers],[Transport type]], 0)</f>
        <v>0.47</v>
      </c>
      <c r="L25" s="215" t="str" cm="1">
        <f t="array" ref="L25">Common_InputFunctions.Utility_DisplayArrayInTable(Fuel_SourceData.Fuel_Scope1Scope3EmissionFactorsTransport_Data(), Table_Fuel_EFs_Transport[[#Headers],[Transport type]], 0)</f>
        <v>NE</v>
      </c>
    </row>
    <row r="26" spans="1:12" ht="20.100000000000001" customHeight="1" x14ac:dyDescent="0.25">
      <c r="A26" s="5" t="str">
        <f>HYPERLINK("#'5.1.1.3-4 Inorganic fert CO2'!A1", "5.1.1.3-4 Inorganic fert CO2")</f>
        <v>5.1.1.3-4 Inorganic fert CO2</v>
      </c>
      <c r="D26" s="215" t="str" cm="1">
        <f t="array" ref="D26">Common_InputFunctions.Utility_DisplayArrayInTable(Fuel_SourceData.Fuel_Scope1Scope3EmissionFactorsTransport_Data(), Table_Fuel_EFs_Transport[[#Headers],[Transport type]], 0)</f>
        <v>Heavy duty vehicles</v>
      </c>
      <c r="E26" s="215" t="str" cm="1">
        <f t="array" ref="E26">Common_InputFunctions.Utility_DisplayArrayInTable(Fuel_SourceData.Fuel_Scope1Scope3EmissionFactorsTransport_Data(), Table_Fuel_EFs_Transport[[#Headers],[Transport type]], 0)</f>
        <v>Renewable diesel – Euro iii</v>
      </c>
      <c r="F26" s="215" cm="1">
        <f t="array" ref="F26">Common_InputFunctions.Utility_DisplayArrayInTable(Fuel_SourceData.Fuel_Scope1Scope3EmissionFactorsTransport_Data(), Table_Fuel_EFs_Transport[[#Headers],[Transport type]], 0)</f>
        <v>38.6</v>
      </c>
      <c r="G26" s="215" t="str" cm="1">
        <f t="array" ref="G26">Common_InputFunctions.Utility_DisplayArrayInTable(Fuel_SourceData.Fuel_Scope1Scope3EmissionFactorsTransport_Data(), Table_Fuel_EFs_Transport[[#Headers],[Transport type]], 0)</f>
        <v>kl</v>
      </c>
      <c r="H26" s="215" cm="1">
        <f t="array" ref="H26">Common_InputFunctions.Utility_DisplayArrayInTable(Fuel_SourceData.Fuel_Scope1Scope3EmissionFactorsTransport_Data(), Table_Fuel_EFs_Transport[[#Headers],[Transport type]], 0)</f>
        <v>0</v>
      </c>
      <c r="I26" s="215" cm="1">
        <f t="array" ref="I26">Common_InputFunctions.Utility_DisplayArrayInTable(Fuel_SourceData.Fuel_Scope1Scope3EmissionFactorsTransport_Data(), Table_Fuel_EFs_Transport[[#Headers],[Transport type]], 0)</f>
        <v>0.1</v>
      </c>
      <c r="J26" s="215" cm="1">
        <f t="array" ref="J26">Common_InputFunctions.Utility_DisplayArrayInTable(Fuel_SourceData.Fuel_Scope1Scope3EmissionFactorsTransport_Data(), Table_Fuel_EFs_Transport[[#Headers],[Transport type]], 0)</f>
        <v>0.4</v>
      </c>
      <c r="K26" s="215" cm="1">
        <f t="array" ref="K26">Common_InputFunctions.Utility_DisplayArrayInTable(Fuel_SourceData.Fuel_Scope1Scope3EmissionFactorsTransport_Data(), Table_Fuel_EFs_Transport[[#Headers],[Transport type]], 0)</f>
        <v>0.5</v>
      </c>
      <c r="L26" s="215" t="str" cm="1">
        <f t="array" ref="L26">Common_InputFunctions.Utility_DisplayArrayInTable(Fuel_SourceData.Fuel_Scope1Scope3EmissionFactorsTransport_Data(), Table_Fuel_EFs_Transport[[#Headers],[Transport type]], 0)</f>
        <v>NE</v>
      </c>
    </row>
    <row r="27" spans="1:12" ht="20.100000000000001" customHeight="1" x14ac:dyDescent="0.25">
      <c r="A27" s="5" t="str">
        <f>HYPERLINK("#'5.2.1.1-2 Organic Fert N2O'!A1", "5.2.1.1-2 Organic fert N2O")</f>
        <v>5.2.1.1-2 Organic fert N2O</v>
      </c>
      <c r="D27" s="215" t="str" cm="1">
        <f t="array" ref="D27">Common_InputFunctions.Utility_DisplayArrayInTable(Fuel_SourceData.Fuel_Scope1Scope3EmissionFactorsTransport_Data(), Table_Fuel_EFs_Transport[[#Headers],[Transport type]], 0)</f>
        <v>Heavy duty vehicles</v>
      </c>
      <c r="E27" s="215" t="str" cm="1">
        <f t="array" ref="E27">Common_InputFunctions.Utility_DisplayArrayInTable(Fuel_SourceData.Fuel_Scope1Scope3EmissionFactorsTransport_Data(), Table_Fuel_EFs_Transport[[#Headers],[Transport type]], 0)</f>
        <v>Renewable diesel – Euro i</v>
      </c>
      <c r="F27" s="215" cm="1">
        <f t="array" ref="F27">Common_InputFunctions.Utility_DisplayArrayInTable(Fuel_SourceData.Fuel_Scope1Scope3EmissionFactorsTransport_Data(), Table_Fuel_EFs_Transport[[#Headers],[Transport type]], 0)</f>
        <v>38.6</v>
      </c>
      <c r="G27" s="215" t="str" cm="1">
        <f t="array" ref="G27">Common_InputFunctions.Utility_DisplayArrayInTable(Fuel_SourceData.Fuel_Scope1Scope3EmissionFactorsTransport_Data(), Table_Fuel_EFs_Transport[[#Headers],[Transport type]], 0)</f>
        <v>kl</v>
      </c>
      <c r="H27" s="215" cm="1">
        <f t="array" ref="H27">Common_InputFunctions.Utility_DisplayArrayInTable(Fuel_SourceData.Fuel_Scope1Scope3EmissionFactorsTransport_Data(), Table_Fuel_EFs_Transport[[#Headers],[Transport type]], 0)</f>
        <v>0</v>
      </c>
      <c r="I27" s="215" cm="1">
        <f t="array" ref="I27">Common_InputFunctions.Utility_DisplayArrayInTable(Fuel_SourceData.Fuel_Scope1Scope3EmissionFactorsTransport_Data(), Table_Fuel_EFs_Transport[[#Headers],[Transport type]], 0)</f>
        <v>0.2</v>
      </c>
      <c r="J27" s="215" cm="1">
        <f t="array" ref="J27">Common_InputFunctions.Utility_DisplayArrayInTable(Fuel_SourceData.Fuel_Scope1Scope3EmissionFactorsTransport_Data(), Table_Fuel_EFs_Transport[[#Headers],[Transport type]], 0)</f>
        <v>0.4</v>
      </c>
      <c r="K27" s="215" cm="1">
        <f t="array" ref="K27">Common_InputFunctions.Utility_DisplayArrayInTable(Fuel_SourceData.Fuel_Scope1Scope3EmissionFactorsTransport_Data(), Table_Fuel_EFs_Transport[[#Headers],[Transport type]], 0)</f>
        <v>0.6</v>
      </c>
      <c r="L27" s="215" t="str" cm="1">
        <f t="array" ref="L27">Common_InputFunctions.Utility_DisplayArrayInTable(Fuel_SourceData.Fuel_Scope1Scope3EmissionFactorsTransport_Data(), Table_Fuel_EFs_Transport[[#Headers],[Transport type]], 0)</f>
        <v>NE</v>
      </c>
    </row>
    <row r="28" spans="1:12" ht="20.100000000000001" customHeight="1" x14ac:dyDescent="0.25">
      <c r="A28" s="5" t="str">
        <f>HYPERLINK("#'5.3.1.1-2 Lime CO2'!A1", "5.3.1.1-2 Lime CO2")</f>
        <v>5.3.1.1-2 Lime CO2</v>
      </c>
      <c r="D28" s="215" t="str" cm="1">
        <f t="array" ref="D28">Common_InputFunctions.Utility_DisplayArrayInTable(Fuel_SourceData.Fuel_Scope1Scope3EmissionFactorsTransport_Data(), Table_Fuel_EFs_Transport[[#Headers],[Transport type]], 0)</f>
        <v>Aviation</v>
      </c>
      <c r="E28" s="215" t="str" cm="1">
        <f t="array" ref="E28">Common_InputFunctions.Utility_DisplayArrayInTable(Fuel_SourceData.Fuel_Scope1Scope3EmissionFactorsTransport_Data(), Table_Fuel_EFs_Transport[[#Headers],[Transport type]], 0)</f>
        <v>Gasoline for use as fuel in an aircraft</v>
      </c>
      <c r="F28" s="215" cm="1">
        <f t="array" ref="F28">Common_InputFunctions.Utility_DisplayArrayInTable(Fuel_SourceData.Fuel_Scope1Scope3EmissionFactorsTransport_Data(), Table_Fuel_EFs_Transport[[#Headers],[Transport type]], 0)</f>
        <v>33.1</v>
      </c>
      <c r="G28" s="215" t="str" cm="1">
        <f t="array" ref="G28">Common_InputFunctions.Utility_DisplayArrayInTable(Fuel_SourceData.Fuel_Scope1Scope3EmissionFactorsTransport_Data(), Table_Fuel_EFs_Transport[[#Headers],[Transport type]], 0)</f>
        <v>kl</v>
      </c>
      <c r="H28" s="215" cm="1">
        <f t="array" ref="H28">Common_InputFunctions.Utility_DisplayArrayInTable(Fuel_SourceData.Fuel_Scope1Scope3EmissionFactorsTransport_Data(), Table_Fuel_EFs_Transport[[#Headers],[Transport type]], 0)</f>
        <v>67</v>
      </c>
      <c r="I28" s="215" cm="1">
        <f t="array" ref="I28">Common_InputFunctions.Utility_DisplayArrayInTable(Fuel_SourceData.Fuel_Scope1Scope3EmissionFactorsTransport_Data(), Table_Fuel_EFs_Transport[[#Headers],[Transport type]], 0)</f>
        <v>0.06</v>
      </c>
      <c r="J28" s="215" cm="1">
        <f t="array" ref="J28">Common_InputFunctions.Utility_DisplayArrayInTable(Fuel_SourceData.Fuel_Scope1Scope3EmissionFactorsTransport_Data(), Table_Fuel_EFs_Transport[[#Headers],[Transport type]], 0)</f>
        <v>0.6</v>
      </c>
      <c r="K28" s="215" cm="1">
        <f t="array" ref="K28">Common_InputFunctions.Utility_DisplayArrayInTable(Fuel_SourceData.Fuel_Scope1Scope3EmissionFactorsTransport_Data(), Table_Fuel_EFs_Transport[[#Headers],[Transport type]], 0)</f>
        <v>67.66</v>
      </c>
      <c r="L28" s="215" cm="1">
        <f t="array" ref="L28">Common_InputFunctions.Utility_DisplayArrayInTable(Fuel_SourceData.Fuel_Scope1Scope3EmissionFactorsTransport_Data(), Table_Fuel_EFs_Transport[[#Headers],[Transport type]], 0)</f>
        <v>18</v>
      </c>
    </row>
    <row r="29" spans="1:12" ht="20.100000000000001" customHeight="1" x14ac:dyDescent="0.25">
      <c r="A29" s="5" t="str">
        <f>HYPERLINK("#'5.4.1.1-4 Atmos deposition'!A1", "5.4.1.1-4 Atmos. deposition")</f>
        <v>5.4.1.1-4 Atmos. deposition</v>
      </c>
      <c r="D29" s="215" t="str" cm="1">
        <f t="array" ref="D29">Common_InputFunctions.Utility_DisplayArrayInTable(Fuel_SourceData.Fuel_Scope1Scope3EmissionFactorsTransport_Data(), Table_Fuel_EFs_Transport[[#Headers],[Transport type]], 0)</f>
        <v>Aviation</v>
      </c>
      <c r="E29" s="215" t="str" cm="1">
        <f t="array" ref="E29">Common_InputFunctions.Utility_DisplayArrayInTable(Fuel_SourceData.Fuel_Scope1Scope3EmissionFactorsTransport_Data(), Table_Fuel_EFs_Transport[[#Headers],[Transport type]], 0)</f>
        <v>Kerosene for use as fuel in an aircraft</v>
      </c>
      <c r="F29" s="215" cm="1">
        <f t="array" ref="F29">Common_InputFunctions.Utility_DisplayArrayInTable(Fuel_SourceData.Fuel_Scope1Scope3EmissionFactorsTransport_Data(), Table_Fuel_EFs_Transport[[#Headers],[Transport type]], 0)</f>
        <v>36.799999999999997</v>
      </c>
      <c r="G29" s="215" t="str" cm="1">
        <f t="array" ref="G29">Common_InputFunctions.Utility_DisplayArrayInTable(Fuel_SourceData.Fuel_Scope1Scope3EmissionFactorsTransport_Data(), Table_Fuel_EFs_Transport[[#Headers],[Transport type]], 0)</f>
        <v>kl</v>
      </c>
      <c r="H29" s="215" cm="1">
        <f t="array" ref="H29">Common_InputFunctions.Utility_DisplayArrayInTable(Fuel_SourceData.Fuel_Scope1Scope3EmissionFactorsTransport_Data(), Table_Fuel_EFs_Transport[[#Headers],[Transport type]], 0)</f>
        <v>69.599999999999994</v>
      </c>
      <c r="I29" s="215" cm="1">
        <f t="array" ref="I29">Common_InputFunctions.Utility_DisplayArrayInTable(Fuel_SourceData.Fuel_Scope1Scope3EmissionFactorsTransport_Data(), Table_Fuel_EFs_Transport[[#Headers],[Transport type]], 0)</f>
        <v>0.01</v>
      </c>
      <c r="J29" s="215" cm="1">
        <f t="array" ref="J29">Common_InputFunctions.Utility_DisplayArrayInTable(Fuel_SourceData.Fuel_Scope1Scope3EmissionFactorsTransport_Data(), Table_Fuel_EFs_Transport[[#Headers],[Transport type]], 0)</f>
        <v>0.6</v>
      </c>
      <c r="K29" s="215" cm="1">
        <f t="array" ref="K29">Common_InputFunctions.Utility_DisplayArrayInTable(Fuel_SourceData.Fuel_Scope1Scope3EmissionFactorsTransport_Data(), Table_Fuel_EFs_Transport[[#Headers],[Transport type]], 0)</f>
        <v>70.209999999999994</v>
      </c>
      <c r="L29" s="215" cm="1">
        <f t="array" ref="L29">Common_InputFunctions.Utility_DisplayArrayInTable(Fuel_SourceData.Fuel_Scope1Scope3EmissionFactorsTransport_Data(), Table_Fuel_EFs_Transport[[#Headers],[Transport type]], 0)</f>
        <v>18</v>
      </c>
    </row>
    <row r="30" spans="1:12" ht="20.100000000000001" customHeight="1" x14ac:dyDescent="0.25">
      <c r="A30" s="5" t="str">
        <f>HYPERLINK("#'5.5.1.1-2 Leaching and runoff'!A1", "5.5.1.1-2 Leaching &amp; runoff")</f>
        <v>5.5.1.1-2 Leaching &amp; runoff</v>
      </c>
      <c r="D30" s="215" t="str" cm="1">
        <f t="array" ref="D30">Common_InputFunctions.Utility_DisplayArrayInTable(Fuel_SourceData.Fuel_Scope1Scope3EmissionFactorsTransport_Data(), Table_Fuel_EFs_Transport[[#Headers],[Transport type]], 0)</f>
        <v>Aviation</v>
      </c>
      <c r="E30" s="215" t="str" cm="1">
        <f t="array" ref="E30">Common_InputFunctions.Utility_DisplayArrayInTable(Fuel_SourceData.Fuel_Scope1Scope3EmissionFactorsTransport_Data(), Table_Fuel_EFs_Transport[[#Headers],[Transport type]], 0)</f>
        <v>Renewable aviation kerosene</v>
      </c>
      <c r="F30" s="215" cm="1">
        <f t="array" ref="F30">Common_InputFunctions.Utility_DisplayArrayInTable(Fuel_SourceData.Fuel_Scope1Scope3EmissionFactorsTransport_Data(), Table_Fuel_EFs_Transport[[#Headers],[Transport type]], 0)</f>
        <v>36.799999999999997</v>
      </c>
      <c r="G30" s="215" t="str" cm="1">
        <f t="array" ref="G30">Common_InputFunctions.Utility_DisplayArrayInTable(Fuel_SourceData.Fuel_Scope1Scope3EmissionFactorsTransport_Data(), Table_Fuel_EFs_Transport[[#Headers],[Transport type]], 0)</f>
        <v>kl</v>
      </c>
      <c r="H30" s="215" cm="1">
        <f t="array" ref="H30">Common_InputFunctions.Utility_DisplayArrayInTable(Fuel_SourceData.Fuel_Scope1Scope3EmissionFactorsTransport_Data(), Table_Fuel_EFs_Transport[[#Headers],[Transport type]], 0)</f>
        <v>0</v>
      </c>
      <c r="I30" s="215" cm="1">
        <f t="array" ref="I30">Common_InputFunctions.Utility_DisplayArrayInTable(Fuel_SourceData.Fuel_Scope1Scope3EmissionFactorsTransport_Data(), Table_Fuel_EFs_Transport[[#Headers],[Transport type]], 0)</f>
        <v>0.01</v>
      </c>
      <c r="J30" s="215" cm="1">
        <f t="array" ref="J30">Common_InputFunctions.Utility_DisplayArrayInTable(Fuel_SourceData.Fuel_Scope1Scope3EmissionFactorsTransport_Data(), Table_Fuel_EFs_Transport[[#Headers],[Transport type]], 0)</f>
        <v>0.6</v>
      </c>
      <c r="K30" s="215" cm="1">
        <f t="array" ref="K30">Common_InputFunctions.Utility_DisplayArrayInTable(Fuel_SourceData.Fuel_Scope1Scope3EmissionFactorsTransport_Data(), Table_Fuel_EFs_Transport[[#Headers],[Transport type]], 0)</f>
        <v>0.61</v>
      </c>
      <c r="L30" s="215" t="str" cm="1">
        <f t="array" ref="L30">Common_InputFunctions.Utility_DisplayArrayInTable(Fuel_SourceData.Fuel_Scope1Scope3EmissionFactorsTransport_Data(), Table_Fuel_EFs_Transport[[#Headers],[Transport type]], 0)</f>
        <v>NE</v>
      </c>
    </row>
    <row r="31" spans="1:12" ht="20.100000000000001" customHeight="1" x14ac:dyDescent="0.25">
      <c r="A31" s="5" t="str">
        <f>HYPERLINK("#'6.1.1.1-2 Crop residue N2O'!A1", "6.1.1.1-2 Crop residue N2O")</f>
        <v>6.1.1.1-2 Crop residue N2O</v>
      </c>
      <c r="D31" s="215" t="str" cm="1">
        <f t="array" ref="D31">Common_InputFunctions.Utility_DisplayArrayInTable(Fuel_SourceData.Fuel_Scope1Scope3EmissionFactorsTransport_Data(), Table_Fuel_EFs_Transport[[#Headers],[Transport type]], 0)</f>
        <v>Vessels</v>
      </c>
      <c r="E31" s="215" t="str" cm="1">
        <f t="array" ref="E31">Common_InputFunctions.Utility_DisplayArrayInTable(Fuel_SourceData.Fuel_Scope1Scope3EmissionFactorsTransport_Data(), Table_Fuel_EFs_Transport[[#Headers],[Transport type]], 0)</f>
        <v>Gasoline</v>
      </c>
      <c r="F31" s="215" cm="1">
        <f t="array" ref="F31">Common_InputFunctions.Utility_DisplayArrayInTable(Fuel_SourceData.Fuel_Scope1Scope3EmissionFactorsTransport_Data(), Table_Fuel_EFs_Transport[[#Headers],[Transport type]], 0)</f>
        <v>34.200000000000003</v>
      </c>
      <c r="G31" s="215" t="str" cm="1">
        <f t="array" ref="G31">Common_InputFunctions.Utility_DisplayArrayInTable(Fuel_SourceData.Fuel_Scope1Scope3EmissionFactorsTransport_Data(), Table_Fuel_EFs_Transport[[#Headers],[Transport type]], 0)</f>
        <v>kL</v>
      </c>
      <c r="H31" s="215" cm="1">
        <f t="array" ref="H31">Common_InputFunctions.Utility_DisplayArrayInTable(Fuel_SourceData.Fuel_Scope1Scope3EmissionFactorsTransport_Data(), Table_Fuel_EFs_Transport[[#Headers],[Transport type]], 0)</f>
        <v>67.400000000000006</v>
      </c>
      <c r="I31" s="215" cm="1">
        <f t="array" ref="I31">Common_InputFunctions.Utility_DisplayArrayInTable(Fuel_SourceData.Fuel_Scope1Scope3EmissionFactorsTransport_Data(), Table_Fuel_EFs_Transport[[#Headers],[Transport type]], 0)</f>
        <v>10.1</v>
      </c>
      <c r="J31" s="215" cm="1">
        <f t="array" ref="J31">Common_InputFunctions.Utility_DisplayArrayInTable(Fuel_SourceData.Fuel_Scope1Scope3EmissionFactorsTransport_Data(), Table_Fuel_EFs_Transport[[#Headers],[Transport type]], 0)</f>
        <v>0.3</v>
      </c>
      <c r="K31" s="215" t="str" cm="1">
        <f t="array" ref="K31">Common_InputFunctions.Utility_DisplayArrayInTable(Fuel_SourceData.Fuel_Scope1Scope3EmissionFactorsTransport_Data(), Table_Fuel_EFs_Transport[[#Headers],[Transport type]], 0)</f>
        <v/>
      </c>
      <c r="L31" s="215" cm="1">
        <f t="array" ref="L31">Common_InputFunctions.Utility_DisplayArrayInTable(Fuel_SourceData.Fuel_Scope1Scope3EmissionFactorsTransport_Data(), Table_Fuel_EFs_Transport[[#Headers],[Transport type]], 0)</f>
        <v>17.2</v>
      </c>
    </row>
    <row r="32" spans="1:12" ht="20.100000000000001" customHeight="1" x14ac:dyDescent="0.25">
      <c r="A32" s="5" t="str">
        <f>HYPERLINK("#'6.3.1.1-2 Leach runoff crop'!A1", "6.3.1.1-2 Leach &amp; runoff (crop)")</f>
        <v>6.3.1.1-2 Leach &amp; runoff (crop)</v>
      </c>
      <c r="D32" s="216" t="str" cm="1">
        <f t="array" ref="D32">Common_InputFunctions.Utility_DisplayArrayInTable(Fuel_SourceData.Fuel_Scope1Scope3EmissionFactorsTransport_Data(), Table_Fuel_EFs_Transport[[#Headers],[Transport type]], 0)</f>
        <v>Vessels</v>
      </c>
      <c r="E32" s="216" t="str" cm="1">
        <f t="array" ref="E32">Common_InputFunctions.Utility_DisplayArrayInTable(Fuel_SourceData.Fuel_Scope1Scope3EmissionFactorsTransport_Data(), Table_Fuel_EFs_Transport[[#Headers],[Transport type]], 0)</f>
        <v>Diesel oil</v>
      </c>
      <c r="F32" s="216" cm="1">
        <f t="array" ref="F32">Common_InputFunctions.Utility_DisplayArrayInTable(Fuel_SourceData.Fuel_Scope1Scope3EmissionFactorsTransport_Data(), Table_Fuel_EFs_Transport[[#Headers],[Transport type]], 0)</f>
        <v>38.6</v>
      </c>
      <c r="G32" s="216" t="str" cm="1">
        <f t="array" ref="G32">Common_InputFunctions.Utility_DisplayArrayInTable(Fuel_SourceData.Fuel_Scope1Scope3EmissionFactorsTransport_Data(), Table_Fuel_EFs_Transport[[#Headers],[Transport type]], 0)</f>
        <v>kL</v>
      </c>
      <c r="H32" s="216" cm="1">
        <f t="array" ref="H32">Common_InputFunctions.Utility_DisplayArrayInTable(Fuel_SourceData.Fuel_Scope1Scope3EmissionFactorsTransport_Data(), Table_Fuel_EFs_Transport[[#Headers],[Transport type]], 0)</f>
        <v>69.900000000000006</v>
      </c>
      <c r="I32" s="216" cm="1">
        <f t="array" ref="I32">Common_InputFunctions.Utility_DisplayArrayInTable(Fuel_SourceData.Fuel_Scope1Scope3EmissionFactorsTransport_Data(), Table_Fuel_EFs_Transport[[#Headers],[Transport type]], 0)</f>
        <v>0.2</v>
      </c>
      <c r="J32" s="216" cm="1">
        <f t="array" ref="J32">Common_InputFunctions.Utility_DisplayArrayInTable(Fuel_SourceData.Fuel_Scope1Scope3EmissionFactorsTransport_Data(), Table_Fuel_EFs_Transport[[#Headers],[Transport type]], 0)</f>
        <v>0.5</v>
      </c>
      <c r="K32" s="216" t="str" cm="1">
        <f t="array" ref="K32">Common_InputFunctions.Utility_DisplayArrayInTable(Fuel_SourceData.Fuel_Scope1Scope3EmissionFactorsTransport_Data(), Table_Fuel_EFs_Transport[[#Headers],[Transport type]], 0)</f>
        <v/>
      </c>
      <c r="L32" s="216" cm="1">
        <f t="array" ref="L32">Common_InputFunctions.Utility_DisplayArrayInTable(Fuel_SourceData.Fuel_Scope1Scope3EmissionFactorsTransport_Data(), Table_Fuel_EFs_Transport[[#Headers],[Transport type]], 0)</f>
        <v>17.3</v>
      </c>
    </row>
    <row r="33" spans="1:12" ht="20.100000000000001" customHeight="1" x14ac:dyDescent="0.25">
      <c r="A33" s="5" t="str">
        <f>HYPERLINK("#'6.4.1.1-2 Residue burning'!A1", "6.4.1.1-2 Residue burning")</f>
        <v>6.4.1.1-2 Residue burning</v>
      </c>
      <c r="D33" s="216" t="str" cm="1">
        <f t="array" ref="D33">Common_InputFunctions.Utility_DisplayArrayInTable(Fuel_SourceData.Fuel_Scope1Scope3EmissionFactorsTransport_Data(), Table_Fuel_EFs_Transport[[#Headers],[Transport type]], 0)</f>
        <v>Vessels</v>
      </c>
      <c r="E33" s="216" t="str" cm="1">
        <f t="array" ref="E33">Common_InputFunctions.Utility_DisplayArrayInTable(Fuel_SourceData.Fuel_Scope1Scope3EmissionFactorsTransport_Data(), Table_Fuel_EFs_Transport[[#Headers],[Transport type]], 0)</f>
        <v>Fuel Oil</v>
      </c>
      <c r="F33" s="216" cm="1">
        <f t="array" ref="F33">Common_InputFunctions.Utility_DisplayArrayInTable(Fuel_SourceData.Fuel_Scope1Scope3EmissionFactorsTransport_Data(), Table_Fuel_EFs_Transport[[#Headers],[Transport type]], 0)</f>
        <v>39.700000000000003</v>
      </c>
      <c r="G33" s="216" t="str" cm="1">
        <f t="array" ref="G33">Common_InputFunctions.Utility_DisplayArrayInTable(Fuel_SourceData.Fuel_Scope1Scope3EmissionFactorsTransport_Data(), Table_Fuel_EFs_Transport[[#Headers],[Transport type]], 0)</f>
        <v>kL</v>
      </c>
      <c r="H33" s="216" cm="1">
        <f t="array" ref="H33">Common_InputFunctions.Utility_DisplayArrayInTable(Fuel_SourceData.Fuel_Scope1Scope3EmissionFactorsTransport_Data(), Table_Fuel_EFs_Transport[[#Headers],[Transport type]], 0)</f>
        <v>73.599999999999994</v>
      </c>
      <c r="I33" s="216" cm="1">
        <f t="array" ref="I33">Common_InputFunctions.Utility_DisplayArrayInTable(Fuel_SourceData.Fuel_Scope1Scope3EmissionFactorsTransport_Data(), Table_Fuel_EFs_Transport[[#Headers],[Transport type]], 0)</f>
        <v>0.2</v>
      </c>
      <c r="J33" s="216" cm="1">
        <f t="array" ref="J33">Common_InputFunctions.Utility_DisplayArrayInTable(Fuel_SourceData.Fuel_Scope1Scope3EmissionFactorsTransport_Data(), Table_Fuel_EFs_Transport[[#Headers],[Transport type]], 0)</f>
        <v>0.5</v>
      </c>
      <c r="K33" s="216" t="str" cm="1">
        <f t="array" ref="K33">Common_InputFunctions.Utility_DisplayArrayInTable(Fuel_SourceData.Fuel_Scope1Scope3EmissionFactorsTransport_Data(), Table_Fuel_EFs_Transport[[#Headers],[Transport type]], 0)</f>
        <v/>
      </c>
      <c r="L33" s="216" cm="1">
        <f t="array" ref="L33">Common_InputFunctions.Utility_DisplayArrayInTable(Fuel_SourceData.Fuel_Scope1Scope3EmissionFactorsTransport_Data(), Table_Fuel_EFs_Transport[[#Headers],[Transport type]], 0)</f>
        <v>18</v>
      </c>
    </row>
    <row r="34" spans="1:12" ht="20.100000000000001" customHeight="1" x14ac:dyDescent="0.25">
      <c r="A34" s="5" t="str">
        <f>HYPERLINK("#'8.1.1.1-2 Transport fuel'!A1", "8.1.1.1-2 Transport fuel")</f>
        <v>8.1.1.1-2 Transport fuel</v>
      </c>
      <c r="D34" s="216" t="str" cm="1">
        <f t="array" ref="D34">Common_InputFunctions.Utility_DisplayArrayInTable(Fuel_SourceData.Fuel_Scope1Scope3EmissionFactorsTransport_Data(), Table_Fuel_EFs_Transport[[#Headers],[Transport type]], 0)</f>
        <v>Off-road Agriculture and forestry equipment</v>
      </c>
      <c r="E34" s="216" t="str" cm="1">
        <f t="array" ref="E34">Common_InputFunctions.Utility_DisplayArrayInTable(Fuel_SourceData.Fuel_Scope1Scope3EmissionFactorsTransport_Data(), Table_Fuel_EFs_Transport[[#Headers],[Transport type]], 0)</f>
        <v>Diesel oil</v>
      </c>
      <c r="F34" s="216" cm="1">
        <f t="array" ref="F34">Common_InputFunctions.Utility_DisplayArrayInTable(Fuel_SourceData.Fuel_Scope1Scope3EmissionFactorsTransport_Data(), Table_Fuel_EFs_Transport[[#Headers],[Transport type]], 0)</f>
        <v>38.6</v>
      </c>
      <c r="G34" s="216" t="str" cm="1">
        <f t="array" ref="G34">Common_InputFunctions.Utility_DisplayArrayInTable(Fuel_SourceData.Fuel_Scope1Scope3EmissionFactorsTransport_Data(), Table_Fuel_EFs_Transport[[#Headers],[Transport type]], 0)</f>
        <v>kL</v>
      </c>
      <c r="H34" s="216" cm="1">
        <f t="array" ref="H34">Common_InputFunctions.Utility_DisplayArrayInTable(Fuel_SourceData.Fuel_Scope1Scope3EmissionFactorsTransport_Data(), Table_Fuel_EFs_Transport[[#Headers],[Transport type]], 0)</f>
        <v>69.900000000000006</v>
      </c>
      <c r="I34" s="216" cm="1">
        <f t="array" ref="I34">Common_InputFunctions.Utility_DisplayArrayInTable(Fuel_SourceData.Fuel_Scope1Scope3EmissionFactorsTransport_Data(), Table_Fuel_EFs_Transport[[#Headers],[Transport type]], 0)</f>
        <v>0.3</v>
      </c>
      <c r="J34" s="216" cm="1">
        <f t="array" ref="J34">Common_InputFunctions.Utility_DisplayArrayInTable(Fuel_SourceData.Fuel_Scope1Scope3EmissionFactorsTransport_Data(), Table_Fuel_EFs_Transport[[#Headers],[Transport type]], 0)</f>
        <v>0.5</v>
      </c>
      <c r="K34" s="216" t="str" cm="1">
        <f t="array" ref="K34">Common_InputFunctions.Utility_DisplayArrayInTable(Fuel_SourceData.Fuel_Scope1Scope3EmissionFactorsTransport_Data(), Table_Fuel_EFs_Transport[[#Headers],[Transport type]], 0)</f>
        <v/>
      </c>
      <c r="L34" s="216" cm="1">
        <f t="array" ref="L34">Common_InputFunctions.Utility_DisplayArrayInTable(Fuel_SourceData.Fuel_Scope1Scope3EmissionFactorsTransport_Data(), Table_Fuel_EFs_Transport[[#Headers],[Transport type]], 0)</f>
        <v>17.3</v>
      </c>
    </row>
    <row r="35" spans="1:12" ht="20.100000000000001" customHeight="1" x14ac:dyDescent="0.25">
      <c r="A35" s="5" t="str">
        <f>HYPERLINK("#'8.2.1.1-2 Stationary fuel'!A1", "8.2.1.1-2 Stationary fuel")</f>
        <v>8.2.1.1-2 Stationary fuel</v>
      </c>
    </row>
    <row r="36" spans="1:12" ht="20.100000000000001" customHeight="1" x14ac:dyDescent="0.25">
      <c r="A36" s="5" t="str">
        <f>HYPERLINK("#'14.1.1-2 Purchased electricity'!A1", "14.1.1-2 Purchased electricity")</f>
        <v>14.1.1-2 Purchased electricity</v>
      </c>
    </row>
    <row r="37" spans="1:12" ht="20.100000000000001" customHeight="1" x14ac:dyDescent="0.25">
      <c r="A37" s="5" t="str">
        <f>HYPERLINK("#'15 Scope 3'!A1", "15 Scope 3")</f>
        <v>15 Scope 3</v>
      </c>
      <c r="D37" s="2" t="str" cm="1">
        <f t="array" ref="D37">Fuel_SourceData.Fuel_Scope1Scope3EmissionFactorsTransportOffRoad_Title()</f>
        <v>Fuel scope 1 and 3 emission factors - Off-road equipment and vessels</v>
      </c>
    </row>
    <row r="38" spans="1:12" ht="20.100000000000001" customHeight="1" x14ac:dyDescent="0.25">
      <c r="A38" s="5" t="str">
        <f>HYPERLINK("#'Calcs - Manure sent off-site'!A1", "Calcs - Manure sent off-site")</f>
        <v>Calcs - Manure sent off-site</v>
      </c>
      <c r="D38" s="27" t="str" cm="1">
        <f t="array" ref="D38">Fuel_SourceData.Fuel_Scope1Scope3EmissionFactorsTransportOffRoad_Source()</f>
        <v>VEERG 2026: Table A.4.2.1</v>
      </c>
    </row>
    <row r="39" spans="1:12" ht="20.100000000000001" customHeight="1" x14ac:dyDescent="0.25">
      <c r="A39" s="5" t="str">
        <f>HYPERLINK("#'10.1.1-2 Solid waste treatment'!A1", "10.1.1-2 Solid waste treatment")</f>
        <v>10.1.1-2 Solid waste treatment</v>
      </c>
      <c r="D39" s="30" t="s">
        <v>507</v>
      </c>
      <c r="E39" s="30" t="s">
        <v>508</v>
      </c>
      <c r="F39" s="30" t="s">
        <v>509</v>
      </c>
      <c r="G39" s="30" t="s">
        <v>510</v>
      </c>
      <c r="H39" s="30" t="s">
        <v>511</v>
      </c>
      <c r="I39" s="30" t="s">
        <v>512</v>
      </c>
      <c r="J39" s="30" t="s">
        <v>513</v>
      </c>
    </row>
    <row r="40" spans="1:12" ht="20.100000000000001" customHeight="1" x14ac:dyDescent="0.25">
      <c r="D40" s="30" t="str" cm="1">
        <f t="array" ref="D40">Common_InputFunctions.Utility_DisplayArrayInTable(Fuel_SourceData.Fuel_Scope1Scope3EmissionFactorsTransportOffRoad_Data(), Table_SourceData_Fuel_TransportOffroad[[#Headers],[Transport type t]],0)</f>
        <v>Vessel</v>
      </c>
      <c r="E40" s="30" t="str" cm="1">
        <f t="array" ref="E40">Common_InputFunctions.Utility_DisplayArrayInTable(Fuel_SourceData.Fuel_Scope1Scope3EmissionFactorsTransportOffRoad_Data(), Table_SourceData_Fuel_TransportOffroad[[#Headers],[Transport type t]],0)</f>
        <v>Petrol</v>
      </c>
      <c r="F40" s="30" cm="1">
        <f t="array" ref="F40">Common_InputFunctions.Utility_DisplayArrayInTable(Fuel_SourceData.Fuel_Scope1Scope3EmissionFactorsTransportOffRoad_Data(), Table_SourceData_Fuel_TransportOffroad[[#Headers],[Transport type t]],0)</f>
        <v>34.200000000000003</v>
      </c>
      <c r="G40" s="30" cm="1">
        <f t="array" ref="G40">Common_InputFunctions.Utility_DisplayArrayInTable(Fuel_SourceData.Fuel_Scope1Scope3EmissionFactorsTransportOffRoad_Data(), Table_SourceData_Fuel_TransportOffroad[[#Headers],[Transport type t]],0)</f>
        <v>67.400000000000006</v>
      </c>
      <c r="H40" s="30" cm="1">
        <f t="array" ref="H40">Common_InputFunctions.Utility_DisplayArrayInTable(Fuel_SourceData.Fuel_Scope1Scope3EmissionFactorsTransportOffRoad_Data(), Table_SourceData_Fuel_TransportOffroad[[#Headers],[Transport type t]],0)</f>
        <v>10.1</v>
      </c>
      <c r="I40" s="30" cm="1">
        <f t="array" ref="I40">Common_InputFunctions.Utility_DisplayArrayInTable(Fuel_SourceData.Fuel_Scope1Scope3EmissionFactorsTransportOffRoad_Data(), Table_SourceData_Fuel_TransportOffroad[[#Headers],[Transport type t]],0)</f>
        <v>0.3</v>
      </c>
      <c r="J40" s="3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D41" s="1" t="str" cm="1">
        <f t="array" ref="D41">Common_InputFunctions.Utility_DisplayArrayInTable(Fuel_SourceData.Fuel_Scope1Scope3EmissionFactorsTransportOffRoad_Data(), Table_SourceData_Fuel_TransportOffroad[[#Headers],[Transport type t]],0)</f>
        <v>Vessel</v>
      </c>
      <c r="E41" s="30" t="str" cm="1">
        <f t="array" ref="E41">Common_InputFunctions.Utility_DisplayArrayInTable(Fuel_SourceData.Fuel_Scope1Scope3EmissionFactorsTransportOffRoad_Data(), Table_SourceData_Fuel_TransportOffroad[[#Headers],[Transport type t]],0)</f>
        <v>Diesel</v>
      </c>
      <c r="F41" s="30" cm="1">
        <f t="array" ref="F41">Common_InputFunctions.Utility_DisplayArrayInTable(Fuel_SourceData.Fuel_Scope1Scope3EmissionFactorsTransportOffRoad_Data(), Table_SourceData_Fuel_TransportOffroad[[#Headers],[Transport type t]],0)</f>
        <v>38.6</v>
      </c>
      <c r="G41" s="30" cm="1">
        <f t="array" ref="G41">Common_InputFunctions.Utility_DisplayArrayInTable(Fuel_SourceData.Fuel_Scope1Scope3EmissionFactorsTransportOffRoad_Data(), Table_SourceData_Fuel_TransportOffroad[[#Headers],[Transport type t]],0)</f>
        <v>69.900000000000006</v>
      </c>
      <c r="H41" s="30" cm="1">
        <f t="array" ref="H41">Common_InputFunctions.Utility_DisplayArrayInTable(Fuel_SourceData.Fuel_Scope1Scope3EmissionFactorsTransportOffRoad_Data(), Table_SourceData_Fuel_TransportOffroad[[#Headers],[Transport type t]],0)</f>
        <v>0.2</v>
      </c>
      <c r="I41" s="30" cm="1">
        <f t="array" ref="I41">Common_InputFunctions.Utility_DisplayArrayInTable(Fuel_SourceData.Fuel_Scope1Scope3EmissionFactorsTransportOffRoad_Data(), Table_SourceData_Fuel_TransportOffroad[[#Headers],[Transport type t]],0)</f>
        <v>0.5</v>
      </c>
      <c r="J41" s="3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108" t="s">
        <v>1</v>
      </c>
      <c r="D42" s="1" t="str" cm="1">
        <f t="array" ref="D42">Common_InputFunctions.Utility_DisplayArrayInTable(Fuel_SourceData.Fuel_Scope1Scope3EmissionFactorsTransportOffRoad_Data(), Table_SourceData_Fuel_TransportOffroad[[#Headers],[Transport type t]],0)</f>
        <v>Vessel</v>
      </c>
      <c r="E42" s="30" t="str" cm="1">
        <f t="array" ref="E42">Common_InputFunctions.Utility_DisplayArrayInTable(Fuel_SourceData.Fuel_Scope1Scope3EmissionFactorsTransportOffRoad_Data(), Table_SourceData_Fuel_TransportOffroad[[#Headers],[Transport type t]],0)</f>
        <v>Fuel Oil</v>
      </c>
      <c r="F42" s="30" cm="1">
        <f t="array" ref="F42">Common_InputFunctions.Utility_DisplayArrayInTable(Fuel_SourceData.Fuel_Scope1Scope3EmissionFactorsTransportOffRoad_Data(), Table_SourceData_Fuel_TransportOffroad[[#Headers],[Transport type t]],0)</f>
        <v>39.700000000000003</v>
      </c>
      <c r="G42" s="30" cm="1">
        <f t="array" ref="G42">Common_InputFunctions.Utility_DisplayArrayInTable(Fuel_SourceData.Fuel_Scope1Scope3EmissionFactorsTransportOffRoad_Data(), Table_SourceData_Fuel_TransportOffroad[[#Headers],[Transport type t]],0)</f>
        <v>73.599999999999994</v>
      </c>
      <c r="H42" s="30" cm="1">
        <f t="array" ref="H42">Common_InputFunctions.Utility_DisplayArrayInTable(Fuel_SourceData.Fuel_Scope1Scope3EmissionFactorsTransportOffRoad_Data(), Table_SourceData_Fuel_TransportOffroad[[#Headers],[Transport type t]],0)</f>
        <v>0.2</v>
      </c>
      <c r="I42" s="30" cm="1">
        <f t="array" ref="I42">Common_InputFunctions.Utility_DisplayArrayInTable(Fuel_SourceData.Fuel_Scope1Scope3EmissionFactorsTransportOffRoad_Data(), Table_SourceData_Fuel_TransportOffroad[[#Headers],[Transport type t]],0)</f>
        <v>0.5</v>
      </c>
      <c r="J42" s="3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5" t="str">
        <f>HYPERLINK("#'Constants - Ag Residue'!A1", "Constants - Ag residue")</f>
        <v>Constants - Ag residue</v>
      </c>
      <c r="D43" s="1" t="str" cm="1">
        <f t="array" ref="D43">Common_InputFunctions.Utility_DisplayArrayInTable(Fuel_SourceData.Fuel_Scope1Scope3EmissionFactorsTransportOffRoad_Data(), Table_SourceData_Fuel_TransportOffroad[[#Headers],[Transport type t]],0)</f>
        <v>Off-road Agriculture and forestry equipment</v>
      </c>
      <c r="E43" s="30" t="str" cm="1">
        <f t="array" ref="E43">Common_InputFunctions.Utility_DisplayArrayInTable(Fuel_SourceData.Fuel_Scope1Scope3EmissionFactorsTransportOffRoad_Data(), Table_SourceData_Fuel_TransportOffroad[[#Headers],[Transport type t]],0)</f>
        <v>Diesel</v>
      </c>
      <c r="F43" s="30" cm="1">
        <f t="array" ref="F43">Common_InputFunctions.Utility_DisplayArrayInTable(Fuel_SourceData.Fuel_Scope1Scope3EmissionFactorsTransportOffRoad_Data(), Table_SourceData_Fuel_TransportOffroad[[#Headers],[Transport type t]],0)</f>
        <v>38.6</v>
      </c>
      <c r="G43" s="30" cm="1">
        <f t="array" ref="G43">Common_InputFunctions.Utility_DisplayArrayInTable(Fuel_SourceData.Fuel_Scope1Scope3EmissionFactorsTransportOffRoad_Data(), Table_SourceData_Fuel_TransportOffroad[[#Headers],[Transport type t]],0)</f>
        <v>69.900000000000006</v>
      </c>
      <c r="H43" s="30" cm="1">
        <f t="array" ref="H43">Common_InputFunctions.Utility_DisplayArrayInTable(Fuel_SourceData.Fuel_Scope1Scope3EmissionFactorsTransportOffRoad_Data(), Table_SourceData_Fuel_TransportOffroad[[#Headers],[Transport type t]],0)</f>
        <v>0.3</v>
      </c>
      <c r="I43" s="30" cm="1">
        <f t="array" ref="I43">Common_InputFunctions.Utility_DisplayArrayInTable(Fuel_SourceData.Fuel_Scope1Scope3EmissionFactorsTransportOffRoad_Data(), Table_SourceData_Fuel_TransportOffroad[[#Headers],[Transport type t]],0)</f>
        <v>0.5</v>
      </c>
      <c r="J43" s="3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5" t="str">
        <f>HYPERLINK("#'Constants - Common Livestock'!A1", "Constants - Common Livestock")</f>
        <v>Constants - Common Livestock</v>
      </c>
    </row>
    <row r="45" spans="1:12" ht="20.100000000000001" customHeight="1" x14ac:dyDescent="0.25">
      <c r="A45" s="5" t="str">
        <f>HYPERLINK("#'Constants - Electricity'!A1", "Constants - Electricity")</f>
        <v>Constants - Electricity</v>
      </c>
    </row>
    <row r="46" spans="1:12" ht="20.100000000000001" customHeight="1" x14ac:dyDescent="0.25">
      <c r="A46" s="5" t="str">
        <f>HYPERLINK("#'Constants - Fertiliser'!A1", "Constants - Fertiliser")</f>
        <v>Constants - Fertiliser</v>
      </c>
    </row>
    <row r="47" spans="1:12" ht="20.100000000000001" customHeight="1" x14ac:dyDescent="0.25">
      <c r="A47" s="173" t="str">
        <f>HYPERLINK("#'Constants - Fuel'!A1", "Constants - Fuel")</f>
        <v>Constants - Fuel</v>
      </c>
    </row>
    <row r="48" spans="1:12" ht="20.100000000000001" customHeight="1" x14ac:dyDescent="0.25">
      <c r="A48" s="5" t="str">
        <f>HYPERLINK("#'Constants - Scope 3'!A1", "Constants - Scope 3")</f>
        <v>Constants - Scope 3</v>
      </c>
    </row>
    <row r="49" spans="1:12" ht="20.100000000000001" customHeight="1" x14ac:dyDescent="0.25">
      <c r="A49" s="5" t="str">
        <f>HYPERLINK("#'Constants - Common'!A1", "Constants - Common")</f>
        <v>Constants - Common</v>
      </c>
      <c r="D49" s="2" t="str" cm="1">
        <f t="array" ref="D49">Fuel_SourceData.Fuel_Scope1Scope3EmissionFactorsStationaryLiquid_Title()</f>
        <v>Fuel scope 1 and 3 emission factors - Stationary liquid fuels</v>
      </c>
      <c r="E49" s="159"/>
      <c r="F49" s="159"/>
      <c r="G49" s="159"/>
      <c r="H49" s="159"/>
      <c r="I49" s="159"/>
      <c r="J49" s="159"/>
      <c r="K49" s="159"/>
      <c r="L49" s="159"/>
    </row>
    <row r="50" spans="1:12" ht="20.100000000000001" customHeight="1" x14ac:dyDescent="0.25">
      <c r="A50" s="5" t="str">
        <f>HYPERLINK("#'Constants - Solid Waste'!A1", "Constants - Solid Waste")</f>
        <v>Constants - Solid Waste</v>
      </c>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59"/>
      <c r="F50" s="159"/>
      <c r="G50" s="159"/>
      <c r="H50" s="159"/>
      <c r="I50" s="159"/>
      <c r="J50" s="159"/>
      <c r="K50" s="159"/>
      <c r="L50" s="159"/>
    </row>
    <row r="51" spans="1:12" ht="20.100000000000001" customHeight="1" x14ac:dyDescent="0.25">
      <c r="D51" s="27" t="str" cm="1">
        <f t="array" ref="D51">Fuel_SourceData.Fuel_Scope1Scope3EmissionFactorsStationaryLiquid_Source()</f>
        <v>Australian National Greenhouse Accounts Factors 2025 - Table 8</v>
      </c>
      <c r="E51" s="159"/>
      <c r="F51" s="159"/>
      <c r="G51" s="159"/>
      <c r="H51" s="159"/>
      <c r="I51" s="159"/>
      <c r="J51" s="159"/>
      <c r="K51" s="159"/>
      <c r="L51" s="159"/>
    </row>
    <row r="52" spans="1:12" ht="20.100000000000001" customHeight="1" x14ac:dyDescent="0.25">
      <c r="D52" s="36" t="str" cm="1">
        <f t="array" ref="D52">"⚠️" &amp; Fuel_SourceData.Fuel_Scope1Scope3EmissionFactorsStationaryLiquid_Variation()</f>
        <v>⚠️VARIATION OF SOURCE DATA: 'NE' values returned as zero for calculations.</v>
      </c>
      <c r="E52" s="159"/>
      <c r="F52" s="159"/>
      <c r="G52" s="159"/>
      <c r="H52" s="159"/>
      <c r="I52" s="159"/>
      <c r="J52" s="159"/>
      <c r="K52" s="159"/>
      <c r="L52" s="159"/>
    </row>
    <row r="53" spans="1:12" ht="20.100000000000001" customHeight="1" x14ac:dyDescent="0.25">
      <c r="D53" s="182" t="s">
        <v>499</v>
      </c>
      <c r="E53" s="214" t="s">
        <v>500</v>
      </c>
      <c r="F53" s="182" t="s">
        <v>501</v>
      </c>
      <c r="G53" s="214" t="s">
        <v>502</v>
      </c>
      <c r="H53" s="214" t="s">
        <v>503</v>
      </c>
      <c r="I53" s="214" t="s">
        <v>504</v>
      </c>
      <c r="J53" s="214" t="s">
        <v>505</v>
      </c>
      <c r="K53" s="214" t="s">
        <v>506</v>
      </c>
      <c r="L53" s="159"/>
    </row>
    <row r="54" spans="1:12" ht="20.100000000000001" customHeight="1" x14ac:dyDescent="0.25">
      <c r="D54" s="217"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17" cm="1">
        <f t="array" ref="E54">Common_InputFunctions.Utility_DisplayArrayInTable(Fuel_SourceData.Fuel_Scope1Scope3EmissionFactorsStationaryLiquid_Data(), Table_Fuel_EFs_StationaryLiquid[[#Headers],[Fuel combusted]],0)</f>
        <v>38.799999999999997</v>
      </c>
      <c r="F54" s="217" t="str" cm="1">
        <f t="array" ref="F54">Common_InputFunctions.Utility_DisplayArrayInTable(Fuel_SourceData.Fuel_Scope1Scope3EmissionFactorsStationaryLiquid_Data(), Table_Fuel_EFs_StationaryLiquid[[#Headers],[Fuel combusted]],0)</f>
        <v>kl</v>
      </c>
      <c r="G54" s="217" cm="1">
        <f t="array" ref="G54">Common_InputFunctions.Utility_DisplayArrayInTable(Fuel_SourceData.Fuel_Scope1Scope3EmissionFactorsStationaryLiquid_Data(), Table_Fuel_EFs_StationaryLiquid[[#Headers],[Fuel combusted]],0)</f>
        <v>13.9</v>
      </c>
      <c r="H54" s="217" cm="1">
        <f t="array" ref="H54">Common_InputFunctions.Utility_DisplayArrayInTable(Fuel_SourceData.Fuel_Scope1Scope3EmissionFactorsStationaryLiquid_Data(), Table_Fuel_EFs_StationaryLiquid[[#Headers],[Fuel combusted]],0)</f>
        <v>0</v>
      </c>
      <c r="I54" s="217" cm="1">
        <f t="array" ref="I54">Common_InputFunctions.Utility_DisplayArrayInTable(Fuel_SourceData.Fuel_Scope1Scope3EmissionFactorsStationaryLiquid_Data(), Table_Fuel_EFs_StationaryLiquid[[#Headers],[Fuel combusted]],0)</f>
        <v>0</v>
      </c>
      <c r="J54" s="217" cm="1">
        <f t="array" ref="J54">Common_InputFunctions.Utility_DisplayArrayInTable(Fuel_SourceData.Fuel_Scope1Scope3EmissionFactorsStationaryLiquid_Data(), Table_Fuel_EFs_StationaryLiquid[[#Headers],[Fuel combusted]],0)</f>
        <v>13.9</v>
      </c>
      <c r="K54" s="217" cm="1">
        <f t="array" ref="K54">Common_InputFunctions.Utility_DisplayArrayInTable(Fuel_SourceData.Fuel_Scope1Scope3EmissionFactorsStationaryLiquid_Data(), Table_Fuel_EFs_StationaryLiquid[[#Headers],[Fuel combusted]],0)</f>
        <v>18</v>
      </c>
      <c r="L54" s="159"/>
    </row>
    <row r="55" spans="1:12" ht="20.100000000000001" customHeight="1" x14ac:dyDescent="0.25">
      <c r="D55" s="217" t="str" cm="1">
        <f t="array" ref="D55">Common_InputFunctions.Utility_DisplayArrayInTable(Fuel_SourceData.Fuel_Scope1Scope3EmissionFactorsStationaryLiquid_Data(), Table_Fuel_EFs_StationaryLiquid[[#Headers],[Fuel combusted]],0)</f>
        <v>Petroleum based greases</v>
      </c>
      <c r="E55" s="217" cm="1">
        <f t="array" ref="E55">Common_InputFunctions.Utility_DisplayArrayInTable(Fuel_SourceData.Fuel_Scope1Scope3EmissionFactorsStationaryLiquid_Data(), Table_Fuel_EFs_StationaryLiquid[[#Headers],[Fuel combusted]],0)</f>
        <v>38.799999999999997</v>
      </c>
      <c r="F55" s="217" t="str" cm="1">
        <f t="array" ref="F55">Common_InputFunctions.Utility_DisplayArrayInTable(Fuel_SourceData.Fuel_Scope1Scope3EmissionFactorsStationaryLiquid_Data(), Table_Fuel_EFs_StationaryLiquid[[#Headers],[Fuel combusted]],0)</f>
        <v>kl</v>
      </c>
      <c r="G55" s="217" cm="1">
        <f t="array" ref="G55">Common_InputFunctions.Utility_DisplayArrayInTable(Fuel_SourceData.Fuel_Scope1Scope3EmissionFactorsStationaryLiquid_Data(), Table_Fuel_EFs_StationaryLiquid[[#Headers],[Fuel combusted]],0)</f>
        <v>3.5</v>
      </c>
      <c r="H55" s="217" cm="1">
        <f t="array" ref="H55">Common_InputFunctions.Utility_DisplayArrayInTable(Fuel_SourceData.Fuel_Scope1Scope3EmissionFactorsStationaryLiquid_Data(), Table_Fuel_EFs_StationaryLiquid[[#Headers],[Fuel combusted]],0)</f>
        <v>0</v>
      </c>
      <c r="I55" s="217" cm="1">
        <f t="array" ref="I55">Common_InputFunctions.Utility_DisplayArrayInTable(Fuel_SourceData.Fuel_Scope1Scope3EmissionFactorsStationaryLiquid_Data(), Table_Fuel_EFs_StationaryLiquid[[#Headers],[Fuel combusted]],0)</f>
        <v>0</v>
      </c>
      <c r="J55" s="217" cm="1">
        <f t="array" ref="J55">Common_InputFunctions.Utility_DisplayArrayInTable(Fuel_SourceData.Fuel_Scope1Scope3EmissionFactorsStationaryLiquid_Data(), Table_Fuel_EFs_StationaryLiquid[[#Headers],[Fuel combusted]],0)</f>
        <v>3.5</v>
      </c>
      <c r="K55" s="217" cm="1">
        <f t="array" ref="K55">Common_InputFunctions.Utility_DisplayArrayInTable(Fuel_SourceData.Fuel_Scope1Scope3EmissionFactorsStationaryLiquid_Data(), Table_Fuel_EFs_StationaryLiquid[[#Headers],[Fuel combusted]],0)</f>
        <v>18</v>
      </c>
      <c r="L55" s="159"/>
    </row>
    <row r="56" spans="1:12" ht="20.100000000000001" customHeight="1" x14ac:dyDescent="0.25">
      <c r="D56" s="217" t="str" cm="1">
        <f t="array" ref="D56">Common_InputFunctions.Utility_DisplayArrayInTable(Fuel_SourceData.Fuel_Scope1Scope3EmissionFactorsStationaryLiquid_Data(), Table_Fuel_EFs_StationaryLiquid[[#Headers],[Fuel combusted]],0)</f>
        <v>Crude oil including crude oil condensates</v>
      </c>
      <c r="E56" s="217" cm="1">
        <f t="array" ref="E56">Common_InputFunctions.Utility_DisplayArrayInTable(Fuel_SourceData.Fuel_Scope1Scope3EmissionFactorsStationaryLiquid_Data(), Table_Fuel_EFs_StationaryLiquid[[#Headers],[Fuel combusted]],0)</f>
        <v>45.3</v>
      </c>
      <c r="F56" s="217" t="str" cm="1">
        <f t="array" ref="F56">Common_InputFunctions.Utility_DisplayArrayInTable(Fuel_SourceData.Fuel_Scope1Scope3EmissionFactorsStationaryLiquid_Data(), Table_Fuel_EFs_StationaryLiquid[[#Headers],[Fuel combusted]],0)</f>
        <v>t</v>
      </c>
      <c r="G56" s="217" cm="1">
        <f t="array" ref="G56">Common_InputFunctions.Utility_DisplayArrayInTable(Fuel_SourceData.Fuel_Scope1Scope3EmissionFactorsStationaryLiquid_Data(), Table_Fuel_EFs_StationaryLiquid[[#Headers],[Fuel combusted]],0)</f>
        <v>69.599999999999994</v>
      </c>
      <c r="H56" s="217" cm="1">
        <f t="array" ref="H56">Common_InputFunctions.Utility_DisplayArrayInTable(Fuel_SourceData.Fuel_Scope1Scope3EmissionFactorsStationaryLiquid_Data(), Table_Fuel_EFs_StationaryLiquid[[#Headers],[Fuel combusted]],0)</f>
        <v>0.08</v>
      </c>
      <c r="I56" s="217" cm="1">
        <f t="array" ref="I56">Common_InputFunctions.Utility_DisplayArrayInTable(Fuel_SourceData.Fuel_Scope1Scope3EmissionFactorsStationaryLiquid_Data(), Table_Fuel_EFs_StationaryLiquid[[#Headers],[Fuel combusted]],0)</f>
        <v>0.2</v>
      </c>
      <c r="J56" s="217" cm="1">
        <f t="array" ref="J56">Common_InputFunctions.Utility_DisplayArrayInTable(Fuel_SourceData.Fuel_Scope1Scope3EmissionFactorsStationaryLiquid_Data(), Table_Fuel_EFs_StationaryLiquid[[#Headers],[Fuel combusted]],0)</f>
        <v>69.88</v>
      </c>
      <c r="K56" s="217" t="str" cm="1">
        <f t="array" ref="K56">Common_InputFunctions.Utility_DisplayArrayInTable(Fuel_SourceData.Fuel_Scope1Scope3EmissionFactorsStationaryLiquid_Data(), Table_Fuel_EFs_StationaryLiquid[[#Headers],[Fuel combusted]],0)</f>
        <v>NE</v>
      </c>
      <c r="L56" s="159"/>
    </row>
    <row r="57" spans="1:12" ht="20.100000000000001" customHeight="1" x14ac:dyDescent="0.25">
      <c r="D57" s="217" t="str" cm="1">
        <f t="array" ref="D57">Common_InputFunctions.Utility_DisplayArrayInTable(Fuel_SourceData.Fuel_Scope1Scope3EmissionFactorsStationaryLiquid_Data(), Table_Fuel_EFs_StationaryLiquid[[#Headers],[Fuel combusted]],0)</f>
        <v>Other natural gas liquids</v>
      </c>
      <c r="E57" s="217" cm="1">
        <f t="array" ref="E57">Common_InputFunctions.Utility_DisplayArrayInTable(Fuel_SourceData.Fuel_Scope1Scope3EmissionFactorsStationaryLiquid_Data(), Table_Fuel_EFs_StationaryLiquid[[#Headers],[Fuel combusted]],0)</f>
        <v>46.5</v>
      </c>
      <c r="F57" s="217" t="str" cm="1">
        <f t="array" ref="F57">Common_InputFunctions.Utility_DisplayArrayInTable(Fuel_SourceData.Fuel_Scope1Scope3EmissionFactorsStationaryLiquid_Data(), Table_Fuel_EFs_StationaryLiquid[[#Headers],[Fuel combusted]],0)</f>
        <v>t</v>
      </c>
      <c r="G57" s="217" cm="1">
        <f t="array" ref="G57">Common_InputFunctions.Utility_DisplayArrayInTable(Fuel_SourceData.Fuel_Scope1Scope3EmissionFactorsStationaryLiquid_Data(), Table_Fuel_EFs_StationaryLiquid[[#Headers],[Fuel combusted]],0)</f>
        <v>61</v>
      </c>
      <c r="H57" s="217" cm="1">
        <f t="array" ref="H57">Common_InputFunctions.Utility_DisplayArrayInTable(Fuel_SourceData.Fuel_Scope1Scope3EmissionFactorsStationaryLiquid_Data(), Table_Fuel_EFs_StationaryLiquid[[#Headers],[Fuel combusted]],0)</f>
        <v>0.08</v>
      </c>
      <c r="I57" s="217" cm="1">
        <f t="array" ref="I57">Common_InputFunctions.Utility_DisplayArrayInTable(Fuel_SourceData.Fuel_Scope1Scope3EmissionFactorsStationaryLiquid_Data(), Table_Fuel_EFs_StationaryLiquid[[#Headers],[Fuel combusted]],0)</f>
        <v>0.2</v>
      </c>
      <c r="J57" s="217" cm="1">
        <f t="array" ref="J57">Common_InputFunctions.Utility_DisplayArrayInTable(Fuel_SourceData.Fuel_Scope1Scope3EmissionFactorsStationaryLiquid_Data(), Table_Fuel_EFs_StationaryLiquid[[#Headers],[Fuel combusted]],0)</f>
        <v>61.28</v>
      </c>
      <c r="K57" s="217" t="str" cm="1">
        <f t="array" ref="K57">Common_InputFunctions.Utility_DisplayArrayInTable(Fuel_SourceData.Fuel_Scope1Scope3EmissionFactorsStationaryLiquid_Data(), Table_Fuel_EFs_StationaryLiquid[[#Headers],[Fuel combusted]],0)</f>
        <v>NE</v>
      </c>
      <c r="L57" s="159"/>
    </row>
    <row r="58" spans="1:12" ht="20.100000000000001" customHeight="1" x14ac:dyDescent="0.25">
      <c r="D58" s="217"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17" cm="1">
        <f t="array" ref="E58">Common_InputFunctions.Utility_DisplayArrayInTable(Fuel_SourceData.Fuel_Scope1Scope3EmissionFactorsStationaryLiquid_Data(), Table_Fuel_EFs_StationaryLiquid[[#Headers],[Fuel combusted]],0)</f>
        <v>34.200000000000003</v>
      </c>
      <c r="F58" s="217" t="str" cm="1">
        <f t="array" ref="F58">Common_InputFunctions.Utility_DisplayArrayInTable(Fuel_SourceData.Fuel_Scope1Scope3EmissionFactorsStationaryLiquid_Data(), Table_Fuel_EFs_StationaryLiquid[[#Headers],[Fuel combusted]],0)</f>
        <v>kL</v>
      </c>
      <c r="G58" s="217" cm="1">
        <f t="array" ref="G58">Common_InputFunctions.Utility_DisplayArrayInTable(Fuel_SourceData.Fuel_Scope1Scope3EmissionFactorsStationaryLiquid_Data(), Table_Fuel_EFs_StationaryLiquid[[#Headers],[Fuel combusted]],0)</f>
        <v>67.400000000000006</v>
      </c>
      <c r="H58" s="217" cm="1">
        <f t="array" ref="H58">Common_InputFunctions.Utility_DisplayArrayInTable(Fuel_SourceData.Fuel_Scope1Scope3EmissionFactorsStationaryLiquid_Data(), Table_Fuel_EFs_StationaryLiquid[[#Headers],[Fuel combusted]],0)</f>
        <v>0.2</v>
      </c>
      <c r="I58" s="217" cm="1">
        <f t="array" ref="I58">Common_InputFunctions.Utility_DisplayArrayInTable(Fuel_SourceData.Fuel_Scope1Scope3EmissionFactorsStationaryLiquid_Data(), Table_Fuel_EFs_StationaryLiquid[[#Headers],[Fuel combusted]],0)</f>
        <v>0.2</v>
      </c>
      <c r="J58" s="217" cm="1">
        <f t="array" ref="J58">Common_InputFunctions.Utility_DisplayArrayInTable(Fuel_SourceData.Fuel_Scope1Scope3EmissionFactorsStationaryLiquid_Data(), Table_Fuel_EFs_StationaryLiquid[[#Headers],[Fuel combusted]],0)</f>
        <v>67.8</v>
      </c>
      <c r="K58" s="217" cm="1">
        <f t="array" ref="K58">Common_InputFunctions.Utility_DisplayArrayInTable(Fuel_SourceData.Fuel_Scope1Scope3EmissionFactorsStationaryLiquid_Data(), Table_Fuel_EFs_StationaryLiquid[[#Headers],[Fuel combusted]],0)</f>
        <v>17.2</v>
      </c>
      <c r="L58" s="159"/>
    </row>
    <row r="59" spans="1:12" ht="20.100000000000001" customHeight="1" x14ac:dyDescent="0.25">
      <c r="D59" s="217" t="str" cm="1">
        <f t="array" ref="D59">Common_InputFunctions.Utility_DisplayArrayInTable(Fuel_SourceData.Fuel_Scope1Scope3EmissionFactorsStationaryLiquid_Data(), Table_Fuel_EFs_StationaryLiquid[[#Headers],[Fuel combusted]],0)</f>
        <v>Aviation gasoline</v>
      </c>
      <c r="E59" s="217" cm="1">
        <f t="array" ref="E59">Common_InputFunctions.Utility_DisplayArrayInTable(Fuel_SourceData.Fuel_Scope1Scope3EmissionFactorsStationaryLiquid_Data(), Table_Fuel_EFs_StationaryLiquid[[#Headers],[Fuel combusted]],0)</f>
        <v>33.1</v>
      </c>
      <c r="F59" s="217" t="str" cm="1">
        <f t="array" ref="F59">Common_InputFunctions.Utility_DisplayArrayInTable(Fuel_SourceData.Fuel_Scope1Scope3EmissionFactorsStationaryLiquid_Data(), Table_Fuel_EFs_StationaryLiquid[[#Headers],[Fuel combusted]],0)</f>
        <v>kL</v>
      </c>
      <c r="G59" s="217" cm="1">
        <f t="array" ref="G59">Common_InputFunctions.Utility_DisplayArrayInTable(Fuel_SourceData.Fuel_Scope1Scope3EmissionFactorsStationaryLiquid_Data(), Table_Fuel_EFs_StationaryLiquid[[#Headers],[Fuel combusted]],0)</f>
        <v>67</v>
      </c>
      <c r="H59" s="217" cm="1">
        <f t="array" ref="H59">Common_InputFunctions.Utility_DisplayArrayInTable(Fuel_SourceData.Fuel_Scope1Scope3EmissionFactorsStationaryLiquid_Data(), Table_Fuel_EFs_StationaryLiquid[[#Headers],[Fuel combusted]],0)</f>
        <v>0.2</v>
      </c>
      <c r="I59" s="217" cm="1">
        <f t="array" ref="I59">Common_InputFunctions.Utility_DisplayArrayInTable(Fuel_SourceData.Fuel_Scope1Scope3EmissionFactorsStationaryLiquid_Data(), Table_Fuel_EFs_StationaryLiquid[[#Headers],[Fuel combusted]],0)</f>
        <v>0.2</v>
      </c>
      <c r="J59" s="217" cm="1">
        <f t="array" ref="J59">Common_InputFunctions.Utility_DisplayArrayInTable(Fuel_SourceData.Fuel_Scope1Scope3EmissionFactorsStationaryLiquid_Data(), Table_Fuel_EFs_StationaryLiquid[[#Headers],[Fuel combusted]],0)</f>
        <v>67.400000000000006</v>
      </c>
      <c r="K59" s="217" cm="1">
        <f t="array" ref="K59">Common_InputFunctions.Utility_DisplayArrayInTable(Fuel_SourceData.Fuel_Scope1Scope3EmissionFactorsStationaryLiquid_Data(), Table_Fuel_EFs_StationaryLiquid[[#Headers],[Fuel combusted]],0)</f>
        <v>18</v>
      </c>
      <c r="L59" s="159"/>
    </row>
    <row r="60" spans="1:12" ht="20.100000000000001" customHeight="1" x14ac:dyDescent="0.25">
      <c r="D60" s="217" t="str" cm="1">
        <f t="array" ref="D60">Common_InputFunctions.Utility_DisplayArrayInTable(Fuel_SourceData.Fuel_Scope1Scope3EmissionFactorsStationaryLiquid_Data(), Table_Fuel_EFs_StationaryLiquid[[#Headers],[Fuel combusted]],0)</f>
        <v>Kerosene (other than for use as fuel in an aircraft)</v>
      </c>
      <c r="E60" s="217" cm="1">
        <f t="array" ref="E60">Common_InputFunctions.Utility_DisplayArrayInTable(Fuel_SourceData.Fuel_Scope1Scope3EmissionFactorsStationaryLiquid_Data(), Table_Fuel_EFs_StationaryLiquid[[#Headers],[Fuel combusted]],0)</f>
        <v>37.5</v>
      </c>
      <c r="F60" s="217" t="str" cm="1">
        <f t="array" ref="F60">Common_InputFunctions.Utility_DisplayArrayInTable(Fuel_SourceData.Fuel_Scope1Scope3EmissionFactorsStationaryLiquid_Data(), Table_Fuel_EFs_StationaryLiquid[[#Headers],[Fuel combusted]],0)</f>
        <v>kL</v>
      </c>
      <c r="G60" s="217" cm="1">
        <f t="array" ref="G60">Common_InputFunctions.Utility_DisplayArrayInTable(Fuel_SourceData.Fuel_Scope1Scope3EmissionFactorsStationaryLiquid_Data(), Table_Fuel_EFs_StationaryLiquid[[#Headers],[Fuel combusted]],0)</f>
        <v>68.900000000000006</v>
      </c>
      <c r="H60" s="217" cm="1">
        <f t="array" ref="H60">Common_InputFunctions.Utility_DisplayArrayInTable(Fuel_SourceData.Fuel_Scope1Scope3EmissionFactorsStationaryLiquid_Data(), Table_Fuel_EFs_StationaryLiquid[[#Headers],[Fuel combusted]],0)</f>
        <v>0.01</v>
      </c>
      <c r="I60" s="217" cm="1">
        <f t="array" ref="I60">Common_InputFunctions.Utility_DisplayArrayInTable(Fuel_SourceData.Fuel_Scope1Scope3EmissionFactorsStationaryLiquid_Data(), Table_Fuel_EFs_StationaryLiquid[[#Headers],[Fuel combusted]],0)</f>
        <v>0.2</v>
      </c>
      <c r="J60" s="217" cm="1">
        <f t="array" ref="J60">Common_InputFunctions.Utility_DisplayArrayInTable(Fuel_SourceData.Fuel_Scope1Scope3EmissionFactorsStationaryLiquid_Data(), Table_Fuel_EFs_StationaryLiquid[[#Headers],[Fuel combusted]],0)</f>
        <v>69.11</v>
      </c>
      <c r="K60" s="217" cm="1">
        <f t="array" ref="K60">Common_InputFunctions.Utility_DisplayArrayInTable(Fuel_SourceData.Fuel_Scope1Scope3EmissionFactorsStationaryLiquid_Data(), Table_Fuel_EFs_StationaryLiquid[[#Headers],[Fuel combusted]],0)</f>
        <v>18</v>
      </c>
      <c r="L60" s="159"/>
    </row>
    <row r="61" spans="1:12" ht="20.100000000000001" customHeight="1" x14ac:dyDescent="0.25">
      <c r="D61" s="217" t="str" cm="1">
        <f t="array" ref="D61">Common_InputFunctions.Utility_DisplayArrayInTable(Fuel_SourceData.Fuel_Scope1Scope3EmissionFactorsStationaryLiquid_Data(), Table_Fuel_EFs_StationaryLiquid[[#Headers],[Fuel combusted]],0)</f>
        <v>Aviation turbine fuel / kerosene</v>
      </c>
      <c r="E61" s="217" cm="1">
        <f t="array" ref="E61">Common_InputFunctions.Utility_DisplayArrayInTable(Fuel_SourceData.Fuel_Scope1Scope3EmissionFactorsStationaryLiquid_Data(), Table_Fuel_EFs_StationaryLiquid[[#Headers],[Fuel combusted]],0)</f>
        <v>36.799999999999997</v>
      </c>
      <c r="F61" s="217" t="str" cm="1">
        <f t="array" ref="F61">Common_InputFunctions.Utility_DisplayArrayInTable(Fuel_SourceData.Fuel_Scope1Scope3EmissionFactorsStationaryLiquid_Data(), Table_Fuel_EFs_StationaryLiquid[[#Headers],[Fuel combusted]],0)</f>
        <v>kL</v>
      </c>
      <c r="G61" s="217" cm="1">
        <f t="array" ref="G61">Common_InputFunctions.Utility_DisplayArrayInTable(Fuel_SourceData.Fuel_Scope1Scope3EmissionFactorsStationaryLiquid_Data(), Table_Fuel_EFs_StationaryLiquid[[#Headers],[Fuel combusted]],0)</f>
        <v>69.599999999999994</v>
      </c>
      <c r="H61" s="217" cm="1">
        <f t="array" ref="H61">Common_InputFunctions.Utility_DisplayArrayInTable(Fuel_SourceData.Fuel_Scope1Scope3EmissionFactorsStationaryLiquid_Data(), Table_Fuel_EFs_StationaryLiquid[[#Headers],[Fuel combusted]],0)</f>
        <v>0.02</v>
      </c>
      <c r="I61" s="217" cm="1">
        <f t="array" ref="I61">Common_InputFunctions.Utility_DisplayArrayInTable(Fuel_SourceData.Fuel_Scope1Scope3EmissionFactorsStationaryLiquid_Data(), Table_Fuel_EFs_StationaryLiquid[[#Headers],[Fuel combusted]],0)</f>
        <v>0.2</v>
      </c>
      <c r="J61" s="217" cm="1">
        <f t="array" ref="J61">Common_InputFunctions.Utility_DisplayArrayInTable(Fuel_SourceData.Fuel_Scope1Scope3EmissionFactorsStationaryLiquid_Data(), Table_Fuel_EFs_StationaryLiquid[[#Headers],[Fuel combusted]],0)</f>
        <v>69.819999999999993</v>
      </c>
      <c r="K61" s="217" cm="1">
        <f t="array" ref="K61">Common_InputFunctions.Utility_DisplayArrayInTable(Fuel_SourceData.Fuel_Scope1Scope3EmissionFactorsStationaryLiquid_Data(), Table_Fuel_EFs_StationaryLiquid[[#Headers],[Fuel combusted]],0)</f>
        <v>18</v>
      </c>
      <c r="L61" s="159"/>
    </row>
    <row r="62" spans="1:12" ht="20.100000000000001" customHeight="1" x14ac:dyDescent="0.25">
      <c r="D62" s="217" t="str" cm="1">
        <f t="array" ref="D62">Common_InputFunctions.Utility_DisplayArrayInTable(Fuel_SourceData.Fuel_Scope1Scope3EmissionFactorsStationaryLiquid_Data(), Table_Fuel_EFs_StationaryLiquid[[#Headers],[Fuel combusted]],0)</f>
        <v>Heating oil</v>
      </c>
      <c r="E62" s="217" cm="1">
        <f t="array" ref="E62">Common_InputFunctions.Utility_DisplayArrayInTable(Fuel_SourceData.Fuel_Scope1Scope3EmissionFactorsStationaryLiquid_Data(), Table_Fuel_EFs_StationaryLiquid[[#Headers],[Fuel combusted]],0)</f>
        <v>37.299999999999997</v>
      </c>
      <c r="F62" s="217" t="str" cm="1">
        <f t="array" ref="F62">Common_InputFunctions.Utility_DisplayArrayInTable(Fuel_SourceData.Fuel_Scope1Scope3EmissionFactorsStationaryLiquid_Data(), Table_Fuel_EFs_StationaryLiquid[[#Headers],[Fuel combusted]],0)</f>
        <v>kL</v>
      </c>
      <c r="G62" s="217" cm="1">
        <f t="array" ref="G62">Common_InputFunctions.Utility_DisplayArrayInTable(Fuel_SourceData.Fuel_Scope1Scope3EmissionFactorsStationaryLiquid_Data(), Table_Fuel_EFs_StationaryLiquid[[#Headers],[Fuel combusted]],0)</f>
        <v>69.5</v>
      </c>
      <c r="H62" s="217" cm="1">
        <f t="array" ref="H62">Common_InputFunctions.Utility_DisplayArrayInTable(Fuel_SourceData.Fuel_Scope1Scope3EmissionFactorsStationaryLiquid_Data(), Table_Fuel_EFs_StationaryLiquid[[#Headers],[Fuel combusted]],0)</f>
        <v>0.03</v>
      </c>
      <c r="I62" s="217" cm="1">
        <f t="array" ref="I62">Common_InputFunctions.Utility_DisplayArrayInTable(Fuel_SourceData.Fuel_Scope1Scope3EmissionFactorsStationaryLiquid_Data(), Table_Fuel_EFs_StationaryLiquid[[#Headers],[Fuel combusted]],0)</f>
        <v>0.2</v>
      </c>
      <c r="J62" s="217" cm="1">
        <f t="array" ref="J62">Common_InputFunctions.Utility_DisplayArrayInTable(Fuel_SourceData.Fuel_Scope1Scope3EmissionFactorsStationaryLiquid_Data(), Table_Fuel_EFs_StationaryLiquid[[#Headers],[Fuel combusted]],0)</f>
        <v>69.73</v>
      </c>
      <c r="K62" s="217" cm="1">
        <f t="array" ref="K62">Common_InputFunctions.Utility_DisplayArrayInTable(Fuel_SourceData.Fuel_Scope1Scope3EmissionFactorsStationaryLiquid_Data(), Table_Fuel_EFs_StationaryLiquid[[#Headers],[Fuel combusted]],0)</f>
        <v>18</v>
      </c>
      <c r="L62" s="159"/>
    </row>
    <row r="63" spans="1:12" ht="20.100000000000001" customHeight="1" x14ac:dyDescent="0.25">
      <c r="D63" s="217" t="str" cm="1">
        <f t="array" ref="D63">Common_InputFunctions.Utility_DisplayArrayInTable(Fuel_SourceData.Fuel_Scope1Scope3EmissionFactorsStationaryLiquid_Data(), Table_Fuel_EFs_StationaryLiquid[[#Headers],[Fuel combusted]],0)</f>
        <v>Diesel oil</v>
      </c>
      <c r="E63" s="217" cm="1">
        <f t="array" ref="E63">Common_InputFunctions.Utility_DisplayArrayInTable(Fuel_SourceData.Fuel_Scope1Scope3EmissionFactorsStationaryLiquid_Data(), Table_Fuel_EFs_StationaryLiquid[[#Headers],[Fuel combusted]],0)</f>
        <v>38.6</v>
      </c>
      <c r="F63" s="217" t="str" cm="1">
        <f t="array" ref="F63">Common_InputFunctions.Utility_DisplayArrayInTable(Fuel_SourceData.Fuel_Scope1Scope3EmissionFactorsStationaryLiquid_Data(), Table_Fuel_EFs_StationaryLiquid[[#Headers],[Fuel combusted]],0)</f>
        <v>kL</v>
      </c>
      <c r="G63" s="217" cm="1">
        <f t="array" ref="G63">Common_InputFunctions.Utility_DisplayArrayInTable(Fuel_SourceData.Fuel_Scope1Scope3EmissionFactorsStationaryLiquid_Data(), Table_Fuel_EFs_StationaryLiquid[[#Headers],[Fuel combusted]],0)</f>
        <v>69.900000000000006</v>
      </c>
      <c r="H63" s="217" cm="1">
        <f t="array" ref="H63">Common_InputFunctions.Utility_DisplayArrayInTable(Fuel_SourceData.Fuel_Scope1Scope3EmissionFactorsStationaryLiquid_Data(), Table_Fuel_EFs_StationaryLiquid[[#Headers],[Fuel combusted]],0)</f>
        <v>0.1</v>
      </c>
      <c r="I63" s="217" cm="1">
        <f t="array" ref="I63">Common_InputFunctions.Utility_DisplayArrayInTable(Fuel_SourceData.Fuel_Scope1Scope3EmissionFactorsStationaryLiquid_Data(), Table_Fuel_EFs_StationaryLiquid[[#Headers],[Fuel combusted]],0)</f>
        <v>0.2</v>
      </c>
      <c r="J63" s="217" cm="1">
        <f t="array" ref="J63">Common_InputFunctions.Utility_DisplayArrayInTable(Fuel_SourceData.Fuel_Scope1Scope3EmissionFactorsStationaryLiquid_Data(), Table_Fuel_EFs_StationaryLiquid[[#Headers],[Fuel combusted]],0)</f>
        <v>70.2</v>
      </c>
      <c r="K63" s="217" cm="1">
        <f t="array" ref="K63">Common_InputFunctions.Utility_DisplayArrayInTable(Fuel_SourceData.Fuel_Scope1Scope3EmissionFactorsStationaryLiquid_Data(), Table_Fuel_EFs_StationaryLiquid[[#Headers],[Fuel combusted]],0)</f>
        <v>17.3</v>
      </c>
      <c r="L63" s="159"/>
    </row>
    <row r="64" spans="1:12" ht="20.100000000000001" customHeight="1" x14ac:dyDescent="0.25">
      <c r="D64" s="217" t="str" cm="1">
        <f t="array" ref="D64">Common_InputFunctions.Utility_DisplayArrayInTable(Fuel_SourceData.Fuel_Scope1Scope3EmissionFactorsStationaryLiquid_Data(), Table_Fuel_EFs_StationaryLiquid[[#Headers],[Fuel combusted]],0)</f>
        <v>Fuel oil</v>
      </c>
      <c r="E64" s="217" cm="1">
        <f t="array" ref="E64">Common_InputFunctions.Utility_DisplayArrayInTable(Fuel_SourceData.Fuel_Scope1Scope3EmissionFactorsStationaryLiquid_Data(), Table_Fuel_EFs_StationaryLiquid[[#Headers],[Fuel combusted]],0)</f>
        <v>39.700000000000003</v>
      </c>
      <c r="F64" s="217" t="str" cm="1">
        <f t="array" ref="F64">Common_InputFunctions.Utility_DisplayArrayInTable(Fuel_SourceData.Fuel_Scope1Scope3EmissionFactorsStationaryLiquid_Data(), Table_Fuel_EFs_StationaryLiquid[[#Headers],[Fuel combusted]],0)</f>
        <v>kL</v>
      </c>
      <c r="G64" s="217" cm="1">
        <f t="array" ref="G64">Common_InputFunctions.Utility_DisplayArrayInTable(Fuel_SourceData.Fuel_Scope1Scope3EmissionFactorsStationaryLiquid_Data(), Table_Fuel_EFs_StationaryLiquid[[#Headers],[Fuel combusted]],0)</f>
        <v>73.599999999999994</v>
      </c>
      <c r="H64" s="217" cm="1">
        <f t="array" ref="H64">Common_InputFunctions.Utility_DisplayArrayInTable(Fuel_SourceData.Fuel_Scope1Scope3EmissionFactorsStationaryLiquid_Data(), Table_Fuel_EFs_StationaryLiquid[[#Headers],[Fuel combusted]],0)</f>
        <v>0.04</v>
      </c>
      <c r="I64" s="217" cm="1">
        <f t="array" ref="I64">Common_InputFunctions.Utility_DisplayArrayInTable(Fuel_SourceData.Fuel_Scope1Scope3EmissionFactorsStationaryLiquid_Data(), Table_Fuel_EFs_StationaryLiquid[[#Headers],[Fuel combusted]],0)</f>
        <v>0.2</v>
      </c>
      <c r="J64" s="217" cm="1">
        <f t="array" ref="J64">Common_InputFunctions.Utility_DisplayArrayInTable(Fuel_SourceData.Fuel_Scope1Scope3EmissionFactorsStationaryLiquid_Data(), Table_Fuel_EFs_StationaryLiquid[[#Headers],[Fuel combusted]],0)</f>
        <v>73.84</v>
      </c>
      <c r="K64" s="217" cm="1">
        <f t="array" ref="K64">Common_InputFunctions.Utility_DisplayArrayInTable(Fuel_SourceData.Fuel_Scope1Scope3EmissionFactorsStationaryLiquid_Data(), Table_Fuel_EFs_StationaryLiquid[[#Headers],[Fuel combusted]],0)</f>
        <v>18</v>
      </c>
      <c r="L64" s="159"/>
    </row>
    <row r="65" spans="4:13" ht="20.100000000000001" customHeight="1" x14ac:dyDescent="0.25">
      <c r="D65" s="217" t="str" cm="1">
        <f t="array" ref="D65">Common_InputFunctions.Utility_DisplayArrayInTable(Fuel_SourceData.Fuel_Scope1Scope3EmissionFactorsStationaryLiquid_Data(), Table_Fuel_EFs_StationaryLiquid[[#Headers],[Fuel combusted]],0)</f>
        <v>Liquefied aromatic hydrocarbons</v>
      </c>
      <c r="E65" s="217" cm="1">
        <f t="array" ref="E65">Common_InputFunctions.Utility_DisplayArrayInTable(Fuel_SourceData.Fuel_Scope1Scope3EmissionFactorsStationaryLiquid_Data(), Table_Fuel_EFs_StationaryLiquid[[#Headers],[Fuel combusted]],0)</f>
        <v>34.4</v>
      </c>
      <c r="F65" s="217" t="str" cm="1">
        <f t="array" ref="F65">Common_InputFunctions.Utility_DisplayArrayInTable(Fuel_SourceData.Fuel_Scope1Scope3EmissionFactorsStationaryLiquid_Data(), Table_Fuel_EFs_StationaryLiquid[[#Headers],[Fuel combusted]],0)</f>
        <v>kL</v>
      </c>
      <c r="G65" s="217" cm="1">
        <f t="array" ref="G65">Common_InputFunctions.Utility_DisplayArrayInTable(Fuel_SourceData.Fuel_Scope1Scope3EmissionFactorsStationaryLiquid_Data(), Table_Fuel_EFs_StationaryLiquid[[#Headers],[Fuel combusted]],0)</f>
        <v>69.7</v>
      </c>
      <c r="H65" s="217" cm="1">
        <f t="array" ref="H65">Common_InputFunctions.Utility_DisplayArrayInTable(Fuel_SourceData.Fuel_Scope1Scope3EmissionFactorsStationaryLiquid_Data(), Table_Fuel_EFs_StationaryLiquid[[#Headers],[Fuel combusted]],0)</f>
        <v>0.03</v>
      </c>
      <c r="I65" s="217" cm="1">
        <f t="array" ref="I65">Common_InputFunctions.Utility_DisplayArrayInTable(Fuel_SourceData.Fuel_Scope1Scope3EmissionFactorsStationaryLiquid_Data(), Table_Fuel_EFs_StationaryLiquid[[#Headers],[Fuel combusted]],0)</f>
        <v>0.2</v>
      </c>
      <c r="J65" s="217" cm="1">
        <f t="array" ref="J65">Common_InputFunctions.Utility_DisplayArrayInTable(Fuel_SourceData.Fuel_Scope1Scope3EmissionFactorsStationaryLiquid_Data(), Table_Fuel_EFs_StationaryLiquid[[#Headers],[Fuel combusted]],0)</f>
        <v>69.930000000000007</v>
      </c>
      <c r="K65" s="217" cm="1">
        <f t="array" ref="K65">Common_InputFunctions.Utility_DisplayArrayInTable(Fuel_SourceData.Fuel_Scope1Scope3EmissionFactorsStationaryLiquid_Data(), Table_Fuel_EFs_StationaryLiquid[[#Headers],[Fuel combusted]],0)</f>
        <v>18</v>
      </c>
      <c r="L65" s="159"/>
    </row>
    <row r="66" spans="4:13" ht="20.100000000000001" customHeight="1" x14ac:dyDescent="0.25">
      <c r="D66" s="217" t="str" cm="1">
        <f t="array" ref="D66">Common_InputFunctions.Utility_DisplayArrayInTable(Fuel_SourceData.Fuel_Scope1Scope3EmissionFactorsStationaryLiquid_Data(), Table_Fuel_EFs_StationaryLiquid[[#Headers],[Fuel combusted]],0)</f>
        <v>Solvents: mineral turpentine or white spirits</v>
      </c>
      <c r="E66" s="217" cm="1">
        <f t="array" ref="E66">Common_InputFunctions.Utility_DisplayArrayInTable(Fuel_SourceData.Fuel_Scope1Scope3EmissionFactorsStationaryLiquid_Data(), Table_Fuel_EFs_StationaryLiquid[[#Headers],[Fuel combusted]],0)</f>
        <v>34.4</v>
      </c>
      <c r="F66" s="217" t="str" cm="1">
        <f t="array" ref="F66">Common_InputFunctions.Utility_DisplayArrayInTable(Fuel_SourceData.Fuel_Scope1Scope3EmissionFactorsStationaryLiquid_Data(), Table_Fuel_EFs_StationaryLiquid[[#Headers],[Fuel combusted]],0)</f>
        <v>kL</v>
      </c>
      <c r="G66" s="217" cm="1">
        <f t="array" ref="G66">Common_InputFunctions.Utility_DisplayArrayInTable(Fuel_SourceData.Fuel_Scope1Scope3EmissionFactorsStationaryLiquid_Data(), Table_Fuel_EFs_StationaryLiquid[[#Headers],[Fuel combusted]],0)</f>
        <v>69.7</v>
      </c>
      <c r="H66" s="217" cm="1">
        <f t="array" ref="H66">Common_InputFunctions.Utility_DisplayArrayInTable(Fuel_SourceData.Fuel_Scope1Scope3EmissionFactorsStationaryLiquid_Data(), Table_Fuel_EFs_StationaryLiquid[[#Headers],[Fuel combusted]],0)</f>
        <v>0.03</v>
      </c>
      <c r="I66" s="217" cm="1">
        <f t="array" ref="I66">Common_InputFunctions.Utility_DisplayArrayInTable(Fuel_SourceData.Fuel_Scope1Scope3EmissionFactorsStationaryLiquid_Data(), Table_Fuel_EFs_StationaryLiquid[[#Headers],[Fuel combusted]],0)</f>
        <v>0.2</v>
      </c>
      <c r="J66" s="217" cm="1">
        <f t="array" ref="J66">Common_InputFunctions.Utility_DisplayArrayInTable(Fuel_SourceData.Fuel_Scope1Scope3EmissionFactorsStationaryLiquid_Data(), Table_Fuel_EFs_StationaryLiquid[[#Headers],[Fuel combusted]],0)</f>
        <v>69.930000000000007</v>
      </c>
      <c r="K66" s="217" cm="1">
        <f t="array" ref="K66">Common_InputFunctions.Utility_DisplayArrayInTable(Fuel_SourceData.Fuel_Scope1Scope3EmissionFactorsStationaryLiquid_Data(), Table_Fuel_EFs_StationaryLiquid[[#Headers],[Fuel combusted]],0)</f>
        <v>18</v>
      </c>
      <c r="L66" s="159"/>
    </row>
    <row r="67" spans="4:13" ht="20.100000000000001" customHeight="1" x14ac:dyDescent="0.25">
      <c r="D67" s="217" t="str" cm="1">
        <f t="array" ref="D67">Common_InputFunctions.Utility_DisplayArrayInTable(Fuel_SourceData.Fuel_Scope1Scope3EmissionFactorsStationaryLiquid_Data(), Table_Fuel_EFs_StationaryLiquid[[#Headers],[Fuel combusted]],0)</f>
        <v>Liquefied petroleum gas (LPG)</v>
      </c>
      <c r="E67" s="217" cm="1">
        <f t="array" ref="E67">Common_InputFunctions.Utility_DisplayArrayInTable(Fuel_SourceData.Fuel_Scope1Scope3EmissionFactorsStationaryLiquid_Data(), Table_Fuel_EFs_StationaryLiquid[[#Headers],[Fuel combusted]],0)</f>
        <v>25.7</v>
      </c>
      <c r="F67" s="217" t="str" cm="1">
        <f t="array" ref="F67">Common_InputFunctions.Utility_DisplayArrayInTable(Fuel_SourceData.Fuel_Scope1Scope3EmissionFactorsStationaryLiquid_Data(), Table_Fuel_EFs_StationaryLiquid[[#Headers],[Fuel combusted]],0)</f>
        <v>kL</v>
      </c>
      <c r="G67" s="217" cm="1">
        <f t="array" ref="G67">Common_InputFunctions.Utility_DisplayArrayInTable(Fuel_SourceData.Fuel_Scope1Scope3EmissionFactorsStationaryLiquid_Data(), Table_Fuel_EFs_StationaryLiquid[[#Headers],[Fuel combusted]],0)</f>
        <v>60.2</v>
      </c>
      <c r="H67" s="217" cm="1">
        <f t="array" ref="H67">Common_InputFunctions.Utility_DisplayArrayInTable(Fuel_SourceData.Fuel_Scope1Scope3EmissionFactorsStationaryLiquid_Data(), Table_Fuel_EFs_StationaryLiquid[[#Headers],[Fuel combusted]],0)</f>
        <v>0.2</v>
      </c>
      <c r="I67" s="217" cm="1">
        <f t="array" ref="I67">Common_InputFunctions.Utility_DisplayArrayInTable(Fuel_SourceData.Fuel_Scope1Scope3EmissionFactorsStationaryLiquid_Data(), Table_Fuel_EFs_StationaryLiquid[[#Headers],[Fuel combusted]],0)</f>
        <v>0.2</v>
      </c>
      <c r="J67" s="217" cm="1">
        <f t="array" ref="J67">Common_InputFunctions.Utility_DisplayArrayInTable(Fuel_SourceData.Fuel_Scope1Scope3EmissionFactorsStationaryLiquid_Data(), Table_Fuel_EFs_StationaryLiquid[[#Headers],[Fuel combusted]],0)</f>
        <v>60.6</v>
      </c>
      <c r="K67" s="217" cm="1">
        <f t="array" ref="K67">Common_InputFunctions.Utility_DisplayArrayInTable(Fuel_SourceData.Fuel_Scope1Scope3EmissionFactorsStationaryLiquid_Data(), Table_Fuel_EFs_StationaryLiquid[[#Headers],[Fuel combusted]],0)</f>
        <v>20.2</v>
      </c>
      <c r="L67" s="159"/>
    </row>
    <row r="68" spans="4:13" ht="20.100000000000001" customHeight="1" x14ac:dyDescent="0.25">
      <c r="D68" s="217" t="str" cm="1">
        <f t="array" ref="D68">Common_InputFunctions.Utility_DisplayArrayInTable(Fuel_SourceData.Fuel_Scope1Scope3EmissionFactorsStationaryLiquid_Data(), Table_Fuel_EFs_StationaryLiquid[[#Headers],[Fuel combusted]],0)</f>
        <v>Naphtha</v>
      </c>
      <c r="E68" s="217" cm="1">
        <f t="array" ref="E68">Common_InputFunctions.Utility_DisplayArrayInTable(Fuel_SourceData.Fuel_Scope1Scope3EmissionFactorsStationaryLiquid_Data(), Table_Fuel_EFs_StationaryLiquid[[#Headers],[Fuel combusted]],0)</f>
        <v>31.4</v>
      </c>
      <c r="F68" s="217" t="str" cm="1">
        <f t="array" ref="F68">Common_InputFunctions.Utility_DisplayArrayInTable(Fuel_SourceData.Fuel_Scope1Scope3EmissionFactorsStationaryLiquid_Data(), Table_Fuel_EFs_StationaryLiquid[[#Headers],[Fuel combusted]],0)</f>
        <v>kL</v>
      </c>
      <c r="G68" s="217" cm="1">
        <f t="array" ref="G68">Common_InputFunctions.Utility_DisplayArrayInTable(Fuel_SourceData.Fuel_Scope1Scope3EmissionFactorsStationaryLiquid_Data(), Table_Fuel_EFs_StationaryLiquid[[#Headers],[Fuel combusted]],0)</f>
        <v>69.8</v>
      </c>
      <c r="H68" s="217" cm="1">
        <f t="array" ref="H68">Common_InputFunctions.Utility_DisplayArrayInTable(Fuel_SourceData.Fuel_Scope1Scope3EmissionFactorsStationaryLiquid_Data(), Table_Fuel_EFs_StationaryLiquid[[#Headers],[Fuel combusted]],0)</f>
        <v>0.01</v>
      </c>
      <c r="I68" s="217" cm="1">
        <f t="array" ref="I68">Common_InputFunctions.Utility_DisplayArrayInTable(Fuel_SourceData.Fuel_Scope1Scope3EmissionFactorsStationaryLiquid_Data(), Table_Fuel_EFs_StationaryLiquid[[#Headers],[Fuel combusted]],0)</f>
        <v>0.01</v>
      </c>
      <c r="J68" s="217" cm="1">
        <f t="array" ref="J68">Common_InputFunctions.Utility_DisplayArrayInTable(Fuel_SourceData.Fuel_Scope1Scope3EmissionFactorsStationaryLiquid_Data(), Table_Fuel_EFs_StationaryLiquid[[#Headers],[Fuel combusted]],0)</f>
        <v>69.819999999999993</v>
      </c>
      <c r="K68" s="217" cm="1">
        <f t="array" ref="K68">Common_InputFunctions.Utility_DisplayArrayInTable(Fuel_SourceData.Fuel_Scope1Scope3EmissionFactorsStationaryLiquid_Data(), Table_Fuel_EFs_StationaryLiquid[[#Headers],[Fuel combusted]],0)</f>
        <v>18</v>
      </c>
      <c r="L68" s="159"/>
    </row>
    <row r="69" spans="4:13" ht="20.100000000000001" customHeight="1" x14ac:dyDescent="0.25">
      <c r="D69" s="217" t="str" cm="1">
        <f t="array" ref="D69">Common_InputFunctions.Utility_DisplayArrayInTable(Fuel_SourceData.Fuel_Scope1Scope3EmissionFactorsStationaryLiquid_Data(), Table_Fuel_EFs_StationaryLiquid[[#Headers],[Fuel combusted]],0)</f>
        <v>Petroleum coke</v>
      </c>
      <c r="E69" s="217" cm="1">
        <f t="array" ref="E69">Common_InputFunctions.Utility_DisplayArrayInTable(Fuel_SourceData.Fuel_Scope1Scope3EmissionFactorsStationaryLiquid_Data(), Table_Fuel_EFs_StationaryLiquid[[#Headers],[Fuel combusted]],0)</f>
        <v>34.200000000000003</v>
      </c>
      <c r="F69" s="217" t="str" cm="1">
        <f t="array" ref="F69">Common_InputFunctions.Utility_DisplayArrayInTable(Fuel_SourceData.Fuel_Scope1Scope3EmissionFactorsStationaryLiquid_Data(), Table_Fuel_EFs_StationaryLiquid[[#Headers],[Fuel combusted]],0)</f>
        <v>t</v>
      </c>
      <c r="G69" s="217" cm="1">
        <f t="array" ref="G69">Common_InputFunctions.Utility_DisplayArrayInTable(Fuel_SourceData.Fuel_Scope1Scope3EmissionFactorsStationaryLiquid_Data(), Table_Fuel_EFs_StationaryLiquid[[#Headers],[Fuel combusted]],0)</f>
        <v>92.6</v>
      </c>
      <c r="H69" s="217" cm="1">
        <f t="array" ref="H69">Common_InputFunctions.Utility_DisplayArrayInTable(Fuel_SourceData.Fuel_Scope1Scope3EmissionFactorsStationaryLiquid_Data(), Table_Fuel_EFs_StationaryLiquid[[#Headers],[Fuel combusted]],0)</f>
        <v>0.08</v>
      </c>
      <c r="I69" s="217" cm="1">
        <f t="array" ref="I69">Common_InputFunctions.Utility_DisplayArrayInTable(Fuel_SourceData.Fuel_Scope1Scope3EmissionFactorsStationaryLiquid_Data(), Table_Fuel_EFs_StationaryLiquid[[#Headers],[Fuel combusted]],0)</f>
        <v>0.2</v>
      </c>
      <c r="J69" s="217" cm="1">
        <f t="array" ref="J69">Common_InputFunctions.Utility_DisplayArrayInTable(Fuel_SourceData.Fuel_Scope1Scope3EmissionFactorsStationaryLiquid_Data(), Table_Fuel_EFs_StationaryLiquid[[#Headers],[Fuel combusted]],0)</f>
        <v>92.88</v>
      </c>
      <c r="K69" s="217" cm="1">
        <f t="array" ref="K69">Common_InputFunctions.Utility_DisplayArrayInTable(Fuel_SourceData.Fuel_Scope1Scope3EmissionFactorsStationaryLiquid_Data(), Table_Fuel_EFs_StationaryLiquid[[#Headers],[Fuel combusted]],0)</f>
        <v>18</v>
      </c>
      <c r="L69" s="159"/>
    </row>
    <row r="70" spans="4:13" ht="20.100000000000001" customHeight="1" x14ac:dyDescent="0.25">
      <c r="D70" s="217" t="str" cm="1">
        <f t="array" ref="D70">Common_InputFunctions.Utility_DisplayArrayInTable(Fuel_SourceData.Fuel_Scope1Scope3EmissionFactorsStationaryLiquid_Data(), Table_Fuel_EFs_StationaryLiquid[[#Headers],[Fuel combusted]],0)</f>
        <v>Refinery gas and liquids</v>
      </c>
      <c r="E70" s="217" cm="1">
        <f t="array" ref="E70">Common_InputFunctions.Utility_DisplayArrayInTable(Fuel_SourceData.Fuel_Scope1Scope3EmissionFactorsStationaryLiquid_Data(), Table_Fuel_EFs_StationaryLiquid[[#Headers],[Fuel combusted]],0)</f>
        <v>42.9</v>
      </c>
      <c r="F70" s="217" t="str" cm="1">
        <f t="array" ref="F70">Common_InputFunctions.Utility_DisplayArrayInTable(Fuel_SourceData.Fuel_Scope1Scope3EmissionFactorsStationaryLiquid_Data(), Table_Fuel_EFs_StationaryLiquid[[#Headers],[Fuel combusted]],0)</f>
        <v>t</v>
      </c>
      <c r="G70" s="217" cm="1">
        <f t="array" ref="G70">Common_InputFunctions.Utility_DisplayArrayInTable(Fuel_SourceData.Fuel_Scope1Scope3EmissionFactorsStationaryLiquid_Data(), Table_Fuel_EFs_StationaryLiquid[[#Headers],[Fuel combusted]],0)</f>
        <v>54.7</v>
      </c>
      <c r="H70" s="217" cm="1">
        <f t="array" ref="H70">Common_InputFunctions.Utility_DisplayArrayInTable(Fuel_SourceData.Fuel_Scope1Scope3EmissionFactorsStationaryLiquid_Data(), Table_Fuel_EFs_StationaryLiquid[[#Headers],[Fuel combusted]],0)</f>
        <v>0.03</v>
      </c>
      <c r="I70" s="217" cm="1">
        <f t="array" ref="I70">Common_InputFunctions.Utility_DisplayArrayInTable(Fuel_SourceData.Fuel_Scope1Scope3EmissionFactorsStationaryLiquid_Data(), Table_Fuel_EFs_StationaryLiquid[[#Headers],[Fuel combusted]],0)</f>
        <v>0.03</v>
      </c>
      <c r="J70" s="217" cm="1">
        <f t="array" ref="J70">Common_InputFunctions.Utility_DisplayArrayInTable(Fuel_SourceData.Fuel_Scope1Scope3EmissionFactorsStationaryLiquid_Data(), Table_Fuel_EFs_StationaryLiquid[[#Headers],[Fuel combusted]],0)</f>
        <v>54.76</v>
      </c>
      <c r="K70" s="217" cm="1">
        <f t="array" ref="K70">Common_InputFunctions.Utility_DisplayArrayInTable(Fuel_SourceData.Fuel_Scope1Scope3EmissionFactorsStationaryLiquid_Data(), Table_Fuel_EFs_StationaryLiquid[[#Headers],[Fuel combusted]],0)</f>
        <v>18</v>
      </c>
      <c r="L70" s="159"/>
    </row>
    <row r="71" spans="4:13" ht="20.100000000000001" customHeight="1" x14ac:dyDescent="0.25">
      <c r="D71" s="217" t="str" cm="1">
        <f t="array" ref="D71">Common_InputFunctions.Utility_DisplayArrayInTable(Fuel_SourceData.Fuel_Scope1Scope3EmissionFactorsStationaryLiquid_Data(), Table_Fuel_EFs_StationaryLiquid[[#Headers],[Fuel combusted]],0)</f>
        <v>Refinery coke</v>
      </c>
      <c r="E71" s="217" cm="1">
        <f t="array" ref="E71">Common_InputFunctions.Utility_DisplayArrayInTable(Fuel_SourceData.Fuel_Scope1Scope3EmissionFactorsStationaryLiquid_Data(), Table_Fuel_EFs_StationaryLiquid[[#Headers],[Fuel combusted]],0)</f>
        <v>34.200000000000003</v>
      </c>
      <c r="F71" s="217" t="str" cm="1">
        <f t="array" ref="F71">Common_InputFunctions.Utility_DisplayArrayInTable(Fuel_SourceData.Fuel_Scope1Scope3EmissionFactorsStationaryLiquid_Data(), Table_Fuel_EFs_StationaryLiquid[[#Headers],[Fuel combusted]],0)</f>
        <v>t</v>
      </c>
      <c r="G71" s="217" cm="1">
        <f t="array" ref="G71">Common_InputFunctions.Utility_DisplayArrayInTable(Fuel_SourceData.Fuel_Scope1Scope3EmissionFactorsStationaryLiquid_Data(), Table_Fuel_EFs_StationaryLiquid[[#Headers],[Fuel combusted]],0)</f>
        <v>92.6</v>
      </c>
      <c r="H71" s="217" cm="1">
        <f t="array" ref="H71">Common_InputFunctions.Utility_DisplayArrayInTable(Fuel_SourceData.Fuel_Scope1Scope3EmissionFactorsStationaryLiquid_Data(), Table_Fuel_EFs_StationaryLiquid[[#Headers],[Fuel combusted]],0)</f>
        <v>0.08</v>
      </c>
      <c r="I71" s="217" cm="1">
        <f t="array" ref="I71">Common_InputFunctions.Utility_DisplayArrayInTable(Fuel_SourceData.Fuel_Scope1Scope3EmissionFactorsStationaryLiquid_Data(), Table_Fuel_EFs_StationaryLiquid[[#Headers],[Fuel combusted]],0)</f>
        <v>0.2</v>
      </c>
      <c r="J71" s="217" cm="1">
        <f t="array" ref="J71">Common_InputFunctions.Utility_DisplayArrayInTable(Fuel_SourceData.Fuel_Scope1Scope3EmissionFactorsStationaryLiquid_Data(), Table_Fuel_EFs_StationaryLiquid[[#Headers],[Fuel combusted]],0)</f>
        <v>92.88</v>
      </c>
      <c r="K71" s="217" cm="1">
        <f t="array" ref="K71">Common_InputFunctions.Utility_DisplayArrayInTable(Fuel_SourceData.Fuel_Scope1Scope3EmissionFactorsStationaryLiquid_Data(), Table_Fuel_EFs_StationaryLiquid[[#Headers],[Fuel combusted]],0)</f>
        <v>18</v>
      </c>
      <c r="L71" s="159"/>
    </row>
    <row r="72" spans="4:13" ht="20.100000000000001" customHeight="1" x14ac:dyDescent="0.25">
      <c r="D72" s="217" t="str" cm="1">
        <f t="array" ref="D72">Common_InputFunctions.Utility_DisplayArrayInTable(Fuel_SourceData.Fuel_Scope1Scope3EmissionFactorsStationaryLiquid_Data(), Table_Fuel_EFs_StationaryLiquid[[#Headers],[Fuel combusted]],0)</f>
        <v>Petroleum based products other than mentioned in the items above</v>
      </c>
      <c r="E72" s="217" cm="1">
        <f t="array" ref="E72">Common_InputFunctions.Utility_DisplayArrayInTable(Fuel_SourceData.Fuel_Scope1Scope3EmissionFactorsStationaryLiquid_Data(), Table_Fuel_EFs_StationaryLiquid[[#Headers],[Fuel combusted]],0)</f>
        <v>34.4</v>
      </c>
      <c r="F72" s="217" t="str" cm="1">
        <f t="array" ref="F72">Common_InputFunctions.Utility_DisplayArrayInTable(Fuel_SourceData.Fuel_Scope1Scope3EmissionFactorsStationaryLiquid_Data(), Table_Fuel_EFs_StationaryLiquid[[#Headers],[Fuel combusted]],0)</f>
        <v>kL</v>
      </c>
      <c r="G72" s="217" cm="1">
        <f t="array" ref="G72">Common_InputFunctions.Utility_DisplayArrayInTable(Fuel_SourceData.Fuel_Scope1Scope3EmissionFactorsStationaryLiquid_Data(), Table_Fuel_EFs_StationaryLiquid[[#Headers],[Fuel combusted]],0)</f>
        <v>69.8</v>
      </c>
      <c r="H72" s="217" cm="1">
        <f t="array" ref="H72">Common_InputFunctions.Utility_DisplayArrayInTable(Fuel_SourceData.Fuel_Scope1Scope3EmissionFactorsStationaryLiquid_Data(), Table_Fuel_EFs_StationaryLiquid[[#Headers],[Fuel combusted]],0)</f>
        <v>0.02</v>
      </c>
      <c r="I72" s="217" cm="1">
        <f t="array" ref="I72">Common_InputFunctions.Utility_DisplayArrayInTable(Fuel_SourceData.Fuel_Scope1Scope3EmissionFactorsStationaryLiquid_Data(), Table_Fuel_EFs_StationaryLiquid[[#Headers],[Fuel combusted]],0)</f>
        <v>0.1</v>
      </c>
      <c r="J72" s="217" cm="1">
        <f t="array" ref="J72">Common_InputFunctions.Utility_DisplayArrayInTable(Fuel_SourceData.Fuel_Scope1Scope3EmissionFactorsStationaryLiquid_Data(), Table_Fuel_EFs_StationaryLiquid[[#Headers],[Fuel combusted]],0)</f>
        <v>69.92</v>
      </c>
      <c r="K72" s="217" cm="1">
        <f t="array" ref="K72">Common_InputFunctions.Utility_DisplayArrayInTable(Fuel_SourceData.Fuel_Scope1Scope3EmissionFactorsStationaryLiquid_Data(), Table_Fuel_EFs_StationaryLiquid[[#Headers],[Fuel combusted]],0)</f>
        <v>18</v>
      </c>
      <c r="L72" s="159"/>
    </row>
    <row r="73" spans="4:13" ht="20.100000000000001" customHeight="1" x14ac:dyDescent="0.25">
      <c r="D73" s="217" t="str" cm="1">
        <f t="array" ref="D73">Common_InputFunctions.Utility_DisplayArrayInTable(Fuel_SourceData.Fuel_Scope1Scope3EmissionFactorsStationaryLiquid_Data(), Table_Fuel_EFs_StationaryLiquid[[#Headers],[Fuel combusted]],0)</f>
        <v>Biodiesel</v>
      </c>
      <c r="E73" s="217" cm="1">
        <f t="array" ref="E73">Common_InputFunctions.Utility_DisplayArrayInTable(Fuel_SourceData.Fuel_Scope1Scope3EmissionFactorsStationaryLiquid_Data(), Table_Fuel_EFs_StationaryLiquid[[#Headers],[Fuel combusted]],0)</f>
        <v>34.6</v>
      </c>
      <c r="F73" s="217" t="str" cm="1">
        <f t="array" ref="F73">Common_InputFunctions.Utility_DisplayArrayInTable(Fuel_SourceData.Fuel_Scope1Scope3EmissionFactorsStationaryLiquid_Data(), Table_Fuel_EFs_StationaryLiquid[[#Headers],[Fuel combusted]],0)</f>
        <v>kL</v>
      </c>
      <c r="G73" s="217" cm="1">
        <f t="array" ref="G73">Common_InputFunctions.Utility_DisplayArrayInTable(Fuel_SourceData.Fuel_Scope1Scope3EmissionFactorsStationaryLiquid_Data(), Table_Fuel_EFs_StationaryLiquid[[#Headers],[Fuel combusted]],0)</f>
        <v>0</v>
      </c>
      <c r="H73" s="217" cm="1">
        <f t="array" ref="H73">Common_InputFunctions.Utility_DisplayArrayInTable(Fuel_SourceData.Fuel_Scope1Scope3EmissionFactorsStationaryLiquid_Data(), Table_Fuel_EFs_StationaryLiquid[[#Headers],[Fuel combusted]],0)</f>
        <v>0.08</v>
      </c>
      <c r="I73" s="217" cm="1">
        <f t="array" ref="I73">Common_InputFunctions.Utility_DisplayArrayInTable(Fuel_SourceData.Fuel_Scope1Scope3EmissionFactorsStationaryLiquid_Data(), Table_Fuel_EFs_StationaryLiquid[[#Headers],[Fuel combusted]],0)</f>
        <v>0.2</v>
      </c>
      <c r="J73" s="217" cm="1">
        <f t="array" ref="J73">Common_InputFunctions.Utility_DisplayArrayInTable(Fuel_SourceData.Fuel_Scope1Scope3EmissionFactorsStationaryLiquid_Data(), Table_Fuel_EFs_StationaryLiquid[[#Headers],[Fuel combusted]],0)</f>
        <v>0.28000000000000003</v>
      </c>
      <c r="K73" s="217" t="str" cm="1">
        <f t="array" ref="K73">Common_InputFunctions.Utility_DisplayArrayInTable(Fuel_SourceData.Fuel_Scope1Scope3EmissionFactorsStationaryLiquid_Data(), Table_Fuel_EFs_StationaryLiquid[[#Headers],[Fuel combusted]],0)</f>
        <v>NE</v>
      </c>
      <c r="L73" s="159"/>
    </row>
    <row r="74" spans="4:13" ht="20.100000000000001" customHeight="1" x14ac:dyDescent="0.25">
      <c r="D74" s="217" t="str" cm="1">
        <f t="array" ref="D74">Common_InputFunctions.Utility_DisplayArrayInTable(Fuel_SourceData.Fuel_Scope1Scope3EmissionFactorsStationaryLiquid_Data(), Table_Fuel_EFs_StationaryLiquid[[#Headers],[Fuel combusted]],0)</f>
        <v>Ethanol for use as a fuel in an internal combustion engine</v>
      </c>
      <c r="E74" s="217" cm="1">
        <f t="array" ref="E74">Common_InputFunctions.Utility_DisplayArrayInTable(Fuel_SourceData.Fuel_Scope1Scope3EmissionFactorsStationaryLiquid_Data(), Table_Fuel_EFs_StationaryLiquid[[#Headers],[Fuel combusted]],0)</f>
        <v>23.4</v>
      </c>
      <c r="F74" s="217" t="str" cm="1">
        <f t="array" ref="F74">Common_InputFunctions.Utility_DisplayArrayInTable(Fuel_SourceData.Fuel_Scope1Scope3EmissionFactorsStationaryLiquid_Data(), Table_Fuel_EFs_StationaryLiquid[[#Headers],[Fuel combusted]],0)</f>
        <v>kL</v>
      </c>
      <c r="G74" s="217" cm="1">
        <f t="array" ref="G74">Common_InputFunctions.Utility_DisplayArrayInTable(Fuel_SourceData.Fuel_Scope1Scope3EmissionFactorsStationaryLiquid_Data(), Table_Fuel_EFs_StationaryLiquid[[#Headers],[Fuel combusted]],0)</f>
        <v>0</v>
      </c>
      <c r="H74" s="217" cm="1">
        <f t="array" ref="H74">Common_InputFunctions.Utility_DisplayArrayInTable(Fuel_SourceData.Fuel_Scope1Scope3EmissionFactorsStationaryLiquid_Data(), Table_Fuel_EFs_StationaryLiquid[[#Headers],[Fuel combusted]],0)</f>
        <v>0.08</v>
      </c>
      <c r="I74" s="217" cm="1">
        <f t="array" ref="I74">Common_InputFunctions.Utility_DisplayArrayInTable(Fuel_SourceData.Fuel_Scope1Scope3EmissionFactorsStationaryLiquid_Data(), Table_Fuel_EFs_StationaryLiquid[[#Headers],[Fuel combusted]],0)</f>
        <v>0.2</v>
      </c>
      <c r="J74" s="217" cm="1">
        <f t="array" ref="J74">Common_InputFunctions.Utility_DisplayArrayInTable(Fuel_SourceData.Fuel_Scope1Scope3EmissionFactorsStationaryLiquid_Data(), Table_Fuel_EFs_StationaryLiquid[[#Headers],[Fuel combusted]],0)</f>
        <v>0.28000000000000003</v>
      </c>
      <c r="K74" s="217" t="str" cm="1">
        <f t="array" ref="K74">Common_InputFunctions.Utility_DisplayArrayInTable(Fuel_SourceData.Fuel_Scope1Scope3EmissionFactorsStationaryLiquid_Data(), Table_Fuel_EFs_StationaryLiquid[[#Headers],[Fuel combusted]],0)</f>
        <v>NE</v>
      </c>
      <c r="L74" s="159"/>
    </row>
    <row r="75" spans="4:13" ht="20.100000000000001" customHeight="1" x14ac:dyDescent="0.25">
      <c r="D75" s="217" t="str" cm="1">
        <f t="array" ref="D75">Common_InputFunctions.Utility_DisplayArrayInTable(Fuel_SourceData.Fuel_Scope1Scope3EmissionFactorsStationaryLiquid_Data(), Table_Fuel_EFs_StationaryLiquid[[#Headers],[Fuel combusted]],0)</f>
        <v>Biofuels other than those mentioned in the items above and below</v>
      </c>
      <c r="E75" s="217" cm="1">
        <f t="array" ref="E75">Common_InputFunctions.Utility_DisplayArrayInTable(Fuel_SourceData.Fuel_Scope1Scope3EmissionFactorsStationaryLiquid_Data(), Table_Fuel_EFs_StationaryLiquid[[#Headers],[Fuel combusted]],0)</f>
        <v>23.4</v>
      </c>
      <c r="F75" s="217" t="str" cm="1">
        <f t="array" ref="F75">Common_InputFunctions.Utility_DisplayArrayInTable(Fuel_SourceData.Fuel_Scope1Scope3EmissionFactorsStationaryLiquid_Data(), Table_Fuel_EFs_StationaryLiquid[[#Headers],[Fuel combusted]],0)</f>
        <v>kL</v>
      </c>
      <c r="G75" s="217" cm="1">
        <f t="array" ref="G75">Common_InputFunctions.Utility_DisplayArrayInTable(Fuel_SourceData.Fuel_Scope1Scope3EmissionFactorsStationaryLiquid_Data(), Table_Fuel_EFs_StationaryLiquid[[#Headers],[Fuel combusted]],0)</f>
        <v>0</v>
      </c>
      <c r="H75" s="217" cm="1">
        <f t="array" ref="H75">Common_InputFunctions.Utility_DisplayArrayInTable(Fuel_SourceData.Fuel_Scope1Scope3EmissionFactorsStationaryLiquid_Data(), Table_Fuel_EFs_StationaryLiquid[[#Headers],[Fuel combusted]],0)</f>
        <v>0.08</v>
      </c>
      <c r="I75" s="217" cm="1">
        <f t="array" ref="I75">Common_InputFunctions.Utility_DisplayArrayInTable(Fuel_SourceData.Fuel_Scope1Scope3EmissionFactorsStationaryLiquid_Data(), Table_Fuel_EFs_StationaryLiquid[[#Headers],[Fuel combusted]],0)</f>
        <v>0.2</v>
      </c>
      <c r="J75" s="217" cm="1">
        <f t="array" ref="J75">Common_InputFunctions.Utility_DisplayArrayInTable(Fuel_SourceData.Fuel_Scope1Scope3EmissionFactorsStationaryLiquid_Data(), Table_Fuel_EFs_StationaryLiquid[[#Headers],[Fuel combusted]],0)</f>
        <v>0.28000000000000003</v>
      </c>
      <c r="K75" s="217" t="str" cm="1">
        <f t="array" ref="K75">Common_InputFunctions.Utility_DisplayArrayInTable(Fuel_SourceData.Fuel_Scope1Scope3EmissionFactorsStationaryLiquid_Data(), Table_Fuel_EFs_StationaryLiquid[[#Headers],[Fuel combusted]],0)</f>
        <v>NE</v>
      </c>
      <c r="L75" s="159"/>
    </row>
    <row r="76" spans="4:13" ht="20.100000000000001" customHeight="1" x14ac:dyDescent="0.25">
      <c r="D76" s="217" t="str" cm="1">
        <f t="array" ref="D76">Common_InputFunctions.Utility_DisplayArrayInTable(Fuel_SourceData.Fuel_Scope1Scope3EmissionFactorsStationaryLiquid_Data(), Table_Fuel_EFs_StationaryLiquid[[#Headers],[Fuel combusted]],0)</f>
        <v>Renewable aviation kerosene</v>
      </c>
      <c r="E76" s="217" cm="1">
        <f t="array" ref="E76">Common_InputFunctions.Utility_DisplayArrayInTable(Fuel_SourceData.Fuel_Scope1Scope3EmissionFactorsStationaryLiquid_Data(), Table_Fuel_EFs_StationaryLiquid[[#Headers],[Fuel combusted]],0)</f>
        <v>36.799999999999997</v>
      </c>
      <c r="F76" s="217" t="str" cm="1">
        <f t="array" ref="F76">Common_InputFunctions.Utility_DisplayArrayInTable(Fuel_SourceData.Fuel_Scope1Scope3EmissionFactorsStationaryLiquid_Data(), Table_Fuel_EFs_StationaryLiquid[[#Headers],[Fuel combusted]],0)</f>
        <v>kL</v>
      </c>
      <c r="G76" s="217" cm="1">
        <f t="array" ref="G76">Common_InputFunctions.Utility_DisplayArrayInTable(Fuel_SourceData.Fuel_Scope1Scope3EmissionFactorsStationaryLiquid_Data(), Table_Fuel_EFs_StationaryLiquid[[#Headers],[Fuel combusted]],0)</f>
        <v>0</v>
      </c>
      <c r="H76" s="217" cm="1">
        <f t="array" ref="H76">Common_InputFunctions.Utility_DisplayArrayInTable(Fuel_SourceData.Fuel_Scope1Scope3EmissionFactorsStationaryLiquid_Data(), Table_Fuel_EFs_StationaryLiquid[[#Headers],[Fuel combusted]],0)</f>
        <v>0.02</v>
      </c>
      <c r="I76" s="217" cm="1">
        <f t="array" ref="I76">Common_InputFunctions.Utility_DisplayArrayInTable(Fuel_SourceData.Fuel_Scope1Scope3EmissionFactorsStationaryLiquid_Data(), Table_Fuel_EFs_StationaryLiquid[[#Headers],[Fuel combusted]],0)</f>
        <v>0.2</v>
      </c>
      <c r="J76" s="217" cm="1">
        <f t="array" ref="J76">Common_InputFunctions.Utility_DisplayArrayInTable(Fuel_SourceData.Fuel_Scope1Scope3EmissionFactorsStationaryLiquid_Data(), Table_Fuel_EFs_StationaryLiquid[[#Headers],[Fuel combusted]],0)</f>
        <v>0.22</v>
      </c>
      <c r="K76" s="217" t="str" cm="1">
        <f t="array" ref="K76">Common_InputFunctions.Utility_DisplayArrayInTable(Fuel_SourceData.Fuel_Scope1Scope3EmissionFactorsStationaryLiquid_Data(), Table_Fuel_EFs_StationaryLiquid[[#Headers],[Fuel combusted]],0)</f>
        <v>NE</v>
      </c>
      <c r="L76" s="159"/>
    </row>
    <row r="77" spans="4:13" ht="20.100000000000001" customHeight="1" x14ac:dyDescent="0.25">
      <c r="D77" s="217" t="str" cm="1">
        <f t="array" ref="D77">Common_InputFunctions.Utility_DisplayArrayInTable(Fuel_SourceData.Fuel_Scope1Scope3EmissionFactorsStationaryLiquid_Data(), Table_Fuel_EFs_StationaryLiquid[[#Headers],[Fuel combusted]],0)</f>
        <v>Renewable diesel</v>
      </c>
      <c r="E77" s="217" cm="1">
        <f t="array" ref="E77">Common_InputFunctions.Utility_DisplayArrayInTable(Fuel_SourceData.Fuel_Scope1Scope3EmissionFactorsStationaryLiquid_Data(), Table_Fuel_EFs_StationaryLiquid[[#Headers],[Fuel combusted]],0)</f>
        <v>38.6</v>
      </c>
      <c r="F77" s="217" t="str" cm="1">
        <f t="array" ref="F77">Common_InputFunctions.Utility_DisplayArrayInTable(Fuel_SourceData.Fuel_Scope1Scope3EmissionFactorsStationaryLiquid_Data(), Table_Fuel_EFs_StationaryLiquid[[#Headers],[Fuel combusted]],0)</f>
        <v>kL</v>
      </c>
      <c r="G77" s="217" cm="1">
        <f t="array" ref="G77">Common_InputFunctions.Utility_DisplayArrayInTable(Fuel_SourceData.Fuel_Scope1Scope3EmissionFactorsStationaryLiquid_Data(), Table_Fuel_EFs_StationaryLiquid[[#Headers],[Fuel combusted]],0)</f>
        <v>0</v>
      </c>
      <c r="H77" s="217" cm="1">
        <f t="array" ref="H77">Common_InputFunctions.Utility_DisplayArrayInTable(Fuel_SourceData.Fuel_Scope1Scope3EmissionFactorsStationaryLiquid_Data(), Table_Fuel_EFs_StationaryLiquid[[#Headers],[Fuel combusted]],0)</f>
        <v>0.1</v>
      </c>
      <c r="I77" s="217" cm="1">
        <f t="array" ref="I77">Common_InputFunctions.Utility_DisplayArrayInTable(Fuel_SourceData.Fuel_Scope1Scope3EmissionFactorsStationaryLiquid_Data(), Table_Fuel_EFs_StationaryLiquid[[#Headers],[Fuel combusted]],0)</f>
        <v>0.2</v>
      </c>
      <c r="J77" s="217" cm="1">
        <f t="array" ref="J77">Common_InputFunctions.Utility_DisplayArrayInTable(Fuel_SourceData.Fuel_Scope1Scope3EmissionFactorsStationaryLiquid_Data(), Table_Fuel_EFs_StationaryLiquid[[#Headers],[Fuel combusted]],0)</f>
        <v>0.3</v>
      </c>
      <c r="K77" s="217" t="str" cm="1">
        <f t="array" ref="K77">Common_InputFunctions.Utility_DisplayArrayInTable(Fuel_SourceData.Fuel_Scope1Scope3EmissionFactorsStationaryLiquid_Data(), Table_Fuel_EFs_StationaryLiquid[[#Headers],[Fuel combusted]],0)</f>
        <v>NE</v>
      </c>
      <c r="L77" s="159"/>
    </row>
    <row r="78" spans="4:13" ht="20.100000000000001" customHeight="1" x14ac:dyDescent="0.25">
      <c r="D78" s="159"/>
      <c r="E78" s="159"/>
      <c r="F78" s="159"/>
      <c r="G78" s="159"/>
      <c r="H78" s="159"/>
      <c r="I78" s="159"/>
      <c r="J78" s="159"/>
      <c r="K78" s="159"/>
      <c r="L78" s="159"/>
    </row>
    <row r="79" spans="4:13" ht="20.100000000000001" customHeight="1" x14ac:dyDescent="0.25">
      <c r="D79" s="159"/>
      <c r="E79" s="159"/>
      <c r="F79" s="159"/>
      <c r="G79" s="159"/>
      <c r="H79" s="159"/>
      <c r="I79" s="159"/>
      <c r="J79" s="159"/>
      <c r="K79" s="159"/>
      <c r="L79" s="159"/>
      <c r="M79" s="159"/>
    </row>
    <row r="80" spans="4:13" ht="20.100000000000001" customHeight="1" x14ac:dyDescent="0.25">
      <c r="D80" s="159"/>
      <c r="E80" s="159"/>
      <c r="F80" s="159"/>
      <c r="G80" s="159"/>
      <c r="H80" s="159"/>
      <c r="I80" s="159"/>
      <c r="J80" s="159"/>
      <c r="K80" s="159"/>
      <c r="L80" s="159"/>
      <c r="M80" s="159"/>
    </row>
    <row r="81" spans="4:12" ht="20.100000000000001" customHeight="1" x14ac:dyDescent="0.25">
      <c r="D81" s="2" t="str" cm="1">
        <f t="array" ref="D81">Fuel_SourceData.Fuel_Scope1EmissionFactorsStationaryGaseous_Title()</f>
        <v>Fuel scope 1 emission factors - Stationary gaseous fuels</v>
      </c>
      <c r="E81" s="159"/>
      <c r="F81" s="159"/>
      <c r="G81" s="159"/>
      <c r="H81" s="159"/>
      <c r="I81" s="159"/>
      <c r="J81" s="159"/>
      <c r="K81" s="159"/>
      <c r="L81" s="159"/>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159"/>
      <c r="F82" s="159"/>
      <c r="G82" s="159"/>
      <c r="H82" s="159"/>
      <c r="I82" s="159"/>
      <c r="J82" s="159"/>
      <c r="K82" s="159"/>
      <c r="L82" s="159"/>
    </row>
    <row r="83" spans="4:12" ht="20.100000000000001" customHeight="1" x14ac:dyDescent="0.25">
      <c r="D83" s="27" t="str" cm="1">
        <f t="array" ref="D83">Fuel_SourceData.Fuel_Scope1EmissionFactorsStationaryGaseous_Source()</f>
        <v>Australian National Greenhouse Accounts Factors 2025 - Table 5</v>
      </c>
      <c r="E83" s="159"/>
      <c r="F83" s="159"/>
      <c r="G83" s="159"/>
      <c r="H83" s="159"/>
      <c r="I83" s="159"/>
      <c r="J83" s="159"/>
      <c r="K83" s="159"/>
      <c r="L83" s="159"/>
    </row>
    <row r="84" spans="4:12" ht="20.100000000000001" customHeight="1" x14ac:dyDescent="0.25">
      <c r="D84" s="36"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59"/>
      <c r="F84" s="159"/>
      <c r="G84" s="159"/>
      <c r="H84" s="159"/>
      <c r="I84" s="159"/>
      <c r="J84" s="159"/>
      <c r="K84" s="159"/>
      <c r="L84" s="159"/>
    </row>
    <row r="85" spans="4:12" ht="20.100000000000001" customHeight="1" x14ac:dyDescent="0.25">
      <c r="D85" s="159"/>
      <c r="E85" s="159"/>
      <c r="F85" s="159"/>
      <c r="G85" s="159"/>
      <c r="H85" s="159"/>
      <c r="I85" s="159"/>
      <c r="J85" s="159"/>
      <c r="K85" s="159"/>
      <c r="L85" s="159"/>
    </row>
    <row r="86" spans="4:12" ht="20.100000000000001" customHeight="1" x14ac:dyDescent="0.25">
      <c r="D86" s="182" t="s">
        <v>499</v>
      </c>
      <c r="E86" s="214" t="s">
        <v>500</v>
      </c>
      <c r="F86" s="182" t="s">
        <v>501</v>
      </c>
      <c r="G86" s="214" t="s">
        <v>502</v>
      </c>
      <c r="H86" s="214" t="s">
        <v>503</v>
      </c>
      <c r="I86" s="214" t="s">
        <v>504</v>
      </c>
      <c r="J86" s="214" t="s">
        <v>505</v>
      </c>
      <c r="K86" s="159"/>
      <c r="L86" s="159"/>
    </row>
    <row r="87" spans="4:12" ht="20.100000000000001" customHeight="1" x14ac:dyDescent="0.25">
      <c r="D87" s="217" t="str" cm="1">
        <f t="array" ref="D87">Common_InputFunctions.Utility_DisplayArrayInTable(Fuel_SourceData.Fuel_Scope1EmissionFactorsStationaryGaseous_Data(), Table_Fuel_EFs_StationaryGaseous[[#Headers],[Fuel combusted]],0)</f>
        <v>Natural gas distributed in a pipeline</v>
      </c>
      <c r="E87" s="217" cm="1">
        <f t="array" ref="E87">Common_InputFunctions.Utility_DisplayArrayInTable(Fuel_SourceData.Fuel_Scope1EmissionFactorsStationaryGaseous_Data(), Table_Fuel_EFs_StationaryGaseous[[#Headers],[Fuel combusted]],0)</f>
        <v>3.9300000000000002E-2</v>
      </c>
      <c r="F87" s="217" t="str" cm="1">
        <f t="array" ref="F87">Common_InputFunctions.Utility_DisplayArrayInTable(Fuel_SourceData.Fuel_Scope1EmissionFactorsStationaryGaseous_Data(), Table_Fuel_EFs_StationaryGaseous[[#Headers],[Fuel combusted]],0)</f>
        <v>m3</v>
      </c>
      <c r="G87" s="217" cm="1">
        <f t="array" ref="G87">Common_InputFunctions.Utility_DisplayArrayInTable(Fuel_SourceData.Fuel_Scope1EmissionFactorsStationaryGaseous_Data(), Table_Fuel_EFs_StationaryGaseous[[#Headers],[Fuel combusted]],0)</f>
        <v>51.4</v>
      </c>
      <c r="H87" s="217" cm="1">
        <f t="array" ref="H87">Common_InputFunctions.Utility_DisplayArrayInTable(Fuel_SourceData.Fuel_Scope1EmissionFactorsStationaryGaseous_Data(), Table_Fuel_EFs_StationaryGaseous[[#Headers],[Fuel combusted]],0)</f>
        <v>0.1</v>
      </c>
      <c r="I87" s="217" cm="1">
        <f t="array" ref="I87">Common_InputFunctions.Utility_DisplayArrayInTable(Fuel_SourceData.Fuel_Scope1EmissionFactorsStationaryGaseous_Data(), Table_Fuel_EFs_StationaryGaseous[[#Headers],[Fuel combusted]],0)</f>
        <v>0.03</v>
      </c>
      <c r="J87" s="217" cm="1">
        <f t="array" ref="J87">Common_InputFunctions.Utility_DisplayArrayInTable(Fuel_SourceData.Fuel_Scope1EmissionFactorsStationaryGaseous_Data(), Table_Fuel_EFs_StationaryGaseous[[#Headers],[Fuel combusted]],0)</f>
        <v>51.53</v>
      </c>
      <c r="K87" s="159"/>
      <c r="L87" s="159"/>
    </row>
    <row r="88" spans="4:12" ht="20.100000000000001" customHeight="1" x14ac:dyDescent="0.25">
      <c r="D88" s="217" t="str" cm="1">
        <f t="array" ref="D88">Common_InputFunctions.Utility_DisplayArrayInTable(Fuel_SourceData.Fuel_Scope1EmissionFactorsStationaryGaseous_Data(), Table_Fuel_EFs_StationaryGaseous[[#Headers],[Fuel combusted]],0)</f>
        <v>Coal seam methane that is captured for combustion</v>
      </c>
      <c r="E88" s="217" cm="1">
        <f t="array" ref="E88">Common_InputFunctions.Utility_DisplayArrayInTable(Fuel_SourceData.Fuel_Scope1EmissionFactorsStationaryGaseous_Data(), Table_Fuel_EFs_StationaryGaseous[[#Headers],[Fuel combusted]],0)</f>
        <v>3.7699999999999997E-2</v>
      </c>
      <c r="F88" s="217" t="str" cm="1">
        <f t="array" ref="F88">Common_InputFunctions.Utility_DisplayArrayInTable(Fuel_SourceData.Fuel_Scope1EmissionFactorsStationaryGaseous_Data(), Table_Fuel_EFs_StationaryGaseous[[#Headers],[Fuel combusted]],0)</f>
        <v>m3</v>
      </c>
      <c r="G88" s="217" cm="1">
        <f t="array" ref="G88">Common_InputFunctions.Utility_DisplayArrayInTable(Fuel_SourceData.Fuel_Scope1EmissionFactorsStationaryGaseous_Data(), Table_Fuel_EFs_StationaryGaseous[[#Headers],[Fuel combusted]],0)</f>
        <v>51.4</v>
      </c>
      <c r="H88" s="217" cm="1">
        <f t="array" ref="H88">Common_InputFunctions.Utility_DisplayArrayInTable(Fuel_SourceData.Fuel_Scope1EmissionFactorsStationaryGaseous_Data(), Table_Fuel_EFs_StationaryGaseous[[#Headers],[Fuel combusted]],0)</f>
        <v>0.2</v>
      </c>
      <c r="I88" s="217" cm="1">
        <f t="array" ref="I88">Common_InputFunctions.Utility_DisplayArrayInTable(Fuel_SourceData.Fuel_Scope1EmissionFactorsStationaryGaseous_Data(), Table_Fuel_EFs_StationaryGaseous[[#Headers],[Fuel combusted]],0)</f>
        <v>0.03</v>
      </c>
      <c r="J88" s="217" cm="1">
        <f t="array" ref="J88">Common_InputFunctions.Utility_DisplayArrayInTable(Fuel_SourceData.Fuel_Scope1EmissionFactorsStationaryGaseous_Data(), Table_Fuel_EFs_StationaryGaseous[[#Headers],[Fuel combusted]],0)</f>
        <v>51.63</v>
      </c>
      <c r="K88" s="159"/>
      <c r="L88" s="159"/>
    </row>
    <row r="89" spans="4:12" ht="20.100000000000001" customHeight="1" x14ac:dyDescent="0.25">
      <c r="D89" s="217" t="str" cm="1">
        <f t="array" ref="D89">Common_InputFunctions.Utility_DisplayArrayInTable(Fuel_SourceData.Fuel_Scope1EmissionFactorsStationaryGaseous_Data(), Table_Fuel_EFs_StationaryGaseous[[#Headers],[Fuel combusted]],0)</f>
        <v>Coal mine waste gas that is captured for combustion</v>
      </c>
      <c r="E89" s="217" cm="1">
        <f t="array" ref="E89">Common_InputFunctions.Utility_DisplayArrayInTable(Fuel_SourceData.Fuel_Scope1EmissionFactorsStationaryGaseous_Data(), Table_Fuel_EFs_StationaryGaseous[[#Headers],[Fuel combusted]],0)</f>
        <v>3.7699999999999997E-2</v>
      </c>
      <c r="F89" s="217" t="str" cm="1">
        <f t="array" ref="F89">Common_InputFunctions.Utility_DisplayArrayInTable(Fuel_SourceData.Fuel_Scope1EmissionFactorsStationaryGaseous_Data(), Table_Fuel_EFs_StationaryGaseous[[#Headers],[Fuel combusted]],0)</f>
        <v>m3</v>
      </c>
      <c r="G89" s="217" cm="1">
        <f t="array" ref="G89">Common_InputFunctions.Utility_DisplayArrayInTable(Fuel_SourceData.Fuel_Scope1EmissionFactorsStationaryGaseous_Data(), Table_Fuel_EFs_StationaryGaseous[[#Headers],[Fuel combusted]],0)</f>
        <v>51.9</v>
      </c>
      <c r="H89" s="217" cm="1">
        <f t="array" ref="H89">Common_InputFunctions.Utility_DisplayArrayInTable(Fuel_SourceData.Fuel_Scope1EmissionFactorsStationaryGaseous_Data(), Table_Fuel_EFs_StationaryGaseous[[#Headers],[Fuel combusted]],0)</f>
        <v>4.5999999999999996</v>
      </c>
      <c r="I89" s="217" cm="1">
        <f t="array" ref="I89">Common_InputFunctions.Utility_DisplayArrayInTable(Fuel_SourceData.Fuel_Scope1EmissionFactorsStationaryGaseous_Data(), Table_Fuel_EFs_StationaryGaseous[[#Headers],[Fuel combusted]],0)</f>
        <v>0.3</v>
      </c>
      <c r="J89" s="217" cm="1">
        <f t="array" ref="J89">Common_InputFunctions.Utility_DisplayArrayInTable(Fuel_SourceData.Fuel_Scope1EmissionFactorsStationaryGaseous_Data(), Table_Fuel_EFs_StationaryGaseous[[#Headers],[Fuel combusted]],0)</f>
        <v>56.8</v>
      </c>
      <c r="K89" s="159"/>
      <c r="L89" s="159"/>
    </row>
    <row r="90" spans="4:12" ht="20.100000000000001" customHeight="1" x14ac:dyDescent="0.25">
      <c r="D90" s="217" t="str" cm="1">
        <f t="array" ref="D90">Common_InputFunctions.Utility_DisplayArrayInTable(Fuel_SourceData.Fuel_Scope1EmissionFactorsStationaryGaseous_Data(), Table_Fuel_EFs_StationaryGaseous[[#Headers],[Fuel combusted]],0)</f>
        <v>Compressed natural gas(reverting to standard conditions)</v>
      </c>
      <c r="E90" s="217" cm="1">
        <f t="array" ref="E90">Common_InputFunctions.Utility_DisplayArrayInTable(Fuel_SourceData.Fuel_Scope1EmissionFactorsStationaryGaseous_Data(), Table_Fuel_EFs_StationaryGaseous[[#Headers],[Fuel combusted]],0)</f>
        <v>3.9300000000000002E-2</v>
      </c>
      <c r="F90" s="217" t="str" cm="1">
        <f t="array" ref="F90">Common_InputFunctions.Utility_DisplayArrayInTable(Fuel_SourceData.Fuel_Scope1EmissionFactorsStationaryGaseous_Data(), Table_Fuel_EFs_StationaryGaseous[[#Headers],[Fuel combusted]],0)</f>
        <v>m3</v>
      </c>
      <c r="G90" s="217" cm="1">
        <f t="array" ref="G90">Common_InputFunctions.Utility_DisplayArrayInTable(Fuel_SourceData.Fuel_Scope1EmissionFactorsStationaryGaseous_Data(), Table_Fuel_EFs_StationaryGaseous[[#Headers],[Fuel combusted]],0)</f>
        <v>51.4</v>
      </c>
      <c r="H90" s="217" cm="1">
        <f t="array" ref="H90">Common_InputFunctions.Utility_DisplayArrayInTable(Fuel_SourceData.Fuel_Scope1EmissionFactorsStationaryGaseous_Data(), Table_Fuel_EFs_StationaryGaseous[[#Headers],[Fuel combusted]],0)</f>
        <v>0.1</v>
      </c>
      <c r="I90" s="217" cm="1">
        <f t="array" ref="I90">Common_InputFunctions.Utility_DisplayArrayInTable(Fuel_SourceData.Fuel_Scope1EmissionFactorsStationaryGaseous_Data(), Table_Fuel_EFs_StationaryGaseous[[#Headers],[Fuel combusted]],0)</f>
        <v>0.03</v>
      </c>
      <c r="J90" s="217" cm="1">
        <f t="array" ref="J90">Common_InputFunctions.Utility_DisplayArrayInTable(Fuel_SourceData.Fuel_Scope1EmissionFactorsStationaryGaseous_Data(), Table_Fuel_EFs_StationaryGaseous[[#Headers],[Fuel combusted]],0)</f>
        <v>51.53</v>
      </c>
      <c r="K90" s="159"/>
      <c r="L90" s="159"/>
    </row>
    <row r="91" spans="4:12" ht="20.100000000000001" customHeight="1" x14ac:dyDescent="0.25">
      <c r="D91" s="217" t="str" cm="1">
        <f t="array" ref="D91">Common_InputFunctions.Utility_DisplayArrayInTable(Fuel_SourceData.Fuel_Scope1EmissionFactorsStationaryGaseous_Data(), Table_Fuel_EFs_StationaryGaseous[[#Headers],[Fuel combusted]],0)</f>
        <v>Unprocessed natural gas</v>
      </c>
      <c r="E91" s="217" cm="1">
        <f t="array" ref="E91">Common_InputFunctions.Utility_DisplayArrayInTable(Fuel_SourceData.Fuel_Scope1EmissionFactorsStationaryGaseous_Data(), Table_Fuel_EFs_StationaryGaseous[[#Headers],[Fuel combusted]],0)</f>
        <v>3.9300000000000002E-2</v>
      </c>
      <c r="F91" s="217" t="str" cm="1">
        <f t="array" ref="F91">Common_InputFunctions.Utility_DisplayArrayInTable(Fuel_SourceData.Fuel_Scope1EmissionFactorsStationaryGaseous_Data(), Table_Fuel_EFs_StationaryGaseous[[#Headers],[Fuel combusted]],0)</f>
        <v>m3</v>
      </c>
      <c r="G91" s="217" cm="1">
        <f t="array" ref="G91">Common_InputFunctions.Utility_DisplayArrayInTable(Fuel_SourceData.Fuel_Scope1EmissionFactorsStationaryGaseous_Data(), Table_Fuel_EFs_StationaryGaseous[[#Headers],[Fuel combusted]],0)</f>
        <v>51.4</v>
      </c>
      <c r="H91" s="217" cm="1">
        <f t="array" ref="H91">Common_InputFunctions.Utility_DisplayArrayInTable(Fuel_SourceData.Fuel_Scope1EmissionFactorsStationaryGaseous_Data(), Table_Fuel_EFs_StationaryGaseous[[#Headers],[Fuel combusted]],0)</f>
        <v>0.1</v>
      </c>
      <c r="I91" s="217" cm="1">
        <f t="array" ref="I91">Common_InputFunctions.Utility_DisplayArrayInTable(Fuel_SourceData.Fuel_Scope1EmissionFactorsStationaryGaseous_Data(), Table_Fuel_EFs_StationaryGaseous[[#Headers],[Fuel combusted]],0)</f>
        <v>0.03</v>
      </c>
      <c r="J91" s="217" cm="1">
        <f t="array" ref="J91">Common_InputFunctions.Utility_DisplayArrayInTable(Fuel_SourceData.Fuel_Scope1EmissionFactorsStationaryGaseous_Data(), Table_Fuel_EFs_StationaryGaseous[[#Headers],[Fuel combusted]],0)</f>
        <v>51.53</v>
      </c>
      <c r="K91" s="159"/>
      <c r="L91" s="159"/>
    </row>
    <row r="92" spans="4:12" ht="20.100000000000001" customHeight="1" x14ac:dyDescent="0.25">
      <c r="D92" s="217" t="str" cm="1">
        <f t="array" ref="D92">Common_InputFunctions.Utility_DisplayArrayInTable(Fuel_SourceData.Fuel_Scope1EmissionFactorsStationaryGaseous_Data(), Table_Fuel_EFs_StationaryGaseous[[#Headers],[Fuel combusted]],0)</f>
        <v>Ethane</v>
      </c>
      <c r="E92" s="217" cm="1">
        <f t="array" ref="E92">Common_InputFunctions.Utility_DisplayArrayInTable(Fuel_SourceData.Fuel_Scope1EmissionFactorsStationaryGaseous_Data(), Table_Fuel_EFs_StationaryGaseous[[#Headers],[Fuel combusted]],0)</f>
        <v>6.2899999999999998E-2</v>
      </c>
      <c r="F92" s="217" t="str" cm="1">
        <f t="array" ref="F92">Common_InputFunctions.Utility_DisplayArrayInTable(Fuel_SourceData.Fuel_Scope1EmissionFactorsStationaryGaseous_Data(), Table_Fuel_EFs_StationaryGaseous[[#Headers],[Fuel combusted]],0)</f>
        <v>m3</v>
      </c>
      <c r="G92" s="217" cm="1">
        <f t="array" ref="G92">Common_InputFunctions.Utility_DisplayArrayInTable(Fuel_SourceData.Fuel_Scope1EmissionFactorsStationaryGaseous_Data(), Table_Fuel_EFs_StationaryGaseous[[#Headers],[Fuel combusted]],0)</f>
        <v>56.5</v>
      </c>
      <c r="H92" s="217" cm="1">
        <f t="array" ref="H92">Common_InputFunctions.Utility_DisplayArrayInTable(Fuel_SourceData.Fuel_Scope1EmissionFactorsStationaryGaseous_Data(), Table_Fuel_EFs_StationaryGaseous[[#Headers],[Fuel combusted]],0)</f>
        <v>0.03</v>
      </c>
      <c r="I92" s="217" cm="1">
        <f t="array" ref="I92">Common_InputFunctions.Utility_DisplayArrayInTable(Fuel_SourceData.Fuel_Scope1EmissionFactorsStationaryGaseous_Data(), Table_Fuel_EFs_StationaryGaseous[[#Headers],[Fuel combusted]],0)</f>
        <v>0.03</v>
      </c>
      <c r="J92" s="217" cm="1">
        <f t="array" ref="J92">Common_InputFunctions.Utility_DisplayArrayInTable(Fuel_SourceData.Fuel_Scope1EmissionFactorsStationaryGaseous_Data(), Table_Fuel_EFs_StationaryGaseous[[#Headers],[Fuel combusted]],0)</f>
        <v>56.56</v>
      </c>
      <c r="K92" s="159"/>
      <c r="L92" s="159"/>
    </row>
    <row r="93" spans="4:12" ht="20.100000000000001" customHeight="1" x14ac:dyDescent="0.25">
      <c r="D93" s="217" t="str" cm="1">
        <f t="array" ref="D93">Common_InputFunctions.Utility_DisplayArrayInTable(Fuel_SourceData.Fuel_Scope1EmissionFactorsStationaryGaseous_Data(), Table_Fuel_EFs_StationaryGaseous[[#Headers],[Fuel combusted]],0)</f>
        <v>Coke oven gas</v>
      </c>
      <c r="E93" s="217" cm="1">
        <f t="array" ref="E93">Common_InputFunctions.Utility_DisplayArrayInTable(Fuel_SourceData.Fuel_Scope1EmissionFactorsStationaryGaseous_Data(), Table_Fuel_EFs_StationaryGaseous[[#Headers],[Fuel combusted]],0)</f>
        <v>1.8100000000000002E-2</v>
      </c>
      <c r="F93" s="217" t="str" cm="1">
        <f t="array" ref="F93">Common_InputFunctions.Utility_DisplayArrayInTable(Fuel_SourceData.Fuel_Scope1EmissionFactorsStationaryGaseous_Data(), Table_Fuel_EFs_StationaryGaseous[[#Headers],[Fuel combusted]],0)</f>
        <v>m3</v>
      </c>
      <c r="G93" s="217" cm="1">
        <f t="array" ref="G93">Common_InputFunctions.Utility_DisplayArrayInTable(Fuel_SourceData.Fuel_Scope1EmissionFactorsStationaryGaseous_Data(), Table_Fuel_EFs_StationaryGaseous[[#Headers],[Fuel combusted]],0)</f>
        <v>37</v>
      </c>
      <c r="H93" s="217" cm="1">
        <f t="array" ref="H93">Common_InputFunctions.Utility_DisplayArrayInTable(Fuel_SourceData.Fuel_Scope1EmissionFactorsStationaryGaseous_Data(), Table_Fuel_EFs_StationaryGaseous[[#Headers],[Fuel combusted]],0)</f>
        <v>0.03</v>
      </c>
      <c r="I93" s="217" cm="1">
        <f t="array" ref="I93">Common_InputFunctions.Utility_DisplayArrayInTable(Fuel_SourceData.Fuel_Scope1EmissionFactorsStationaryGaseous_Data(), Table_Fuel_EFs_StationaryGaseous[[#Headers],[Fuel combusted]],0)</f>
        <v>0.05</v>
      </c>
      <c r="J93" s="217" cm="1">
        <f t="array" ref="J93">Common_InputFunctions.Utility_DisplayArrayInTable(Fuel_SourceData.Fuel_Scope1EmissionFactorsStationaryGaseous_Data(), Table_Fuel_EFs_StationaryGaseous[[#Headers],[Fuel combusted]],0)</f>
        <v>37.08</v>
      </c>
      <c r="K93" s="159"/>
      <c r="L93" s="159"/>
    </row>
    <row r="94" spans="4:12" ht="20.100000000000001" customHeight="1" x14ac:dyDescent="0.25">
      <c r="D94" s="217" t="str" cm="1">
        <f t="array" ref="D94">Common_InputFunctions.Utility_DisplayArrayInTable(Fuel_SourceData.Fuel_Scope1EmissionFactorsStationaryGaseous_Data(), Table_Fuel_EFs_StationaryGaseous[[#Headers],[Fuel combusted]],0)</f>
        <v>Blast furnace gas</v>
      </c>
      <c r="E94" s="217" cm="1">
        <f t="array" ref="E94">Common_InputFunctions.Utility_DisplayArrayInTable(Fuel_SourceData.Fuel_Scope1EmissionFactorsStationaryGaseous_Data(), Table_Fuel_EFs_StationaryGaseous[[#Headers],[Fuel combusted]],0)</f>
        <v>4.0000000000000001E-3</v>
      </c>
      <c r="F94" s="217" t="str" cm="1">
        <f t="array" ref="F94">Common_InputFunctions.Utility_DisplayArrayInTable(Fuel_SourceData.Fuel_Scope1EmissionFactorsStationaryGaseous_Data(), Table_Fuel_EFs_StationaryGaseous[[#Headers],[Fuel combusted]],0)</f>
        <v>m3</v>
      </c>
      <c r="G94" s="217" cm="1">
        <f t="array" ref="G94">Common_InputFunctions.Utility_DisplayArrayInTable(Fuel_SourceData.Fuel_Scope1EmissionFactorsStationaryGaseous_Data(), Table_Fuel_EFs_StationaryGaseous[[#Headers],[Fuel combusted]],0)</f>
        <v>234</v>
      </c>
      <c r="H94" s="217" cm="1">
        <f t="array" ref="H94">Common_InputFunctions.Utility_DisplayArrayInTable(Fuel_SourceData.Fuel_Scope1EmissionFactorsStationaryGaseous_Data(), Table_Fuel_EFs_StationaryGaseous[[#Headers],[Fuel combusted]],0)</f>
        <v>0.03</v>
      </c>
      <c r="I94" s="217" cm="1">
        <f t="array" ref="I94">Common_InputFunctions.Utility_DisplayArrayInTable(Fuel_SourceData.Fuel_Scope1EmissionFactorsStationaryGaseous_Data(), Table_Fuel_EFs_StationaryGaseous[[#Headers],[Fuel combusted]],0)</f>
        <v>0.02</v>
      </c>
      <c r="J94" s="217" cm="1">
        <f t="array" ref="J94">Common_InputFunctions.Utility_DisplayArrayInTable(Fuel_SourceData.Fuel_Scope1EmissionFactorsStationaryGaseous_Data(), Table_Fuel_EFs_StationaryGaseous[[#Headers],[Fuel combusted]],0)</f>
        <v>234.05</v>
      </c>
      <c r="K94" s="159"/>
      <c r="L94" s="159"/>
    </row>
    <row r="95" spans="4:12" ht="20.100000000000001" customHeight="1" x14ac:dyDescent="0.25">
      <c r="D95" s="217" t="str" cm="1">
        <f t="array" ref="D95">Common_InputFunctions.Utility_DisplayArrayInTable(Fuel_SourceData.Fuel_Scope1EmissionFactorsStationaryGaseous_Data(), Table_Fuel_EFs_StationaryGaseous[[#Headers],[Fuel combusted]],0)</f>
        <v>Town gas</v>
      </c>
      <c r="E95" s="217" cm="1">
        <f t="array" ref="E95">Common_InputFunctions.Utility_DisplayArrayInTable(Fuel_SourceData.Fuel_Scope1EmissionFactorsStationaryGaseous_Data(), Table_Fuel_EFs_StationaryGaseous[[#Headers],[Fuel combusted]],0)</f>
        <v>3.9E-2</v>
      </c>
      <c r="F95" s="217" t="str" cm="1">
        <f t="array" ref="F95">Common_InputFunctions.Utility_DisplayArrayInTable(Fuel_SourceData.Fuel_Scope1EmissionFactorsStationaryGaseous_Data(), Table_Fuel_EFs_StationaryGaseous[[#Headers],[Fuel combusted]],0)</f>
        <v>m3</v>
      </c>
      <c r="G95" s="217" cm="1">
        <f t="array" ref="G95">Common_InputFunctions.Utility_DisplayArrayInTable(Fuel_SourceData.Fuel_Scope1EmissionFactorsStationaryGaseous_Data(), Table_Fuel_EFs_StationaryGaseous[[#Headers],[Fuel combusted]],0)</f>
        <v>60.2</v>
      </c>
      <c r="H95" s="217" cm="1">
        <f t="array" ref="H95">Common_InputFunctions.Utility_DisplayArrayInTable(Fuel_SourceData.Fuel_Scope1EmissionFactorsStationaryGaseous_Data(), Table_Fuel_EFs_StationaryGaseous[[#Headers],[Fuel combusted]],0)</f>
        <v>0.04</v>
      </c>
      <c r="I95" s="217" cm="1">
        <f t="array" ref="I95">Common_InputFunctions.Utility_DisplayArrayInTable(Fuel_SourceData.Fuel_Scope1EmissionFactorsStationaryGaseous_Data(), Table_Fuel_EFs_StationaryGaseous[[#Headers],[Fuel combusted]],0)</f>
        <v>0.03</v>
      </c>
      <c r="J95" s="217" cm="1">
        <f t="array" ref="J95">Common_InputFunctions.Utility_DisplayArrayInTable(Fuel_SourceData.Fuel_Scope1EmissionFactorsStationaryGaseous_Data(), Table_Fuel_EFs_StationaryGaseous[[#Headers],[Fuel combusted]],0)</f>
        <v>60.27</v>
      </c>
      <c r="K95" s="159"/>
      <c r="L95" s="159"/>
    </row>
    <row r="96" spans="4:12" ht="20.100000000000001" customHeight="1" x14ac:dyDescent="0.25">
      <c r="D96" s="217" t="str" cm="1">
        <f t="array" ref="D96">Common_InputFunctions.Utility_DisplayArrayInTable(Fuel_SourceData.Fuel_Scope1EmissionFactorsStationaryGaseous_Data(), Table_Fuel_EFs_StationaryGaseous[[#Headers],[Fuel combusted]],0)</f>
        <v>Liquefied natural gas</v>
      </c>
      <c r="E96" s="217" cm="1">
        <f t="array" ref="E96">Common_InputFunctions.Utility_DisplayArrayInTable(Fuel_SourceData.Fuel_Scope1EmissionFactorsStationaryGaseous_Data(), Table_Fuel_EFs_StationaryGaseous[[#Headers],[Fuel combusted]],0)</f>
        <v>25.3</v>
      </c>
      <c r="F96" s="217" t="str" cm="1">
        <f t="array" ref="F96">Common_InputFunctions.Utility_DisplayArrayInTable(Fuel_SourceData.Fuel_Scope1EmissionFactorsStationaryGaseous_Data(), Table_Fuel_EFs_StationaryGaseous[[#Headers],[Fuel combusted]],0)</f>
        <v>kL</v>
      </c>
      <c r="G96" s="217" cm="1">
        <f t="array" ref="G96">Common_InputFunctions.Utility_DisplayArrayInTable(Fuel_SourceData.Fuel_Scope1EmissionFactorsStationaryGaseous_Data(), Table_Fuel_EFs_StationaryGaseous[[#Headers],[Fuel combusted]],0)</f>
        <v>51.4</v>
      </c>
      <c r="H96" s="217" cm="1">
        <f t="array" ref="H96">Common_InputFunctions.Utility_DisplayArrayInTable(Fuel_SourceData.Fuel_Scope1EmissionFactorsStationaryGaseous_Data(), Table_Fuel_EFs_StationaryGaseous[[#Headers],[Fuel combusted]],0)</f>
        <v>0.1</v>
      </c>
      <c r="I96" s="217" cm="1">
        <f t="array" ref="I96">Common_InputFunctions.Utility_DisplayArrayInTable(Fuel_SourceData.Fuel_Scope1EmissionFactorsStationaryGaseous_Data(), Table_Fuel_EFs_StationaryGaseous[[#Headers],[Fuel combusted]],0)</f>
        <v>0.03</v>
      </c>
      <c r="J96" s="217" cm="1">
        <f t="array" ref="J96">Common_InputFunctions.Utility_DisplayArrayInTable(Fuel_SourceData.Fuel_Scope1EmissionFactorsStationaryGaseous_Data(), Table_Fuel_EFs_StationaryGaseous[[#Headers],[Fuel combusted]],0)</f>
        <v>51.53</v>
      </c>
      <c r="K96" s="159"/>
      <c r="L96" s="159"/>
    </row>
    <row r="97" spans="4:13" ht="20.100000000000001" customHeight="1" x14ac:dyDescent="0.25">
      <c r="D97" s="217" t="str" cm="1">
        <f t="array" ref="D97">Common_InputFunctions.Utility_DisplayArrayInTable(Fuel_SourceData.Fuel_Scope1EmissionFactorsStationaryGaseous_Data(), Table_Fuel_EFs_StationaryGaseous[[#Headers],[Fuel combusted]],0)</f>
        <v>Gaseous fossil fuels other than those mentioned in the items above</v>
      </c>
      <c r="E97" s="217" cm="1">
        <f t="array" ref="E97">Common_InputFunctions.Utility_DisplayArrayInTable(Fuel_SourceData.Fuel_Scope1EmissionFactorsStationaryGaseous_Data(), Table_Fuel_EFs_StationaryGaseous[[#Headers],[Fuel combusted]],0)</f>
        <v>3.9E-2</v>
      </c>
      <c r="F97" s="217" t="str" cm="1">
        <f t="array" ref="F97">Common_InputFunctions.Utility_DisplayArrayInTable(Fuel_SourceData.Fuel_Scope1EmissionFactorsStationaryGaseous_Data(), Table_Fuel_EFs_StationaryGaseous[[#Headers],[Fuel combusted]],0)</f>
        <v>m3</v>
      </c>
      <c r="G97" s="217" cm="1">
        <f t="array" ref="G97">Common_InputFunctions.Utility_DisplayArrayInTable(Fuel_SourceData.Fuel_Scope1EmissionFactorsStationaryGaseous_Data(), Table_Fuel_EFs_StationaryGaseous[[#Headers],[Fuel combusted]],0)</f>
        <v>51.4</v>
      </c>
      <c r="H97" s="217" cm="1">
        <f t="array" ref="H97">Common_InputFunctions.Utility_DisplayArrayInTable(Fuel_SourceData.Fuel_Scope1EmissionFactorsStationaryGaseous_Data(), Table_Fuel_EFs_StationaryGaseous[[#Headers],[Fuel combusted]],0)</f>
        <v>0.1</v>
      </c>
      <c r="I97" s="217" cm="1">
        <f t="array" ref="I97">Common_InputFunctions.Utility_DisplayArrayInTable(Fuel_SourceData.Fuel_Scope1EmissionFactorsStationaryGaseous_Data(), Table_Fuel_EFs_StationaryGaseous[[#Headers],[Fuel combusted]],0)</f>
        <v>0.03</v>
      </c>
      <c r="J97" s="217" cm="1">
        <f t="array" ref="J97">Common_InputFunctions.Utility_DisplayArrayInTable(Fuel_SourceData.Fuel_Scope1EmissionFactorsStationaryGaseous_Data(), Table_Fuel_EFs_StationaryGaseous[[#Headers],[Fuel combusted]],0)</f>
        <v>51.53</v>
      </c>
      <c r="K97" s="159"/>
      <c r="L97" s="159"/>
    </row>
    <row r="98" spans="4:13" ht="20.100000000000001" customHeight="1" x14ac:dyDescent="0.25">
      <c r="D98" s="217" t="str" cm="1">
        <f t="array" ref="D98">Common_InputFunctions.Utility_DisplayArrayInTable(Fuel_SourceData.Fuel_Scope1EmissionFactorsStationaryGaseous_Data(), Table_Fuel_EFs_StationaryGaseous[[#Headers],[Fuel combusted]],0)</f>
        <v>Landfill biogas that is captured for combustion (methane only)</v>
      </c>
      <c r="E98" s="217" cm="1">
        <f t="array" ref="E98">Common_InputFunctions.Utility_DisplayArrayInTable(Fuel_SourceData.Fuel_Scope1EmissionFactorsStationaryGaseous_Data(), Table_Fuel_EFs_StationaryGaseous[[#Headers],[Fuel combusted]],0)</f>
        <v>3.7699999999999997E-2</v>
      </c>
      <c r="F98" s="217" t="str" cm="1">
        <f t="array" ref="F98">Common_InputFunctions.Utility_DisplayArrayInTable(Fuel_SourceData.Fuel_Scope1EmissionFactorsStationaryGaseous_Data(), Table_Fuel_EFs_StationaryGaseous[[#Headers],[Fuel combusted]],0)</f>
        <v>m3</v>
      </c>
      <c r="G98" s="217" cm="1">
        <f t="array" ref="G98">Common_InputFunctions.Utility_DisplayArrayInTable(Fuel_SourceData.Fuel_Scope1EmissionFactorsStationaryGaseous_Data(), Table_Fuel_EFs_StationaryGaseous[[#Headers],[Fuel combusted]],0)</f>
        <v>0</v>
      </c>
      <c r="H98" s="217" cm="1">
        <f t="array" ref="H98">Common_InputFunctions.Utility_DisplayArrayInTable(Fuel_SourceData.Fuel_Scope1EmissionFactorsStationaryGaseous_Data(), Table_Fuel_EFs_StationaryGaseous[[#Headers],[Fuel combusted]],0)</f>
        <v>6.4</v>
      </c>
      <c r="I98" s="217" cm="1">
        <f t="array" ref="I98">Common_InputFunctions.Utility_DisplayArrayInTable(Fuel_SourceData.Fuel_Scope1EmissionFactorsStationaryGaseous_Data(), Table_Fuel_EFs_StationaryGaseous[[#Headers],[Fuel combusted]],0)</f>
        <v>0.03</v>
      </c>
      <c r="J98" s="217" cm="1">
        <f t="array" ref="J98">Common_InputFunctions.Utility_DisplayArrayInTable(Fuel_SourceData.Fuel_Scope1EmissionFactorsStationaryGaseous_Data(), Table_Fuel_EFs_StationaryGaseous[[#Headers],[Fuel combusted]],0)</f>
        <v>6.43</v>
      </c>
      <c r="K98" s="159"/>
      <c r="L98" s="159"/>
    </row>
    <row r="99" spans="4:13" ht="20.100000000000001" customHeight="1" x14ac:dyDescent="0.25">
      <c r="D99" s="217" t="str" cm="1">
        <f t="array" ref="D99">Common_InputFunctions.Utility_DisplayArrayInTable(Fuel_SourceData.Fuel_Scope1EmissionFactorsStationaryGaseous_Data(), Table_Fuel_EFs_StationaryGaseous[[#Headers],[Fuel combusted]],0)</f>
        <v>Sludge biogas that is captured for combustion (methane only)</v>
      </c>
      <c r="E99" s="217" cm="1">
        <f t="array" ref="E99">Common_InputFunctions.Utility_DisplayArrayInTable(Fuel_SourceData.Fuel_Scope1EmissionFactorsStationaryGaseous_Data(), Table_Fuel_EFs_StationaryGaseous[[#Headers],[Fuel combusted]],0)</f>
        <v>3.7699999999999997E-2</v>
      </c>
      <c r="F99" s="217" t="str" cm="1">
        <f t="array" ref="F99">Common_InputFunctions.Utility_DisplayArrayInTable(Fuel_SourceData.Fuel_Scope1EmissionFactorsStationaryGaseous_Data(), Table_Fuel_EFs_StationaryGaseous[[#Headers],[Fuel combusted]],0)</f>
        <v>m3</v>
      </c>
      <c r="G99" s="217" cm="1">
        <f t="array" ref="G99">Common_InputFunctions.Utility_DisplayArrayInTable(Fuel_SourceData.Fuel_Scope1EmissionFactorsStationaryGaseous_Data(), Table_Fuel_EFs_StationaryGaseous[[#Headers],[Fuel combusted]],0)</f>
        <v>0</v>
      </c>
      <c r="H99" s="217" cm="1">
        <f t="array" ref="H99">Common_InputFunctions.Utility_DisplayArrayInTable(Fuel_SourceData.Fuel_Scope1EmissionFactorsStationaryGaseous_Data(), Table_Fuel_EFs_StationaryGaseous[[#Headers],[Fuel combusted]],0)</f>
        <v>6.4</v>
      </c>
      <c r="I99" s="217" cm="1">
        <f t="array" ref="I99">Common_InputFunctions.Utility_DisplayArrayInTable(Fuel_SourceData.Fuel_Scope1EmissionFactorsStationaryGaseous_Data(), Table_Fuel_EFs_StationaryGaseous[[#Headers],[Fuel combusted]],0)</f>
        <v>0.03</v>
      </c>
      <c r="J99" s="217" cm="1">
        <f t="array" ref="J99">Common_InputFunctions.Utility_DisplayArrayInTable(Fuel_SourceData.Fuel_Scope1EmissionFactorsStationaryGaseous_Data(), Table_Fuel_EFs_StationaryGaseous[[#Headers],[Fuel combusted]],0)</f>
        <v>6.43</v>
      </c>
      <c r="K99" s="159"/>
      <c r="L99" s="159"/>
    </row>
    <row r="100" spans="4:13" ht="20.100000000000001" customHeight="1" x14ac:dyDescent="0.25">
      <c r="D100" s="217"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17" cm="1">
        <f t="array" ref="E100">Common_InputFunctions.Utility_DisplayArrayInTable(Fuel_SourceData.Fuel_Scope1EmissionFactorsStationaryGaseous_Data(), Table_Fuel_EFs_StationaryGaseous[[#Headers],[Fuel combusted]],0)</f>
        <v>3.6999999999999998E-2</v>
      </c>
      <c r="F100" s="217" t="str" cm="1">
        <f t="array" ref="F100">Common_InputFunctions.Utility_DisplayArrayInTable(Fuel_SourceData.Fuel_Scope1EmissionFactorsStationaryGaseous_Data(), Table_Fuel_EFs_StationaryGaseous[[#Headers],[Fuel combusted]],0)</f>
        <v>m3</v>
      </c>
      <c r="G100" s="217" cm="1">
        <f t="array" ref="G100">Common_InputFunctions.Utility_DisplayArrayInTable(Fuel_SourceData.Fuel_Scope1EmissionFactorsStationaryGaseous_Data(), Table_Fuel_EFs_StationaryGaseous[[#Headers],[Fuel combusted]],0)</f>
        <v>0</v>
      </c>
      <c r="H100" s="217" cm="1">
        <f t="array" ref="H100">Common_InputFunctions.Utility_DisplayArrayInTable(Fuel_SourceData.Fuel_Scope1EmissionFactorsStationaryGaseous_Data(), Table_Fuel_EFs_StationaryGaseous[[#Headers],[Fuel combusted]],0)</f>
        <v>6.4</v>
      </c>
      <c r="I100" s="217" cm="1">
        <f t="array" ref="I100">Common_InputFunctions.Utility_DisplayArrayInTable(Fuel_SourceData.Fuel_Scope1EmissionFactorsStationaryGaseous_Data(), Table_Fuel_EFs_StationaryGaseous[[#Headers],[Fuel combusted]],0)</f>
        <v>0.03</v>
      </c>
      <c r="J100" s="217" cm="1">
        <f t="array" ref="J100">Common_InputFunctions.Utility_DisplayArrayInTable(Fuel_SourceData.Fuel_Scope1EmissionFactorsStationaryGaseous_Data(), Table_Fuel_EFs_StationaryGaseous[[#Headers],[Fuel combusted]],0)</f>
        <v>6.43</v>
      </c>
      <c r="K100" s="159"/>
      <c r="L100" s="159"/>
    </row>
    <row r="101" spans="4:13" ht="20.100000000000001" customHeight="1" x14ac:dyDescent="0.25">
      <c r="D101" s="217" t="str" cm="1">
        <f t="array" ref="D101">Common_InputFunctions.Utility_DisplayArrayInTable(Fuel_SourceData.Fuel_Scope1EmissionFactorsStationaryGaseous_Data(), Table_Fuel_EFs_StationaryGaseous[[#Headers],[Fuel combusted]],0)</f>
        <v>Biomethane</v>
      </c>
      <c r="E101" s="217" cm="1">
        <f t="array" ref="E101">Common_InputFunctions.Utility_DisplayArrayInTable(Fuel_SourceData.Fuel_Scope1EmissionFactorsStationaryGaseous_Data(), Table_Fuel_EFs_StationaryGaseous[[#Headers],[Fuel combusted]],0)</f>
        <v>3.9300000000000002E-2</v>
      </c>
      <c r="F101" s="217" t="str" cm="1">
        <f t="array" ref="F101">Common_InputFunctions.Utility_DisplayArrayInTable(Fuel_SourceData.Fuel_Scope1EmissionFactorsStationaryGaseous_Data(), Table_Fuel_EFs_StationaryGaseous[[#Headers],[Fuel combusted]],0)</f>
        <v>m3</v>
      </c>
      <c r="G101" s="217" cm="1">
        <f t="array" ref="G101">Common_InputFunctions.Utility_DisplayArrayInTable(Fuel_SourceData.Fuel_Scope1EmissionFactorsStationaryGaseous_Data(), Table_Fuel_EFs_StationaryGaseous[[#Headers],[Fuel combusted]],0)</f>
        <v>0</v>
      </c>
      <c r="H101" s="217" cm="1">
        <f t="array" ref="H101">Common_InputFunctions.Utility_DisplayArrayInTable(Fuel_SourceData.Fuel_Scope1EmissionFactorsStationaryGaseous_Data(), Table_Fuel_EFs_StationaryGaseous[[#Headers],[Fuel combusted]],0)</f>
        <v>0.1</v>
      </c>
      <c r="I101" s="217" cm="1">
        <f t="array" ref="I101">Common_InputFunctions.Utility_DisplayArrayInTable(Fuel_SourceData.Fuel_Scope1EmissionFactorsStationaryGaseous_Data(), Table_Fuel_EFs_StationaryGaseous[[#Headers],[Fuel combusted]],0)</f>
        <v>0.03</v>
      </c>
      <c r="J101" s="217" cm="1">
        <f t="array" ref="J101">Common_InputFunctions.Utility_DisplayArrayInTable(Fuel_SourceData.Fuel_Scope1EmissionFactorsStationaryGaseous_Data(), Table_Fuel_EFs_StationaryGaseous[[#Headers],[Fuel combusted]],0)</f>
        <v>0.13</v>
      </c>
      <c r="K101" s="159"/>
      <c r="L101" s="159"/>
    </row>
    <row r="102" spans="4:13" ht="20.100000000000001" customHeight="1" x14ac:dyDescent="0.25">
      <c r="D102" s="217" t="str" cm="1">
        <f t="array" ref="D102">Common_InputFunctions.Utility_DisplayArrayInTable(Fuel_SourceData.Fuel_Scope1EmissionFactorsStationaryGaseous_Data(), Table_Fuel_EFs_StationaryGaseous[[#Headers],[Fuel combusted]],0)</f>
        <v>Hydrogen</v>
      </c>
      <c r="E102" s="217" cm="1">
        <f t="array" ref="E102">Common_InputFunctions.Utility_DisplayArrayInTable(Fuel_SourceData.Fuel_Scope1EmissionFactorsStationaryGaseous_Data(), Table_Fuel_EFs_StationaryGaseous[[#Headers],[Fuel combusted]],0)</f>
        <v>1.2200000000000001E-2</v>
      </c>
      <c r="F102" s="217" t="str" cm="1">
        <f t="array" ref="F102">Common_InputFunctions.Utility_DisplayArrayInTable(Fuel_SourceData.Fuel_Scope1EmissionFactorsStationaryGaseous_Data(), Table_Fuel_EFs_StationaryGaseous[[#Headers],[Fuel combusted]],0)</f>
        <v>m3</v>
      </c>
      <c r="G102" s="217" cm="1">
        <f t="array" ref="G102">Common_InputFunctions.Utility_DisplayArrayInTable(Fuel_SourceData.Fuel_Scope1EmissionFactorsStationaryGaseous_Data(), Table_Fuel_EFs_StationaryGaseous[[#Headers],[Fuel combusted]],0)</f>
        <v>0</v>
      </c>
      <c r="H102" s="217" cm="1">
        <f t="array" ref="H102">Common_InputFunctions.Utility_DisplayArrayInTable(Fuel_SourceData.Fuel_Scope1EmissionFactorsStationaryGaseous_Data(), Table_Fuel_EFs_StationaryGaseous[[#Headers],[Fuel combusted]],0)</f>
        <v>0</v>
      </c>
      <c r="I102" s="217" cm="1">
        <f t="array" ref="I102">Common_InputFunctions.Utility_DisplayArrayInTable(Fuel_SourceData.Fuel_Scope1EmissionFactorsStationaryGaseous_Data(), Table_Fuel_EFs_StationaryGaseous[[#Headers],[Fuel combusted]],0)</f>
        <v>0.5</v>
      </c>
      <c r="J102" s="217" cm="1">
        <f t="array" ref="J102">Common_InputFunctions.Utility_DisplayArrayInTable(Fuel_SourceData.Fuel_Scope1EmissionFactorsStationaryGaseous_Data(), Table_Fuel_EFs_StationaryGaseous[[#Headers],[Fuel combusted]],0)</f>
        <v>0.5</v>
      </c>
      <c r="K102" s="159"/>
      <c r="L102" s="159"/>
    </row>
    <row r="103" spans="4:13" ht="20.100000000000001" customHeight="1" x14ac:dyDescent="0.25">
      <c r="D103" s="217" t="str" cm="1">
        <f t="array" ref="D103">Common_InputFunctions.Utility_DisplayArrayInTable(Fuel_SourceData.Fuel_Scope1EmissionFactorsStationaryGaseous_Data(), Table_Fuel_EFs_StationaryGaseous[[#Headers],[Fuel combusted]],0)</f>
        <v>Natural gas distributed in a pipeline - Gigajoules</v>
      </c>
      <c r="E103" s="217" cm="1">
        <f t="array" ref="E103">Common_InputFunctions.Utility_DisplayArrayInTable(Fuel_SourceData.Fuel_Scope1EmissionFactorsStationaryGaseous_Data(), Table_Fuel_EFs_StationaryGaseous[[#Headers],[Fuel combusted]],0)</f>
        <v>1</v>
      </c>
      <c r="F103" s="217" t="str" cm="1">
        <f t="array" ref="F103">Common_InputFunctions.Utility_DisplayArrayInTable(Fuel_SourceData.Fuel_Scope1EmissionFactorsStationaryGaseous_Data(), Table_Fuel_EFs_StationaryGaseous[[#Headers],[Fuel combusted]],0)</f>
        <v>GJ</v>
      </c>
      <c r="G103" s="217" cm="1">
        <f t="array" ref="G103">Common_InputFunctions.Utility_DisplayArrayInTable(Fuel_SourceData.Fuel_Scope1EmissionFactorsStationaryGaseous_Data(), Table_Fuel_EFs_StationaryGaseous[[#Headers],[Fuel combusted]],0)</f>
        <v>51.4</v>
      </c>
      <c r="H103" s="217" cm="1">
        <f t="array" ref="H103">Common_InputFunctions.Utility_DisplayArrayInTable(Fuel_SourceData.Fuel_Scope1EmissionFactorsStationaryGaseous_Data(), Table_Fuel_EFs_StationaryGaseous[[#Headers],[Fuel combusted]],0)</f>
        <v>0.1</v>
      </c>
      <c r="I103" s="217" cm="1">
        <f t="array" ref="I103">Common_InputFunctions.Utility_DisplayArrayInTable(Fuel_SourceData.Fuel_Scope1EmissionFactorsStationaryGaseous_Data(), Table_Fuel_EFs_StationaryGaseous[[#Headers],[Fuel combusted]],0)</f>
        <v>0.03</v>
      </c>
      <c r="J103" s="217" cm="1">
        <f t="array" ref="J103">Common_InputFunctions.Utility_DisplayArrayInTable(Fuel_SourceData.Fuel_Scope1EmissionFactorsStationaryGaseous_Data(), Table_Fuel_EFs_StationaryGaseous[[#Headers],[Fuel combusted]],0)</f>
        <v>51.53</v>
      </c>
      <c r="K103" s="159"/>
      <c r="L103" s="159"/>
    </row>
    <row r="104" spans="4:13" ht="20.100000000000001" customHeight="1" x14ac:dyDescent="0.25">
      <c r="D104" s="217" t="str" cm="1">
        <f t="array" ref="D104">Common_InputFunctions.Utility_DisplayArrayInTable(Fuel_SourceData.Fuel_Scope1EmissionFactorsStationaryGaseous_Data(), Table_Fuel_EFs_StationaryGaseous[[#Headers],[Fuel combusted]],0)</f>
        <v>Town gas - Gigajoules</v>
      </c>
      <c r="E104" s="217" cm="1">
        <f t="array" ref="E104">Common_InputFunctions.Utility_DisplayArrayInTable(Fuel_SourceData.Fuel_Scope1EmissionFactorsStationaryGaseous_Data(), Table_Fuel_EFs_StationaryGaseous[[#Headers],[Fuel combusted]],0)</f>
        <v>1</v>
      </c>
      <c r="F104" s="217" t="str" cm="1">
        <f t="array" ref="F104">Common_InputFunctions.Utility_DisplayArrayInTable(Fuel_SourceData.Fuel_Scope1EmissionFactorsStationaryGaseous_Data(), Table_Fuel_EFs_StationaryGaseous[[#Headers],[Fuel combusted]],0)</f>
        <v>GJ</v>
      </c>
      <c r="G104" s="217" cm="1">
        <f t="array" ref="G104">Common_InputFunctions.Utility_DisplayArrayInTable(Fuel_SourceData.Fuel_Scope1EmissionFactorsStationaryGaseous_Data(), Table_Fuel_EFs_StationaryGaseous[[#Headers],[Fuel combusted]],0)</f>
        <v>60.2</v>
      </c>
      <c r="H104" s="217" cm="1">
        <f t="array" ref="H104">Common_InputFunctions.Utility_DisplayArrayInTable(Fuel_SourceData.Fuel_Scope1EmissionFactorsStationaryGaseous_Data(), Table_Fuel_EFs_StationaryGaseous[[#Headers],[Fuel combusted]],0)</f>
        <v>0.04</v>
      </c>
      <c r="I104" s="217" cm="1">
        <f t="array" ref="I104">Common_InputFunctions.Utility_DisplayArrayInTable(Fuel_SourceData.Fuel_Scope1EmissionFactorsStationaryGaseous_Data(), Table_Fuel_EFs_StationaryGaseous[[#Headers],[Fuel combusted]],0)</f>
        <v>0.03</v>
      </c>
      <c r="J104" s="217" cm="1">
        <f t="array" ref="J104">Common_InputFunctions.Utility_DisplayArrayInTable(Fuel_SourceData.Fuel_Scope1EmissionFactorsStationaryGaseous_Data(), Table_Fuel_EFs_StationaryGaseous[[#Headers],[Fuel combusted]],0)</f>
        <v>60.27</v>
      </c>
      <c r="K104" s="159"/>
      <c r="L104" s="159"/>
    </row>
    <row r="105" spans="4:13" ht="20.100000000000001" customHeight="1" x14ac:dyDescent="0.25">
      <c r="D105" s="159"/>
      <c r="E105" s="159"/>
      <c r="F105" s="159"/>
      <c r="G105" s="159"/>
      <c r="H105" s="159"/>
      <c r="I105" s="159"/>
      <c r="J105" s="159"/>
      <c r="K105" s="159"/>
      <c r="L105" s="159"/>
      <c r="M105" s="159"/>
    </row>
    <row r="106" spans="4:13" ht="20.100000000000001" customHeight="1" x14ac:dyDescent="0.25">
      <c r="D106" s="159"/>
      <c r="E106" s="159"/>
      <c r="F106" s="159"/>
      <c r="G106" s="159"/>
      <c r="H106" s="159"/>
      <c r="I106" s="159"/>
      <c r="J106" s="159"/>
      <c r="K106" s="159"/>
      <c r="L106" s="159"/>
      <c r="M106" s="159"/>
    </row>
    <row r="107" spans="4:13" ht="20.100000000000001" customHeight="1" x14ac:dyDescent="0.25">
      <c r="D107" s="2" t="str" cm="1">
        <f t="array" ref="D107">Fuel_SourceData.Fuel_Scope3EmissionFactorsStationaryGaseous_Title()</f>
        <v>Fuel scope 3 emission factors - Stationary gaseous fuels</v>
      </c>
      <c r="E107" s="159"/>
      <c r="F107" s="159"/>
      <c r="G107" s="159"/>
      <c r="H107" s="159"/>
      <c r="I107" s="159"/>
      <c r="J107" s="159"/>
      <c r="K107" s="159"/>
      <c r="L107" s="159"/>
    </row>
    <row r="108" spans="4:13" ht="20.100000000000001" customHeight="1" x14ac:dyDescent="0.25">
      <c r="D108" s="1" t="str" cm="1">
        <f t="array" ref="D108">Fuel_SourceData.Fuel_Scope3EmissionFactorsStationaryGaseous_Description()</f>
        <v>Indirect (Scope 3) emission factors for the consumption of natural gas.</v>
      </c>
      <c r="E108" s="159"/>
      <c r="F108" s="159"/>
      <c r="G108" s="159"/>
      <c r="H108" s="159"/>
      <c r="I108" s="159"/>
      <c r="J108" s="159"/>
      <c r="K108" s="159"/>
      <c r="L108" s="159"/>
    </row>
    <row r="109" spans="4:13" ht="20.100000000000001" customHeight="1" x14ac:dyDescent="0.25">
      <c r="D109" s="27" t="str" cm="1">
        <f t="array" ref="D109">Fuel_SourceData.Fuel_Scope3EmissionFactorsStationaryGaseous_Source()</f>
        <v>Australian National Greenhouse Accounts Factors 2025 - Table 6</v>
      </c>
      <c r="E109" s="159"/>
      <c r="F109" s="159"/>
      <c r="G109" s="159"/>
      <c r="H109" s="159"/>
      <c r="I109" s="159"/>
      <c r="J109" s="159"/>
      <c r="K109" s="159"/>
      <c r="L109" s="159"/>
    </row>
    <row r="110" spans="4:13" ht="20.100000000000001" customHeight="1" x14ac:dyDescent="0.25">
      <c r="D110" s="36"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59"/>
      <c r="F110" s="159"/>
      <c r="G110" s="159"/>
      <c r="H110" s="159"/>
      <c r="I110" s="159"/>
      <c r="J110" s="159"/>
      <c r="K110" s="159"/>
      <c r="L110" s="159"/>
    </row>
    <row r="111" spans="4:13" ht="20.100000000000001" customHeight="1" x14ac:dyDescent="0.25">
      <c r="D111" s="159"/>
      <c r="E111" s="159"/>
      <c r="F111" s="159"/>
      <c r="G111" s="159"/>
      <c r="H111" s="159"/>
      <c r="I111" s="159"/>
      <c r="J111" s="159"/>
      <c r="K111" s="159"/>
      <c r="L111" s="159"/>
    </row>
    <row r="112" spans="4:13" ht="20.100000000000001" customHeight="1" x14ac:dyDescent="0.25">
      <c r="D112" s="182" t="s">
        <v>514</v>
      </c>
      <c r="E112" s="214" t="s">
        <v>448</v>
      </c>
      <c r="F112" s="214" t="s">
        <v>515</v>
      </c>
      <c r="G112" s="159"/>
      <c r="H112" s="88" t="s">
        <v>516</v>
      </c>
      <c r="I112" s="159"/>
      <c r="J112" s="159"/>
      <c r="K112" s="159"/>
      <c r="L112" s="159"/>
    </row>
    <row r="113" spans="4:13" ht="20.100000000000001" customHeight="1" x14ac:dyDescent="0.25">
      <c r="D113" s="218" t="str" cm="1">
        <f t="array" ref="D113">Common_InputFunctions.Utility_DisplayArrayInTable(Fuel_SourceData.Fuel_Scope3EmissionFactorsStationaryGaseous_Data(), Table_Fuel_EFs_StationaryGaseous34[[#Headers],[State or territory]],0)</f>
        <v>New South Wales</v>
      </c>
      <c r="E113" s="218" cm="1">
        <f t="array" ref="E113">Common_InputFunctions.Utility_DisplayArrayInTable(Fuel_SourceData.Fuel_Scope3EmissionFactorsStationaryGaseous_Data(), Table_Fuel_EFs_StationaryGaseous34[[#Headers],[State or territory]],0)</f>
        <v>13.1</v>
      </c>
      <c r="F113" s="218" cm="1">
        <f t="array" ref="F113">Common_InputFunctions.Utility_DisplayArrayInTable(Fuel_SourceData.Fuel_Scope3EmissionFactorsStationaryGaseous_Data(), Table_Fuel_EFs_StationaryGaseous34[[#Headers],[State or territory]],0)</f>
        <v>14</v>
      </c>
      <c r="G113" s="219"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59"/>
      <c r="J113" s="159"/>
      <c r="K113" s="159"/>
      <c r="L113" s="159"/>
    </row>
    <row r="114" spans="4:13" ht="20.100000000000001" customHeight="1" x14ac:dyDescent="0.25">
      <c r="D114" s="218" t="str" cm="1">
        <f t="array" ref="D114">Common_InputFunctions.Utility_DisplayArrayInTable(Fuel_SourceData.Fuel_Scope3EmissionFactorsStationaryGaseous_Data(), Table_Fuel_EFs_StationaryGaseous34[[#Headers],[State or territory]],0)</f>
        <v>ACT</v>
      </c>
      <c r="E114" s="218" cm="1">
        <f t="array" ref="E114">Common_InputFunctions.Utility_DisplayArrayInTable(Fuel_SourceData.Fuel_Scope3EmissionFactorsStationaryGaseous_Data(), Table_Fuel_EFs_StationaryGaseous34[[#Headers],[State or territory]],0)</f>
        <v>13.1</v>
      </c>
      <c r="F114" s="218" cm="1">
        <f t="array" ref="F114">Common_InputFunctions.Utility_DisplayArrayInTable(Fuel_SourceData.Fuel_Scope3EmissionFactorsStationaryGaseous_Data(), Table_Fuel_EFs_StationaryGaseous34[[#Headers],[State or territory]],0)</f>
        <v>14</v>
      </c>
      <c r="G114" s="219" t="str">
        <v/>
      </c>
      <c r="H114" s="1" t="str">
        <v>Gas reaches end users either from the metro distribution networks or direct from the high - pressure distribution pipelines.</v>
      </c>
      <c r="I114" s="159"/>
      <c r="J114" s="159"/>
      <c r="K114" s="159"/>
      <c r="L114" s="159"/>
    </row>
    <row r="115" spans="4:13" ht="20.100000000000001" customHeight="1" x14ac:dyDescent="0.25">
      <c r="D115" s="218" t="str" cm="1">
        <f t="array" ref="D115">Common_InputFunctions.Utility_DisplayArrayInTable(Fuel_SourceData.Fuel_Scope3EmissionFactorsStationaryGaseous_Data(), Table_Fuel_EFs_StationaryGaseous34[[#Headers],[State or territory]],0)</f>
        <v>Victoria</v>
      </c>
      <c r="E115" s="218" cm="1">
        <f t="array" ref="E115">Common_InputFunctions.Utility_DisplayArrayInTable(Fuel_SourceData.Fuel_Scope3EmissionFactorsStationaryGaseous_Data(), Table_Fuel_EFs_StationaryGaseous34[[#Headers],[State or territory]],0)</f>
        <v>4</v>
      </c>
      <c r="F115" s="218" cm="1">
        <f t="array" ref="F115">Common_InputFunctions.Utility_DisplayArrayInTable(Fuel_SourceData.Fuel_Scope3EmissionFactorsStationaryGaseous_Data(), Table_Fuel_EFs_StationaryGaseous34[[#Headers],[State or territory]],0)</f>
        <v>4</v>
      </c>
      <c r="G115" s="219" t="str">
        <v/>
      </c>
      <c r="H115" s="1" t="str">
        <v>Households and commercial users tend to be served by the former, and electricity generators and large industrial plants from the latter.</v>
      </c>
      <c r="I115" s="159"/>
      <c r="J115" s="159"/>
      <c r="K115" s="159"/>
      <c r="L115" s="159"/>
    </row>
    <row r="116" spans="4:13" ht="20.100000000000001" customHeight="1" x14ac:dyDescent="0.25">
      <c r="D116" s="218" t="str" cm="1">
        <f t="array" ref="D116">Common_InputFunctions.Utility_DisplayArrayInTable(Fuel_SourceData.Fuel_Scope3EmissionFactorsStationaryGaseous_Data(), Table_Fuel_EFs_StationaryGaseous34[[#Headers],[State or territory]],0)</f>
        <v>Queensland</v>
      </c>
      <c r="E116" s="218" cm="1">
        <f t="array" ref="E116">Common_InputFunctions.Utility_DisplayArrayInTable(Fuel_SourceData.Fuel_Scope3EmissionFactorsStationaryGaseous_Data(), Table_Fuel_EFs_StationaryGaseous34[[#Headers],[State or territory]],0)</f>
        <v>8.8000000000000007</v>
      </c>
      <c r="F116" s="218" cm="1">
        <f t="array" ref="F116">Common_InputFunctions.Utility_DisplayArrayInTable(Fuel_SourceData.Fuel_Scope3EmissionFactorsStationaryGaseous_Data(), Table_Fuel_EFs_StationaryGaseous34[[#Headers],[State or territory]],0)</f>
        <v>7.9</v>
      </c>
      <c r="G116" s="219" t="str">
        <v>-</v>
      </c>
      <c r="H116" s="1" t="str">
        <v>Metro is defined as located on or east of the dividing range in NSW, including Canberra and Queanbeyan, Melbourne, Brisbane, Adelaide or Perth.</v>
      </c>
      <c r="I116" s="159"/>
      <c r="J116" s="159"/>
      <c r="K116" s="159"/>
      <c r="L116" s="159"/>
    </row>
    <row r="117" spans="4:13" ht="20.100000000000001" customHeight="1" x14ac:dyDescent="0.25">
      <c r="D117" s="218" t="str" cm="1">
        <f t="array" ref="D117">Common_InputFunctions.Utility_DisplayArrayInTable(Fuel_SourceData.Fuel_Scope3EmissionFactorsStationaryGaseous_Data(), Table_Fuel_EFs_StationaryGaseous34[[#Headers],[State or territory]],0)</f>
        <v>South Australia</v>
      </c>
      <c r="E117" s="218" cm="1">
        <f t="array" ref="E117">Common_InputFunctions.Utility_DisplayArrayInTable(Fuel_SourceData.Fuel_Scope3EmissionFactorsStationaryGaseous_Data(), Table_Fuel_EFs_StationaryGaseous34[[#Headers],[State or territory]],0)</f>
        <v>10.7</v>
      </c>
      <c r="F117" s="218" cm="1">
        <f t="array" ref="F117">Common_InputFunctions.Utility_DisplayArrayInTable(Fuel_SourceData.Fuel_Scope3EmissionFactorsStationaryGaseous_Data(), Table_Fuel_EFs_StationaryGaseous34[[#Headers],[State or territory]],0)</f>
        <v>10.6</v>
      </c>
      <c r="G117" s="219" t="str">
        <v/>
      </c>
      <c r="H117" s="1" t="str">
        <v>Otherwise, the non - metro factor should be used.</v>
      </c>
      <c r="I117" s="159"/>
      <c r="J117" s="159"/>
      <c r="K117" s="159"/>
      <c r="L117" s="159"/>
    </row>
    <row r="118" spans="4:13" ht="20.100000000000001" customHeight="1" x14ac:dyDescent="0.25">
      <c r="D118" s="218" t="str" cm="1">
        <f t="array" ref="D118">Common_InputFunctions.Utility_DisplayArrayInTable(Fuel_SourceData.Fuel_Scope3EmissionFactorsStationaryGaseous_Data(), Table_Fuel_EFs_StationaryGaseous34[[#Headers],[State or territory]],0)</f>
        <v>Western Australia</v>
      </c>
      <c r="E118" s="218" cm="1">
        <f t="array" ref="E118">Common_InputFunctions.Utility_DisplayArrayInTable(Fuel_SourceData.Fuel_Scope3EmissionFactorsStationaryGaseous_Data(), Table_Fuel_EFs_StationaryGaseous34[[#Headers],[State or territory]],0)</f>
        <v>4.0999999999999996</v>
      </c>
      <c r="F118" s="218" cm="1">
        <f t="array" ref="F118">Common_InputFunctions.Utility_DisplayArrayInTable(Fuel_SourceData.Fuel_Scope3EmissionFactorsStationaryGaseous_Data(), Table_Fuel_EFs_StationaryGaseous34[[#Headers],[State or territory]],0)</f>
        <v>4</v>
      </c>
      <c r="G118" s="219" t="str">
        <v>-</v>
      </c>
      <c r="H118" s="1" t="str">
        <v>Factors are calculated for all natural gas distributed in a pipeline which may include coal seam methane.</v>
      </c>
      <c r="I118" s="159"/>
      <c r="J118" s="159"/>
      <c r="K118" s="159"/>
      <c r="L118" s="159"/>
    </row>
    <row r="119" spans="4:13" ht="20.100000000000001" customHeight="1" x14ac:dyDescent="0.25">
      <c r="D119" s="218" t="str" cm="1">
        <f t="array" ref="D119">Common_InputFunctions.Utility_DisplayArrayInTable(Fuel_SourceData.Fuel_Scope3EmissionFactorsStationaryGaseous_Data(), Table_Fuel_EFs_StationaryGaseous34[[#Headers],[State or territory]],0)</f>
        <v>Tasmania</v>
      </c>
      <c r="E119" s="218" cm="1">
        <f t="array" ref="E119">Common_InputFunctions.Utility_DisplayArrayInTable(Fuel_SourceData.Fuel_Scope3EmissionFactorsStationaryGaseous_Data(), Table_Fuel_EFs_StationaryGaseous34[[#Headers],[State or territory]],0)</f>
        <v>4</v>
      </c>
      <c r="F119" s="218" cm="1">
        <f t="array" ref="F119">Common_InputFunctions.Utility_DisplayArrayInTable(Fuel_SourceData.Fuel_Scope3EmissionFactorsStationaryGaseous_Data(), Table_Fuel_EFs_StationaryGaseous34[[#Headers],[State or territory]],0)</f>
        <v>4</v>
      </c>
      <c r="G119" s="219" t="str">
        <v>-</v>
      </c>
      <c r="H119" s="1" t="str">
        <v>Table 6 is not applicable to ethane. See Table 7 Indirect (Scope 3) emissions from the consumption of ethane.</v>
      </c>
      <c r="I119" s="159"/>
      <c r="J119" s="159"/>
      <c r="K119" s="159"/>
      <c r="L119" s="159"/>
    </row>
    <row r="120" spans="4:13" ht="20.100000000000001" customHeight="1" x14ac:dyDescent="0.25">
      <c r="D120" s="218" t="str" cm="1">
        <f t="array" ref="D120">Common_InputFunctions.Utility_DisplayArrayInTable(Fuel_SourceData.Fuel_Scope3EmissionFactorsStationaryGaseous_Data(), Table_Fuel_EFs_StationaryGaseous34[[#Headers],[State or territory]],0)</f>
        <v>Northern Territory</v>
      </c>
      <c r="E120" s="218" cm="1">
        <f t="array" ref="E120">Common_InputFunctions.Utility_DisplayArrayInTable(Fuel_SourceData.Fuel_Scope3EmissionFactorsStationaryGaseous_Data(), Table_Fuel_EFs_StationaryGaseous34[[#Headers],[State or territory]],0)</f>
        <v>4.0999999999999996</v>
      </c>
      <c r="F120" s="218" cm="1">
        <f t="array" ref="F120">Common_InputFunctions.Utility_DisplayArrayInTable(Fuel_SourceData.Fuel_Scope3EmissionFactorsStationaryGaseous_Data(), Table_Fuel_EFs_StationaryGaseous34[[#Headers],[State or territory]],0)</f>
        <v>4</v>
      </c>
      <c r="G120" s="219" t="str">
        <v>-</v>
      </c>
      <c r="H120" s="1" t="str">
        <v>C = Confidential. Scope 3 emission factors for Tasmania and the Northern Territory are not available due to confidentiality constraints that arise</v>
      </c>
      <c r="I120" s="159"/>
      <c r="J120" s="159"/>
      <c r="K120" s="159"/>
      <c r="L120" s="159"/>
    </row>
    <row r="121" spans="4:13" ht="20.100000000000001" customHeight="1" x14ac:dyDescent="0.25">
      <c r="D121" s="8"/>
      <c r="E121" s="8"/>
      <c r="F121" s="8"/>
      <c r="G121" s="219" t="str">
        <v/>
      </c>
      <c r="H121" s="1" t="str">
        <v>from the use of a limited number of NGER data inputs. It is suggested that for Tasmania the use of the Victorian emission factors is appropriate,</v>
      </c>
      <c r="I121" s="159"/>
      <c r="J121" s="159"/>
      <c r="K121" s="159"/>
      <c r="L121" s="159"/>
    </row>
    <row r="122" spans="4:13" ht="20.100000000000001" customHeight="1" x14ac:dyDescent="0.25">
      <c r="D122" s="159"/>
      <c r="F122" s="220"/>
      <c r="G122" s="219" t="str">
        <v/>
      </c>
      <c r="H122" s="1" t="str">
        <v>while for Northern Territory the use of the Western Australian emission factors is appropriate.</v>
      </c>
      <c r="I122" s="159"/>
      <c r="J122" s="159"/>
      <c r="K122" s="159"/>
      <c r="L122" s="159"/>
    </row>
    <row r="123" spans="4:13" ht="20.100000000000001" customHeight="1" x14ac:dyDescent="0.25">
      <c r="D123" s="221"/>
      <c r="F123" s="220"/>
      <c r="G123" s="219" t="str">
        <v>-</v>
      </c>
      <c r="H123" s="1" t="str">
        <v>Scope 3 emission factors do not include fugitive emission leakage from low pressure natural gas distribution pipeline networks while those from high pressure</v>
      </c>
      <c r="I123" s="159"/>
      <c r="J123" s="159"/>
      <c r="K123" s="159"/>
      <c r="L123" s="159"/>
    </row>
    <row r="124" spans="4:13" ht="20.100000000000001" customHeight="1" x14ac:dyDescent="0.25">
      <c r="D124" s="221"/>
      <c r="F124" s="220"/>
      <c r="G124" s="159" t="str">
        <v/>
      </c>
      <c r="H124" s="1" t="str">
        <v>gas networks are considered negligible.</v>
      </c>
      <c r="I124" s="159"/>
      <c r="J124" s="159"/>
      <c r="K124" s="159"/>
      <c r="L124" s="159"/>
    </row>
    <row r="125" spans="4:13" ht="20.100000000000001" customHeight="1" x14ac:dyDescent="0.25">
      <c r="D125" s="221"/>
      <c r="F125" s="220"/>
      <c r="G125" s="159"/>
      <c r="H125" s="159"/>
      <c r="I125" s="159"/>
      <c r="J125" s="159"/>
      <c r="K125" s="159"/>
      <c r="L125" s="159"/>
    </row>
    <row r="126" spans="4:13" ht="20.100000000000001" customHeight="1" x14ac:dyDescent="0.25">
      <c r="D126" s="159"/>
      <c r="E126" s="159"/>
      <c r="F126" s="159"/>
      <c r="G126" s="159"/>
      <c r="H126" s="159"/>
      <c r="I126" s="159"/>
      <c r="J126" s="159"/>
      <c r="K126" s="159"/>
      <c r="L126" s="159"/>
      <c r="M126" s="159"/>
    </row>
    <row r="127" spans="4:13" ht="20.100000000000001" customHeight="1" x14ac:dyDescent="0.25">
      <c r="D127" s="159"/>
      <c r="E127" s="159"/>
      <c r="F127" s="159"/>
      <c r="G127" s="159"/>
      <c r="H127" s="159"/>
      <c r="I127" s="159"/>
      <c r="J127" s="159"/>
      <c r="K127" s="159"/>
      <c r="L127" s="159"/>
      <c r="M127" s="159"/>
    </row>
    <row r="128" spans="4:13" ht="20.100000000000001" customHeight="1" x14ac:dyDescent="0.25">
      <c r="D128" s="159"/>
      <c r="E128" s="159"/>
      <c r="F128" s="159"/>
      <c r="G128" s="159"/>
      <c r="H128" s="159"/>
      <c r="I128" s="159"/>
      <c r="J128" s="159"/>
      <c r="K128" s="159"/>
      <c r="L128" s="159"/>
      <c r="M128" s="159"/>
    </row>
    <row r="129" spans="4:33" ht="20.100000000000001" customHeight="1" x14ac:dyDescent="0.25">
      <c r="D129" s="222"/>
      <c r="E129" s="159"/>
      <c r="F129" s="159"/>
      <c r="G129" s="159"/>
      <c r="H129" s="159"/>
      <c r="I129" s="159"/>
      <c r="J129" s="159"/>
      <c r="K129" s="159"/>
      <c r="L129" s="159"/>
    </row>
    <row r="130" spans="4:33" ht="20.100000000000001" customHeight="1" x14ac:dyDescent="0.25">
      <c r="D130" s="223" t="s">
        <v>517</v>
      </c>
      <c r="E130" s="223" t="s">
        <v>457</v>
      </c>
      <c r="F130" s="223" t="s">
        <v>518</v>
      </c>
      <c r="G130" s="223" t="s">
        <v>460</v>
      </c>
      <c r="H130" s="223" t="s">
        <v>462</v>
      </c>
      <c r="I130" s="223" t="s">
        <v>463</v>
      </c>
      <c r="J130" s="159"/>
      <c r="K130" s="159"/>
      <c r="L130" s="159"/>
    </row>
    <row r="131" spans="4:33" ht="20.100000000000001" customHeight="1" x14ac:dyDescent="0.25">
      <c r="D131" s="224" t="str">
        <f>$D$143</f>
        <v>Petrol</v>
      </c>
      <c r="E131" s="224" t="str">
        <f>$D$143</f>
        <v>Petrol</v>
      </c>
      <c r="F131" s="224" t="str">
        <f>$D$150</f>
        <v>Avgas</v>
      </c>
      <c r="G131" s="224" t="str">
        <f>$D$143</f>
        <v>Petrol</v>
      </c>
      <c r="H131" s="224" t="str">
        <f>$D$144</f>
        <v>Diesel</v>
      </c>
      <c r="I131" s="224" t="str">
        <f>$D$143</f>
        <v>Petrol</v>
      </c>
      <c r="J131" s="159"/>
      <c r="K131" s="159"/>
      <c r="L131" s="159"/>
    </row>
    <row r="132" spans="4:33" ht="20.100000000000001" customHeight="1" x14ac:dyDescent="0.25">
      <c r="D132" s="224" t="str">
        <f>$D$144</f>
        <v>Diesel</v>
      </c>
      <c r="E132" s="224" t="str">
        <f>$D$144</f>
        <v>Diesel</v>
      </c>
      <c r="F132" s="224" t="str">
        <f>$D$151</f>
        <v>Jet A1, Jet B</v>
      </c>
      <c r="G132" s="224" t="str">
        <f>$D$144</f>
        <v>Diesel</v>
      </c>
      <c r="H132" s="224"/>
      <c r="I132" s="224" t="str">
        <f>$D$144</f>
        <v>Diesel</v>
      </c>
      <c r="J132" s="159"/>
      <c r="K132" s="159"/>
      <c r="L132" s="159"/>
    </row>
    <row r="133" spans="4:33" ht="20.100000000000001" customHeight="1" x14ac:dyDescent="0.25">
      <c r="D133" s="224" t="str">
        <f>$D$145</f>
        <v>Liquefied petroleum gas (LPG)</v>
      </c>
      <c r="E133" s="224" t="str">
        <f>$D$145</f>
        <v>Liquefied petroleum gas (LPG)</v>
      </c>
      <c r="F133" s="224" t="str">
        <f>$D$152</f>
        <v>Renewable aviation kerosene</v>
      </c>
      <c r="G133" s="224" t="str">
        <f>$D$145</f>
        <v>Liquefied petroleum gas (LPG)</v>
      </c>
      <c r="H133" s="224"/>
      <c r="I133" s="224" t="s">
        <v>464</v>
      </c>
      <c r="J133" s="159"/>
      <c r="K133" s="159"/>
      <c r="L133" s="159"/>
    </row>
    <row r="134" spans="4:33" ht="20.100000000000001" customHeight="1" x14ac:dyDescent="0.25">
      <c r="D134" s="224" t="str">
        <f>$D$146</f>
        <v>Biodiesel</v>
      </c>
      <c r="E134" s="224" t="str">
        <f>$D$146</f>
        <v>Biodiesel</v>
      </c>
      <c r="F134" s="223"/>
      <c r="G134" s="224" t="str">
        <f>$D$160</f>
        <v>Fuel oil</v>
      </c>
      <c r="H134" s="224"/>
      <c r="I134" s="224"/>
      <c r="J134" s="159"/>
      <c r="K134" s="159"/>
      <c r="L134" s="159"/>
    </row>
    <row r="135" spans="4:33" ht="20.100000000000001" customHeight="1" x14ac:dyDescent="0.25">
      <c r="D135" s="224" t="str">
        <f>$D$147</f>
        <v>Ethanol</v>
      </c>
      <c r="E135" s="224" t="str">
        <f>$D$147</f>
        <v>Ethanol</v>
      </c>
      <c r="F135" s="223"/>
      <c r="G135" s="224" t="str">
        <f>$D$147</f>
        <v>Ethanol</v>
      </c>
      <c r="H135" s="224"/>
      <c r="I135" s="224"/>
      <c r="J135" s="159"/>
      <c r="K135" s="159"/>
      <c r="L135" s="159"/>
    </row>
    <row r="136" spans="4:33" ht="20.100000000000001" customHeight="1" x14ac:dyDescent="0.25">
      <c r="D136" s="224" t="str">
        <f>$D$148</f>
        <v>Other biofuels</v>
      </c>
      <c r="E136" s="224" t="str">
        <f>$D$148</f>
        <v>Other biofuels</v>
      </c>
      <c r="F136" s="223"/>
      <c r="G136" s="224" t="str">
        <f>$D$146</f>
        <v>Biodiesel</v>
      </c>
      <c r="H136" s="224"/>
      <c r="I136" s="224"/>
      <c r="J136" s="159"/>
      <c r="K136" s="159"/>
      <c r="L136" s="159"/>
    </row>
    <row r="137" spans="4:33" ht="20.100000000000001" customHeight="1" x14ac:dyDescent="0.25">
      <c r="D137" s="224" t="str">
        <f>$D$149</f>
        <v>Renewable diesel</v>
      </c>
      <c r="E137" s="224" t="str">
        <f>$D$149</f>
        <v>Renewable diesel</v>
      </c>
      <c r="F137" s="223"/>
      <c r="G137" s="224" t="str">
        <f>$D$149</f>
        <v>Renewable diesel</v>
      </c>
      <c r="H137" s="224"/>
      <c r="I137" s="224"/>
      <c r="J137" s="159"/>
      <c r="K137" s="159"/>
      <c r="L137" s="159"/>
    </row>
    <row r="138" spans="4:33" ht="20.100000000000001" customHeight="1" x14ac:dyDescent="0.25">
      <c r="D138" s="223"/>
      <c r="E138" s="225" t="str">
        <f>$D$161</f>
        <v>Natural gas (via pipeline) in GJ</v>
      </c>
      <c r="F138" s="225"/>
      <c r="G138" s="224" t="str">
        <f>$D$148</f>
        <v>Other biofuels</v>
      </c>
      <c r="H138" s="224"/>
      <c r="I138" s="224"/>
      <c r="J138" s="159"/>
      <c r="K138" s="159"/>
      <c r="L138" s="159"/>
    </row>
    <row r="139" spans="4:33" ht="20.100000000000001" customHeight="1" x14ac:dyDescent="0.25">
      <c r="D139" s="225"/>
      <c r="E139" s="225" t="str">
        <f>$D$162</f>
        <v>Town gas in GJ</v>
      </c>
      <c r="F139" s="225"/>
      <c r="G139" s="225"/>
      <c r="H139" s="225"/>
      <c r="I139" s="225"/>
      <c r="J139" s="159"/>
      <c r="K139" s="159"/>
      <c r="L139" s="159"/>
    </row>
    <row r="140" spans="4:33" ht="20.100000000000001" customHeight="1" x14ac:dyDescent="0.25">
      <c r="D140" s="159"/>
      <c r="E140" s="159"/>
      <c r="F140" s="159"/>
      <c r="G140" s="159"/>
      <c r="H140" s="159"/>
      <c r="I140" s="159"/>
      <c r="J140" s="159"/>
      <c r="K140" s="159"/>
      <c r="L140" s="159"/>
    </row>
    <row r="141" spans="4:33" ht="20.100000000000001" customHeight="1" x14ac:dyDescent="0.25">
      <c r="D141" s="159"/>
      <c r="E141" s="159"/>
      <c r="F141" s="159"/>
      <c r="G141" s="159"/>
      <c r="H141" s="159"/>
      <c r="I141" s="159"/>
      <c r="J141" s="159"/>
      <c r="K141" s="159"/>
      <c r="L141" s="159"/>
    </row>
    <row r="142" spans="4:33" ht="20.100000000000001" customHeight="1" x14ac:dyDescent="0.25">
      <c r="D142" t="s">
        <v>519</v>
      </c>
      <c r="E142" t="s">
        <v>121</v>
      </c>
      <c r="F142" t="s">
        <v>520</v>
      </c>
      <c r="G142" s="159"/>
      <c r="H142" s="159"/>
      <c r="I142" s="159"/>
      <c r="J142" s="159"/>
      <c r="K142" s="159"/>
      <c r="L142" s="159"/>
      <c r="M142" s="159"/>
      <c r="AG142" s="1"/>
    </row>
    <row r="143" spans="4:33" ht="20.100000000000001" customHeight="1" x14ac:dyDescent="0.25">
      <c r="D143" s="224" t="s">
        <v>459</v>
      </c>
      <c r="E143" t="s">
        <v>521</v>
      </c>
      <c r="F143" t="s">
        <v>522</v>
      </c>
      <c r="G143" s="159"/>
      <c r="H143" s="159"/>
      <c r="I143" s="159"/>
      <c r="J143" s="159"/>
      <c r="K143" s="159"/>
      <c r="L143" s="159"/>
      <c r="M143" s="159"/>
      <c r="AG143" s="1"/>
    </row>
    <row r="144" spans="4:33" ht="20.100000000000001" customHeight="1" x14ac:dyDescent="0.25">
      <c r="D144" s="224" t="s">
        <v>461</v>
      </c>
      <c r="E144" t="s">
        <v>521</v>
      </c>
      <c r="F144" t="s">
        <v>522</v>
      </c>
      <c r="G144" s="159"/>
      <c r="H144" s="159"/>
      <c r="I144" s="159"/>
      <c r="J144" s="159"/>
      <c r="K144" s="159"/>
      <c r="L144" s="159"/>
      <c r="M144" s="159"/>
      <c r="AG144" s="1"/>
    </row>
    <row r="145" spans="4:33" ht="20.100000000000001" customHeight="1" x14ac:dyDescent="0.25">
      <c r="D145" s="224" t="s">
        <v>523</v>
      </c>
      <c r="E145" t="s">
        <v>521</v>
      </c>
      <c r="F145" t="s">
        <v>522</v>
      </c>
      <c r="G145" s="159"/>
      <c r="H145" s="159"/>
      <c r="I145" s="159"/>
      <c r="J145" s="159"/>
      <c r="K145" s="159"/>
      <c r="L145" s="159"/>
      <c r="M145" s="159"/>
      <c r="AG145" s="1"/>
    </row>
    <row r="146" spans="4:33" ht="20.100000000000001" customHeight="1" x14ac:dyDescent="0.25">
      <c r="D146" s="224" t="s">
        <v>524</v>
      </c>
      <c r="E146" t="s">
        <v>521</v>
      </c>
      <c r="F146" t="s">
        <v>522</v>
      </c>
      <c r="G146" s="159"/>
      <c r="H146" s="159"/>
      <c r="I146" s="159"/>
      <c r="J146" s="159"/>
      <c r="K146" s="159"/>
      <c r="L146" s="159"/>
      <c r="M146" s="159"/>
      <c r="AG146" s="1"/>
    </row>
    <row r="147" spans="4:33" ht="20.100000000000001" customHeight="1" x14ac:dyDescent="0.25">
      <c r="D147" s="224" t="s">
        <v>525</v>
      </c>
      <c r="E147" t="s">
        <v>521</v>
      </c>
      <c r="F147" t="s">
        <v>522</v>
      </c>
      <c r="G147" s="159"/>
      <c r="H147" s="159"/>
      <c r="I147" s="159"/>
      <c r="J147" s="159"/>
      <c r="K147" s="159"/>
      <c r="L147" s="159"/>
      <c r="M147" s="159"/>
      <c r="AG147" s="1"/>
    </row>
    <row r="148" spans="4:33" ht="20.100000000000001" customHeight="1" x14ac:dyDescent="0.25">
      <c r="D148" s="224" t="s">
        <v>526</v>
      </c>
      <c r="E148" t="s">
        <v>521</v>
      </c>
      <c r="F148" t="s">
        <v>522</v>
      </c>
      <c r="G148" s="159"/>
      <c r="H148" s="159"/>
      <c r="I148" s="159"/>
      <c r="J148" s="159"/>
      <c r="K148" s="159"/>
      <c r="L148" s="159"/>
      <c r="M148" s="159"/>
      <c r="AG148" s="1"/>
    </row>
    <row r="149" spans="4:33" ht="20.100000000000001" customHeight="1" x14ac:dyDescent="0.25">
      <c r="D149" s="224" t="s">
        <v>527</v>
      </c>
      <c r="E149" t="s">
        <v>521</v>
      </c>
      <c r="F149" t="s">
        <v>522</v>
      </c>
      <c r="G149" s="159"/>
      <c r="H149" s="159"/>
      <c r="I149" s="159"/>
      <c r="J149" s="159"/>
      <c r="K149" s="159"/>
      <c r="L149" s="159"/>
      <c r="M149" s="159"/>
      <c r="AG149" s="1"/>
    </row>
    <row r="150" spans="4:33" ht="20.100000000000001" customHeight="1" x14ac:dyDescent="0.25">
      <c r="D150" s="224" t="s">
        <v>528</v>
      </c>
      <c r="E150" t="s">
        <v>521</v>
      </c>
      <c r="F150" t="s">
        <v>522</v>
      </c>
      <c r="G150" s="159"/>
      <c r="H150" s="159"/>
      <c r="I150" s="159"/>
      <c r="J150" s="159"/>
      <c r="K150" s="159"/>
      <c r="L150" s="159"/>
      <c r="M150" s="159"/>
      <c r="AG150" s="1"/>
    </row>
    <row r="151" spans="4:33" ht="20.100000000000001" customHeight="1" x14ac:dyDescent="0.25">
      <c r="D151" s="224" t="s">
        <v>529</v>
      </c>
      <c r="E151" t="s">
        <v>521</v>
      </c>
      <c r="F151" t="s">
        <v>522</v>
      </c>
      <c r="G151" s="159"/>
      <c r="H151" s="159"/>
      <c r="I151" s="159"/>
      <c r="J151" s="159"/>
      <c r="K151" s="159"/>
      <c r="L151" s="159"/>
      <c r="M151" s="159"/>
      <c r="AG151" s="1"/>
    </row>
    <row r="152" spans="4:33" ht="20.100000000000001" customHeight="1" x14ac:dyDescent="0.25">
      <c r="D152" s="226" t="s">
        <v>530</v>
      </c>
      <c r="E152" s="8" t="s">
        <v>521</v>
      </c>
      <c r="F152" t="s">
        <v>522</v>
      </c>
      <c r="G152" s="159"/>
      <c r="H152" s="159"/>
      <c r="I152" s="159"/>
      <c r="J152" s="159"/>
      <c r="K152" s="159"/>
      <c r="L152" s="159"/>
      <c r="M152" s="159"/>
      <c r="AG152" s="1"/>
    </row>
    <row r="153" spans="4:33" ht="20.100000000000001" customHeight="1" x14ac:dyDescent="0.25">
      <c r="D153" s="226" t="s">
        <v>531</v>
      </c>
      <c r="E153" s="8" t="s">
        <v>521</v>
      </c>
      <c r="F153" t="s">
        <v>522</v>
      </c>
      <c r="G153" s="159"/>
      <c r="H153" s="159"/>
      <c r="I153" s="159"/>
      <c r="J153" s="159"/>
      <c r="K153" s="159"/>
      <c r="L153" s="159"/>
      <c r="M153" s="159"/>
      <c r="AG153" s="1"/>
    </row>
    <row r="154" spans="4:33" ht="20.100000000000001" customHeight="1" x14ac:dyDescent="0.25">
      <c r="D154" s="226" t="s">
        <v>532</v>
      </c>
      <c r="E154" s="8" t="s">
        <v>521</v>
      </c>
      <c r="F154" t="s">
        <v>522</v>
      </c>
      <c r="G154" s="159"/>
      <c r="H154" s="159"/>
      <c r="I154" s="159"/>
      <c r="J154" s="159"/>
      <c r="K154" s="159"/>
      <c r="L154" s="159"/>
      <c r="M154" s="159"/>
      <c r="AG154" s="1"/>
    </row>
    <row r="155" spans="4:33" ht="20.100000000000001" customHeight="1" x14ac:dyDescent="0.25">
      <c r="D155" s="226" t="s">
        <v>533</v>
      </c>
      <c r="E155" s="8" t="s">
        <v>521</v>
      </c>
      <c r="F155" t="s">
        <v>522</v>
      </c>
      <c r="G155" s="159"/>
      <c r="H155" s="159"/>
      <c r="I155" s="159"/>
      <c r="J155" s="159"/>
      <c r="K155" s="159"/>
      <c r="L155" s="159"/>
      <c r="M155" s="159"/>
      <c r="AG155" s="1"/>
    </row>
    <row r="156" spans="4:33" ht="20.100000000000001" customHeight="1" x14ac:dyDescent="0.25">
      <c r="D156" s="226" t="s">
        <v>534</v>
      </c>
      <c r="E156" s="8" t="s">
        <v>521</v>
      </c>
      <c r="F156" t="s">
        <v>522</v>
      </c>
      <c r="G156" s="159"/>
      <c r="H156" s="159"/>
      <c r="I156" s="159"/>
      <c r="J156" s="159"/>
      <c r="K156" s="159"/>
      <c r="L156" s="159"/>
      <c r="M156" s="159"/>
      <c r="AG156" s="1"/>
    </row>
    <row r="157" spans="4:33" ht="20.100000000000001" customHeight="1" x14ac:dyDescent="0.25">
      <c r="D157" s="226" t="s">
        <v>535</v>
      </c>
      <c r="E157" s="8" t="s">
        <v>521</v>
      </c>
      <c r="F157" t="s">
        <v>522</v>
      </c>
      <c r="G157" s="159"/>
      <c r="H157" s="159"/>
      <c r="I157" s="159"/>
      <c r="J157" s="159"/>
      <c r="K157" s="159"/>
      <c r="L157" s="159"/>
      <c r="M157" s="159"/>
      <c r="AG157" s="1"/>
    </row>
    <row r="158" spans="4:33" ht="20.100000000000001" customHeight="1" x14ac:dyDescent="0.25">
      <c r="D158" s="226" t="s">
        <v>536</v>
      </c>
      <c r="E158" s="8" t="s">
        <v>521</v>
      </c>
      <c r="F158" t="s">
        <v>522</v>
      </c>
      <c r="G158" s="159"/>
      <c r="H158" s="159"/>
      <c r="I158" s="159"/>
      <c r="J158" s="159"/>
      <c r="K158" s="159"/>
      <c r="L158" s="159"/>
      <c r="M158" s="159"/>
      <c r="AG158" s="1"/>
    </row>
    <row r="159" spans="4:33" ht="20.100000000000001" customHeight="1" x14ac:dyDescent="0.25">
      <c r="D159" s="226" t="s">
        <v>537</v>
      </c>
      <c r="E159" s="8" t="s">
        <v>521</v>
      </c>
      <c r="F159" t="s">
        <v>522</v>
      </c>
      <c r="G159" s="159"/>
      <c r="H159" s="159"/>
      <c r="I159" s="159"/>
      <c r="J159" s="159"/>
      <c r="K159" s="159"/>
      <c r="L159" s="159"/>
      <c r="M159" s="159"/>
      <c r="AG159" s="1"/>
    </row>
    <row r="160" spans="4:33" ht="20.100000000000001" customHeight="1" x14ac:dyDescent="0.25">
      <c r="D160" s="226" t="s">
        <v>464</v>
      </c>
      <c r="E160" s="8" t="s">
        <v>521</v>
      </c>
      <c r="F160" t="s">
        <v>522</v>
      </c>
      <c r="G160" s="159"/>
      <c r="H160" s="159"/>
      <c r="I160" s="159"/>
      <c r="J160" s="159"/>
      <c r="K160" s="159"/>
      <c r="L160" s="159"/>
      <c r="M160" s="159"/>
      <c r="AG160" s="1"/>
    </row>
    <row r="161" spans="4:33" ht="20.100000000000001" customHeight="1" x14ac:dyDescent="0.25">
      <c r="D161" s="225" t="s">
        <v>538</v>
      </c>
      <c r="E161" s="159" t="s">
        <v>539</v>
      </c>
      <c r="F161" s="159" t="s">
        <v>539</v>
      </c>
      <c r="G161" s="159"/>
      <c r="H161" s="159"/>
      <c r="I161" s="159"/>
      <c r="J161" s="159"/>
      <c r="K161" s="159"/>
      <c r="L161" s="159"/>
      <c r="M161" s="159"/>
      <c r="AG161" s="1"/>
    </row>
    <row r="162" spans="4:33" ht="20.100000000000001" customHeight="1" x14ac:dyDescent="0.25">
      <c r="D162" s="159" t="s">
        <v>458</v>
      </c>
      <c r="E162" s="159" t="s">
        <v>539</v>
      </c>
      <c r="F162" s="159" t="s">
        <v>539</v>
      </c>
      <c r="G162" s="159"/>
      <c r="H162" s="159"/>
      <c r="I162" s="159"/>
      <c r="J162" s="159"/>
      <c r="K162" s="159"/>
      <c r="L162" s="159"/>
      <c r="M162" s="159"/>
      <c r="AG162" s="1"/>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9F9D80-D749-4474-8888-99225ACC1A65}">
  <sheetPr>
    <tabColor theme="2" tint="-0.499984740745262"/>
  </sheetPr>
  <dimension ref="A1:Q238"/>
  <sheetViews>
    <sheetView showGridLines="0" topLeftCell="A90" workbookViewId="0" zoomScale="100" zoomScaleNormal="100">
      <selection activeCell="A50" sqref="A50"/>
    </sheetView>
  </sheetViews>
  <sheetFormatPr defaultRowHeight="15.75" x14ac:dyDescent="0.25"/>
  <cols>
    <col min="1" max="1" width="35" style="239" customWidth="1"/>
    <col min="2" max="2" width="5.28515625" style="239" customWidth="1"/>
    <col min="3" max="3" width="5.28515625" style="1" customWidth="1"/>
    <col min="4" max="16" width="35" style="1" customWidth="1"/>
    <col min="17" max="17" width="9.140625" style="1"/>
    <col min="18" max="16384" width="9.140625" style="239"/>
  </cols>
  <sheetData>
    <row r="1" spans="1:17" ht="30" customHeight="1" x14ac:dyDescent="0.35">
      <c r="A1" s="16" t="e" vm="1">
        <v>#VALUE!</v>
      </c>
      <c r="C1" s="239"/>
      <c r="D1" s="239"/>
      <c r="E1" s="239"/>
      <c r="F1" s="239"/>
      <c r="G1" s="239"/>
      <c r="H1" s="239"/>
      <c r="I1" s="239"/>
      <c r="J1" s="239"/>
      <c r="K1" s="239"/>
      <c r="L1" s="239"/>
      <c r="M1" s="239"/>
      <c r="N1" s="239"/>
      <c r="O1" s="239"/>
      <c r="P1" s="239"/>
      <c r="Q1" s="239"/>
    </row>
    <row r="2" spans="1:17" ht="20.100000000000001" customHeight="1" x14ac:dyDescent="0.25">
      <c r="A2"/>
      <c r="C2" s="239"/>
      <c r="D2" s="239"/>
      <c r="E2" s="239"/>
      <c r="F2" s="239"/>
      <c r="G2" s="239"/>
      <c r="H2" s="239"/>
      <c r="I2" s="239"/>
      <c r="J2" s="239"/>
      <c r="K2" s="239"/>
      <c r="L2" s="239"/>
      <c r="M2" s="239"/>
      <c r="N2" s="239"/>
      <c r="O2" s="239"/>
      <c r="P2" s="239"/>
      <c r="Q2" s="239"/>
    </row>
    <row r="3" spans="1:17" ht="20.100000000000001" customHeight="1" x14ac:dyDescent="0.25">
      <c r="A3" s="5" t="str">
        <f>HYPERLINK("#'Home'!A1", "Home")</f>
        <v>Home</v>
      </c>
    </row>
    <row r="4" spans="1:17" ht="20.100000000000001" customHeight="1" x14ac:dyDescent="0.25">
      <c r="A4" s="5" t="str">
        <f>HYPERLINK("#'Overview'!A1", "Overview")</f>
        <v>Overview</v>
      </c>
    </row>
    <row r="5" spans="1:17" ht="20.100000000000001" customHeight="1" x14ac:dyDescent="0.25">
      <c r="A5" s="5" t="str">
        <f>HYPERLINK("#'Results'!A1", "Results")</f>
        <v>Results</v>
      </c>
    </row>
    <row r="6" spans="1:17" ht="20.100000000000001" customHeight="1" x14ac:dyDescent="0.25">
      <c r="A6"/>
    </row>
    <row r="7" spans="1:17" ht="20.100000000000001" customHeight="1" x14ac:dyDescent="0.25">
      <c r="A7"/>
    </row>
    <row r="8" spans="1:17" ht="20.100000000000001" customHeight="1" x14ac:dyDescent="0.25">
      <c r="A8" s="7" t="s">
        <v>0</v>
      </c>
    </row>
    <row r="9" spans="1:17" ht="20.100000000000001" customHeight="1" x14ac:dyDescent="0.25">
      <c r="A9" s="5" t="str">
        <f>HYPERLINK("#'Input - Enterprise'!A1", "Enterprise")</f>
        <v>Enterprise</v>
      </c>
    </row>
    <row r="10" spans="1:17" ht="20.100000000000001" customHeight="1" x14ac:dyDescent="0.25">
      <c r="A10" s="5" t="str">
        <f>HYPERLINK("#'Input - Site'!A1", "Site")</f>
        <v>Site</v>
      </c>
    </row>
    <row r="11" spans="1:17" ht="20.100000000000001" customHeight="1" x14ac:dyDescent="0.25">
      <c r="A11" s="5" t="str">
        <f>HYPERLINK("#'Input - Crop'!A1", "Crop")</f>
        <v>Crop</v>
      </c>
    </row>
    <row r="12" spans="1:17" ht="20.100000000000001" customHeight="1" x14ac:dyDescent="0.25">
      <c r="A12" s="5" t="str">
        <f>HYPERLINK("#'Input - Fert Prod System'!A1", "Fert Prod System")</f>
        <v>Fert Prod System</v>
      </c>
    </row>
    <row r="13" spans="1:17" ht="20.100000000000001" customHeight="1" x14ac:dyDescent="0.25">
      <c r="A13" s="5" t="str">
        <f>HYPERLINK("#'Input - Fertiliser'!A1", "Fertiliser")</f>
        <v>Fertiliser</v>
      </c>
    </row>
    <row r="14" spans="1:17" ht="20.100000000000001" customHeight="1" x14ac:dyDescent="0.25">
      <c r="A14" s="5" t="str">
        <f>HYPERLINK("#'Input - Fuel'!A1", "Fuel")</f>
        <v>Fuel</v>
      </c>
    </row>
    <row r="15" spans="1:17" ht="20.100000000000001" customHeight="1" x14ac:dyDescent="0.25">
      <c r="A15" s="5" t="str">
        <f>HYPERLINK("#'Input - Electricity'!A1", "Electricity")</f>
        <v>Electricity</v>
      </c>
    </row>
    <row r="16" spans="1:17" ht="20.100000000000001" customHeight="1" x14ac:dyDescent="0.25">
      <c r="A16" s="5" t="str">
        <f>HYPERLINK("#'Input - Common farm inputs'!A1", "Common farm inputs")</f>
        <v>Common farm inputs</v>
      </c>
    </row>
    <row r="17" spans="1:11" ht="20.100000000000001" customHeight="1" x14ac:dyDescent="0.25">
      <c r="A17" s="5" t="str">
        <f>HYPERLINK("#'Input - Crop pasture farm input'!A1", "Crop pasture farm input")</f>
        <v>Crop pasture farm input</v>
      </c>
    </row>
    <row r="18" spans="1:11" ht="20.100000000000001" customHeight="1" x14ac:dyDescent="0.25">
      <c r="A18" s="5" t="str">
        <f>HYPERLINK("#'Input - Freight'!A1", "Freight")</f>
        <v>Freight</v>
      </c>
    </row>
    <row r="19" spans="1:11" ht="20.100000000000001" customHeight="1" x14ac:dyDescent="0.25">
      <c r="A19" s="5" t="str">
        <f>HYPERLINK("#'Input - Manure sent off-site'!A1", "Manure sent off-site")</f>
        <v>Manure sent off-site</v>
      </c>
    </row>
    <row r="20" spans="1:11" ht="20.100000000000001" customHeight="1" x14ac:dyDescent="0.25">
      <c r="A20" s="5" t="str">
        <f>HYPERLINK("#'Input - Solid waste'!A1", "Solid waste")</f>
        <v>Solid waste</v>
      </c>
    </row>
    <row r="21" spans="1:11" ht="20.100000000000001" customHeight="1" x14ac:dyDescent="0.25">
      <c r="A21" s="5" t="str">
        <f>HYPERLINK("#'Input - Data quality'!A1", "Data quality")</f>
        <v>Data quality</v>
      </c>
    </row>
    <row r="22" spans="1:11" ht="20.100000000000001" customHeight="1" x14ac:dyDescent="0.25">
      <c r="A22"/>
    </row>
    <row r="23" spans="1:11" ht="20.100000000000001" customHeight="1" x14ac:dyDescent="0.25">
      <c r="A23"/>
    </row>
    <row r="24" spans="1:11" ht="20.100000000000001" customHeight="1" x14ac:dyDescent="0.25">
      <c r="A24" s="6" t="s">
        <v>2</v>
      </c>
    </row>
    <row r="25" spans="1:11" ht="20.100000000000001" customHeight="1" x14ac:dyDescent="0.25">
      <c r="A25" s="5" t="str">
        <f>HYPERLINK("#'5.1.1.1-2 Inorganic fert N2O'!A1", "5.1.1.1-2 Inorganic fert N2O")</f>
        <v>5.1.1.1-2 Inorganic fert N2O</v>
      </c>
    </row>
    <row r="26" spans="1:11" ht="20.100000000000001" customHeight="1" x14ac:dyDescent="0.25">
      <c r="A26" s="5" t="str">
        <f>HYPERLINK("#'5.1.1.3-4 Inorganic fert CO2'!A1", "5.1.1.3-4 Inorganic fert CO2")</f>
        <v>5.1.1.3-4 Inorganic fert CO2</v>
      </c>
    </row>
    <row r="27" spans="1:11" ht="20.100000000000001" customHeight="1" x14ac:dyDescent="0.25">
      <c r="A27" s="5" t="str">
        <f>HYPERLINK("#'5.2.1.1-2 Organic Fert N2O'!A1", "5.2.1.1-2 Organic fert N2O")</f>
        <v>5.2.1.1-2 Organic fert N2O</v>
      </c>
    </row>
    <row r="28" spans="1:11" ht="20.100000000000001" customHeight="1" x14ac:dyDescent="0.25">
      <c r="A28" s="5" t="str">
        <f>HYPERLINK("#'5.3.1.1-2 Lime CO2'!A1", "5.3.1.1-2 Lime CO2")</f>
        <v>5.3.1.1-2 Lime CO2</v>
      </c>
    </row>
    <row r="29" spans="1:11" ht="20.100000000000001" customHeight="1" x14ac:dyDescent="0.25">
      <c r="A29" s="5" t="str">
        <f>HYPERLINK("#'5.4.1.1-4 Atmos deposition'!A1", "5.4.1.1-4 Atmos. deposition")</f>
        <v>5.4.1.1-4 Atmos. deposition</v>
      </c>
    </row>
    <row r="30" spans="1:11" ht="20.100000000000001" customHeight="1" x14ac:dyDescent="0.25">
      <c r="A30" s="5" t="str">
        <f>HYPERLINK("#'5.5.1.1-2 Leaching and runoff'!A1", "5.5.1.1-2 Leaching &amp; runoff")</f>
        <v>5.5.1.1-2 Leaching &amp; runoff</v>
      </c>
    </row>
    <row r="31" spans="1:11" ht="20.100000000000001" customHeight="1" x14ac:dyDescent="0.25">
      <c r="A31" s="5" t="str">
        <f>HYPERLINK("#'6.1.1.1-2 Crop residue N2O'!A1", "6.1.1.1-2 Crop residue N2O")</f>
        <v>6.1.1.1-2 Crop residue N2O</v>
      </c>
    </row>
    <row r="32" spans="1:11" ht="20.100000000000001" customHeight="1" x14ac:dyDescent="0.25">
      <c r="A32" s="5" t="str">
        <f>HYPERLINK("#'6.3.1.1-2 Leach runoff crop'!A1", "6.3.1.1-2 Leach &amp; runoff (crop)")</f>
        <v>6.3.1.1-2 Leach &amp; runoff (crop)</v>
      </c>
      <c r="D32" s="2" t="s">
        <v>889</v>
      </c>
      <c r="K32" s="1" t="s">
        <v>890</v>
      </c>
    </row>
    <row r="33" spans="1:12" ht="20.100000000000001" customHeight="1" x14ac:dyDescent="0.25">
      <c r="A33" s="5" t="str">
        <f>HYPERLINK("#'6.4.1.1-2 Residue burning'!A1", "6.4.1.1-2 Residue burning")</f>
        <v>6.4.1.1-2 Residue burning</v>
      </c>
      <c r="D33" s="30" t="s">
        <v>891</v>
      </c>
      <c r="E33" s="30" t="s">
        <v>137</v>
      </c>
      <c r="F33" s="30" t="s">
        <v>892</v>
      </c>
      <c r="G33" s="30" t="s">
        <v>893</v>
      </c>
      <c r="H33" s="30" t="s">
        <v>894</v>
      </c>
      <c r="I33" s="30" t="s">
        <v>895</v>
      </c>
      <c r="K33" s="30" t="s">
        <v>896</v>
      </c>
      <c r="L33" s="30" t="s">
        <v>897</v>
      </c>
    </row>
    <row r="34" spans="1:12" ht="20.100000000000001" customHeight="1" x14ac:dyDescent="0.25">
      <c r="A34" s="5" t="str">
        <f>HYPERLINK("#'8.1.1.1-2 Transport fuel'!A1", "8.1.1.1-2 Transport fuel")</f>
        <v>8.1.1.1-2 Transport fuel</v>
      </c>
      <c r="D34" s="30" t="str" cm="1">
        <f t="array" ref="D34">Common_InputFunctions.Utility_DisplayArrayInTable(Scope3_SourceData.Scope3_Livestock_Data(), Table_SourceData_Scope3_Animals[[#Headers],[Category]], 0, 2)</f>
        <v>Beef cattle</v>
      </c>
      <c r="E34" s="30" t="str" cm="1">
        <f t="array" ref="E34">Common_InputFunctions.Utility_DisplayArrayInTable(Scope3_SourceData.Scope3_Livestock_Data(), Table_SourceData_Scope3_Animals[[#Headers],[Category]], 0, 2)</f>
        <v>Cattle, for manufacturing beef</v>
      </c>
      <c r="F34" s="30" t="str" cm="1">
        <f t="array" ref="F34">Common_InputFunctions.Utility_DisplayArrayInTable(Scope3_SourceData.Scope3_Livestock_Data(), Table_SourceData_Scope3_Animals[[#Headers],[Category]], 0, 2)</f>
        <v>Australia</v>
      </c>
      <c r="G34" s="30" t="str" cm="1">
        <f t="array" ref="G34">Common_InputFunctions.Utility_DisplayArrayInTable(Scope3_SourceData.Scope3_Livestock_Data(), Table_SourceData_Scope3_Animals[[#Headers],[Category]], 0, 2)</f>
        <v>kg liveweight</v>
      </c>
      <c r="H34" s="30" cm="1">
        <f t="array" ref="H34">Common_InputFunctions.Utility_DisplayArrayInTable(Scope3_SourceData.Scope3_Livestock_Data(), Table_SourceData_Scope3_Animals[[#Headers],[Category]], 0, 2)</f>
        <v>11</v>
      </c>
      <c r="I34" s="30" t="str" cm="1">
        <f t="array" ref="I34">Common_InputFunctions.Utility_DisplayArrayInTable(Scope3_SourceData.Scope3_Livestock_Data(), Table_SourceData_Scope3_Animals[[#Headers],[Category]], 0, 2)</f>
        <v>at market</v>
      </c>
      <c r="K34" s="30" t="s">
        <v>898</v>
      </c>
      <c r="L34" s="30" t="s">
        <v>899</v>
      </c>
    </row>
    <row r="35" spans="1:12" ht="20.100000000000001" customHeight="1" x14ac:dyDescent="0.25">
      <c r="A35" s="5" t="str">
        <f>HYPERLINK("#'8.2.1.1-2 Stationary fuel'!A1", "8.2.1.1-2 Stationary fuel")</f>
        <v>8.2.1.1-2 Stationary fuel</v>
      </c>
      <c r="D35" s="30" t="str" cm="1">
        <f t="array" ref="D35">Common_InputFunctions.Utility_DisplayArrayInTable(Scope3_SourceData.Scope3_Livestock_Data(), Table_SourceData_Scope3_Animals[[#Headers],[Category]], 0, 2)</f>
        <v>Beef cattle</v>
      </c>
      <c r="E35" s="30" t="str" cm="1">
        <f t="array" ref="E35">Common_InputFunctions.Utility_DisplayArrayInTable(Scope3_SourceData.Scope3_Livestock_Data(), Table_SourceData_Scope3_Animals[[#Headers],[Category]], 0, 2)</f>
        <v>Cattle, for manufacturing beef</v>
      </c>
      <c r="F35" s="30" t="str" cm="1">
        <f t="array" ref="F35">Common_InputFunctions.Utility_DisplayArrayInTable(Scope3_SourceData.Scope3_Livestock_Data(), Table_SourceData_Scope3_Animals[[#Headers],[Category]], 0, 2)</f>
        <v>NSW</v>
      </c>
      <c r="G35" s="30" t="str" cm="1">
        <f t="array" ref="G35">Common_InputFunctions.Utility_DisplayArrayInTable(Scope3_SourceData.Scope3_Livestock_Data(), Table_SourceData_Scope3_Animals[[#Headers],[Category]], 0, 2)</f>
        <v>kg liveweight</v>
      </c>
      <c r="H35" s="30" cm="1">
        <f t="array" ref="H35">Common_InputFunctions.Utility_DisplayArrayInTable(Scope3_SourceData.Scope3_Livestock_Data(), Table_SourceData_Scope3_Animals[[#Headers],[Category]], 0, 2)</f>
        <v>8.2100000000000009</v>
      </c>
      <c r="I35" s="30" t="str" cm="1">
        <f t="array" ref="I35">Common_InputFunctions.Utility_DisplayArrayInTable(Scope3_SourceData.Scope3_Livestock_Data(), Table_SourceData_Scope3_Animals[[#Headers],[Category]], 0, 2)</f>
        <v>at market</v>
      </c>
      <c r="K35" s="30" t="s">
        <v>899</v>
      </c>
      <c r="L35" s="30" t="s">
        <v>899</v>
      </c>
    </row>
    <row r="36" spans="1:12" ht="20.100000000000001" customHeight="1" x14ac:dyDescent="0.25">
      <c r="A36" s="5" t="str">
        <f>HYPERLINK("#'14.1.1-2 Purchased electricity'!A1", "14.1.1-2 Purchased electricity")</f>
        <v>14.1.1-2 Purchased electricity</v>
      </c>
      <c r="D36" s="30" t="str" cm="1">
        <f t="array" ref="D36">Common_InputFunctions.Utility_DisplayArrayInTable(Scope3_SourceData.Scope3_Livestock_Data(), Table_SourceData_Scope3_Animals[[#Headers],[Category]], 0, 2)</f>
        <v>Beef cattle</v>
      </c>
      <c r="E36" s="30" t="str" cm="1">
        <f t="array" ref="E36">Common_InputFunctions.Utility_DisplayArrayInTable(Scope3_SourceData.Scope3_Livestock_Data(), Table_SourceData_Scope3_Animals[[#Headers],[Category]], 0, 2)</f>
        <v>Cattle, for manufacturing beef</v>
      </c>
      <c r="F36" s="30" t="str" cm="1">
        <f t="array" ref="F36">Common_InputFunctions.Utility_DisplayArrayInTable(Scope3_SourceData.Scope3_Livestock_Data(), Table_SourceData_Scope3_Animals[[#Headers],[Category]], 0, 2)</f>
        <v>NT</v>
      </c>
      <c r="G36" s="30" t="str" cm="1">
        <f t="array" ref="G36">Common_InputFunctions.Utility_DisplayArrayInTable(Scope3_SourceData.Scope3_Livestock_Data(), Table_SourceData_Scope3_Animals[[#Headers],[Category]], 0, 2)</f>
        <v>kg liveweight</v>
      </c>
      <c r="H36" s="30" cm="1">
        <f t="array" ref="H36">Common_InputFunctions.Utility_DisplayArrayInTable(Scope3_SourceData.Scope3_Livestock_Data(), Table_SourceData_Scope3_Animals[[#Headers],[Category]], 0, 2)</f>
        <v>12.2</v>
      </c>
      <c r="I36" s="30" t="str" cm="1">
        <f t="array" ref="I36">Common_InputFunctions.Utility_DisplayArrayInTable(Scope3_SourceData.Scope3_Livestock_Data(), Table_SourceData_Scope3_Animals[[#Headers],[Category]], 0, 2)</f>
        <v>at market</v>
      </c>
      <c r="K36" s="30" t="s">
        <v>900</v>
      </c>
      <c r="L36" s="30" t="s">
        <v>900</v>
      </c>
    </row>
    <row r="37" spans="1:12" ht="20.100000000000001" customHeight="1" x14ac:dyDescent="0.25">
      <c r="A37" s="5" t="str">
        <f>HYPERLINK("#'15 Scope 3'!A1", "15 Scope 3")</f>
        <v>15 Scope 3</v>
      </c>
      <c r="D37" s="30" t="str" cm="1">
        <f t="array" ref="D37">Common_InputFunctions.Utility_DisplayArrayInTable(Scope3_SourceData.Scope3_Livestock_Data(), Table_SourceData_Scope3_Animals[[#Headers],[Category]], 0, 2)</f>
        <v>Beef cattle</v>
      </c>
      <c r="E37" s="30" t="str" cm="1">
        <f t="array" ref="E37">Common_InputFunctions.Utility_DisplayArrayInTable(Scope3_SourceData.Scope3_Livestock_Data(), Table_SourceData_Scope3_Animals[[#Headers],[Category]], 0, 2)</f>
        <v>Cattle, for manufacturing beef</v>
      </c>
      <c r="F37" s="30" t="str" cm="1">
        <f t="array" ref="F37">Common_InputFunctions.Utility_DisplayArrayInTable(Scope3_SourceData.Scope3_Livestock_Data(), Table_SourceData_Scope3_Animals[[#Headers],[Category]], 0, 2)</f>
        <v>QLD</v>
      </c>
      <c r="G37" s="30" t="str" cm="1">
        <f t="array" ref="G37">Common_InputFunctions.Utility_DisplayArrayInTable(Scope3_SourceData.Scope3_Livestock_Data(), Table_SourceData_Scope3_Animals[[#Headers],[Category]], 0, 2)</f>
        <v>kg liveweight</v>
      </c>
      <c r="H37" s="30" cm="1">
        <f t="array" ref="H37">Common_InputFunctions.Utility_DisplayArrayInTable(Scope3_SourceData.Scope3_Livestock_Data(), Table_SourceData_Scope3_Animals[[#Headers],[Category]], 0, 2)</f>
        <v>10.9</v>
      </c>
      <c r="I37" s="30" t="str" cm="1">
        <f t="array" ref="I37">Common_InputFunctions.Utility_DisplayArrayInTable(Scope3_SourceData.Scope3_Livestock_Data(), Table_SourceData_Scope3_Animals[[#Headers],[Category]], 0, 2)</f>
        <v>at market</v>
      </c>
      <c r="K37" s="30" t="s">
        <v>901</v>
      </c>
      <c r="L37" s="30" t="s">
        <v>901</v>
      </c>
    </row>
    <row r="38" spans="1:12" ht="20.100000000000001" customHeight="1" x14ac:dyDescent="0.25">
      <c r="A38" s="5" t="str">
        <f>HYPERLINK("#'Calcs - Manure sent off-site'!A1", "Calcs - Manure sent off-site")</f>
        <v>Calcs - Manure sent off-site</v>
      </c>
      <c r="D38" s="30" t="str" cm="1">
        <f t="array" ref="D38">Common_InputFunctions.Utility_DisplayArrayInTable(Scope3_SourceData.Scope3_Livestock_Data(), Table_SourceData_Scope3_Animals[[#Headers],[Category]], 0, 2)</f>
        <v>Beef cattle</v>
      </c>
      <c r="E38" s="30" t="str" cm="1">
        <f t="array" ref="E38">Common_InputFunctions.Utility_DisplayArrayInTable(Scope3_SourceData.Scope3_Livestock_Data(), Table_SourceData_Scope3_Animals[[#Headers],[Category]], 0, 2)</f>
        <v>Cattle, for manufacturing beef</v>
      </c>
      <c r="F38" s="30" t="str" cm="1">
        <f t="array" ref="F38">Common_InputFunctions.Utility_DisplayArrayInTable(Scope3_SourceData.Scope3_Livestock_Data(), Table_SourceData_Scope3_Animals[[#Headers],[Category]], 0, 2)</f>
        <v>SA</v>
      </c>
      <c r="G38" s="30" t="str" cm="1">
        <f t="array" ref="G38">Common_InputFunctions.Utility_DisplayArrayInTable(Scope3_SourceData.Scope3_Livestock_Data(), Table_SourceData_Scope3_Animals[[#Headers],[Category]], 0, 2)</f>
        <v>kg liveweight</v>
      </c>
      <c r="H38" s="30" cm="1">
        <f t="array" ref="H38">Common_InputFunctions.Utility_DisplayArrayInTable(Scope3_SourceData.Scope3_Livestock_Data(), Table_SourceData_Scope3_Animals[[#Headers],[Category]], 0, 2)</f>
        <v>7.63</v>
      </c>
      <c r="I38" s="30" t="str" cm="1">
        <f t="array" ref="I38">Common_InputFunctions.Utility_DisplayArrayInTable(Scope3_SourceData.Scope3_Livestock_Data(), Table_SourceData_Scope3_Animals[[#Headers],[Category]], 0, 2)</f>
        <v>at market</v>
      </c>
      <c r="K38" s="30" t="s">
        <v>902</v>
      </c>
      <c r="L38" s="30" t="s">
        <v>902</v>
      </c>
    </row>
    <row r="39" spans="1:12" ht="20.100000000000001" customHeight="1" x14ac:dyDescent="0.25">
      <c r="A39" s="5" t="str">
        <f>HYPERLINK("#'10.1.1-2 Solid waste treatment'!A1", "10.1.1-2 Solid waste treatment")</f>
        <v>10.1.1-2 Solid waste treatment</v>
      </c>
      <c r="D39" s="30" t="str" cm="1">
        <f t="array" ref="D39">Common_InputFunctions.Utility_DisplayArrayInTable(Scope3_SourceData.Scope3_Livestock_Data(), Table_SourceData_Scope3_Animals[[#Headers],[Category]], 0, 2)</f>
        <v>Beef cattle</v>
      </c>
      <c r="E39" s="30" t="str" cm="1">
        <f t="array" ref="E39">Common_InputFunctions.Utility_DisplayArrayInTable(Scope3_SourceData.Scope3_Livestock_Data(), Table_SourceData_Scope3_Animals[[#Headers],[Category]], 0, 2)</f>
        <v>Cattle, for manufacturing beef</v>
      </c>
      <c r="F39" s="30" t="str" cm="1">
        <f t="array" ref="F39">Common_InputFunctions.Utility_DisplayArrayInTable(Scope3_SourceData.Scope3_Livestock_Data(), Table_SourceData_Scope3_Animals[[#Headers],[Category]], 0, 2)</f>
        <v>TAS</v>
      </c>
      <c r="G39" s="30" t="str" cm="1">
        <f t="array" ref="G39">Common_InputFunctions.Utility_DisplayArrayInTable(Scope3_SourceData.Scope3_Livestock_Data(), Table_SourceData_Scope3_Animals[[#Headers],[Category]], 0, 2)</f>
        <v>kg liveweight</v>
      </c>
      <c r="H39" s="30" cm="1">
        <f t="array" ref="H39">Common_InputFunctions.Utility_DisplayArrayInTable(Scope3_SourceData.Scope3_Livestock_Data(), Table_SourceData_Scope3_Animals[[#Headers],[Category]], 0, 2)</f>
        <v>8.75</v>
      </c>
      <c r="I39" s="30" t="str" cm="1">
        <f t="array" ref="I39">Common_InputFunctions.Utility_DisplayArrayInTable(Scope3_SourceData.Scope3_Livestock_Data(), Table_SourceData_Scope3_Animals[[#Headers],[Category]], 0, 2)</f>
        <v>at market</v>
      </c>
      <c r="K39" s="30" t="s">
        <v>903</v>
      </c>
      <c r="L39" s="30" t="s">
        <v>904</v>
      </c>
    </row>
    <row r="40" spans="1:12" ht="20.100000000000001" customHeight="1" x14ac:dyDescent="0.25">
      <c r="A40"/>
      <c r="D40" s="30" t="str" cm="1">
        <f t="array" ref="D40">Common_InputFunctions.Utility_DisplayArrayInTable(Scope3_SourceData.Scope3_Livestock_Data(), Table_SourceData_Scope3_Animals[[#Headers],[Category]], 0, 2)</f>
        <v>Beef cattle</v>
      </c>
      <c r="E40" s="30" t="str" cm="1">
        <f t="array" ref="E40">Common_InputFunctions.Utility_DisplayArrayInTable(Scope3_SourceData.Scope3_Livestock_Data(), Table_SourceData_Scope3_Animals[[#Headers],[Category]], 0, 2)</f>
        <v>Cattle, for manufacturing beef</v>
      </c>
      <c r="F40" s="30" t="str" cm="1">
        <f t="array" ref="F40">Common_InputFunctions.Utility_DisplayArrayInTable(Scope3_SourceData.Scope3_Livestock_Data(), Table_SourceData_Scope3_Animals[[#Headers],[Category]], 0, 2)</f>
        <v>VIC</v>
      </c>
      <c r="G40" s="30" t="str" cm="1">
        <f t="array" ref="G40">Common_InputFunctions.Utility_DisplayArrayInTable(Scope3_SourceData.Scope3_Livestock_Data(), Table_SourceData_Scope3_Animals[[#Headers],[Category]], 0, 2)</f>
        <v>kg liveweight</v>
      </c>
      <c r="H40" s="30" cm="1">
        <f t="array" ref="H40">Common_InputFunctions.Utility_DisplayArrayInTable(Scope3_SourceData.Scope3_Livestock_Data(), Table_SourceData_Scope3_Animals[[#Headers],[Category]], 0, 2)</f>
        <v>8.17</v>
      </c>
      <c r="I40" s="30" t="str" cm="1">
        <f t="array" ref="I40">Common_InputFunctions.Utility_DisplayArrayInTable(Scope3_SourceData.Scope3_Livestock_Data(), Table_SourceData_Scope3_Animals[[#Headers],[Category]], 0, 2)</f>
        <v>at market</v>
      </c>
      <c r="K40" s="30" t="s">
        <v>905</v>
      </c>
      <c r="L40" s="30" t="s">
        <v>904</v>
      </c>
    </row>
    <row r="41" spans="1:12" ht="20.100000000000001" customHeight="1" x14ac:dyDescent="0.25">
      <c r="A41"/>
      <c r="D41" s="30" t="str" cm="1">
        <f t="array" ref="D41">Common_InputFunctions.Utility_DisplayArrayInTable(Scope3_SourceData.Scope3_Livestock_Data(), Table_SourceData_Scope3_Animals[[#Headers],[Category]], 0, 2)</f>
        <v>Beef cattle</v>
      </c>
      <c r="E41" s="30" t="str" cm="1">
        <f t="array" ref="E41">Common_InputFunctions.Utility_DisplayArrayInTable(Scope3_SourceData.Scope3_Livestock_Data(), Table_SourceData_Scope3_Animals[[#Headers],[Category]], 0, 2)</f>
        <v>Cattle, for manufacturing beef</v>
      </c>
      <c r="F41" s="30" t="str" cm="1">
        <f t="array" ref="F41">Common_InputFunctions.Utility_DisplayArrayInTable(Scope3_SourceData.Scope3_Livestock_Data(), Table_SourceData_Scope3_Animals[[#Headers],[Category]], 0, 2)</f>
        <v>WA</v>
      </c>
      <c r="G41" s="30" t="str" cm="1">
        <f t="array" ref="G41">Common_InputFunctions.Utility_DisplayArrayInTable(Scope3_SourceData.Scope3_Livestock_Data(), Table_SourceData_Scope3_Animals[[#Headers],[Category]], 0, 2)</f>
        <v>kg liveweight</v>
      </c>
      <c r="H41" s="30" cm="1">
        <f t="array" ref="H41">Common_InputFunctions.Utility_DisplayArrayInTable(Scope3_SourceData.Scope3_Livestock_Data(), Table_SourceData_Scope3_Animals[[#Headers],[Category]], 0, 2)</f>
        <v>13.1</v>
      </c>
      <c r="I41" s="30" t="str" cm="1">
        <f t="array" ref="I41">Common_InputFunctions.Utility_DisplayArrayInTable(Scope3_SourceData.Scope3_Livestock_Data(), Table_SourceData_Scope3_Animals[[#Headers],[Category]], 0, 2)</f>
        <v>at market</v>
      </c>
      <c r="K41" s="30" t="s">
        <v>906</v>
      </c>
      <c r="L41" s="30" t="s">
        <v>904</v>
      </c>
    </row>
    <row r="42" spans="1:12" ht="20.100000000000001" customHeight="1" x14ac:dyDescent="0.25">
      <c r="A42" s="108" t="s">
        <v>1</v>
      </c>
      <c r="D42" s="30" t="str" cm="1">
        <f t="array" ref="D42">Common_InputFunctions.Utility_DisplayArrayInTable(Scope3_SourceData.Scope3_Livestock_Data(), Table_SourceData_Scope3_Animals[[#Headers],[Category]], 0, 2)</f>
        <v>Beef cattle</v>
      </c>
      <c r="E42" s="30" t="str" cm="1">
        <f t="array" ref="E42">Common_InputFunctions.Utility_DisplayArrayInTable(Scope3_SourceData.Scope3_Livestock_Data(), Table_SourceData_Scope3_Animals[[#Headers],[Category]], 0, 2)</f>
        <v>Cattle, for prime beef</v>
      </c>
      <c r="F42" s="30" t="str" cm="1">
        <f t="array" ref="F42">Common_InputFunctions.Utility_DisplayArrayInTable(Scope3_SourceData.Scope3_Livestock_Data(), Table_SourceData_Scope3_Animals[[#Headers],[Category]], 0, 2)</f>
        <v>Australia</v>
      </c>
      <c r="G42" s="30" t="str" cm="1">
        <f t="array" ref="G42">Common_InputFunctions.Utility_DisplayArrayInTable(Scope3_SourceData.Scope3_Livestock_Data(), Table_SourceData_Scope3_Animals[[#Headers],[Category]], 0, 2)</f>
        <v>kg liveweight</v>
      </c>
      <c r="H42" s="30" cm="1">
        <f t="array" ref="H42">Common_InputFunctions.Utility_DisplayArrayInTable(Scope3_SourceData.Scope3_Livestock_Data(), Table_SourceData_Scope3_Animals[[#Headers],[Category]], 0, 2)</f>
        <v>14.5</v>
      </c>
      <c r="I42" s="30" t="str" cm="1">
        <f t="array" ref="I42">Common_InputFunctions.Utility_DisplayArrayInTable(Scope3_SourceData.Scope3_Livestock_Data(), Table_SourceData_Scope3_Animals[[#Headers],[Category]], 0, 2)</f>
        <v>at market</v>
      </c>
      <c r="K42" s="30" t="s">
        <v>907</v>
      </c>
      <c r="L42" s="30" t="s">
        <v>908</v>
      </c>
    </row>
    <row r="43" spans="1:12" ht="20.100000000000001" customHeight="1" x14ac:dyDescent="0.25">
      <c r="A43" s="5" t="str">
        <f>HYPERLINK("#'Constants - Ag Residue'!A1", "Constants - Ag residue")</f>
        <v>Constants - Ag residue</v>
      </c>
      <c r="D43" s="30" t="str" cm="1">
        <f t="array" ref="D43">Common_InputFunctions.Utility_DisplayArrayInTable(Scope3_SourceData.Scope3_Livestock_Data(), Table_SourceData_Scope3_Animals[[#Headers],[Category]], 0, 2)</f>
        <v>Beef cattle</v>
      </c>
      <c r="E43" s="30" t="str" cm="1">
        <f t="array" ref="E43">Common_InputFunctions.Utility_DisplayArrayInTable(Scope3_SourceData.Scope3_Livestock_Data(), Table_SourceData_Scope3_Animals[[#Headers],[Category]], 0, 2)</f>
        <v>Cattle, for prime beef</v>
      </c>
      <c r="F43" s="30" t="str" cm="1">
        <f t="array" ref="F43">Common_InputFunctions.Utility_DisplayArrayInTable(Scope3_SourceData.Scope3_Livestock_Data(), Table_SourceData_Scope3_Animals[[#Headers],[Category]], 0, 2)</f>
        <v>NSW</v>
      </c>
      <c r="G43" s="30" t="str" cm="1">
        <f t="array" ref="G43">Common_InputFunctions.Utility_DisplayArrayInTable(Scope3_SourceData.Scope3_Livestock_Data(), Table_SourceData_Scope3_Animals[[#Headers],[Category]], 0, 2)</f>
        <v>kg liveweight</v>
      </c>
      <c r="H43" s="30" cm="1">
        <f t="array" ref="H43">Common_InputFunctions.Utility_DisplayArrayInTable(Scope3_SourceData.Scope3_Livestock_Data(), Table_SourceData_Scope3_Animals[[#Headers],[Category]], 0, 2)</f>
        <v>11.3</v>
      </c>
      <c r="I43" s="30" t="str" cm="1">
        <f t="array" ref="I43">Common_InputFunctions.Utility_DisplayArrayInTable(Scope3_SourceData.Scope3_Livestock_Data(), Table_SourceData_Scope3_Animals[[#Headers],[Category]], 0, 2)</f>
        <v>at market</v>
      </c>
      <c r="K43" s="30" t="s">
        <v>909</v>
      </c>
      <c r="L43" s="30" t="s">
        <v>908</v>
      </c>
    </row>
    <row r="44" spans="1:12" ht="20.100000000000001" customHeight="1" x14ac:dyDescent="0.25">
      <c r="A44" s="5" t="str">
        <f>HYPERLINK("#'Constants - Common Livestock'!A1", "Constants - Common Livestock")</f>
        <v>Constants - Common Livestock</v>
      </c>
      <c r="D44" s="30" t="str" cm="1">
        <f t="array" ref="D44">Common_InputFunctions.Utility_DisplayArrayInTable(Scope3_SourceData.Scope3_Livestock_Data(), Table_SourceData_Scope3_Animals[[#Headers],[Category]], 0, 2)</f>
        <v>Beef cattle</v>
      </c>
      <c r="E44" s="30" t="str" cm="1">
        <f t="array" ref="E44">Common_InputFunctions.Utility_DisplayArrayInTable(Scope3_SourceData.Scope3_Livestock_Data(), Table_SourceData_Scope3_Animals[[#Headers],[Category]], 0, 2)</f>
        <v>Cattle, for prime beef</v>
      </c>
      <c r="F44" s="30" t="str" cm="1">
        <f t="array" ref="F44">Common_InputFunctions.Utility_DisplayArrayInTable(Scope3_SourceData.Scope3_Livestock_Data(), Table_SourceData_Scope3_Animals[[#Headers],[Category]], 0, 2)</f>
        <v>NT</v>
      </c>
      <c r="G44" s="30" t="str" cm="1">
        <f t="array" ref="G44">Common_InputFunctions.Utility_DisplayArrayInTable(Scope3_SourceData.Scope3_Livestock_Data(), Table_SourceData_Scope3_Animals[[#Headers],[Category]], 0, 2)</f>
        <v>kg liveweight</v>
      </c>
      <c r="H44" s="30" cm="1">
        <f t="array" ref="H44">Common_InputFunctions.Utility_DisplayArrayInTable(Scope3_SourceData.Scope3_Livestock_Data(), Table_SourceData_Scope3_Animals[[#Headers],[Category]], 0, 2)</f>
        <v>18.899999999999999</v>
      </c>
      <c r="I44" s="30" t="str" cm="1">
        <f t="array" ref="I44">Common_InputFunctions.Utility_DisplayArrayInTable(Scope3_SourceData.Scope3_Livestock_Data(), Table_SourceData_Scope3_Animals[[#Headers],[Category]], 0, 2)</f>
        <v>at market</v>
      </c>
      <c r="K44" s="30" t="s">
        <v>910</v>
      </c>
      <c r="L44" s="30" t="s">
        <v>908</v>
      </c>
    </row>
    <row r="45" spans="1:12" ht="20.100000000000001" customHeight="1" x14ac:dyDescent="0.25">
      <c r="A45" s="5" t="str">
        <f>HYPERLINK("#'Constants - Electricity'!A1", "Constants - Electricity")</f>
        <v>Constants - Electricity</v>
      </c>
      <c r="D45" s="30" t="str" cm="1">
        <f t="array" ref="D45">Common_InputFunctions.Utility_DisplayArrayInTable(Scope3_SourceData.Scope3_Livestock_Data(), Table_SourceData_Scope3_Animals[[#Headers],[Category]], 0, 2)</f>
        <v>Beef cattle</v>
      </c>
      <c r="E45" s="30" t="str" cm="1">
        <f t="array" ref="E45">Common_InputFunctions.Utility_DisplayArrayInTable(Scope3_SourceData.Scope3_Livestock_Data(), Table_SourceData_Scope3_Animals[[#Headers],[Category]], 0, 2)</f>
        <v>Cattle, for prime beef</v>
      </c>
      <c r="F45" s="30" t="str" cm="1">
        <f t="array" ref="F45">Common_InputFunctions.Utility_DisplayArrayInTable(Scope3_SourceData.Scope3_Livestock_Data(), Table_SourceData_Scope3_Animals[[#Headers],[Category]], 0, 2)</f>
        <v>QLD</v>
      </c>
      <c r="G45" s="30" t="str" cm="1">
        <f t="array" ref="G45">Common_InputFunctions.Utility_DisplayArrayInTable(Scope3_SourceData.Scope3_Livestock_Data(), Table_SourceData_Scope3_Animals[[#Headers],[Category]], 0, 2)</f>
        <v>kg liveweight</v>
      </c>
      <c r="H45" s="30" cm="1">
        <f t="array" ref="H45">Common_InputFunctions.Utility_DisplayArrayInTable(Scope3_SourceData.Scope3_Livestock_Data(), Table_SourceData_Scope3_Animals[[#Headers],[Category]], 0, 2)</f>
        <v>13.9</v>
      </c>
      <c r="I45" s="30" t="str" cm="1">
        <f t="array" ref="I45">Common_InputFunctions.Utility_DisplayArrayInTable(Scope3_SourceData.Scope3_Livestock_Data(), Table_SourceData_Scope3_Animals[[#Headers],[Category]], 0, 2)</f>
        <v>at market</v>
      </c>
      <c r="K45" s="30" t="s">
        <v>911</v>
      </c>
      <c r="L45" s="30" t="s">
        <v>912</v>
      </c>
    </row>
    <row r="46" spans="1:12" ht="20.100000000000001" customHeight="1" x14ac:dyDescent="0.25">
      <c r="A46" s="5" t="str">
        <f>HYPERLINK("#'Constants - Fertiliser'!A1", "Constants - Fertiliser")</f>
        <v>Constants - Fertiliser</v>
      </c>
      <c r="D46" s="30" t="str" cm="1">
        <f t="array" ref="D46">Common_InputFunctions.Utility_DisplayArrayInTable(Scope3_SourceData.Scope3_Livestock_Data(), Table_SourceData_Scope3_Animals[[#Headers],[Category]], 0, 2)</f>
        <v>Beef cattle</v>
      </c>
      <c r="E46" s="30" t="str" cm="1">
        <f t="array" ref="E46">Common_InputFunctions.Utility_DisplayArrayInTable(Scope3_SourceData.Scope3_Livestock_Data(), Table_SourceData_Scope3_Animals[[#Headers],[Category]], 0, 2)</f>
        <v>Cattle, for prime beef</v>
      </c>
      <c r="F46" s="30" t="str" cm="1">
        <f t="array" ref="F46">Common_InputFunctions.Utility_DisplayArrayInTable(Scope3_SourceData.Scope3_Livestock_Data(), Table_SourceData_Scope3_Animals[[#Headers],[Category]], 0, 2)</f>
        <v>SA</v>
      </c>
      <c r="G46" s="30" t="str" cm="1">
        <f t="array" ref="G46">Common_InputFunctions.Utility_DisplayArrayInTable(Scope3_SourceData.Scope3_Livestock_Data(), Table_SourceData_Scope3_Animals[[#Headers],[Category]], 0, 2)</f>
        <v>kg liveweight</v>
      </c>
      <c r="H46" s="30" cm="1">
        <f t="array" ref="H46">Common_InputFunctions.Utility_DisplayArrayInTable(Scope3_SourceData.Scope3_Livestock_Data(), Table_SourceData_Scope3_Animals[[#Headers],[Category]], 0, 2)</f>
        <v>12.3</v>
      </c>
      <c r="I46" s="30" t="str" cm="1">
        <f t="array" ref="I46">Common_InputFunctions.Utility_DisplayArrayInTable(Scope3_SourceData.Scope3_Livestock_Data(), Table_SourceData_Scope3_Animals[[#Headers],[Category]], 0, 2)</f>
        <v>at market</v>
      </c>
      <c r="K46" s="30" t="s">
        <v>913</v>
      </c>
      <c r="L46" s="30" t="s">
        <v>912</v>
      </c>
    </row>
    <row r="47" spans="1:12" ht="20.100000000000001" customHeight="1" x14ac:dyDescent="0.25">
      <c r="A47" s="5" t="str">
        <f>HYPERLINK("#'Constants - Fuel'!A1", "Constants - Fuel")</f>
        <v>Constants - Fuel</v>
      </c>
      <c r="D47" s="30" t="str" cm="1">
        <f t="array" ref="D47">Common_InputFunctions.Utility_DisplayArrayInTable(Scope3_SourceData.Scope3_Livestock_Data(), Table_SourceData_Scope3_Animals[[#Headers],[Category]], 0, 2)</f>
        <v>Beef cattle</v>
      </c>
      <c r="E47" s="30" t="str" cm="1">
        <f t="array" ref="E47">Common_InputFunctions.Utility_DisplayArrayInTable(Scope3_SourceData.Scope3_Livestock_Data(), Table_SourceData_Scope3_Animals[[#Headers],[Category]], 0, 2)</f>
        <v>Cattle, for prime beef</v>
      </c>
      <c r="F47" s="30" t="str" cm="1">
        <f t="array" ref="F47">Common_InputFunctions.Utility_DisplayArrayInTable(Scope3_SourceData.Scope3_Livestock_Data(), Table_SourceData_Scope3_Animals[[#Headers],[Category]], 0, 2)</f>
        <v>TAS</v>
      </c>
      <c r="G47" s="30" t="str" cm="1">
        <f t="array" ref="G47">Common_InputFunctions.Utility_DisplayArrayInTable(Scope3_SourceData.Scope3_Livestock_Data(), Table_SourceData_Scope3_Animals[[#Headers],[Category]], 0, 2)</f>
        <v>kg liveweight</v>
      </c>
      <c r="H47" s="30" cm="1">
        <f t="array" ref="H47">Common_InputFunctions.Utility_DisplayArrayInTable(Scope3_SourceData.Scope3_Livestock_Data(), Table_SourceData_Scope3_Animals[[#Headers],[Category]], 0, 2)</f>
        <v>11.5</v>
      </c>
      <c r="I47" s="30" t="str" cm="1">
        <f t="array" ref="I47">Common_InputFunctions.Utility_DisplayArrayInTable(Scope3_SourceData.Scope3_Livestock_Data(), Table_SourceData_Scope3_Animals[[#Headers],[Category]], 0, 2)</f>
        <v>at market</v>
      </c>
      <c r="K47" s="30" t="s">
        <v>914</v>
      </c>
      <c r="L47" s="30" t="s">
        <v>912</v>
      </c>
    </row>
    <row r="48" spans="1:12" ht="20.100000000000001" customHeight="1" x14ac:dyDescent="0.25">
      <c r="A48" s="173" t="str">
        <f>HYPERLINK("#'Constants - Scope 3'!A1", "Constants - Scope 3")</f>
        <v>Constants - Scope 3</v>
      </c>
      <c r="D48" s="30" t="str" cm="1">
        <f t="array" ref="D48">Common_InputFunctions.Utility_DisplayArrayInTable(Scope3_SourceData.Scope3_Livestock_Data(), Table_SourceData_Scope3_Animals[[#Headers],[Category]], 0, 2)</f>
        <v>Beef cattle</v>
      </c>
      <c r="E48" s="30" t="str" cm="1">
        <f t="array" ref="E48">Common_InputFunctions.Utility_DisplayArrayInTable(Scope3_SourceData.Scope3_Livestock_Data(), Table_SourceData_Scope3_Animals[[#Headers],[Category]], 0, 2)</f>
        <v>Cattle, for prime beef</v>
      </c>
      <c r="F48" s="30" t="str" cm="1">
        <f t="array" ref="F48">Common_InputFunctions.Utility_DisplayArrayInTable(Scope3_SourceData.Scope3_Livestock_Data(), Table_SourceData_Scope3_Animals[[#Headers],[Category]], 0, 2)</f>
        <v>VIC</v>
      </c>
      <c r="G48" s="30" t="str" cm="1">
        <f t="array" ref="G48">Common_InputFunctions.Utility_DisplayArrayInTable(Scope3_SourceData.Scope3_Livestock_Data(), Table_SourceData_Scope3_Animals[[#Headers],[Category]], 0, 2)</f>
        <v>kg liveweight</v>
      </c>
      <c r="H48" s="30" cm="1">
        <f t="array" ref="H48">Common_InputFunctions.Utility_DisplayArrayInTable(Scope3_SourceData.Scope3_Livestock_Data(), Table_SourceData_Scope3_Animals[[#Headers],[Category]], 0, 2)</f>
        <v>11.5</v>
      </c>
      <c r="I48" s="30" t="str" cm="1">
        <f t="array" ref="I48">Common_InputFunctions.Utility_DisplayArrayInTable(Scope3_SourceData.Scope3_Livestock_Data(), Table_SourceData_Scope3_Animals[[#Headers],[Category]], 0, 2)</f>
        <v>at market</v>
      </c>
      <c r="K48" s="30" t="s">
        <v>915</v>
      </c>
      <c r="L48" s="30" t="s">
        <v>912</v>
      </c>
    </row>
    <row r="49" spans="1:12" ht="20.100000000000001" customHeight="1" x14ac:dyDescent="0.25">
      <c r="A49" s="5" t="str">
        <f>HYPERLINK("#'Constants - Common'!A1", "Constants - Common")</f>
        <v>Constants - Common</v>
      </c>
      <c r="D49" s="30" t="str" cm="1">
        <f t="array" ref="D49">Common_InputFunctions.Utility_DisplayArrayInTable(Scope3_SourceData.Scope3_Livestock_Data(), Table_SourceData_Scope3_Animals[[#Headers],[Category]], 0, 2)</f>
        <v>Beef cattle</v>
      </c>
      <c r="E49" s="30" t="str" cm="1">
        <f t="array" ref="E49">Common_InputFunctions.Utility_DisplayArrayInTable(Scope3_SourceData.Scope3_Livestock_Data(), Table_SourceData_Scope3_Animals[[#Headers],[Category]], 0, 2)</f>
        <v>Cattle, for prime beef</v>
      </c>
      <c r="F49" s="30" t="str" cm="1">
        <f t="array" ref="F49">Common_InputFunctions.Utility_DisplayArrayInTable(Scope3_SourceData.Scope3_Livestock_Data(), Table_SourceData_Scope3_Animals[[#Headers],[Category]], 0, 2)</f>
        <v>WA</v>
      </c>
      <c r="G49" s="30" t="str" cm="1">
        <f t="array" ref="G49">Common_InputFunctions.Utility_DisplayArrayInTable(Scope3_SourceData.Scope3_Livestock_Data(), Table_SourceData_Scope3_Animals[[#Headers],[Category]], 0, 2)</f>
        <v>kg liveweight</v>
      </c>
      <c r="H49" s="30" cm="1">
        <f t="array" ref="H49">Common_InputFunctions.Utility_DisplayArrayInTable(Scope3_SourceData.Scope3_Livestock_Data(), Table_SourceData_Scope3_Animals[[#Headers],[Category]], 0, 2)</f>
        <v>20.8</v>
      </c>
      <c r="I49" s="30" t="str" cm="1">
        <f t="array" ref="I49">Common_InputFunctions.Utility_DisplayArrayInTable(Scope3_SourceData.Scope3_Livestock_Data(), Table_SourceData_Scope3_Animals[[#Headers],[Category]], 0, 2)</f>
        <v>at market</v>
      </c>
      <c r="K49" s="1" t="s">
        <v>916</v>
      </c>
      <c r="L49" s="1" t="s">
        <v>916</v>
      </c>
    </row>
    <row r="50" spans="1:12" ht="20.100000000000001" customHeight="1" x14ac:dyDescent="0.25">
      <c r="A50" s="5" t="str">
        <f>HYPERLINK("#'Constants - Solid Waste'!A1", "Constants - Solid Waste")</f>
        <v>Constants - Solid Waste</v>
      </c>
      <c r="D50" s="30" t="str" cm="1">
        <f t="array" ref="D50">Common_InputFunctions.Utility_DisplayArrayInTable(Scope3_SourceData.Scope3_Livestock_Data(), Table_SourceData_Scope3_Animals[[#Headers],[Category]], 0, 2)</f>
        <v>Beef cattle</v>
      </c>
      <c r="E50" s="30" t="str" cm="1">
        <f t="array" ref="E50">Common_InputFunctions.Utility_DisplayArrayInTable(Scope3_SourceData.Scope3_Livestock_Data(), Table_SourceData_Scope3_Animals[[#Headers],[Category]], 0, 2)</f>
        <v>Cattle, weaners</v>
      </c>
      <c r="F50" s="30" t="str" cm="1">
        <f t="array" ref="F50">Common_InputFunctions.Utility_DisplayArrayInTable(Scope3_SourceData.Scope3_Livestock_Data(), Table_SourceData_Scope3_Animals[[#Headers],[Category]], 0, 2)</f>
        <v>Australia</v>
      </c>
      <c r="G50" s="30" t="str" cm="1">
        <f t="array" ref="G50">Common_InputFunctions.Utility_DisplayArrayInTable(Scope3_SourceData.Scope3_Livestock_Data(), Table_SourceData_Scope3_Animals[[#Headers],[Category]], 0, 2)</f>
        <v>kg liveweight</v>
      </c>
      <c r="H50" s="30" cm="1">
        <f t="array" ref="H50">Common_InputFunctions.Utility_DisplayArrayInTable(Scope3_SourceData.Scope3_Livestock_Data(), Table_SourceData_Scope3_Animals[[#Headers],[Category]], 0, 2)</f>
        <v>15.5</v>
      </c>
      <c r="I50" s="30" t="str" cm="1">
        <f t="array" ref="I50">Common_InputFunctions.Utility_DisplayArrayInTable(Scope3_SourceData.Scope3_Livestock_Data(), Table_SourceData_Scope3_Animals[[#Headers],[Category]], 0, 2)</f>
        <v>at market</v>
      </c>
    </row>
    <row r="51" spans="1:12" ht="20.100000000000001" customHeight="1" x14ac:dyDescent="0.25">
      <c r="A51"/>
      <c r="D51" s="30" t="str" cm="1">
        <f t="array" ref="D51">Common_InputFunctions.Utility_DisplayArrayInTable(Scope3_SourceData.Scope3_Livestock_Data(), Table_SourceData_Scope3_Animals[[#Headers],[Category]], 0, 2)</f>
        <v>Beef cattle</v>
      </c>
      <c r="E51" s="30" t="str" cm="1">
        <f t="array" ref="E51">Common_InputFunctions.Utility_DisplayArrayInTable(Scope3_SourceData.Scope3_Livestock_Data(), Table_SourceData_Scope3_Animals[[#Headers],[Category]], 0, 2)</f>
        <v>Cattle, weaners</v>
      </c>
      <c r="F51" s="30" t="str" cm="1">
        <f t="array" ref="F51">Common_InputFunctions.Utility_DisplayArrayInTable(Scope3_SourceData.Scope3_Livestock_Data(), Table_SourceData_Scope3_Animals[[#Headers],[Category]], 0, 2)</f>
        <v>NSW</v>
      </c>
      <c r="G51" s="30" t="str" cm="1">
        <f t="array" ref="G51">Common_InputFunctions.Utility_DisplayArrayInTable(Scope3_SourceData.Scope3_Livestock_Data(), Table_SourceData_Scope3_Animals[[#Headers],[Category]], 0, 2)</f>
        <v>kg liveweight</v>
      </c>
      <c r="H51" s="30" cm="1">
        <f t="array" ref="H51">Common_InputFunctions.Utility_DisplayArrayInTable(Scope3_SourceData.Scope3_Livestock_Data(), Table_SourceData_Scope3_Animals[[#Headers],[Category]], 0, 2)</f>
        <v>12.7</v>
      </c>
      <c r="I51" s="30" t="str" cm="1">
        <f t="array" ref="I51">Common_InputFunctions.Utility_DisplayArrayInTable(Scope3_SourceData.Scope3_Livestock_Data(), Table_SourceData_Scope3_Animals[[#Headers],[Category]], 0, 2)</f>
        <v>at market</v>
      </c>
    </row>
    <row r="52" spans="1:12" ht="20.100000000000001" customHeight="1" x14ac:dyDescent="0.25">
      <c r="A52"/>
      <c r="D52" s="30" t="str" cm="1">
        <f t="array" ref="D52">Common_InputFunctions.Utility_DisplayArrayInTable(Scope3_SourceData.Scope3_Livestock_Data(), Table_SourceData_Scope3_Animals[[#Headers],[Category]], 0, 2)</f>
        <v>Beef cattle</v>
      </c>
      <c r="E52" s="30" t="str" cm="1">
        <f t="array" ref="E52">Common_InputFunctions.Utility_DisplayArrayInTable(Scope3_SourceData.Scope3_Livestock_Data(), Table_SourceData_Scope3_Animals[[#Headers],[Category]], 0, 2)</f>
        <v>Cattle, weaners</v>
      </c>
      <c r="F52" s="30" t="str" cm="1">
        <f t="array" ref="F52">Common_InputFunctions.Utility_DisplayArrayInTable(Scope3_SourceData.Scope3_Livestock_Data(), Table_SourceData_Scope3_Animals[[#Headers],[Category]], 0, 2)</f>
        <v>NT</v>
      </c>
      <c r="G52" s="30" t="str" cm="1">
        <f t="array" ref="G52">Common_InputFunctions.Utility_DisplayArrayInTable(Scope3_SourceData.Scope3_Livestock_Data(), Table_SourceData_Scope3_Animals[[#Headers],[Category]], 0, 2)</f>
        <v>kg liveweight</v>
      </c>
      <c r="H52" s="30" cm="1">
        <f t="array" ref="H52">Common_InputFunctions.Utility_DisplayArrayInTable(Scope3_SourceData.Scope3_Livestock_Data(), Table_SourceData_Scope3_Animals[[#Headers],[Category]], 0, 2)</f>
        <v>19.100000000000001</v>
      </c>
      <c r="I52" s="30" t="str" cm="1">
        <f t="array" ref="I52">Common_InputFunctions.Utility_DisplayArrayInTable(Scope3_SourceData.Scope3_Livestock_Data(), Table_SourceData_Scope3_Animals[[#Headers],[Category]], 0, 2)</f>
        <v>at market</v>
      </c>
    </row>
    <row r="53" spans="1:12" ht="20.100000000000001" customHeight="1" x14ac:dyDescent="0.25">
      <c r="A53"/>
      <c r="D53" s="30" t="str" cm="1">
        <f t="array" ref="D53">Common_InputFunctions.Utility_DisplayArrayInTable(Scope3_SourceData.Scope3_Livestock_Data(), Table_SourceData_Scope3_Animals[[#Headers],[Category]], 0, 2)</f>
        <v>Beef cattle</v>
      </c>
      <c r="E53" s="30" t="str" cm="1">
        <f t="array" ref="E53">Common_InputFunctions.Utility_DisplayArrayInTable(Scope3_SourceData.Scope3_Livestock_Data(), Table_SourceData_Scope3_Animals[[#Headers],[Category]], 0, 2)</f>
        <v>Cattle, weaners</v>
      </c>
      <c r="F53" s="30" t="str" cm="1">
        <f t="array" ref="F53">Common_InputFunctions.Utility_DisplayArrayInTable(Scope3_SourceData.Scope3_Livestock_Data(), Table_SourceData_Scope3_Animals[[#Headers],[Category]], 0, 2)</f>
        <v>QLD</v>
      </c>
      <c r="G53" s="30" t="str" cm="1">
        <f t="array" ref="G53">Common_InputFunctions.Utility_DisplayArrayInTable(Scope3_SourceData.Scope3_Livestock_Data(), Table_SourceData_Scope3_Animals[[#Headers],[Category]], 0, 2)</f>
        <v>kg liveweight</v>
      </c>
      <c r="H53" s="30" cm="1">
        <f t="array" ref="H53">Common_InputFunctions.Utility_DisplayArrayInTable(Scope3_SourceData.Scope3_Livestock_Data(), Table_SourceData_Scope3_Animals[[#Headers],[Category]], 0, 2)</f>
        <v>20.5</v>
      </c>
      <c r="I53" s="30" t="str" cm="1">
        <f t="array" ref="I53">Common_InputFunctions.Utility_DisplayArrayInTable(Scope3_SourceData.Scope3_Livestock_Data(), Table_SourceData_Scope3_Animals[[#Headers],[Category]], 0, 2)</f>
        <v>at market</v>
      </c>
    </row>
    <row r="54" spans="1:12" ht="20.100000000000001" customHeight="1" x14ac:dyDescent="0.25">
      <c r="A54"/>
      <c r="D54" s="30" t="str" cm="1">
        <f t="array" ref="D54">Common_InputFunctions.Utility_DisplayArrayInTable(Scope3_SourceData.Scope3_Livestock_Data(), Table_SourceData_Scope3_Animals[[#Headers],[Category]], 0, 2)</f>
        <v>Beef cattle</v>
      </c>
      <c r="E54" s="30" t="str" cm="1">
        <f t="array" ref="E54">Common_InputFunctions.Utility_DisplayArrayInTable(Scope3_SourceData.Scope3_Livestock_Data(), Table_SourceData_Scope3_Animals[[#Headers],[Category]], 0, 2)</f>
        <v>Cattle, weaners</v>
      </c>
      <c r="F54" s="30" t="str" cm="1">
        <f t="array" ref="F54">Common_InputFunctions.Utility_DisplayArrayInTable(Scope3_SourceData.Scope3_Livestock_Data(), Table_SourceData_Scope3_Animals[[#Headers],[Category]], 0, 2)</f>
        <v>SA</v>
      </c>
      <c r="G54" s="30" t="str" cm="1">
        <f t="array" ref="G54">Common_InputFunctions.Utility_DisplayArrayInTable(Scope3_SourceData.Scope3_Livestock_Data(), Table_SourceData_Scope3_Animals[[#Headers],[Category]], 0, 2)</f>
        <v>kg liveweight</v>
      </c>
      <c r="H54" s="30" cm="1">
        <f t="array" ref="H54">Common_InputFunctions.Utility_DisplayArrayInTable(Scope3_SourceData.Scope3_Livestock_Data(), Table_SourceData_Scope3_Animals[[#Headers],[Category]], 0, 2)</f>
        <v>10.8</v>
      </c>
      <c r="I54" s="30" t="str" cm="1">
        <f t="array" ref="I54">Common_InputFunctions.Utility_DisplayArrayInTable(Scope3_SourceData.Scope3_Livestock_Data(), Table_SourceData_Scope3_Animals[[#Headers],[Category]], 0, 2)</f>
        <v>at market</v>
      </c>
    </row>
    <row r="55" spans="1:12" ht="20.100000000000001" customHeight="1" x14ac:dyDescent="0.25">
      <c r="A55"/>
      <c r="D55" s="30" t="str" cm="1">
        <f t="array" ref="D55">Common_InputFunctions.Utility_DisplayArrayInTable(Scope3_SourceData.Scope3_Livestock_Data(), Table_SourceData_Scope3_Animals[[#Headers],[Category]], 0, 2)</f>
        <v>Beef cattle</v>
      </c>
      <c r="E55" s="30" t="str" cm="1">
        <f t="array" ref="E55">Common_InputFunctions.Utility_DisplayArrayInTable(Scope3_SourceData.Scope3_Livestock_Data(), Table_SourceData_Scope3_Animals[[#Headers],[Category]], 0, 2)</f>
        <v>Cattle, weaners</v>
      </c>
      <c r="F55" s="30" t="str" cm="1">
        <f t="array" ref="F55">Common_InputFunctions.Utility_DisplayArrayInTable(Scope3_SourceData.Scope3_Livestock_Data(), Table_SourceData_Scope3_Animals[[#Headers],[Category]], 0, 2)</f>
        <v>TAS</v>
      </c>
      <c r="G55" s="30" t="str" cm="1">
        <f t="array" ref="G55">Common_InputFunctions.Utility_DisplayArrayInTable(Scope3_SourceData.Scope3_Livestock_Data(), Table_SourceData_Scope3_Animals[[#Headers],[Category]], 0, 2)</f>
        <v>kg liveweight</v>
      </c>
      <c r="H55" s="30" cm="1">
        <f t="array" ref="H55">Common_InputFunctions.Utility_DisplayArrayInTable(Scope3_SourceData.Scope3_Livestock_Data(), Table_SourceData_Scope3_Animals[[#Headers],[Category]], 0, 2)</f>
        <v>13.4</v>
      </c>
      <c r="I55" s="30" t="str" cm="1">
        <f t="array" ref="I55">Common_InputFunctions.Utility_DisplayArrayInTable(Scope3_SourceData.Scope3_Livestock_Data(), Table_SourceData_Scope3_Animals[[#Headers],[Category]], 0, 2)</f>
        <v>at market</v>
      </c>
    </row>
    <row r="56" spans="1:12" ht="20.100000000000001" customHeight="1" x14ac:dyDescent="0.25">
      <c r="A56"/>
      <c r="D56" s="30" t="str" cm="1">
        <f t="array" ref="D56">Common_InputFunctions.Utility_DisplayArrayInTable(Scope3_SourceData.Scope3_Livestock_Data(), Table_SourceData_Scope3_Animals[[#Headers],[Category]], 0, 2)</f>
        <v>Beef cattle</v>
      </c>
      <c r="E56" s="30" t="str" cm="1">
        <f t="array" ref="E56">Common_InputFunctions.Utility_DisplayArrayInTable(Scope3_SourceData.Scope3_Livestock_Data(), Table_SourceData_Scope3_Animals[[#Headers],[Category]], 0, 2)</f>
        <v>Cattle, weaners</v>
      </c>
      <c r="F56" s="30" t="str" cm="1">
        <f t="array" ref="F56">Common_InputFunctions.Utility_DisplayArrayInTable(Scope3_SourceData.Scope3_Livestock_Data(), Table_SourceData_Scope3_Animals[[#Headers],[Category]], 0, 2)</f>
        <v>VIC</v>
      </c>
      <c r="G56" s="30" t="str" cm="1">
        <f t="array" ref="G56">Common_InputFunctions.Utility_DisplayArrayInTable(Scope3_SourceData.Scope3_Livestock_Data(), Table_SourceData_Scope3_Animals[[#Headers],[Category]], 0, 2)</f>
        <v>kg liveweight</v>
      </c>
      <c r="H56" s="30" cm="1">
        <f t="array" ref="H56">Common_InputFunctions.Utility_DisplayArrayInTable(Scope3_SourceData.Scope3_Livestock_Data(), Table_SourceData_Scope3_Animals[[#Headers],[Category]], 0, 2)</f>
        <v>12</v>
      </c>
      <c r="I56" s="30" t="str" cm="1">
        <f t="array" ref="I56">Common_InputFunctions.Utility_DisplayArrayInTable(Scope3_SourceData.Scope3_Livestock_Data(), Table_SourceData_Scope3_Animals[[#Headers],[Category]], 0, 2)</f>
        <v>at market</v>
      </c>
    </row>
    <row r="57" spans="1:12" ht="20.100000000000001" customHeight="1" x14ac:dyDescent="0.25">
      <c r="A57"/>
      <c r="D57" s="30" t="str" cm="1">
        <f t="array" ref="D57">Common_InputFunctions.Utility_DisplayArrayInTable(Scope3_SourceData.Scope3_Livestock_Data(), Table_SourceData_Scope3_Animals[[#Headers],[Category]], 0, 2)</f>
        <v>Beef cattle</v>
      </c>
      <c r="E57" s="30" t="str" cm="1">
        <f t="array" ref="E57">Common_InputFunctions.Utility_DisplayArrayInTable(Scope3_SourceData.Scope3_Livestock_Data(), Table_SourceData_Scope3_Animals[[#Headers],[Category]], 0, 2)</f>
        <v>Cattle, weaners</v>
      </c>
      <c r="F57" s="30" t="str" cm="1">
        <f t="array" ref="F57">Common_InputFunctions.Utility_DisplayArrayInTable(Scope3_SourceData.Scope3_Livestock_Data(), Table_SourceData_Scope3_Animals[[#Headers],[Category]], 0, 2)</f>
        <v>WA</v>
      </c>
      <c r="G57" s="30" t="str" cm="1">
        <f t="array" ref="G57">Common_InputFunctions.Utility_DisplayArrayInTable(Scope3_SourceData.Scope3_Livestock_Data(), Table_SourceData_Scope3_Animals[[#Headers],[Category]], 0, 2)</f>
        <v>kg liveweight</v>
      </c>
      <c r="H57" s="30" cm="1">
        <f t="array" ref="H57">Common_InputFunctions.Utility_DisplayArrayInTable(Scope3_SourceData.Scope3_Livestock_Data(), Table_SourceData_Scope3_Animals[[#Headers],[Category]], 0, 2)</f>
        <v>12.4</v>
      </c>
      <c r="I57" s="30" t="str" cm="1">
        <f t="array" ref="I57">Common_InputFunctions.Utility_DisplayArrayInTable(Scope3_SourceData.Scope3_Livestock_Data(), Table_SourceData_Scope3_Animals[[#Headers],[Category]], 0, 2)</f>
        <v>at market</v>
      </c>
    </row>
    <row r="58" spans="1:12" ht="20.100000000000001" customHeight="1" x14ac:dyDescent="0.25">
      <c r="A58"/>
      <c r="D58" s="30" t="str" cm="1">
        <f t="array" ref="D58">Common_InputFunctions.Utility_DisplayArrayInTable(Scope3_SourceData.Scope3_Livestock_Data(), Table_SourceData_Scope3_Animals[[#Headers],[Category]], 0, 2)</f>
        <v>Chickens</v>
      </c>
      <c r="E58" s="30" t="str" cm="1">
        <f t="array" ref="E58">Common_InputFunctions.Utility_DisplayArrayInTable(Scope3_SourceData.Scope3_Livestock_Data(), Table_SourceData_Scope3_Animals[[#Headers],[Category]], 0, 2)</f>
        <v>Chickens</v>
      </c>
      <c r="F58" s="30" t="str" cm="1">
        <f t="array" ref="F58">Common_InputFunctions.Utility_DisplayArrayInTable(Scope3_SourceData.Scope3_Livestock_Data(), Table_SourceData_Scope3_Animals[[#Headers],[Category]], 0, 2)</f>
        <v>Australia</v>
      </c>
      <c r="G58" s="30" t="str" cm="1">
        <f t="array" ref="G58">Common_InputFunctions.Utility_DisplayArrayInTable(Scope3_SourceData.Scope3_Livestock_Data(), Table_SourceData_Scope3_Animals[[#Headers],[Category]], 0, 2)</f>
        <v>kg liveweight</v>
      </c>
      <c r="H58" s="30" cm="1">
        <f t="array" ref="H58">Common_InputFunctions.Utility_DisplayArrayInTable(Scope3_SourceData.Scope3_Livestock_Data(), Table_SourceData_Scope3_Animals[[#Headers],[Category]], 0, 2)</f>
        <v>1.36</v>
      </c>
      <c r="I58" s="30" t="str" cm="1">
        <f t="array" ref="I58">Common_InputFunctions.Utility_DisplayArrayInTable(Scope3_SourceData.Scope3_Livestock_Data(), Table_SourceData_Scope3_Animals[[#Headers],[Category]], 0, 2)</f>
        <v>at market</v>
      </c>
    </row>
    <row r="59" spans="1:12" ht="20.100000000000001" customHeight="1" x14ac:dyDescent="0.25">
      <c r="A59"/>
      <c r="D59" s="30" t="str" cm="1">
        <f t="array" ref="D59">Common_InputFunctions.Utility_DisplayArrayInTable(Scope3_SourceData.Scope3_Livestock_Data(), Table_SourceData_Scope3_Animals[[#Headers],[Category]], 0, 2)</f>
        <v>Dairy cattle</v>
      </c>
      <c r="E59" s="30" t="str" cm="1">
        <f t="array" ref="E59">Common_InputFunctions.Utility_DisplayArrayInTable(Scope3_SourceData.Scope3_Livestock_Data(), Table_SourceData_Scope3_Animals[[#Headers],[Category]], 0, 2)</f>
        <v>Dairy cows</v>
      </c>
      <c r="F59" s="30" t="str" cm="1">
        <f t="array" ref="F59">Common_InputFunctions.Utility_DisplayArrayInTable(Scope3_SourceData.Scope3_Livestock_Data(), Table_SourceData_Scope3_Animals[[#Headers],[Category]], 0, 2)</f>
        <v>VIC</v>
      </c>
      <c r="G59" s="30" t="str" cm="1">
        <f t="array" ref="G59">Common_InputFunctions.Utility_DisplayArrayInTable(Scope3_SourceData.Scope3_Livestock_Data(), Table_SourceData_Scope3_Animals[[#Headers],[Category]], 0, 2)</f>
        <v>kg liveweight</v>
      </c>
      <c r="H59" s="30" cm="1">
        <f t="array" ref="H59">Common_InputFunctions.Utility_DisplayArrayInTable(Scope3_SourceData.Scope3_Livestock_Data(), Table_SourceData_Scope3_Animals[[#Headers],[Category]], 0, 2)</f>
        <v>4.41</v>
      </c>
      <c r="I59" s="30" t="str" cm="1">
        <f t="array" ref="I59">Common_InputFunctions.Utility_DisplayArrayInTable(Scope3_SourceData.Scope3_Livestock_Data(), Table_SourceData_Scope3_Animals[[#Headers],[Category]], 0, 2)</f>
        <v>at market</v>
      </c>
    </row>
    <row r="60" spans="1:12" ht="20.100000000000001" customHeight="1" x14ac:dyDescent="0.25">
      <c r="A60"/>
      <c r="D60" s="30" t="str" cm="1">
        <f t="array" ref="D60">Common_InputFunctions.Utility_DisplayArrayInTable(Scope3_SourceData.Scope3_Livestock_Data(), Table_SourceData_Scope3_Animals[[#Headers],[Category]], 0, 2)</f>
        <v>Pigs</v>
      </c>
      <c r="E60" s="30" t="str" cm="1">
        <f t="array" ref="E60">Common_InputFunctions.Utility_DisplayArrayInTable(Scope3_SourceData.Scope3_Livestock_Data(), Table_SourceData_Scope3_Animals[[#Headers],[Category]], 0, 2)</f>
        <v>Pigs</v>
      </c>
      <c r="F60" s="30" t="str" cm="1">
        <f t="array" ref="F60">Common_InputFunctions.Utility_DisplayArrayInTable(Scope3_SourceData.Scope3_Livestock_Data(), Table_SourceData_Scope3_Animals[[#Headers],[Category]], 0, 2)</f>
        <v>Australia</v>
      </c>
      <c r="G60" s="30" t="str" cm="1">
        <f t="array" ref="G60">Common_InputFunctions.Utility_DisplayArrayInTable(Scope3_SourceData.Scope3_Livestock_Data(), Table_SourceData_Scope3_Animals[[#Headers],[Category]], 0, 2)</f>
        <v>kg liveweight</v>
      </c>
      <c r="H60" s="30" cm="1">
        <f t="array" ref="H60">Common_InputFunctions.Utility_DisplayArrayInTable(Scope3_SourceData.Scope3_Livestock_Data(), Table_SourceData_Scope3_Animals[[#Headers],[Category]], 0, 2)</f>
        <v>3.38</v>
      </c>
      <c r="I60" s="30" t="str" cm="1">
        <f t="array" ref="I60">Common_InputFunctions.Utility_DisplayArrayInTable(Scope3_SourceData.Scope3_Livestock_Data(), Table_SourceData_Scope3_Animals[[#Headers],[Category]], 0, 2)</f>
        <v>at market</v>
      </c>
    </row>
    <row r="61" spans="1:12" ht="20.100000000000001" customHeight="1" x14ac:dyDescent="0.25">
      <c r="A61"/>
      <c r="D61" s="30" t="str" cm="1">
        <f t="array" ref="D61">Common_InputFunctions.Utility_DisplayArrayInTable(Scope3_SourceData.Scope3_Livestock_Data(), Table_SourceData_Scope3_Animals[[#Headers],[Category]], 0, 2)</f>
        <v>Sheep</v>
      </c>
      <c r="E61" s="30" t="str" cm="1">
        <f t="array" ref="E61">Common_InputFunctions.Utility_DisplayArrayInTable(Scope3_SourceData.Scope3_Livestock_Data(), Table_SourceData_Scope3_Animals[[#Headers],[Category]], 0, 2)</f>
        <v>Sheep, for mutton</v>
      </c>
      <c r="F61" s="30" t="str" cm="1">
        <f t="array" ref="F61">Common_InputFunctions.Utility_DisplayArrayInTable(Scope3_SourceData.Scope3_Livestock_Data(), Table_SourceData_Scope3_Animals[[#Headers],[Category]], 0, 2)</f>
        <v>Australia</v>
      </c>
      <c r="G61" s="30" t="str" cm="1">
        <f t="array" ref="G61">Common_InputFunctions.Utility_DisplayArrayInTable(Scope3_SourceData.Scope3_Livestock_Data(), Table_SourceData_Scope3_Animals[[#Headers],[Category]], 0, 2)</f>
        <v>kg liveweight</v>
      </c>
      <c r="H61" s="30" cm="1">
        <f t="array" ref="H61">Common_InputFunctions.Utility_DisplayArrayInTable(Scope3_SourceData.Scope3_Livestock_Data(), Table_SourceData_Scope3_Animals[[#Headers],[Category]], 0, 2)</f>
        <v>6.81</v>
      </c>
      <c r="I61" s="30" t="str" cm="1">
        <f t="array" ref="I61">Common_InputFunctions.Utility_DisplayArrayInTable(Scope3_SourceData.Scope3_Livestock_Data(), Table_SourceData_Scope3_Animals[[#Headers],[Category]], 0, 2)</f>
        <v>at market</v>
      </c>
    </row>
    <row r="62" spans="1:12" ht="20.100000000000001" customHeight="1" x14ac:dyDescent="0.25">
      <c r="A62"/>
      <c r="D62" s="30" t="str" cm="1">
        <f t="array" ref="D62">Common_InputFunctions.Utility_DisplayArrayInTable(Scope3_SourceData.Scope3_Livestock_Data(), Table_SourceData_Scope3_Animals[[#Headers],[Category]], 0, 2)</f>
        <v>Sheep</v>
      </c>
      <c r="E62" s="30" t="str" cm="1">
        <f t="array" ref="E62">Common_InputFunctions.Utility_DisplayArrayInTable(Scope3_SourceData.Scope3_Livestock_Data(), Table_SourceData_Scope3_Animals[[#Headers],[Category]], 0, 2)</f>
        <v>Sheep, for mutton</v>
      </c>
      <c r="F62" s="30" t="str" cm="1">
        <f t="array" ref="F62">Common_InputFunctions.Utility_DisplayArrayInTable(Scope3_SourceData.Scope3_Livestock_Data(), Table_SourceData_Scope3_Animals[[#Headers],[Category]], 0, 2)</f>
        <v>NSW</v>
      </c>
      <c r="G62" s="30" t="str" cm="1">
        <f t="array" ref="G62">Common_InputFunctions.Utility_DisplayArrayInTable(Scope3_SourceData.Scope3_Livestock_Data(), Table_SourceData_Scope3_Animals[[#Headers],[Category]], 0, 2)</f>
        <v>kg liveweight</v>
      </c>
      <c r="H62" s="30" cm="1">
        <f t="array" ref="H62">Common_InputFunctions.Utility_DisplayArrayInTable(Scope3_SourceData.Scope3_Livestock_Data(), Table_SourceData_Scope3_Animals[[#Headers],[Category]], 0, 2)</f>
        <v>2.2599999999999998</v>
      </c>
      <c r="I62" s="30" t="str" cm="1">
        <f t="array" ref="I62">Common_InputFunctions.Utility_DisplayArrayInTable(Scope3_SourceData.Scope3_Livestock_Data(), Table_SourceData_Scope3_Animals[[#Headers],[Category]], 0, 2)</f>
        <v>at market</v>
      </c>
    </row>
    <row r="63" spans="1:12" ht="20.100000000000001" customHeight="1" x14ac:dyDescent="0.25">
      <c r="A63"/>
      <c r="D63" s="30" t="str" cm="1">
        <f t="array" ref="D63">Common_InputFunctions.Utility_DisplayArrayInTable(Scope3_SourceData.Scope3_Livestock_Data(), Table_SourceData_Scope3_Animals[[#Headers],[Category]], 0, 2)</f>
        <v>Sheep</v>
      </c>
      <c r="E63" s="30" t="str" cm="1">
        <f t="array" ref="E63">Common_InputFunctions.Utility_DisplayArrayInTable(Scope3_SourceData.Scope3_Livestock_Data(), Table_SourceData_Scope3_Animals[[#Headers],[Category]], 0, 2)</f>
        <v>Sheep, for mutton</v>
      </c>
      <c r="F63" s="30" t="str" cm="1">
        <f t="array" ref="F63">Common_InputFunctions.Utility_DisplayArrayInTable(Scope3_SourceData.Scope3_Livestock_Data(), Table_SourceData_Scope3_Animals[[#Headers],[Category]], 0, 2)</f>
        <v>QLD</v>
      </c>
      <c r="G63" s="30" t="str" cm="1">
        <f t="array" ref="G63">Common_InputFunctions.Utility_DisplayArrayInTable(Scope3_SourceData.Scope3_Livestock_Data(), Table_SourceData_Scope3_Animals[[#Headers],[Category]], 0, 2)</f>
        <v>kg liveweight</v>
      </c>
      <c r="H63" s="30" cm="1">
        <f t="array" ref="H63">Common_InputFunctions.Utility_DisplayArrayInTable(Scope3_SourceData.Scope3_Livestock_Data(), Table_SourceData_Scope3_Animals[[#Headers],[Category]], 0, 2)</f>
        <v>6.33</v>
      </c>
      <c r="I63" s="30" t="str" cm="1">
        <f t="array" ref="I63">Common_InputFunctions.Utility_DisplayArrayInTable(Scope3_SourceData.Scope3_Livestock_Data(), Table_SourceData_Scope3_Animals[[#Headers],[Category]], 0, 2)</f>
        <v>at market</v>
      </c>
    </row>
    <row r="64" spans="1:12" ht="20.100000000000001" customHeight="1" x14ac:dyDescent="0.25">
      <c r="A64"/>
      <c r="D64" s="30" t="str" cm="1">
        <f t="array" ref="D64">Common_InputFunctions.Utility_DisplayArrayInTable(Scope3_SourceData.Scope3_Livestock_Data(), Table_SourceData_Scope3_Animals[[#Headers],[Category]], 0, 2)</f>
        <v>Sheep</v>
      </c>
      <c r="E64" s="30" t="str" cm="1">
        <f t="array" ref="E64">Common_InputFunctions.Utility_DisplayArrayInTable(Scope3_SourceData.Scope3_Livestock_Data(), Table_SourceData_Scope3_Animals[[#Headers],[Category]], 0, 2)</f>
        <v>Sheep, for mutton</v>
      </c>
      <c r="F64" s="30" t="str" cm="1">
        <f t="array" ref="F64">Common_InputFunctions.Utility_DisplayArrayInTable(Scope3_SourceData.Scope3_Livestock_Data(), Table_SourceData_Scope3_Animals[[#Headers],[Category]], 0, 2)</f>
        <v>SA</v>
      </c>
      <c r="G64" s="30" t="str" cm="1">
        <f t="array" ref="G64">Common_InputFunctions.Utility_DisplayArrayInTable(Scope3_SourceData.Scope3_Livestock_Data(), Table_SourceData_Scope3_Animals[[#Headers],[Category]], 0, 2)</f>
        <v>kg liveweight</v>
      </c>
      <c r="H64" s="30" cm="1">
        <f t="array" ref="H64">Common_InputFunctions.Utility_DisplayArrayInTable(Scope3_SourceData.Scope3_Livestock_Data(), Table_SourceData_Scope3_Animals[[#Headers],[Category]], 0, 2)</f>
        <v>6.18</v>
      </c>
      <c r="I64" s="30" t="str" cm="1">
        <f t="array" ref="I64">Common_InputFunctions.Utility_DisplayArrayInTable(Scope3_SourceData.Scope3_Livestock_Data(), Table_SourceData_Scope3_Animals[[#Headers],[Category]], 0, 2)</f>
        <v>at market</v>
      </c>
    </row>
    <row r="65" spans="1:9" ht="20.100000000000001" customHeight="1" x14ac:dyDescent="0.25">
      <c r="A65"/>
      <c r="D65" s="30" t="str" cm="1">
        <f t="array" ref="D65">Common_InputFunctions.Utility_DisplayArrayInTable(Scope3_SourceData.Scope3_Livestock_Data(), Table_SourceData_Scope3_Animals[[#Headers],[Category]], 0, 2)</f>
        <v>Sheep</v>
      </c>
      <c r="E65" s="30" t="str" cm="1">
        <f t="array" ref="E65">Common_InputFunctions.Utility_DisplayArrayInTable(Scope3_SourceData.Scope3_Livestock_Data(), Table_SourceData_Scope3_Animals[[#Headers],[Category]], 0, 2)</f>
        <v>Sheep, for mutton</v>
      </c>
      <c r="F65" s="30" t="str" cm="1">
        <f t="array" ref="F65">Common_InputFunctions.Utility_DisplayArrayInTable(Scope3_SourceData.Scope3_Livestock_Data(), Table_SourceData_Scope3_Animals[[#Headers],[Category]], 0, 2)</f>
        <v>TAS</v>
      </c>
      <c r="G65" s="30" t="str" cm="1">
        <f t="array" ref="G65">Common_InputFunctions.Utility_DisplayArrayInTable(Scope3_SourceData.Scope3_Livestock_Data(), Table_SourceData_Scope3_Animals[[#Headers],[Category]], 0, 2)</f>
        <v>kg liveweight</v>
      </c>
      <c r="H65" s="30" cm="1">
        <f t="array" ref="H65">Common_InputFunctions.Utility_DisplayArrayInTable(Scope3_SourceData.Scope3_Livestock_Data(), Table_SourceData_Scope3_Animals[[#Headers],[Category]], 0, 2)</f>
        <v>7.5</v>
      </c>
      <c r="I65" s="30" t="str" cm="1">
        <f t="array" ref="I65">Common_InputFunctions.Utility_DisplayArrayInTable(Scope3_SourceData.Scope3_Livestock_Data(), Table_SourceData_Scope3_Animals[[#Headers],[Category]], 0, 2)</f>
        <v>at market</v>
      </c>
    </row>
    <row r="66" spans="1:9" ht="20.100000000000001" customHeight="1" x14ac:dyDescent="0.25">
      <c r="A66"/>
      <c r="D66" s="30" t="str" cm="1">
        <f t="array" ref="D66">Common_InputFunctions.Utility_DisplayArrayInTable(Scope3_SourceData.Scope3_Livestock_Data(), Table_SourceData_Scope3_Animals[[#Headers],[Category]], 0, 2)</f>
        <v>Sheep</v>
      </c>
      <c r="E66" s="30" t="str" cm="1">
        <f t="array" ref="E66">Common_InputFunctions.Utility_DisplayArrayInTable(Scope3_SourceData.Scope3_Livestock_Data(), Table_SourceData_Scope3_Animals[[#Headers],[Category]], 0, 2)</f>
        <v>Sheep, for mutton</v>
      </c>
      <c r="F66" s="30" t="str" cm="1">
        <f t="array" ref="F66">Common_InputFunctions.Utility_DisplayArrayInTable(Scope3_SourceData.Scope3_Livestock_Data(), Table_SourceData_Scope3_Animals[[#Headers],[Category]], 0, 2)</f>
        <v>VIC</v>
      </c>
      <c r="G66" s="30" t="str" cm="1">
        <f t="array" ref="G66">Common_InputFunctions.Utility_DisplayArrayInTable(Scope3_SourceData.Scope3_Livestock_Data(), Table_SourceData_Scope3_Animals[[#Headers],[Category]], 0, 2)</f>
        <v>kg liveweight</v>
      </c>
      <c r="H66" s="30" cm="1">
        <f t="array" ref="H66">Common_InputFunctions.Utility_DisplayArrayInTable(Scope3_SourceData.Scope3_Livestock_Data(), Table_SourceData_Scope3_Animals[[#Headers],[Category]], 0, 2)</f>
        <v>8.08</v>
      </c>
      <c r="I66" s="30" t="str" cm="1">
        <f t="array" ref="I66">Common_InputFunctions.Utility_DisplayArrayInTable(Scope3_SourceData.Scope3_Livestock_Data(), Table_SourceData_Scope3_Animals[[#Headers],[Category]], 0, 2)</f>
        <v>at market</v>
      </c>
    </row>
    <row r="67" spans="1:9" ht="20.100000000000001" customHeight="1" x14ac:dyDescent="0.25">
      <c r="A67"/>
      <c r="D67" s="30" t="str" cm="1">
        <f t="array" ref="D67">Common_InputFunctions.Utility_DisplayArrayInTable(Scope3_SourceData.Scope3_Livestock_Data(), Table_SourceData_Scope3_Animals[[#Headers],[Category]], 0, 2)</f>
        <v>Sheep</v>
      </c>
      <c r="E67" s="30" t="str" cm="1">
        <f t="array" ref="E67">Common_InputFunctions.Utility_DisplayArrayInTable(Scope3_SourceData.Scope3_Livestock_Data(), Table_SourceData_Scope3_Animals[[#Headers],[Category]], 0, 2)</f>
        <v>Sheep, for mutton</v>
      </c>
      <c r="F67" s="30" t="str" cm="1">
        <f t="array" ref="F67">Common_InputFunctions.Utility_DisplayArrayInTable(Scope3_SourceData.Scope3_Livestock_Data(), Table_SourceData_Scope3_Animals[[#Headers],[Category]], 0, 2)</f>
        <v>WA</v>
      </c>
      <c r="G67" s="30" t="str" cm="1">
        <f t="array" ref="G67">Common_InputFunctions.Utility_DisplayArrayInTable(Scope3_SourceData.Scope3_Livestock_Data(), Table_SourceData_Scope3_Animals[[#Headers],[Category]], 0, 2)</f>
        <v>kg liveweight</v>
      </c>
      <c r="H67" s="30" cm="1">
        <f t="array" ref="H67">Common_InputFunctions.Utility_DisplayArrayInTable(Scope3_SourceData.Scope3_Livestock_Data(), Table_SourceData_Scope3_Animals[[#Headers],[Category]], 0, 2)</f>
        <v>5.45</v>
      </c>
      <c r="I67" s="30" t="str" cm="1">
        <f t="array" ref="I67">Common_InputFunctions.Utility_DisplayArrayInTable(Scope3_SourceData.Scope3_Livestock_Data(), Table_SourceData_Scope3_Animals[[#Headers],[Category]], 0, 2)</f>
        <v>at market</v>
      </c>
    </row>
    <row r="68" spans="1:9" ht="20.100000000000001" customHeight="1" x14ac:dyDescent="0.25">
      <c r="A68"/>
      <c r="D68" s="30" t="str" cm="1">
        <f t="array" ref="D68">Common_InputFunctions.Utility_DisplayArrayInTable(Scope3_SourceData.Scope3_Livestock_Data(), Table_SourceData_Scope3_Animals[[#Headers],[Category]], 0, 2)</f>
        <v>Sheep</v>
      </c>
      <c r="E68" s="30" t="str" cm="1">
        <f t="array" ref="E68">Common_InputFunctions.Utility_DisplayArrayInTable(Scope3_SourceData.Scope3_Livestock_Data(), Table_SourceData_Scope3_Animals[[#Headers],[Category]], 0, 2)</f>
        <v>Sheep, for prime lamb</v>
      </c>
      <c r="F68" s="30" t="str" cm="1">
        <f t="array" ref="F68">Common_InputFunctions.Utility_DisplayArrayInTable(Scope3_SourceData.Scope3_Livestock_Data(), Table_SourceData_Scope3_Animals[[#Headers],[Category]], 0, 2)</f>
        <v>Australia</v>
      </c>
      <c r="G68" s="30" t="str" cm="1">
        <f t="array" ref="G68">Common_InputFunctions.Utility_DisplayArrayInTable(Scope3_SourceData.Scope3_Livestock_Data(), Table_SourceData_Scope3_Animals[[#Headers],[Category]], 0, 2)</f>
        <v>kg liveweight</v>
      </c>
      <c r="H68" s="30" cm="1">
        <f t="array" ref="H68">Common_InputFunctions.Utility_DisplayArrayInTable(Scope3_SourceData.Scope3_Livestock_Data(), Table_SourceData_Scope3_Animals[[#Headers],[Category]], 0, 2)</f>
        <v>7.15</v>
      </c>
      <c r="I68" s="30" t="str" cm="1">
        <f t="array" ref="I68">Common_InputFunctions.Utility_DisplayArrayInTable(Scope3_SourceData.Scope3_Livestock_Data(), Table_SourceData_Scope3_Animals[[#Headers],[Category]], 0, 2)</f>
        <v>at market</v>
      </c>
    </row>
    <row r="69" spans="1:9" ht="20.100000000000001" customHeight="1" x14ac:dyDescent="0.25">
      <c r="A69"/>
      <c r="D69" s="30" t="str" cm="1">
        <f t="array" ref="D69">Common_InputFunctions.Utility_DisplayArrayInTable(Scope3_SourceData.Scope3_Livestock_Data(), Table_SourceData_Scope3_Animals[[#Headers],[Category]], 0, 2)</f>
        <v>Sheep</v>
      </c>
      <c r="E69" s="30" t="str" cm="1">
        <f t="array" ref="E69">Common_InputFunctions.Utility_DisplayArrayInTable(Scope3_SourceData.Scope3_Livestock_Data(), Table_SourceData_Scope3_Animals[[#Headers],[Category]], 0, 2)</f>
        <v>Sheep, for prime lamb</v>
      </c>
      <c r="F69" s="30" t="str" cm="1">
        <f t="array" ref="F69">Common_InputFunctions.Utility_DisplayArrayInTable(Scope3_SourceData.Scope3_Livestock_Data(), Table_SourceData_Scope3_Animals[[#Headers],[Category]], 0, 2)</f>
        <v>NSW</v>
      </c>
      <c r="G69" s="30" t="str" cm="1">
        <f t="array" ref="G69">Common_InputFunctions.Utility_DisplayArrayInTable(Scope3_SourceData.Scope3_Livestock_Data(), Table_SourceData_Scope3_Animals[[#Headers],[Category]], 0, 2)</f>
        <v>kg liveweight</v>
      </c>
      <c r="H69" s="30" cm="1">
        <f t="array" ref="H69">Common_InputFunctions.Utility_DisplayArrayInTable(Scope3_SourceData.Scope3_Livestock_Data(), Table_SourceData_Scope3_Animals[[#Headers],[Category]], 0, 2)</f>
        <v>8.2899999999999991</v>
      </c>
      <c r="I69" s="30" t="str" cm="1">
        <f t="array" ref="I69">Common_InputFunctions.Utility_DisplayArrayInTable(Scope3_SourceData.Scope3_Livestock_Data(), Table_SourceData_Scope3_Animals[[#Headers],[Category]], 0, 2)</f>
        <v>at market</v>
      </c>
    </row>
    <row r="70" spans="1:9" ht="20.100000000000001" customHeight="1" x14ac:dyDescent="0.25">
      <c r="A70"/>
      <c r="D70" s="30" t="str" cm="1">
        <f t="array" ref="D70">Common_InputFunctions.Utility_DisplayArrayInTable(Scope3_SourceData.Scope3_Livestock_Data(), Table_SourceData_Scope3_Animals[[#Headers],[Category]], 0, 2)</f>
        <v>Sheep</v>
      </c>
      <c r="E70" s="30" t="str" cm="1">
        <f t="array" ref="E70">Common_InputFunctions.Utility_DisplayArrayInTable(Scope3_SourceData.Scope3_Livestock_Data(), Table_SourceData_Scope3_Animals[[#Headers],[Category]], 0, 2)</f>
        <v>Sheep, for prime lamb</v>
      </c>
      <c r="F70" s="30" t="str" cm="1">
        <f t="array" ref="F70">Common_InputFunctions.Utility_DisplayArrayInTable(Scope3_SourceData.Scope3_Livestock_Data(), Table_SourceData_Scope3_Animals[[#Headers],[Category]], 0, 2)</f>
        <v>QLD</v>
      </c>
      <c r="G70" s="30" t="str" cm="1">
        <f t="array" ref="G70">Common_InputFunctions.Utility_DisplayArrayInTable(Scope3_SourceData.Scope3_Livestock_Data(), Table_SourceData_Scope3_Animals[[#Headers],[Category]], 0, 2)</f>
        <v>kg liveweight</v>
      </c>
      <c r="H70" s="30" cm="1">
        <f t="array" ref="H70">Common_InputFunctions.Utility_DisplayArrayInTable(Scope3_SourceData.Scope3_Livestock_Data(), Table_SourceData_Scope3_Animals[[#Headers],[Category]], 0, 2)</f>
        <v>6.39</v>
      </c>
      <c r="I70" s="30" t="str" cm="1">
        <f t="array" ref="I70">Common_InputFunctions.Utility_DisplayArrayInTable(Scope3_SourceData.Scope3_Livestock_Data(), Table_SourceData_Scope3_Animals[[#Headers],[Category]], 0, 2)</f>
        <v>at market</v>
      </c>
    </row>
    <row r="71" spans="1:9" ht="20.100000000000001" customHeight="1" x14ac:dyDescent="0.25">
      <c r="A71"/>
      <c r="D71" s="30" t="str" cm="1">
        <f t="array" ref="D71">Common_InputFunctions.Utility_DisplayArrayInTable(Scope3_SourceData.Scope3_Livestock_Data(), Table_SourceData_Scope3_Animals[[#Headers],[Category]], 0, 2)</f>
        <v>Sheep</v>
      </c>
      <c r="E71" s="30" t="str" cm="1">
        <f t="array" ref="E71">Common_InputFunctions.Utility_DisplayArrayInTable(Scope3_SourceData.Scope3_Livestock_Data(), Table_SourceData_Scope3_Animals[[#Headers],[Category]], 0, 2)</f>
        <v>Sheep, for prime lamb</v>
      </c>
      <c r="F71" s="30" t="str" cm="1">
        <f t="array" ref="F71">Common_InputFunctions.Utility_DisplayArrayInTable(Scope3_SourceData.Scope3_Livestock_Data(), Table_SourceData_Scope3_Animals[[#Headers],[Category]], 0, 2)</f>
        <v>SA</v>
      </c>
      <c r="G71" s="30" t="str" cm="1">
        <f t="array" ref="G71">Common_InputFunctions.Utility_DisplayArrayInTable(Scope3_SourceData.Scope3_Livestock_Data(), Table_SourceData_Scope3_Animals[[#Headers],[Category]], 0, 2)</f>
        <v>kg liveweight</v>
      </c>
      <c r="H71" s="30" cm="1">
        <f t="array" ref="H71">Common_InputFunctions.Utility_DisplayArrayInTable(Scope3_SourceData.Scope3_Livestock_Data(), Table_SourceData_Scope3_Animals[[#Headers],[Category]], 0, 2)</f>
        <v>6.87</v>
      </c>
      <c r="I71" s="30" t="str" cm="1">
        <f t="array" ref="I71">Common_InputFunctions.Utility_DisplayArrayInTable(Scope3_SourceData.Scope3_Livestock_Data(), Table_SourceData_Scope3_Animals[[#Headers],[Category]], 0, 2)</f>
        <v>at market</v>
      </c>
    </row>
    <row r="72" spans="1:9" ht="20.100000000000001" customHeight="1" x14ac:dyDescent="0.25">
      <c r="A72"/>
      <c r="D72" s="30" t="str" cm="1">
        <f t="array" ref="D72">Common_InputFunctions.Utility_DisplayArrayInTable(Scope3_SourceData.Scope3_Livestock_Data(), Table_SourceData_Scope3_Animals[[#Headers],[Category]], 0, 2)</f>
        <v>Sheep</v>
      </c>
      <c r="E72" s="30" t="str" cm="1">
        <f t="array" ref="E72">Common_InputFunctions.Utility_DisplayArrayInTable(Scope3_SourceData.Scope3_Livestock_Data(), Table_SourceData_Scope3_Animals[[#Headers],[Category]], 0, 2)</f>
        <v>Sheep, for prime lamb</v>
      </c>
      <c r="F72" s="30" t="str" cm="1">
        <f t="array" ref="F72">Common_InputFunctions.Utility_DisplayArrayInTable(Scope3_SourceData.Scope3_Livestock_Data(), Table_SourceData_Scope3_Animals[[#Headers],[Category]], 0, 2)</f>
        <v>TAS</v>
      </c>
      <c r="G72" s="30" t="str" cm="1">
        <f t="array" ref="G72">Common_InputFunctions.Utility_DisplayArrayInTable(Scope3_SourceData.Scope3_Livestock_Data(), Table_SourceData_Scope3_Animals[[#Headers],[Category]], 0, 2)</f>
        <v>kg liveweight</v>
      </c>
      <c r="H72" s="30" cm="1">
        <f t="array" ref="H72">Common_InputFunctions.Utility_DisplayArrayInTable(Scope3_SourceData.Scope3_Livestock_Data(), Table_SourceData_Scope3_Animals[[#Headers],[Category]], 0, 2)</f>
        <v>8.66</v>
      </c>
      <c r="I72" s="30" t="str" cm="1">
        <f t="array" ref="I72">Common_InputFunctions.Utility_DisplayArrayInTable(Scope3_SourceData.Scope3_Livestock_Data(), Table_SourceData_Scope3_Animals[[#Headers],[Category]], 0, 2)</f>
        <v>at market</v>
      </c>
    </row>
    <row r="73" spans="1:9" ht="20.100000000000001" customHeight="1" x14ac:dyDescent="0.25">
      <c r="A73"/>
      <c r="D73" s="30" t="str" cm="1">
        <f t="array" ref="D73">Common_InputFunctions.Utility_DisplayArrayInTable(Scope3_SourceData.Scope3_Livestock_Data(), Table_SourceData_Scope3_Animals[[#Headers],[Category]], 0, 2)</f>
        <v>Sheep</v>
      </c>
      <c r="E73" s="30" t="str" cm="1">
        <f t="array" ref="E73">Common_InputFunctions.Utility_DisplayArrayInTable(Scope3_SourceData.Scope3_Livestock_Data(), Table_SourceData_Scope3_Animals[[#Headers],[Category]], 0, 2)</f>
        <v>Sheep, for prime lamb</v>
      </c>
      <c r="F73" s="30" t="str" cm="1">
        <f t="array" ref="F73">Common_InputFunctions.Utility_DisplayArrayInTable(Scope3_SourceData.Scope3_Livestock_Data(), Table_SourceData_Scope3_Animals[[#Headers],[Category]], 0, 2)</f>
        <v>VIC</v>
      </c>
      <c r="G73" s="30" t="str" cm="1">
        <f t="array" ref="G73">Common_InputFunctions.Utility_DisplayArrayInTable(Scope3_SourceData.Scope3_Livestock_Data(), Table_SourceData_Scope3_Animals[[#Headers],[Category]], 0, 2)</f>
        <v>kg liveweight</v>
      </c>
      <c r="H73" s="30" cm="1">
        <f t="array" ref="H73">Common_InputFunctions.Utility_DisplayArrayInTable(Scope3_SourceData.Scope3_Livestock_Data(), Table_SourceData_Scope3_Animals[[#Headers],[Category]], 0, 2)</f>
        <v>10</v>
      </c>
      <c r="I73" s="30" t="str" cm="1">
        <f t="array" ref="I73">Common_InputFunctions.Utility_DisplayArrayInTable(Scope3_SourceData.Scope3_Livestock_Data(), Table_SourceData_Scope3_Animals[[#Headers],[Category]], 0, 2)</f>
        <v>at market</v>
      </c>
    </row>
    <row r="74" spans="1:9" ht="20.100000000000001" customHeight="1" x14ac:dyDescent="0.25">
      <c r="A74"/>
      <c r="D74" s="30" t="str" cm="1">
        <f t="array" ref="D74">Common_InputFunctions.Utility_DisplayArrayInTable(Scope3_SourceData.Scope3_Livestock_Data(), Table_SourceData_Scope3_Animals[[#Headers],[Category]], 0, 2)</f>
        <v>Sheep</v>
      </c>
      <c r="E74" s="30" t="str" cm="1">
        <f t="array" ref="E74">Common_InputFunctions.Utility_DisplayArrayInTable(Scope3_SourceData.Scope3_Livestock_Data(), Table_SourceData_Scope3_Animals[[#Headers],[Category]], 0, 2)</f>
        <v>Sheep, for prime lamb</v>
      </c>
      <c r="F74" s="30" t="str" cm="1">
        <f t="array" ref="F74">Common_InputFunctions.Utility_DisplayArrayInTable(Scope3_SourceData.Scope3_Livestock_Data(), Table_SourceData_Scope3_Animals[[#Headers],[Category]], 0, 2)</f>
        <v>WA</v>
      </c>
      <c r="G74" s="30" t="str" cm="1">
        <f t="array" ref="G74">Common_InputFunctions.Utility_DisplayArrayInTable(Scope3_SourceData.Scope3_Livestock_Data(), Table_SourceData_Scope3_Animals[[#Headers],[Category]], 0, 2)</f>
        <v>kg liveweight</v>
      </c>
      <c r="H74" s="30" cm="1">
        <f t="array" ref="H74">Common_InputFunctions.Utility_DisplayArrayInTable(Scope3_SourceData.Scope3_Livestock_Data(), Table_SourceData_Scope3_Animals[[#Headers],[Category]], 0, 2)</f>
        <v>5.67</v>
      </c>
      <c r="I74" s="30" t="str" cm="1">
        <f t="array" ref="I74">Common_InputFunctions.Utility_DisplayArrayInTable(Scope3_SourceData.Scope3_Livestock_Data(), Table_SourceData_Scope3_Animals[[#Headers],[Category]], 0, 2)</f>
        <v>at market</v>
      </c>
    </row>
    <row r="75" spans="1:9" ht="20.100000000000001" customHeight="1" x14ac:dyDescent="0.25">
      <c r="A75"/>
    </row>
    <row r="76" spans="1:9" ht="20.100000000000001" customHeight="1" x14ac:dyDescent="0.25">
      <c r="A76"/>
      <c r="D76" s="2" t="s">
        <v>917</v>
      </c>
    </row>
    <row r="77" spans="1:9" ht="20.100000000000001" customHeight="1" x14ac:dyDescent="0.25">
      <c r="A77"/>
      <c r="D77" s="30" t="s">
        <v>891</v>
      </c>
      <c r="E77" s="30" t="s">
        <v>137</v>
      </c>
      <c r="F77" s="30" t="s">
        <v>892</v>
      </c>
      <c r="G77" s="30" t="s">
        <v>893</v>
      </c>
      <c r="H77" s="30" t="s">
        <v>894</v>
      </c>
      <c r="I77" s="30" t="s">
        <v>895</v>
      </c>
    </row>
    <row r="78" spans="1:9" ht="20.100000000000001" customHeight="1" x14ac:dyDescent="0.25">
      <c r="A78"/>
      <c r="D78" s="30" t="str" cm="1">
        <f t="array" ref="D78">Common_InputFunctions.Utility_DisplayArrayInTable(Scope3_SourceData.Scope3_Chemicals_Data(), Table_SourceData_Scope3_ChemicalsCleaning[[#Headers],[Category]], 0, 2)</f>
        <v>Cleaning chemicals</v>
      </c>
      <c r="E78" s="30" t="str" cm="1">
        <f t="array" ref="E78">Common_InputFunctions.Utility_DisplayArrayInTable(Scope3_SourceData.Scope3_Chemicals_Data(), Table_SourceData_Scope3_ChemicalsCleaning[[#Headers],[Category]], 0, 2)</f>
        <v>Alkaline cleaner</v>
      </c>
      <c r="F78" s="30" t="str" cm="1">
        <f t="array" ref="F78">Common_InputFunctions.Utility_DisplayArrayInTable(Scope3_SourceData.Scope3_Chemicals_Data(), Table_SourceData_Scope3_ChemicalsCleaning[[#Headers],[Category]], 0, 2)</f>
        <v>Global</v>
      </c>
      <c r="G78" s="30" t="str" cm="1">
        <f t="array" ref="G78">Common_InputFunctions.Utility_DisplayArrayInTable(Scope3_SourceData.Scope3_Chemicals_Data(), Table_SourceData_Scope3_ChemicalsCleaning[[#Headers],[Category]], 0, 2)</f>
        <v>kg</v>
      </c>
      <c r="H78" s="30" cm="1">
        <f t="array" ref="H78">Common_InputFunctions.Utility_DisplayArrayInTable(Scope3_SourceData.Scope3_Chemicals_Data(), Table_SourceData_Scope3_ChemicalsCleaning[[#Headers],[Category]], 0, 2)</f>
        <v>0.72199999999999998</v>
      </c>
      <c r="I78" s="30" t="str" cm="1">
        <f t="array" ref="I78">Common_InputFunctions.Utility_DisplayArrayInTable(Scope3_SourceData.Scope3_Chemicals_Data(), Table_SourceData_Scope3_ChemicalsCleaning[[#Headers],[Category]], 0, 2)</f>
        <v>at manufacturer</v>
      </c>
    </row>
    <row r="79" spans="1:9" ht="20.100000000000001" customHeight="1" x14ac:dyDescent="0.25">
      <c r="A79"/>
      <c r="D79" s="30" t="str" cm="1">
        <f t="array" ref="D79">Common_InputFunctions.Utility_DisplayArrayInTable(Scope3_SourceData.Scope3_Chemicals_Data(), Table_SourceData_Scope3_ChemicalsCleaning[[#Headers],[Category]], 0, 2)</f>
        <v>Cleaning chemicals</v>
      </c>
      <c r="E79" s="30" t="str" cm="1">
        <f t="array" ref="E79">Common_InputFunctions.Utility_DisplayArrayInTable(Scope3_SourceData.Scope3_Chemicals_Data(), Table_SourceData_Scope3_ChemicalsCleaning[[#Headers],[Category]], 0, 2)</f>
        <v>Bleach</v>
      </c>
      <c r="F79" s="30" t="str" cm="1">
        <f t="array" ref="F79">Common_InputFunctions.Utility_DisplayArrayInTable(Scope3_SourceData.Scope3_Chemicals_Data(), Table_SourceData_Scope3_ChemicalsCleaning[[#Headers],[Category]], 0, 2)</f>
        <v>Global</v>
      </c>
      <c r="G79" s="30" t="str" cm="1">
        <f t="array" ref="G79">Common_InputFunctions.Utility_DisplayArrayInTable(Scope3_SourceData.Scope3_Chemicals_Data(), Table_SourceData_Scope3_ChemicalsCleaning[[#Headers],[Category]], 0, 2)</f>
        <v>kg</v>
      </c>
      <c r="H79" s="30" cm="1">
        <f t="array" ref="H79">Common_InputFunctions.Utility_DisplayArrayInTable(Scope3_SourceData.Scope3_Chemicals_Data(), Table_SourceData_Scope3_ChemicalsCleaning[[#Headers],[Category]], 0, 2)</f>
        <v>0.80400000000000005</v>
      </c>
      <c r="I79" s="30" t="str" cm="1">
        <f t="array" ref="I79">Common_InputFunctions.Utility_DisplayArrayInTable(Scope3_SourceData.Scope3_Chemicals_Data(), Table_SourceData_Scope3_ChemicalsCleaning[[#Headers],[Category]], 0, 2)</f>
        <v>at manufacturer</v>
      </c>
    </row>
    <row r="80" spans="1:9" ht="20.100000000000001" customHeight="1" x14ac:dyDescent="0.25">
      <c r="A80"/>
      <c r="D80" s="30" t="str" cm="1">
        <f t="array" ref="D80">Common_InputFunctions.Utility_DisplayArrayInTable(Scope3_SourceData.Scope3_Chemicals_Data(), Table_SourceData_Scope3_ChemicalsCleaning[[#Headers],[Category]], 0, 2)</f>
        <v>Cleaning chemicals</v>
      </c>
      <c r="E80" s="30" t="str" cm="1">
        <f t="array" ref="E80">Common_InputFunctions.Utility_DisplayArrayInTable(Scope3_SourceData.Scope3_Chemicals_Data(), Table_SourceData_Scope3_ChemicalsCleaning[[#Headers],[Category]], 0, 2)</f>
        <v>Phosphoric acid</v>
      </c>
      <c r="F80" s="30" t="str" cm="1">
        <f t="array" ref="F80">Common_InputFunctions.Utility_DisplayArrayInTable(Scope3_SourceData.Scope3_Chemicals_Data(), Table_SourceData_Scope3_ChemicalsCleaning[[#Headers],[Category]], 0, 2)</f>
        <v>Global</v>
      </c>
      <c r="G80" s="30" t="str" cm="1">
        <f t="array" ref="G80">Common_InputFunctions.Utility_DisplayArrayInTable(Scope3_SourceData.Scope3_Chemicals_Data(), Table_SourceData_Scope3_ChemicalsCleaning[[#Headers],[Category]], 0, 2)</f>
        <v>kg</v>
      </c>
      <c r="H80" s="30" cm="1">
        <f t="array" ref="H80">Common_InputFunctions.Utility_DisplayArrayInTable(Scope3_SourceData.Scope3_Chemicals_Data(), Table_SourceData_Scope3_ChemicalsCleaning[[#Headers],[Category]], 0, 2)</f>
        <v>0.90700000000000003</v>
      </c>
      <c r="I80" s="30" t="str" cm="1">
        <f t="array" ref="I80">Common_InputFunctions.Utility_DisplayArrayInTable(Scope3_SourceData.Scope3_Chemicals_Data(), Table_SourceData_Scope3_ChemicalsCleaning[[#Headers],[Category]], 0, 2)</f>
        <v>at manufacturer</v>
      </c>
    </row>
    <row r="81" spans="1:16" ht="20.100000000000001" customHeight="1" x14ac:dyDescent="0.25">
      <c r="A81"/>
    </row>
    <row r="82" spans="1:16" ht="20.100000000000001" customHeight="1" x14ac:dyDescent="0.25">
      <c r="A82"/>
      <c r="D82" s="30" t="s">
        <v>891</v>
      </c>
      <c r="E82" s="30" t="s">
        <v>137</v>
      </c>
      <c r="F82" s="30" t="s">
        <v>892</v>
      </c>
      <c r="G82" s="30" t="s">
        <v>893</v>
      </c>
      <c r="H82" s="30" t="s">
        <v>894</v>
      </c>
      <c r="I82" s="30" t="s">
        <v>895</v>
      </c>
    </row>
    <row r="83" spans="1:16" ht="20.100000000000001" customHeight="1" x14ac:dyDescent="0.25">
      <c r="A83"/>
      <c r="D83" s="30" t="str" cm="1">
        <f t="array" ref="D83">Common_InputFunctions.Utility_DisplayArrayInTable(Scope3_SourceData.Scope3_Chemicals_Data(), Table_SourceData_Scope3_ChemicalsPharmacy[[#Headers],[Category]], -3, 2)</f>
        <v>Pharmacy chemicals</v>
      </c>
      <c r="E83" s="30" t="str" cm="1">
        <f t="array" ref="E83">Common_InputFunctions.Utility_DisplayArrayInTable(Scope3_SourceData.Scope3_Chemicals_Data(), Table_SourceData_Scope3_ChemicalsPharmacy[[#Headers],[Category]], -3, 2)</f>
        <v>Parasite control for cattle (external), dipping</v>
      </c>
      <c r="F83" s="30" t="str" cm="1">
        <f t="array" ref="F83">Common_InputFunctions.Utility_DisplayArrayInTable(Scope3_SourceData.Scope3_Chemicals_Data(), Table_SourceData_Scope3_ChemicalsPharmacy[[#Headers],[Category]], -3, 2)</f>
        <v>Global</v>
      </c>
      <c r="G83" s="30" t="str" cm="1">
        <f t="array" ref="G83">Common_InputFunctions.Utility_DisplayArrayInTable(Scope3_SourceData.Scope3_Chemicals_Data(), Table_SourceData_Scope3_ChemicalsPharmacy[[#Headers],[Category]], -3, 2)</f>
        <v>p (head)</v>
      </c>
      <c r="H83" s="30" cm="1">
        <f t="array" ref="H83">Common_InputFunctions.Utility_DisplayArrayInTable(Scope3_SourceData.Scope3_Chemicals_Data(), Table_SourceData_Scope3_ChemicalsPharmacy[[#Headers],[Category]], -3, 2)</f>
        <v>5.4699999999999999E-2</v>
      </c>
      <c r="I83" s="30" t="str" cm="1">
        <f t="array" ref="I83">Common_InputFunctions.Utility_DisplayArrayInTable(Scope3_SourceData.Scope3_Chemicals_Data(), Table_SourceData_Scope3_ChemicalsPharmacy[[#Headers],[Category]], -3, 2)</f>
        <v>at manufacturer</v>
      </c>
    </row>
    <row r="84" spans="1:16" ht="20.100000000000001" customHeight="1" x14ac:dyDescent="0.25">
      <c r="A84"/>
      <c r="D84" s="30" t="str" cm="1">
        <f t="array" ref="D84">Common_InputFunctions.Utility_DisplayArrayInTable(Scope3_SourceData.Scope3_Chemicals_Data(), Table_SourceData_Scope3_ChemicalsPharmacy[[#Headers],[Category]], -3, 2)</f>
        <v>Pharmacy chemicals</v>
      </c>
      <c r="E84" s="30" t="str" cm="1">
        <f t="array" ref="E84">Common_InputFunctions.Utility_DisplayArrayInTable(Scope3_SourceData.Scope3_Chemicals_Data(), Table_SourceData_Scope3_ChemicalsPharmacy[[#Headers],[Category]], -3, 2)</f>
        <v>Parasite control for cattle (internal)</v>
      </c>
      <c r="F84" s="30" t="str" cm="1">
        <f t="array" ref="F84">Common_InputFunctions.Utility_DisplayArrayInTable(Scope3_SourceData.Scope3_Chemicals_Data(), Table_SourceData_Scope3_ChemicalsPharmacy[[#Headers],[Category]], -3, 2)</f>
        <v>Global</v>
      </c>
      <c r="G84" s="30" t="str" cm="1">
        <f t="array" ref="G84">Common_InputFunctions.Utility_DisplayArrayInTable(Scope3_SourceData.Scope3_Chemicals_Data(), Table_SourceData_Scope3_ChemicalsPharmacy[[#Headers],[Category]], -3, 2)</f>
        <v>p (head)</v>
      </c>
      <c r="H84" s="30" cm="1">
        <f t="array" ref="H84">Common_InputFunctions.Utility_DisplayArrayInTable(Scope3_SourceData.Scope3_Chemicals_Data(), Table_SourceData_Scope3_ChemicalsPharmacy[[#Headers],[Category]], -3, 2)</f>
        <v>1.4200000000000001E-2</v>
      </c>
      <c r="I84" s="30" t="str" cm="1">
        <f t="array" ref="I84">Common_InputFunctions.Utility_DisplayArrayInTable(Scope3_SourceData.Scope3_Chemicals_Data(), Table_SourceData_Scope3_ChemicalsPharmacy[[#Headers],[Category]], -3, 2)</f>
        <v>at manufacturer</v>
      </c>
    </row>
    <row r="85" spans="1:16" ht="20.100000000000001" customHeight="1" x14ac:dyDescent="0.25">
      <c r="A85"/>
      <c r="D85" s="30" t="str" cm="1">
        <f t="array" ref="D85">Common_InputFunctions.Utility_DisplayArrayInTable(Scope3_SourceData.Scope3_Chemicals_Data(), Table_SourceData_Scope3_ChemicalsPharmacy[[#Headers],[Category]], -3, 2)</f>
        <v>Pharmacy chemicals</v>
      </c>
      <c r="E85" s="30" t="str" cm="1">
        <f t="array" ref="E85">Common_InputFunctions.Utility_DisplayArrayInTable(Scope3_SourceData.Scope3_Chemicals_Data(), Table_SourceData_Scope3_ChemicalsPharmacy[[#Headers],[Category]], -3, 2)</f>
        <v>Parasite control for sheep (external)</v>
      </c>
      <c r="F85" s="30" t="str" cm="1">
        <f t="array" ref="F85">Common_InputFunctions.Utility_DisplayArrayInTable(Scope3_SourceData.Scope3_Chemicals_Data(), Table_SourceData_Scope3_ChemicalsPharmacy[[#Headers],[Category]], -3, 2)</f>
        <v>Global</v>
      </c>
      <c r="G85" s="30" t="str" cm="1">
        <f t="array" ref="G85">Common_InputFunctions.Utility_DisplayArrayInTable(Scope3_SourceData.Scope3_Chemicals_Data(), Table_SourceData_Scope3_ChemicalsPharmacy[[#Headers],[Category]], -3, 2)</f>
        <v>p (head)</v>
      </c>
      <c r="H85" s="30" cm="1">
        <f t="array" ref="H85">Common_InputFunctions.Utility_DisplayArrayInTable(Scope3_SourceData.Scope3_Chemicals_Data(), Table_SourceData_Scope3_ChemicalsPharmacy[[#Headers],[Category]], -3, 2)</f>
        <v>1.43E-2</v>
      </c>
      <c r="I85" s="30" t="str" cm="1">
        <f t="array" ref="I85">Common_InputFunctions.Utility_DisplayArrayInTable(Scope3_SourceData.Scope3_Chemicals_Data(), Table_SourceData_Scope3_ChemicalsPharmacy[[#Headers],[Category]], -3, 2)</f>
        <v>at manufacturer</v>
      </c>
    </row>
    <row r="86" spans="1:16" ht="20.100000000000001" customHeight="1" x14ac:dyDescent="0.25">
      <c r="A86"/>
      <c r="D86" s="30" t="str" cm="1">
        <f t="array" ref="D86">Common_InputFunctions.Utility_DisplayArrayInTable(Scope3_SourceData.Scope3_Chemicals_Data(), Table_SourceData_Scope3_ChemicalsPharmacy[[#Headers],[Category]], -3, 2)</f>
        <v>Pharmacy chemicals</v>
      </c>
      <c r="E86" s="30" t="str" cm="1">
        <f t="array" ref="E86">Common_InputFunctions.Utility_DisplayArrayInTable(Scope3_SourceData.Scope3_Chemicals_Data(), Table_SourceData_Scope3_ChemicalsPharmacy[[#Headers],[Category]], -3, 2)</f>
        <v>Parasite control for sheep (internal)</v>
      </c>
      <c r="F86" s="30" t="str" cm="1">
        <f t="array" ref="F86">Common_InputFunctions.Utility_DisplayArrayInTable(Scope3_SourceData.Scope3_Chemicals_Data(), Table_SourceData_Scope3_ChemicalsPharmacy[[#Headers],[Category]], -3, 2)</f>
        <v>Global</v>
      </c>
      <c r="G86" s="30" t="str" cm="1">
        <f t="array" ref="G86">Common_InputFunctions.Utility_DisplayArrayInTable(Scope3_SourceData.Scope3_Chemicals_Data(), Table_SourceData_Scope3_ChemicalsPharmacy[[#Headers],[Category]], -3, 2)</f>
        <v>p (head)</v>
      </c>
      <c r="H86" s="30" cm="1">
        <f t="array" ref="H86">Common_InputFunctions.Utility_DisplayArrayInTable(Scope3_SourceData.Scope3_Chemicals_Data(), Table_SourceData_Scope3_ChemicalsPharmacy[[#Headers],[Category]], -3, 2)</f>
        <v>4.2599999999999999E-3</v>
      </c>
      <c r="I86" s="30" t="str" cm="1">
        <f t="array" ref="I86">Common_InputFunctions.Utility_DisplayArrayInTable(Scope3_SourceData.Scope3_Chemicals_Data(), Table_SourceData_Scope3_ChemicalsPharmacy[[#Headers],[Category]], -3, 2)</f>
        <v>at manufacturer</v>
      </c>
    </row>
    <row r="87" spans="1:16" ht="20.100000000000001" customHeight="1" x14ac:dyDescent="0.25">
      <c r="A87"/>
    </row>
    <row r="88" spans="1:16" ht="20.100000000000001" customHeight="1" x14ac:dyDescent="0.25">
      <c r="A88"/>
      <c r="D88" s="2" t="s">
        <v>918</v>
      </c>
    </row>
    <row r="89" spans="1:16" ht="20.100000000000001" customHeight="1" x14ac:dyDescent="0.25">
      <c r="A89"/>
      <c r="D89" s="30" t="s">
        <v>891</v>
      </c>
      <c r="E89" s="30" t="s">
        <v>137</v>
      </c>
      <c r="F89" s="30" t="s">
        <v>892</v>
      </c>
      <c r="G89" s="30" t="s">
        <v>893</v>
      </c>
      <c r="H89" s="30" t="s">
        <v>894</v>
      </c>
      <c r="I89" s="30" t="s">
        <v>895</v>
      </c>
      <c r="K89" s="30" t="s">
        <v>137</v>
      </c>
      <c r="L89" s="30" t="s">
        <v>896</v>
      </c>
      <c r="M89" s="1" t="str">
        <f>"Table_ProductRegions_" &amp; SUBSTITUTE(SUBSTITUTE(SUBSTITUTE(SUBSTITUTE(K90, " ", ""), ",", ""), "(", ""), ")", "")</f>
        <v>Table_ProductRegions_Sardineswhole</v>
      </c>
    </row>
    <row r="90" spans="1:16" ht="20.100000000000001" customHeight="1" x14ac:dyDescent="0.25">
      <c r="A90"/>
      <c r="D90" s="30" t="str" cm="1">
        <f t="array" ref="D90">Common_InputFunctions.Utility_DisplayArrayInTable(Scope3_SourceData.Scope3_Feed_Data(), Table_SourceData_Scope3_Feed[[#Headers],[Category]], 0, 2)</f>
        <v>Aquaculture feed</v>
      </c>
      <c r="E90" s="30" t="str" cm="1">
        <f t="array" ref="E90">Common_InputFunctions.Utility_DisplayArrayInTable(Scope3_SourceData.Scope3_Feed_Data(), Table_SourceData_Scope3_Feed[[#Headers],[Category]], 0, 2)</f>
        <v>Sardines (whole)</v>
      </c>
      <c r="F90" s="30" t="str" cm="1">
        <f t="array" ref="F90">Common_InputFunctions.Utility_DisplayArrayInTable(Scope3_SourceData.Scope3_Feed_Data(), Table_SourceData_Scope3_Feed[[#Headers],[Category]], 0, 2)</f>
        <v>SA</v>
      </c>
      <c r="G90" s="30" t="str" cm="1">
        <f t="array" ref="G90">Common_InputFunctions.Utility_DisplayArrayInTable(Scope3_SourceData.Scope3_Feed_Data(), Table_SourceData_Scope3_Feed[[#Headers],[Category]], 0, 2)</f>
        <v>kg</v>
      </c>
      <c r="H90" s="30" cm="1">
        <f t="array" ref="H90">Common_InputFunctions.Utility_DisplayArrayInTable(Scope3_SourceData.Scope3_Feed_Data(), Table_SourceData_Scope3_Feed[[#Headers],[Category]], 0, 2)</f>
        <v>0.376</v>
      </c>
      <c r="I90" s="30" t="str" cm="1">
        <f t="array" ref="I90">Common_InputFunctions.Utility_DisplayArrayInTable(Scope3_SourceData.Scope3_Feed_Data(), Table_SourceData_Scope3_Feed[[#Headers],[Category]], 0, 2)</f>
        <v>at market</v>
      </c>
      <c r="K90" s="30" t="str">
        <f>Table_SourceData_Scope3_Feed[[#This Row],[Product]]</f>
        <v>Sardines (whole)</v>
      </c>
      <c r="L90" s="30" t="str">
        <f>Table_SourceData_Scope3_Feed[[#This Row],[Region of origin]]</f>
        <v>SA</v>
      </c>
      <c r="N90" s="30" t="s">
        <v>137</v>
      </c>
      <c r="O90" s="30" t="s">
        <v>896</v>
      </c>
      <c r="P90" s="1" t="str">
        <f>"Table_ProductRegions_" &amp; SUBSTITUTE(SUBSTITUTE(SUBSTITUTE(SUBSTITUTE(N91, " ", ""), ",", ""), "(", ""), ")", "")</f>
        <v>Table_ProductRegions_Barleygrain</v>
      </c>
    </row>
    <row r="91" spans="1:16" ht="20.100000000000001" customHeight="1" x14ac:dyDescent="0.25">
      <c r="A91"/>
      <c r="D91" s="30" t="str" cm="1">
        <f t="array" ref="D91">Common_InputFunctions.Utility_DisplayArrayInTable(Scope3_SourceData.Scope3_Feed_Data(), Table_SourceData_Scope3_Feed[[#Headers],[Category]], 0, 2)</f>
        <v>Grain</v>
      </c>
      <c r="E91" s="30" t="str" cm="1">
        <f t="array" ref="E91">Common_InputFunctions.Utility_DisplayArrayInTable(Scope3_SourceData.Scope3_Feed_Data(), Table_SourceData_Scope3_Feed[[#Headers],[Category]], 0, 2)</f>
        <v>Barley grain</v>
      </c>
      <c r="F91" s="30" t="str" cm="1">
        <f t="array" ref="F91">Common_InputFunctions.Utility_DisplayArrayInTable(Scope3_SourceData.Scope3_Feed_Data(), Table_SourceData_Scope3_Feed[[#Headers],[Category]], 0, 2)</f>
        <v>Australia</v>
      </c>
      <c r="G91" s="30" t="str" cm="1">
        <f t="array" ref="G91">Common_InputFunctions.Utility_DisplayArrayInTable(Scope3_SourceData.Scope3_Feed_Data(), Table_SourceData_Scope3_Feed[[#Headers],[Category]], 0, 2)</f>
        <v>kg</v>
      </c>
      <c r="H91" s="30" cm="1">
        <f t="array" ref="H91">Common_InputFunctions.Utility_DisplayArrayInTable(Scope3_SourceData.Scope3_Feed_Data(), Table_SourceData_Scope3_Feed[[#Headers],[Category]], 0, 2)</f>
        <v>0.23899999999999999</v>
      </c>
      <c r="I91" s="30" t="str" cm="1">
        <f t="array" ref="I91">Common_InputFunctions.Utility_DisplayArrayInTable(Scope3_SourceData.Scope3_Feed_Data(), Table_SourceData_Scope3_Feed[[#Headers],[Category]], 0, 2)</f>
        <v>at market</v>
      </c>
      <c r="N91" s="30" t="str">
        <f>Table_SourceData_Scope3_Feed[[#This Row],[Product]]</f>
        <v>Barley grain</v>
      </c>
      <c r="O91" s="30" t="str">
        <f>Table_SourceData_Scope3_Feed[[#This Row],[Region of origin]]</f>
        <v>Australia</v>
      </c>
    </row>
    <row r="92" spans="1:16" ht="20.100000000000001" customHeight="1" x14ac:dyDescent="0.25">
      <c r="A92"/>
      <c r="D92" s="30" t="str" cm="1">
        <f t="array" ref="D92">Common_InputFunctions.Utility_DisplayArrayInTable(Scope3_SourceData.Scope3_Feed_Data(), Table_SourceData_Scope3_Feed[[#Headers],[Category]], 0, 2)</f>
        <v>Grain</v>
      </c>
      <c r="E92" s="30" t="str" cm="1">
        <f t="array" ref="E92">Common_InputFunctions.Utility_DisplayArrayInTable(Scope3_SourceData.Scope3_Feed_Data(), Table_SourceData_Scope3_Feed[[#Headers],[Category]], 0, 2)</f>
        <v>Barley grain</v>
      </c>
      <c r="F92" s="30" t="str" cm="1">
        <f t="array" ref="F92">Common_InputFunctions.Utility_DisplayArrayInTable(Scope3_SourceData.Scope3_Feed_Data(), Table_SourceData_Scope3_Feed[[#Headers],[Category]], 0, 2)</f>
        <v>NSW</v>
      </c>
      <c r="G92" s="30" t="str" cm="1">
        <f t="array" ref="G92">Common_InputFunctions.Utility_DisplayArrayInTable(Scope3_SourceData.Scope3_Feed_Data(), Table_SourceData_Scope3_Feed[[#Headers],[Category]], 0, 2)</f>
        <v>kg</v>
      </c>
      <c r="H92" s="30" cm="1">
        <f t="array" ref="H92">Common_InputFunctions.Utility_DisplayArrayInTable(Scope3_SourceData.Scope3_Feed_Data(), Table_SourceData_Scope3_Feed[[#Headers],[Category]], 0, 2)</f>
        <v>0.25600000000000001</v>
      </c>
      <c r="I92" s="30" t="str" cm="1">
        <f t="array" ref="I92">Common_InputFunctions.Utility_DisplayArrayInTable(Scope3_SourceData.Scope3_Feed_Data(), Table_SourceData_Scope3_Feed[[#Headers],[Category]], 0, 2)</f>
        <v>at market</v>
      </c>
      <c r="N92" s="30" t="str">
        <f>Table_SourceData_Scope3_Feed[[#This Row],[Product]]</f>
        <v>Barley grain</v>
      </c>
      <c r="O92" s="30" t="str">
        <f>Table_SourceData_Scope3_Feed[[#This Row],[Region of origin]]</f>
        <v>NSW</v>
      </c>
    </row>
    <row r="93" spans="1:16" ht="20.100000000000001" customHeight="1" x14ac:dyDescent="0.25">
      <c r="A93"/>
      <c r="D93" s="30" t="str" cm="1">
        <f t="array" ref="D93">Common_InputFunctions.Utility_DisplayArrayInTable(Scope3_SourceData.Scope3_Feed_Data(), Table_SourceData_Scope3_Feed[[#Headers],[Category]], 0, 2)</f>
        <v>Grain</v>
      </c>
      <c r="E93" s="30" t="str" cm="1">
        <f t="array" ref="E93">Common_InputFunctions.Utility_DisplayArrayInTable(Scope3_SourceData.Scope3_Feed_Data(), Table_SourceData_Scope3_Feed[[#Headers],[Category]], 0, 2)</f>
        <v>Barley grain</v>
      </c>
      <c r="F93" s="30" t="str" cm="1">
        <f t="array" ref="F93">Common_InputFunctions.Utility_DisplayArrayInTable(Scope3_SourceData.Scope3_Feed_Data(), Table_SourceData_Scope3_Feed[[#Headers],[Category]], 0, 2)</f>
        <v>NT</v>
      </c>
      <c r="G93" s="30" t="str" cm="1">
        <f t="array" ref="G93">Common_InputFunctions.Utility_DisplayArrayInTable(Scope3_SourceData.Scope3_Feed_Data(), Table_SourceData_Scope3_Feed[[#Headers],[Category]], 0, 2)</f>
        <v>kg</v>
      </c>
      <c r="H93" s="30" cm="1">
        <f t="array" ref="H93">Common_InputFunctions.Utility_DisplayArrayInTable(Scope3_SourceData.Scope3_Feed_Data(), Table_SourceData_Scope3_Feed[[#Headers],[Category]], 0, 2)</f>
        <v>0.33200000000000002</v>
      </c>
      <c r="I93" s="30" t="str" cm="1">
        <f t="array" ref="I93">Common_InputFunctions.Utility_DisplayArrayInTable(Scope3_SourceData.Scope3_Feed_Data(), Table_SourceData_Scope3_Feed[[#Headers],[Category]], 0, 2)</f>
        <v>at market</v>
      </c>
      <c r="N93" s="30" t="str">
        <f>Table_SourceData_Scope3_Feed[[#This Row],[Product]]</f>
        <v>Barley grain</v>
      </c>
      <c r="O93" s="30" t="str">
        <f>Table_SourceData_Scope3_Feed[[#This Row],[Region of origin]]</f>
        <v>NT</v>
      </c>
    </row>
    <row r="94" spans="1:16" ht="20.100000000000001" customHeight="1" x14ac:dyDescent="0.25">
      <c r="A94"/>
      <c r="D94" s="30" t="str" cm="1">
        <f t="array" ref="D94">Common_InputFunctions.Utility_DisplayArrayInTable(Scope3_SourceData.Scope3_Feed_Data(), Table_SourceData_Scope3_Feed[[#Headers],[Category]], 0, 2)</f>
        <v>Grain</v>
      </c>
      <c r="E94" s="30" t="str" cm="1">
        <f t="array" ref="E94">Common_InputFunctions.Utility_DisplayArrayInTable(Scope3_SourceData.Scope3_Feed_Data(), Table_SourceData_Scope3_Feed[[#Headers],[Category]], 0, 2)</f>
        <v>Barley grain</v>
      </c>
      <c r="F94" s="30" t="str" cm="1">
        <f t="array" ref="F94">Common_InputFunctions.Utility_DisplayArrayInTable(Scope3_SourceData.Scope3_Feed_Data(), Table_SourceData_Scope3_Feed[[#Headers],[Category]], 0, 2)</f>
        <v>QLD</v>
      </c>
      <c r="G94" s="30" t="str" cm="1">
        <f t="array" ref="G94">Common_InputFunctions.Utility_DisplayArrayInTable(Scope3_SourceData.Scope3_Feed_Data(), Table_SourceData_Scope3_Feed[[#Headers],[Category]], 0, 2)</f>
        <v>kg</v>
      </c>
      <c r="H94" s="30" cm="1">
        <f t="array" ref="H94">Common_InputFunctions.Utility_DisplayArrayInTable(Scope3_SourceData.Scope3_Feed_Data(), Table_SourceData_Scope3_Feed[[#Headers],[Category]], 0, 2)</f>
        <v>0.26900000000000002</v>
      </c>
      <c r="I94" s="30" t="str" cm="1">
        <f t="array" ref="I94">Common_InputFunctions.Utility_DisplayArrayInTable(Scope3_SourceData.Scope3_Feed_Data(), Table_SourceData_Scope3_Feed[[#Headers],[Category]], 0, 2)</f>
        <v>at market</v>
      </c>
      <c r="N94" s="30" t="str">
        <f>Table_SourceData_Scope3_Feed[[#This Row],[Product]]</f>
        <v>Barley grain</v>
      </c>
      <c r="O94" s="30" t="str">
        <f>Table_SourceData_Scope3_Feed[[#This Row],[Region of origin]]</f>
        <v>QLD</v>
      </c>
    </row>
    <row r="95" spans="1:16" ht="20.100000000000001" customHeight="1" x14ac:dyDescent="0.25">
      <c r="A95"/>
      <c r="D95" s="30" t="str" cm="1">
        <f t="array" ref="D95">Common_InputFunctions.Utility_DisplayArrayInTable(Scope3_SourceData.Scope3_Feed_Data(), Table_SourceData_Scope3_Feed[[#Headers],[Category]], 0, 2)</f>
        <v>Grain</v>
      </c>
      <c r="E95" s="30" t="str" cm="1">
        <f t="array" ref="E95">Common_InputFunctions.Utility_DisplayArrayInTable(Scope3_SourceData.Scope3_Feed_Data(), Table_SourceData_Scope3_Feed[[#Headers],[Category]], 0, 2)</f>
        <v>Barley grain</v>
      </c>
      <c r="F95" s="30" t="str" cm="1">
        <f t="array" ref="F95">Common_InputFunctions.Utility_DisplayArrayInTable(Scope3_SourceData.Scope3_Feed_Data(), Table_SourceData_Scope3_Feed[[#Headers],[Category]], 0, 2)</f>
        <v>SA</v>
      </c>
      <c r="G95" s="30" t="str" cm="1">
        <f t="array" ref="G95">Common_InputFunctions.Utility_DisplayArrayInTable(Scope3_SourceData.Scope3_Feed_Data(), Table_SourceData_Scope3_Feed[[#Headers],[Category]], 0, 2)</f>
        <v>kg</v>
      </c>
      <c r="H95" s="30" cm="1">
        <f t="array" ref="H95">Common_InputFunctions.Utility_DisplayArrayInTable(Scope3_SourceData.Scope3_Feed_Data(), Table_SourceData_Scope3_Feed[[#Headers],[Category]], 0, 2)</f>
        <v>0.223</v>
      </c>
      <c r="I95" s="30" t="str" cm="1">
        <f t="array" ref="I95">Common_InputFunctions.Utility_DisplayArrayInTable(Scope3_SourceData.Scope3_Feed_Data(), Table_SourceData_Scope3_Feed[[#Headers],[Category]], 0, 2)</f>
        <v>at market</v>
      </c>
      <c r="N95" s="30" t="str">
        <f>Table_SourceData_Scope3_Feed[[#This Row],[Product]]</f>
        <v>Barley grain</v>
      </c>
      <c r="O95" s="30" t="str">
        <f>Table_SourceData_Scope3_Feed[[#This Row],[Region of origin]]</f>
        <v>SA</v>
      </c>
    </row>
    <row r="96" spans="1:16" ht="20.100000000000001" customHeight="1" x14ac:dyDescent="0.25">
      <c r="A96"/>
      <c r="D96" s="30" t="str" cm="1">
        <f t="array" ref="D96">Common_InputFunctions.Utility_DisplayArrayInTable(Scope3_SourceData.Scope3_Feed_Data(), Table_SourceData_Scope3_Feed[[#Headers],[Category]], 0, 2)</f>
        <v>Grain</v>
      </c>
      <c r="E96" s="30" t="str" cm="1">
        <f t="array" ref="E96">Common_InputFunctions.Utility_DisplayArrayInTable(Scope3_SourceData.Scope3_Feed_Data(), Table_SourceData_Scope3_Feed[[#Headers],[Category]], 0, 2)</f>
        <v>Barley grain</v>
      </c>
      <c r="F96" s="30" t="str" cm="1">
        <f t="array" ref="F96">Common_InputFunctions.Utility_DisplayArrayInTable(Scope3_SourceData.Scope3_Feed_Data(), Table_SourceData_Scope3_Feed[[#Headers],[Category]], 0, 2)</f>
        <v>TAS</v>
      </c>
      <c r="G96" s="30" t="str" cm="1">
        <f t="array" ref="G96">Common_InputFunctions.Utility_DisplayArrayInTable(Scope3_SourceData.Scope3_Feed_Data(), Table_SourceData_Scope3_Feed[[#Headers],[Category]], 0, 2)</f>
        <v>kg</v>
      </c>
      <c r="H96" s="30" cm="1">
        <f t="array" ref="H96">Common_InputFunctions.Utility_DisplayArrayInTable(Scope3_SourceData.Scope3_Feed_Data(), Table_SourceData_Scope3_Feed[[#Headers],[Category]], 0, 2)</f>
        <v>0.307</v>
      </c>
      <c r="I96" s="30" t="str" cm="1">
        <f t="array" ref="I96">Common_InputFunctions.Utility_DisplayArrayInTable(Scope3_SourceData.Scope3_Feed_Data(), Table_SourceData_Scope3_Feed[[#Headers],[Category]], 0, 2)</f>
        <v>at market</v>
      </c>
      <c r="N96" s="30" t="str">
        <f>Table_SourceData_Scope3_Feed[[#This Row],[Product]]</f>
        <v>Barley grain</v>
      </c>
      <c r="O96" s="30" t="str">
        <f>Table_SourceData_Scope3_Feed[[#This Row],[Region of origin]]</f>
        <v>TAS</v>
      </c>
    </row>
    <row r="97" spans="1:16" ht="20.100000000000001" customHeight="1" x14ac:dyDescent="0.25">
      <c r="A97"/>
      <c r="D97" s="30" t="str" cm="1">
        <f t="array" ref="D97">Common_InputFunctions.Utility_DisplayArrayInTable(Scope3_SourceData.Scope3_Feed_Data(), Table_SourceData_Scope3_Feed[[#Headers],[Category]], 0, 2)</f>
        <v>Grain</v>
      </c>
      <c r="E97" s="30" t="str" cm="1">
        <f t="array" ref="E97">Common_InputFunctions.Utility_DisplayArrayInTable(Scope3_SourceData.Scope3_Feed_Data(), Table_SourceData_Scope3_Feed[[#Headers],[Category]], 0, 2)</f>
        <v>Barley grain</v>
      </c>
      <c r="F97" s="30" t="str" cm="1">
        <f t="array" ref="F97">Common_InputFunctions.Utility_DisplayArrayInTable(Scope3_SourceData.Scope3_Feed_Data(), Table_SourceData_Scope3_Feed[[#Headers],[Category]], 0, 2)</f>
        <v>VIC</v>
      </c>
      <c r="G97" s="30" t="str" cm="1">
        <f t="array" ref="G97">Common_InputFunctions.Utility_DisplayArrayInTable(Scope3_SourceData.Scope3_Feed_Data(), Table_SourceData_Scope3_Feed[[#Headers],[Category]], 0, 2)</f>
        <v>kg</v>
      </c>
      <c r="H97" s="30" cm="1">
        <f t="array" ref="H97">Common_InputFunctions.Utility_DisplayArrayInTable(Scope3_SourceData.Scope3_Feed_Data(), Table_SourceData_Scope3_Feed[[#Headers],[Category]], 0, 2)</f>
        <v>0.24099999999999999</v>
      </c>
      <c r="I97" s="30" t="str" cm="1">
        <f t="array" ref="I97">Common_InputFunctions.Utility_DisplayArrayInTable(Scope3_SourceData.Scope3_Feed_Data(), Table_SourceData_Scope3_Feed[[#Headers],[Category]], 0, 2)</f>
        <v>at market</v>
      </c>
      <c r="N97" s="30" t="str">
        <f>Table_SourceData_Scope3_Feed[[#This Row],[Product]]</f>
        <v>Barley grain</v>
      </c>
      <c r="O97" s="30" t="str">
        <f>Table_SourceData_Scope3_Feed[[#This Row],[Region of origin]]</f>
        <v>VIC</v>
      </c>
    </row>
    <row r="98" spans="1:16" ht="20.100000000000001" customHeight="1" x14ac:dyDescent="0.25">
      <c r="A98"/>
      <c r="D98" s="30" t="str" cm="1">
        <f t="array" ref="D98">Common_InputFunctions.Utility_DisplayArrayInTable(Scope3_SourceData.Scope3_Feed_Data(), Table_SourceData_Scope3_Feed[[#Headers],[Category]], 0, 2)</f>
        <v>Grain</v>
      </c>
      <c r="E98" s="30" t="str" cm="1">
        <f t="array" ref="E98">Common_InputFunctions.Utility_DisplayArrayInTable(Scope3_SourceData.Scope3_Feed_Data(), Table_SourceData_Scope3_Feed[[#Headers],[Category]], 0, 2)</f>
        <v>Barley grain</v>
      </c>
      <c r="F98" s="30" t="str" cm="1">
        <f t="array" ref="F98">Common_InputFunctions.Utility_DisplayArrayInTable(Scope3_SourceData.Scope3_Feed_Data(), Table_SourceData_Scope3_Feed[[#Headers],[Category]], 0, 2)</f>
        <v>WA</v>
      </c>
      <c r="G98" s="30" t="str" cm="1">
        <f t="array" ref="G98">Common_InputFunctions.Utility_DisplayArrayInTable(Scope3_SourceData.Scope3_Feed_Data(), Table_SourceData_Scope3_Feed[[#Headers],[Category]], 0, 2)</f>
        <v>kg</v>
      </c>
      <c r="H98" s="30" cm="1">
        <f t="array" ref="H98">Common_InputFunctions.Utility_DisplayArrayInTable(Scope3_SourceData.Scope3_Feed_Data(), Table_SourceData_Scope3_Feed[[#Headers],[Category]], 0, 2)</f>
        <v>0.23599999999999999</v>
      </c>
      <c r="I98" s="30" t="str" cm="1">
        <f t="array" ref="I98">Common_InputFunctions.Utility_DisplayArrayInTable(Scope3_SourceData.Scope3_Feed_Data(), Table_SourceData_Scope3_Feed[[#Headers],[Category]], 0, 2)</f>
        <v>at market</v>
      </c>
      <c r="K98" s="30" t="s">
        <v>137</v>
      </c>
      <c r="L98" s="30" t="s">
        <v>896</v>
      </c>
      <c r="M98" s="1" t="str">
        <f>"Table_ProductRegions_" &amp; SUBSTITUTE(SUBSTITUTE(SUBSTITUTE(SUBSTITUTE(K99, " ", ""), ",", ""), "(", ""), ")", "")</f>
        <v>Table_ProductRegions_Maizegrain</v>
      </c>
      <c r="N98" s="30" t="str">
        <f>Table_SourceData_Scope3_Feed[[#This Row],[Product]]</f>
        <v>Barley grain</v>
      </c>
      <c r="O98" s="30" t="str">
        <f>Table_SourceData_Scope3_Feed[[#This Row],[Region of origin]]</f>
        <v>WA</v>
      </c>
    </row>
    <row r="99" spans="1:16" ht="20.100000000000001" customHeight="1" x14ac:dyDescent="0.25">
      <c r="A99"/>
      <c r="D99" s="30" t="str" cm="1">
        <f t="array" ref="D99">Common_InputFunctions.Utility_DisplayArrayInTable(Scope3_SourceData.Scope3_Feed_Data(), Table_SourceData_Scope3_Feed[[#Headers],[Category]], 0, 2)</f>
        <v>Grain</v>
      </c>
      <c r="E99" s="30" t="str" cm="1">
        <f t="array" ref="E99">Common_InputFunctions.Utility_DisplayArrayInTable(Scope3_SourceData.Scope3_Feed_Data(), Table_SourceData_Scope3_Feed[[#Headers],[Category]], 0, 2)</f>
        <v>Maize grain</v>
      </c>
      <c r="F99" s="30" t="str" cm="1">
        <f t="array" ref="F99">Common_InputFunctions.Utility_DisplayArrayInTable(Scope3_SourceData.Scope3_Feed_Data(), Table_SourceData_Scope3_Feed[[#Headers],[Category]], 0, 2)</f>
        <v>Australia</v>
      </c>
      <c r="G99" s="30" t="str" cm="1">
        <f t="array" ref="G99">Common_InputFunctions.Utility_DisplayArrayInTable(Scope3_SourceData.Scope3_Feed_Data(), Table_SourceData_Scope3_Feed[[#Headers],[Category]], 0, 2)</f>
        <v>kg</v>
      </c>
      <c r="H99" s="30" cm="1">
        <f t="array" ref="H99">Common_InputFunctions.Utility_DisplayArrayInTable(Scope3_SourceData.Scope3_Feed_Data(), Table_SourceData_Scope3_Feed[[#Headers],[Category]], 0, 2)</f>
        <v>0.18099999999999999</v>
      </c>
      <c r="I99" s="30" t="str" cm="1">
        <f t="array" ref="I99">Common_InputFunctions.Utility_DisplayArrayInTable(Scope3_SourceData.Scope3_Feed_Data(), Table_SourceData_Scope3_Feed[[#Headers],[Category]], 0, 2)</f>
        <v>at market</v>
      </c>
      <c r="K99" s="30" t="str">
        <f>Table_SourceData_Scope3_Feed[[#This Row],[Product]]</f>
        <v>Maize grain</v>
      </c>
      <c r="L99" s="30" t="str">
        <f>Table_SourceData_Scope3_Feed[[#This Row],[Region of origin]]</f>
        <v>Australia</v>
      </c>
    </row>
    <row r="100" spans="1:16" ht="20.100000000000001" customHeight="1" x14ac:dyDescent="0.25">
      <c r="A100"/>
      <c r="D100" s="30" t="str" cm="1">
        <f t="array" ref="D100">Common_InputFunctions.Utility_DisplayArrayInTable(Scope3_SourceData.Scope3_Feed_Data(), Table_SourceData_Scope3_Feed[[#Headers],[Category]], 0, 2)</f>
        <v>Grain</v>
      </c>
      <c r="E100" s="30" t="str" cm="1">
        <f t="array" ref="E100">Common_InputFunctions.Utility_DisplayArrayInTable(Scope3_SourceData.Scope3_Feed_Data(), Table_SourceData_Scope3_Feed[[#Headers],[Category]], 0, 2)</f>
        <v>Maize grain</v>
      </c>
      <c r="F100" s="30" t="str" cm="1">
        <f t="array" ref="F100">Common_InputFunctions.Utility_DisplayArrayInTable(Scope3_SourceData.Scope3_Feed_Data(), Table_SourceData_Scope3_Feed[[#Headers],[Category]], 0, 2)</f>
        <v>NSW</v>
      </c>
      <c r="G100" s="30" t="str" cm="1">
        <f t="array" ref="G100">Common_InputFunctions.Utility_DisplayArrayInTable(Scope3_SourceData.Scope3_Feed_Data(), Table_SourceData_Scope3_Feed[[#Headers],[Category]], 0, 2)</f>
        <v>kg</v>
      </c>
      <c r="H100" s="30" cm="1">
        <f t="array" ref="H100">Common_InputFunctions.Utility_DisplayArrayInTable(Scope3_SourceData.Scope3_Feed_Data(), Table_SourceData_Scope3_Feed[[#Headers],[Category]], 0, 2)</f>
        <v>0.16900000000000001</v>
      </c>
      <c r="I100" s="30" t="str" cm="1">
        <f t="array" ref="I100">Common_InputFunctions.Utility_DisplayArrayInTable(Scope3_SourceData.Scope3_Feed_Data(), Table_SourceData_Scope3_Feed[[#Headers],[Category]], 0, 2)</f>
        <v>at market</v>
      </c>
      <c r="K100" s="30" t="str">
        <f>Table_SourceData_Scope3_Feed[[#This Row],[Product]]</f>
        <v>Maize grain</v>
      </c>
      <c r="L100" s="30" t="str">
        <f>Table_SourceData_Scope3_Feed[[#This Row],[Region of origin]]</f>
        <v>NSW</v>
      </c>
    </row>
    <row r="101" spans="1:16" ht="20.100000000000001" customHeight="1" x14ac:dyDescent="0.25">
      <c r="A101"/>
      <c r="D101" s="30" t="str" cm="1">
        <f t="array" ref="D101">Common_InputFunctions.Utility_DisplayArrayInTable(Scope3_SourceData.Scope3_Feed_Data(), Table_SourceData_Scope3_Feed[[#Headers],[Category]], 0, 2)</f>
        <v>Grain</v>
      </c>
      <c r="E101" s="30" t="str" cm="1">
        <f t="array" ref="E101">Common_InputFunctions.Utility_DisplayArrayInTable(Scope3_SourceData.Scope3_Feed_Data(), Table_SourceData_Scope3_Feed[[#Headers],[Category]], 0, 2)</f>
        <v>Maize grain</v>
      </c>
      <c r="F101" s="30" t="str" cm="1">
        <f t="array" ref="F101">Common_InputFunctions.Utility_DisplayArrayInTable(Scope3_SourceData.Scope3_Feed_Data(), Table_SourceData_Scope3_Feed[[#Headers],[Category]], 0, 2)</f>
        <v>NT</v>
      </c>
      <c r="G101" s="30" t="str" cm="1">
        <f t="array" ref="G101">Common_InputFunctions.Utility_DisplayArrayInTable(Scope3_SourceData.Scope3_Feed_Data(), Table_SourceData_Scope3_Feed[[#Headers],[Category]], 0, 2)</f>
        <v>kg</v>
      </c>
      <c r="H101" s="30" cm="1">
        <f t="array" ref="H101">Common_InputFunctions.Utility_DisplayArrayInTable(Scope3_SourceData.Scope3_Feed_Data(), Table_SourceData_Scope3_Feed[[#Headers],[Category]], 0, 2)</f>
        <v>0.25600000000000001</v>
      </c>
      <c r="I101" s="30" t="str" cm="1">
        <f t="array" ref="I101">Common_InputFunctions.Utility_DisplayArrayInTable(Scope3_SourceData.Scope3_Feed_Data(), Table_SourceData_Scope3_Feed[[#Headers],[Category]], 0, 2)</f>
        <v>at market</v>
      </c>
      <c r="K101" s="30" t="str">
        <f>Table_SourceData_Scope3_Feed[[#This Row],[Product]]</f>
        <v>Maize grain</v>
      </c>
      <c r="L101" s="30" t="str">
        <f>Table_SourceData_Scope3_Feed[[#This Row],[Region of origin]]</f>
        <v>NT</v>
      </c>
    </row>
    <row r="102" spans="1:16" ht="20.100000000000001" customHeight="1" x14ac:dyDescent="0.25">
      <c r="A102"/>
      <c r="D102" s="30" t="str" cm="1">
        <f t="array" ref="D102">Common_InputFunctions.Utility_DisplayArrayInTable(Scope3_SourceData.Scope3_Feed_Data(), Table_SourceData_Scope3_Feed[[#Headers],[Category]], 0, 2)</f>
        <v>Grain</v>
      </c>
      <c r="E102" s="30" t="str" cm="1">
        <f t="array" ref="E102">Common_InputFunctions.Utility_DisplayArrayInTable(Scope3_SourceData.Scope3_Feed_Data(), Table_SourceData_Scope3_Feed[[#Headers],[Category]], 0, 2)</f>
        <v>Maize grain</v>
      </c>
      <c r="F102" s="30" t="str" cm="1">
        <f t="array" ref="F102">Common_InputFunctions.Utility_DisplayArrayInTable(Scope3_SourceData.Scope3_Feed_Data(), Table_SourceData_Scope3_Feed[[#Headers],[Category]], 0, 2)</f>
        <v>QLD</v>
      </c>
      <c r="G102" s="30" t="str" cm="1">
        <f t="array" ref="G102">Common_InputFunctions.Utility_DisplayArrayInTable(Scope3_SourceData.Scope3_Feed_Data(), Table_SourceData_Scope3_Feed[[#Headers],[Category]], 0, 2)</f>
        <v>kg</v>
      </c>
      <c r="H102" s="30" cm="1">
        <f t="array" ref="H102">Common_InputFunctions.Utility_DisplayArrayInTable(Scope3_SourceData.Scope3_Feed_Data(), Table_SourceData_Scope3_Feed[[#Headers],[Category]], 0, 2)</f>
        <v>0.186</v>
      </c>
      <c r="I102" s="30" t="str" cm="1">
        <f t="array" ref="I102">Common_InputFunctions.Utility_DisplayArrayInTable(Scope3_SourceData.Scope3_Feed_Data(), Table_SourceData_Scope3_Feed[[#Headers],[Category]], 0, 2)</f>
        <v>at market</v>
      </c>
      <c r="K102" s="30" t="str">
        <f>Table_SourceData_Scope3_Feed[[#This Row],[Product]]</f>
        <v>Maize grain</v>
      </c>
      <c r="L102" s="30" t="str">
        <f>Table_SourceData_Scope3_Feed[[#This Row],[Region of origin]]</f>
        <v>QLD</v>
      </c>
    </row>
    <row r="103" spans="1:16" ht="20.100000000000001" customHeight="1" x14ac:dyDescent="0.25">
      <c r="A103"/>
      <c r="D103" s="30" t="str" cm="1">
        <f t="array" ref="D103">Common_InputFunctions.Utility_DisplayArrayInTable(Scope3_SourceData.Scope3_Feed_Data(), Table_SourceData_Scope3_Feed[[#Headers],[Category]], 0, 2)</f>
        <v>Grain</v>
      </c>
      <c r="E103" s="30" t="str" cm="1">
        <f t="array" ref="E103">Common_InputFunctions.Utility_DisplayArrayInTable(Scope3_SourceData.Scope3_Feed_Data(), Table_SourceData_Scope3_Feed[[#Headers],[Category]], 0, 2)</f>
        <v>Maize grain</v>
      </c>
      <c r="F103" s="30" t="str" cm="1">
        <f t="array" ref="F103">Common_InputFunctions.Utility_DisplayArrayInTable(Scope3_SourceData.Scope3_Feed_Data(), Table_SourceData_Scope3_Feed[[#Headers],[Category]], 0, 2)</f>
        <v>SA</v>
      </c>
      <c r="G103" s="30" t="str" cm="1">
        <f t="array" ref="G103">Common_InputFunctions.Utility_DisplayArrayInTable(Scope3_SourceData.Scope3_Feed_Data(), Table_SourceData_Scope3_Feed[[#Headers],[Category]], 0, 2)</f>
        <v>kg</v>
      </c>
      <c r="H103" s="30" cm="1">
        <f t="array" ref="H103">Common_InputFunctions.Utility_DisplayArrayInTable(Scope3_SourceData.Scope3_Feed_Data(), Table_SourceData_Scope3_Feed[[#Headers],[Category]], 0, 2)</f>
        <v>0.17599999999999999</v>
      </c>
      <c r="I103" s="30" t="str" cm="1">
        <f t="array" ref="I103">Common_InputFunctions.Utility_DisplayArrayInTable(Scope3_SourceData.Scope3_Feed_Data(), Table_SourceData_Scope3_Feed[[#Headers],[Category]], 0, 2)</f>
        <v>at market</v>
      </c>
      <c r="K103" s="30" t="str">
        <f>Table_SourceData_Scope3_Feed[[#This Row],[Product]]</f>
        <v>Maize grain</v>
      </c>
      <c r="L103" s="30" t="str">
        <f>Table_SourceData_Scope3_Feed[[#This Row],[Region of origin]]</f>
        <v>SA</v>
      </c>
    </row>
    <row r="104" spans="1:16" ht="20.100000000000001" customHeight="1" x14ac:dyDescent="0.25">
      <c r="A104"/>
      <c r="D104" s="30" t="str" cm="1">
        <f t="array" ref="D104">Common_InputFunctions.Utility_DisplayArrayInTable(Scope3_SourceData.Scope3_Feed_Data(), Table_SourceData_Scope3_Feed[[#Headers],[Category]], 0, 2)</f>
        <v>Grain</v>
      </c>
      <c r="E104" s="30" t="str" cm="1">
        <f t="array" ref="E104">Common_InputFunctions.Utility_DisplayArrayInTable(Scope3_SourceData.Scope3_Feed_Data(), Table_SourceData_Scope3_Feed[[#Headers],[Category]], 0, 2)</f>
        <v>Maize grain</v>
      </c>
      <c r="F104" s="30" t="str" cm="1">
        <f t="array" ref="F104">Common_InputFunctions.Utility_DisplayArrayInTable(Scope3_SourceData.Scope3_Feed_Data(), Table_SourceData_Scope3_Feed[[#Headers],[Category]], 0, 2)</f>
        <v>VIC</v>
      </c>
      <c r="G104" s="30" t="str" cm="1">
        <f t="array" ref="G104">Common_InputFunctions.Utility_DisplayArrayInTable(Scope3_SourceData.Scope3_Feed_Data(), Table_SourceData_Scope3_Feed[[#Headers],[Category]], 0, 2)</f>
        <v>kg</v>
      </c>
      <c r="H104" s="30" cm="1">
        <f t="array" ref="H104">Common_InputFunctions.Utility_DisplayArrayInTable(Scope3_SourceData.Scope3_Feed_Data(), Table_SourceData_Scope3_Feed[[#Headers],[Category]], 0, 2)</f>
        <v>0.159</v>
      </c>
      <c r="I104" s="30" t="str" cm="1">
        <f t="array" ref="I104">Common_InputFunctions.Utility_DisplayArrayInTable(Scope3_SourceData.Scope3_Feed_Data(), Table_SourceData_Scope3_Feed[[#Headers],[Category]], 0, 2)</f>
        <v>at market</v>
      </c>
      <c r="K104" s="30" t="str">
        <f>Table_SourceData_Scope3_Feed[[#This Row],[Product]]</f>
        <v>Maize grain</v>
      </c>
      <c r="L104" s="30" t="str">
        <f>Table_SourceData_Scope3_Feed[[#This Row],[Region of origin]]</f>
        <v>VIC</v>
      </c>
    </row>
    <row r="105" spans="1:16" ht="20.100000000000001" customHeight="1" x14ac:dyDescent="0.25">
      <c r="A105"/>
      <c r="D105" s="30" t="str" cm="1">
        <f t="array" ref="D105">Common_InputFunctions.Utility_DisplayArrayInTable(Scope3_SourceData.Scope3_Feed_Data(), Table_SourceData_Scope3_Feed[[#Headers],[Category]], 0, 2)</f>
        <v>Grain</v>
      </c>
      <c r="E105" s="30" t="str" cm="1">
        <f t="array" ref="E105">Common_InputFunctions.Utility_DisplayArrayInTable(Scope3_SourceData.Scope3_Feed_Data(), Table_SourceData_Scope3_Feed[[#Headers],[Category]], 0, 2)</f>
        <v>Maize grain</v>
      </c>
      <c r="F105" s="30" t="str" cm="1">
        <f t="array" ref="F105">Common_InputFunctions.Utility_DisplayArrayInTable(Scope3_SourceData.Scope3_Feed_Data(), Table_SourceData_Scope3_Feed[[#Headers],[Category]], 0, 2)</f>
        <v>WA</v>
      </c>
      <c r="G105" s="30" t="str" cm="1">
        <f t="array" ref="G105">Common_InputFunctions.Utility_DisplayArrayInTable(Scope3_SourceData.Scope3_Feed_Data(), Table_SourceData_Scope3_Feed[[#Headers],[Category]], 0, 2)</f>
        <v>kg</v>
      </c>
      <c r="H105" s="30" cm="1">
        <f t="array" ref="H105">Common_InputFunctions.Utility_DisplayArrayInTable(Scope3_SourceData.Scope3_Feed_Data(), Table_SourceData_Scope3_Feed[[#Headers],[Category]], 0, 2)</f>
        <v>0.28499999999999998</v>
      </c>
      <c r="I105" s="30" t="str" cm="1">
        <f t="array" ref="I105">Common_InputFunctions.Utility_DisplayArrayInTable(Scope3_SourceData.Scope3_Feed_Data(), Table_SourceData_Scope3_Feed[[#Headers],[Category]], 0, 2)</f>
        <v>at market</v>
      </c>
      <c r="K105" s="30" t="str">
        <f>Table_SourceData_Scope3_Feed[[#This Row],[Product]]</f>
        <v>Maize grain</v>
      </c>
      <c r="L105" s="30" t="str">
        <f>Table_SourceData_Scope3_Feed[[#This Row],[Region of origin]]</f>
        <v>WA</v>
      </c>
      <c r="N105" s="30" t="s">
        <v>137</v>
      </c>
      <c r="O105" s="30" t="s">
        <v>896</v>
      </c>
      <c r="P105" s="1" t="str">
        <f>"Table_ProductRegions_" &amp; SUBSTITUTE(SUBSTITUTE(SUBSTITUTE(SUBSTITUTE(N106, " ", ""), ",", ""), "(", ""), ")", "")</f>
        <v>Table_ProductRegions_Sorghumgrain</v>
      </c>
    </row>
    <row r="106" spans="1:16" ht="20.100000000000001" customHeight="1" x14ac:dyDescent="0.25">
      <c r="A106"/>
      <c r="D106" s="30" t="str" cm="1">
        <f t="array" ref="D106">Common_InputFunctions.Utility_DisplayArrayInTable(Scope3_SourceData.Scope3_Feed_Data(), Table_SourceData_Scope3_Feed[[#Headers],[Category]], 0, 2)</f>
        <v>Grain</v>
      </c>
      <c r="E106" s="30" t="str" cm="1">
        <f t="array" ref="E106">Common_InputFunctions.Utility_DisplayArrayInTable(Scope3_SourceData.Scope3_Feed_Data(), Table_SourceData_Scope3_Feed[[#Headers],[Category]], 0, 2)</f>
        <v>Sorghum grain</v>
      </c>
      <c r="F106" s="30" t="str" cm="1">
        <f t="array" ref="F106">Common_InputFunctions.Utility_DisplayArrayInTable(Scope3_SourceData.Scope3_Feed_Data(), Table_SourceData_Scope3_Feed[[#Headers],[Category]], 0, 2)</f>
        <v>Australia</v>
      </c>
      <c r="G106" s="30" t="str" cm="1">
        <f t="array" ref="G106">Common_InputFunctions.Utility_DisplayArrayInTable(Scope3_SourceData.Scope3_Feed_Data(), Table_SourceData_Scope3_Feed[[#Headers],[Category]], 0, 2)</f>
        <v>kg</v>
      </c>
      <c r="H106" s="30" cm="1">
        <f t="array" ref="H106">Common_InputFunctions.Utility_DisplayArrayInTable(Scope3_SourceData.Scope3_Feed_Data(), Table_SourceData_Scope3_Feed[[#Headers],[Category]], 0, 2)</f>
        <v>0.23200000000000001</v>
      </c>
      <c r="I106" s="30" t="str" cm="1">
        <f t="array" ref="I106">Common_InputFunctions.Utility_DisplayArrayInTable(Scope3_SourceData.Scope3_Feed_Data(), Table_SourceData_Scope3_Feed[[#Headers],[Category]], 0, 2)</f>
        <v>at market</v>
      </c>
      <c r="N106" s="30" t="str">
        <f>Table_SourceData_Scope3_Feed[[#This Row],[Product]]</f>
        <v>Sorghum grain</v>
      </c>
      <c r="O106" s="30" t="str">
        <f>Table_SourceData_Scope3_Feed[[#This Row],[Region of origin]]</f>
        <v>Australia</v>
      </c>
    </row>
    <row r="107" spans="1:16" ht="20.100000000000001" customHeight="1" x14ac:dyDescent="0.25">
      <c r="A107"/>
      <c r="D107" s="30" t="str" cm="1">
        <f t="array" ref="D107">Common_InputFunctions.Utility_DisplayArrayInTable(Scope3_SourceData.Scope3_Feed_Data(), Table_SourceData_Scope3_Feed[[#Headers],[Category]], 0, 2)</f>
        <v>Grain</v>
      </c>
      <c r="E107" s="30" t="str" cm="1">
        <f t="array" ref="E107">Common_InputFunctions.Utility_DisplayArrayInTable(Scope3_SourceData.Scope3_Feed_Data(), Table_SourceData_Scope3_Feed[[#Headers],[Category]], 0, 2)</f>
        <v>Sorghum grain</v>
      </c>
      <c r="F107" s="30" t="str" cm="1">
        <f t="array" ref="F107">Common_InputFunctions.Utility_DisplayArrayInTable(Scope3_SourceData.Scope3_Feed_Data(), Table_SourceData_Scope3_Feed[[#Headers],[Category]], 0, 2)</f>
        <v>NSW</v>
      </c>
      <c r="G107" s="30" t="str" cm="1">
        <f t="array" ref="G107">Common_InputFunctions.Utility_DisplayArrayInTable(Scope3_SourceData.Scope3_Feed_Data(), Table_SourceData_Scope3_Feed[[#Headers],[Category]], 0, 2)</f>
        <v>kg</v>
      </c>
      <c r="H107" s="30" cm="1">
        <f t="array" ref="H107">Common_InputFunctions.Utility_DisplayArrayInTable(Scope3_SourceData.Scope3_Feed_Data(), Table_SourceData_Scope3_Feed[[#Headers],[Category]], 0, 2)</f>
        <v>0.23200000000000001</v>
      </c>
      <c r="I107" s="30" t="str" cm="1">
        <f t="array" ref="I107">Common_InputFunctions.Utility_DisplayArrayInTable(Scope3_SourceData.Scope3_Feed_Data(), Table_SourceData_Scope3_Feed[[#Headers],[Category]], 0, 2)</f>
        <v>at market</v>
      </c>
      <c r="N107" s="30" t="str">
        <f>Table_SourceData_Scope3_Feed[[#This Row],[Product]]</f>
        <v>Sorghum grain</v>
      </c>
      <c r="O107" s="30" t="str">
        <f>Table_SourceData_Scope3_Feed[[#This Row],[Region of origin]]</f>
        <v>NSW</v>
      </c>
    </row>
    <row r="108" spans="1:16" ht="20.100000000000001" customHeight="1" x14ac:dyDescent="0.25">
      <c r="A108"/>
      <c r="D108" s="30" t="str" cm="1">
        <f t="array" ref="D108">Common_InputFunctions.Utility_DisplayArrayInTable(Scope3_SourceData.Scope3_Feed_Data(), Table_SourceData_Scope3_Feed[[#Headers],[Category]], 0, 2)</f>
        <v>Grain</v>
      </c>
      <c r="E108" s="30" t="str" cm="1">
        <f t="array" ref="E108">Common_InputFunctions.Utility_DisplayArrayInTable(Scope3_SourceData.Scope3_Feed_Data(), Table_SourceData_Scope3_Feed[[#Headers],[Category]], 0, 2)</f>
        <v>Sorghum grain</v>
      </c>
      <c r="F108" s="30" t="str" cm="1">
        <f t="array" ref="F108">Common_InputFunctions.Utility_DisplayArrayInTable(Scope3_SourceData.Scope3_Feed_Data(), Table_SourceData_Scope3_Feed[[#Headers],[Category]], 0, 2)</f>
        <v>QLD</v>
      </c>
      <c r="G108" s="30" t="str" cm="1">
        <f t="array" ref="G108">Common_InputFunctions.Utility_DisplayArrayInTable(Scope3_SourceData.Scope3_Feed_Data(), Table_SourceData_Scope3_Feed[[#Headers],[Category]], 0, 2)</f>
        <v>kg</v>
      </c>
      <c r="H108" s="30" cm="1">
        <f t="array" ref="H108">Common_InputFunctions.Utility_DisplayArrayInTable(Scope3_SourceData.Scope3_Feed_Data(), Table_SourceData_Scope3_Feed[[#Headers],[Category]], 0, 2)</f>
        <v>0.23100000000000001</v>
      </c>
      <c r="I108" s="30" t="str" cm="1">
        <f t="array" ref="I108">Common_InputFunctions.Utility_DisplayArrayInTable(Scope3_SourceData.Scope3_Feed_Data(), Table_SourceData_Scope3_Feed[[#Headers],[Category]], 0, 2)</f>
        <v>at market</v>
      </c>
      <c r="N108" s="30" t="str">
        <f>Table_SourceData_Scope3_Feed[[#This Row],[Product]]</f>
        <v>Sorghum grain</v>
      </c>
      <c r="O108" s="30" t="str">
        <f>Table_SourceData_Scope3_Feed[[#This Row],[Region of origin]]</f>
        <v>QLD</v>
      </c>
    </row>
    <row r="109" spans="1:16" ht="20.100000000000001" customHeight="1" x14ac:dyDescent="0.25">
      <c r="A109"/>
      <c r="D109" s="30" t="str" cm="1">
        <f t="array" ref="D109">Common_InputFunctions.Utility_DisplayArrayInTable(Scope3_SourceData.Scope3_Feed_Data(), Table_SourceData_Scope3_Feed[[#Headers],[Category]], 0, 2)</f>
        <v>Grain</v>
      </c>
      <c r="E109" s="30" t="str" cm="1">
        <f t="array" ref="E109">Common_InputFunctions.Utility_DisplayArrayInTable(Scope3_SourceData.Scope3_Feed_Data(), Table_SourceData_Scope3_Feed[[#Headers],[Category]], 0, 2)</f>
        <v>Sorghum grain</v>
      </c>
      <c r="F109" s="30" t="str" cm="1">
        <f t="array" ref="F109">Common_InputFunctions.Utility_DisplayArrayInTable(Scope3_SourceData.Scope3_Feed_Data(), Table_SourceData_Scope3_Feed[[#Headers],[Category]], 0, 2)</f>
        <v>SA</v>
      </c>
      <c r="G109" s="30" t="str" cm="1">
        <f t="array" ref="G109">Common_InputFunctions.Utility_DisplayArrayInTable(Scope3_SourceData.Scope3_Feed_Data(), Table_SourceData_Scope3_Feed[[#Headers],[Category]], 0, 2)</f>
        <v>kg</v>
      </c>
      <c r="H109" s="30" cm="1">
        <f t="array" ref="H109">Common_InputFunctions.Utility_DisplayArrayInTable(Scope3_SourceData.Scope3_Feed_Data(), Table_SourceData_Scope3_Feed[[#Headers],[Category]], 0, 2)</f>
        <v>0.218</v>
      </c>
      <c r="I109" s="30" t="str" cm="1">
        <f t="array" ref="I109">Common_InputFunctions.Utility_DisplayArrayInTable(Scope3_SourceData.Scope3_Feed_Data(), Table_SourceData_Scope3_Feed[[#Headers],[Category]], 0, 2)</f>
        <v>at market</v>
      </c>
      <c r="N109" s="30" t="str">
        <f>Table_SourceData_Scope3_Feed[[#This Row],[Product]]</f>
        <v>Sorghum grain</v>
      </c>
      <c r="O109" s="30" t="str">
        <f>Table_SourceData_Scope3_Feed[[#This Row],[Region of origin]]</f>
        <v>SA</v>
      </c>
    </row>
    <row r="110" spans="1:16" ht="20.100000000000001" customHeight="1" x14ac:dyDescent="0.25">
      <c r="A110"/>
      <c r="D110" s="30" t="str" cm="1">
        <f t="array" ref="D110">Common_InputFunctions.Utility_DisplayArrayInTable(Scope3_SourceData.Scope3_Feed_Data(), Table_SourceData_Scope3_Feed[[#Headers],[Category]], 0, 2)</f>
        <v>Grain</v>
      </c>
      <c r="E110" s="30" t="str" cm="1">
        <f t="array" ref="E110">Common_InputFunctions.Utility_DisplayArrayInTable(Scope3_SourceData.Scope3_Feed_Data(), Table_SourceData_Scope3_Feed[[#Headers],[Category]], 0, 2)</f>
        <v>Sorghum grain</v>
      </c>
      <c r="F110" s="30" t="str" cm="1">
        <f t="array" ref="F110">Common_InputFunctions.Utility_DisplayArrayInTable(Scope3_SourceData.Scope3_Feed_Data(), Table_SourceData_Scope3_Feed[[#Headers],[Category]], 0, 2)</f>
        <v>VIC</v>
      </c>
      <c r="G110" s="30" t="str" cm="1">
        <f t="array" ref="G110">Common_InputFunctions.Utility_DisplayArrayInTable(Scope3_SourceData.Scope3_Feed_Data(), Table_SourceData_Scope3_Feed[[#Headers],[Category]], 0, 2)</f>
        <v>kg</v>
      </c>
      <c r="H110" s="30" cm="1">
        <f t="array" ref="H110">Common_InputFunctions.Utility_DisplayArrayInTable(Scope3_SourceData.Scope3_Feed_Data(), Table_SourceData_Scope3_Feed[[#Headers],[Category]], 0, 2)</f>
        <v>0.246</v>
      </c>
      <c r="I110" s="30" t="str" cm="1">
        <f t="array" ref="I110">Common_InputFunctions.Utility_DisplayArrayInTable(Scope3_SourceData.Scope3_Feed_Data(), Table_SourceData_Scope3_Feed[[#Headers],[Category]], 0, 2)</f>
        <v>at market</v>
      </c>
      <c r="K110" s="30" t="s">
        <v>137</v>
      </c>
      <c r="L110" s="30" t="s">
        <v>896</v>
      </c>
      <c r="M110" s="1" t="str">
        <f>"Table_ProductRegions_" &amp; SUBSTITUTE(SUBSTITUTE(SUBSTITUTE(SUBSTITUTE(K111, " ", ""), ",", ""), "(", ""), ")", "")</f>
        <v>Table_ProductRegions_Wheatgrain</v>
      </c>
      <c r="N110" s="30" t="str">
        <f>Table_SourceData_Scope3_Feed[[#This Row],[Product]]</f>
        <v>Sorghum grain</v>
      </c>
      <c r="O110" s="30" t="str">
        <f>Table_SourceData_Scope3_Feed[[#This Row],[Region of origin]]</f>
        <v>VIC</v>
      </c>
    </row>
    <row r="111" spans="1:16" ht="20.100000000000001" customHeight="1" x14ac:dyDescent="0.25">
      <c r="A111"/>
      <c r="D111" s="30" t="str" cm="1">
        <f t="array" ref="D111">Common_InputFunctions.Utility_DisplayArrayInTable(Scope3_SourceData.Scope3_Feed_Data(), Table_SourceData_Scope3_Feed[[#Headers],[Category]], 0, 2)</f>
        <v>Grain</v>
      </c>
      <c r="E111" s="30" t="str" cm="1">
        <f t="array" ref="E111">Common_InputFunctions.Utility_DisplayArrayInTable(Scope3_SourceData.Scope3_Feed_Data(), Table_SourceData_Scope3_Feed[[#Headers],[Category]], 0, 2)</f>
        <v>Wheat grain</v>
      </c>
      <c r="F111" s="30" t="str" cm="1">
        <f t="array" ref="F111">Common_InputFunctions.Utility_DisplayArrayInTable(Scope3_SourceData.Scope3_Feed_Data(), Table_SourceData_Scope3_Feed[[#Headers],[Category]], 0, 2)</f>
        <v>Australia</v>
      </c>
      <c r="G111" s="30" t="str" cm="1">
        <f t="array" ref="G111">Common_InputFunctions.Utility_DisplayArrayInTable(Scope3_SourceData.Scope3_Feed_Data(), Table_SourceData_Scope3_Feed[[#Headers],[Category]], 0, 2)</f>
        <v>kg</v>
      </c>
      <c r="H111" s="30" cm="1">
        <f t="array" ref="H111">Common_InputFunctions.Utility_DisplayArrayInTable(Scope3_SourceData.Scope3_Feed_Data(), Table_SourceData_Scope3_Feed[[#Headers],[Category]], 0, 2)</f>
        <v>0.26800000000000002</v>
      </c>
      <c r="I111" s="30" t="str" cm="1">
        <f t="array" ref="I111">Common_InputFunctions.Utility_DisplayArrayInTable(Scope3_SourceData.Scope3_Feed_Data(), Table_SourceData_Scope3_Feed[[#Headers],[Category]], 0, 2)</f>
        <v>at market</v>
      </c>
      <c r="K111" s="30" t="str">
        <f>Table_SourceData_Scope3_Feed[[#This Row],[Product]]</f>
        <v>Wheat grain</v>
      </c>
      <c r="L111" s="30" t="str">
        <f>Table_SourceData_Scope3_Feed[[#This Row],[Region of origin]]</f>
        <v>Australia</v>
      </c>
    </row>
    <row r="112" spans="1:16" ht="20.100000000000001" customHeight="1" x14ac:dyDescent="0.25">
      <c r="A112"/>
      <c r="D112" s="30" t="str" cm="1">
        <f t="array" ref="D112">Common_InputFunctions.Utility_DisplayArrayInTable(Scope3_SourceData.Scope3_Feed_Data(), Table_SourceData_Scope3_Feed[[#Headers],[Category]], 0, 2)</f>
        <v>Grain</v>
      </c>
      <c r="E112" s="30" t="str" cm="1">
        <f t="array" ref="E112">Common_InputFunctions.Utility_DisplayArrayInTable(Scope3_SourceData.Scope3_Feed_Data(), Table_SourceData_Scope3_Feed[[#Headers],[Category]], 0, 2)</f>
        <v>Wheat grain</v>
      </c>
      <c r="F112" s="30" t="str" cm="1">
        <f t="array" ref="F112">Common_InputFunctions.Utility_DisplayArrayInTable(Scope3_SourceData.Scope3_Feed_Data(), Table_SourceData_Scope3_Feed[[#Headers],[Category]], 0, 2)</f>
        <v>NSW</v>
      </c>
      <c r="G112" s="30" t="str" cm="1">
        <f t="array" ref="G112">Common_InputFunctions.Utility_DisplayArrayInTable(Scope3_SourceData.Scope3_Feed_Data(), Table_SourceData_Scope3_Feed[[#Headers],[Category]], 0, 2)</f>
        <v>kg</v>
      </c>
      <c r="H112" s="30" cm="1">
        <f t="array" ref="H112">Common_InputFunctions.Utility_DisplayArrayInTable(Scope3_SourceData.Scope3_Feed_Data(), Table_SourceData_Scope3_Feed[[#Headers],[Category]], 0, 2)</f>
        <v>0.28199999999999997</v>
      </c>
      <c r="I112" s="30" t="str" cm="1">
        <f t="array" ref="I112">Common_InputFunctions.Utility_DisplayArrayInTable(Scope3_SourceData.Scope3_Feed_Data(), Table_SourceData_Scope3_Feed[[#Headers],[Category]], 0, 2)</f>
        <v>at market</v>
      </c>
      <c r="K112" s="30" t="str">
        <f>Table_SourceData_Scope3_Feed[[#This Row],[Product]]</f>
        <v>Wheat grain</v>
      </c>
      <c r="L112" s="30" t="str">
        <f>Table_SourceData_Scope3_Feed[[#This Row],[Region of origin]]</f>
        <v>NSW</v>
      </c>
    </row>
    <row r="113" spans="1:16" ht="20.100000000000001" customHeight="1" x14ac:dyDescent="0.25">
      <c r="A113"/>
      <c r="D113" s="30" t="str" cm="1">
        <f t="array" ref="D113">Common_InputFunctions.Utility_DisplayArrayInTable(Scope3_SourceData.Scope3_Feed_Data(), Table_SourceData_Scope3_Feed[[#Headers],[Category]], 0, 2)</f>
        <v>Grain</v>
      </c>
      <c r="E113" s="30" t="str" cm="1">
        <f t="array" ref="E113">Common_InputFunctions.Utility_DisplayArrayInTable(Scope3_SourceData.Scope3_Feed_Data(), Table_SourceData_Scope3_Feed[[#Headers],[Category]], 0, 2)</f>
        <v>Wheat grain</v>
      </c>
      <c r="F113" s="30" t="str" cm="1">
        <f t="array" ref="F113">Common_InputFunctions.Utility_DisplayArrayInTable(Scope3_SourceData.Scope3_Feed_Data(), Table_SourceData_Scope3_Feed[[#Headers],[Category]], 0, 2)</f>
        <v>NT</v>
      </c>
      <c r="G113" s="30" t="str" cm="1">
        <f t="array" ref="G113">Common_InputFunctions.Utility_DisplayArrayInTable(Scope3_SourceData.Scope3_Feed_Data(), Table_SourceData_Scope3_Feed[[#Headers],[Category]], 0, 2)</f>
        <v>kg</v>
      </c>
      <c r="H113" s="30" cm="1">
        <f t="array" ref="H113">Common_InputFunctions.Utility_DisplayArrayInTable(Scope3_SourceData.Scope3_Feed_Data(), Table_SourceData_Scope3_Feed[[#Headers],[Category]], 0, 2)</f>
        <v>0.38500000000000001</v>
      </c>
      <c r="I113" s="30" t="str" cm="1">
        <f t="array" ref="I113">Common_InputFunctions.Utility_DisplayArrayInTable(Scope3_SourceData.Scope3_Feed_Data(), Table_SourceData_Scope3_Feed[[#Headers],[Category]], 0, 2)</f>
        <v>at market</v>
      </c>
      <c r="K113" s="30" t="str">
        <f>Table_SourceData_Scope3_Feed[[#This Row],[Product]]</f>
        <v>Wheat grain</v>
      </c>
      <c r="L113" s="30" t="str">
        <f>Table_SourceData_Scope3_Feed[[#This Row],[Region of origin]]</f>
        <v>NT</v>
      </c>
    </row>
    <row r="114" spans="1:16" ht="20.100000000000001" customHeight="1" x14ac:dyDescent="0.25">
      <c r="A114"/>
      <c r="D114" s="30" t="str" cm="1">
        <f t="array" ref="D114">Common_InputFunctions.Utility_DisplayArrayInTable(Scope3_SourceData.Scope3_Feed_Data(), Table_SourceData_Scope3_Feed[[#Headers],[Category]], 0, 2)</f>
        <v>Grain</v>
      </c>
      <c r="E114" s="30" t="str" cm="1">
        <f t="array" ref="E114">Common_InputFunctions.Utility_DisplayArrayInTable(Scope3_SourceData.Scope3_Feed_Data(), Table_SourceData_Scope3_Feed[[#Headers],[Category]], 0, 2)</f>
        <v>Wheat grain</v>
      </c>
      <c r="F114" s="30" t="str" cm="1">
        <f t="array" ref="F114">Common_InputFunctions.Utility_DisplayArrayInTable(Scope3_SourceData.Scope3_Feed_Data(), Table_SourceData_Scope3_Feed[[#Headers],[Category]], 0, 2)</f>
        <v>QLD</v>
      </c>
      <c r="G114" s="30" t="str" cm="1">
        <f t="array" ref="G114">Common_InputFunctions.Utility_DisplayArrayInTable(Scope3_SourceData.Scope3_Feed_Data(), Table_SourceData_Scope3_Feed[[#Headers],[Category]], 0, 2)</f>
        <v>kg</v>
      </c>
      <c r="H114" s="30" cm="1">
        <f t="array" ref="H114">Common_InputFunctions.Utility_DisplayArrayInTable(Scope3_SourceData.Scope3_Feed_Data(), Table_SourceData_Scope3_Feed[[#Headers],[Category]], 0, 2)</f>
        <v>0.29599999999999999</v>
      </c>
      <c r="I114" s="30" t="str" cm="1">
        <f t="array" ref="I114">Common_InputFunctions.Utility_DisplayArrayInTable(Scope3_SourceData.Scope3_Feed_Data(), Table_SourceData_Scope3_Feed[[#Headers],[Category]], 0, 2)</f>
        <v>at market</v>
      </c>
      <c r="K114" s="30" t="str">
        <f>Table_SourceData_Scope3_Feed[[#This Row],[Product]]</f>
        <v>Wheat grain</v>
      </c>
      <c r="L114" s="30" t="str">
        <f>Table_SourceData_Scope3_Feed[[#This Row],[Region of origin]]</f>
        <v>QLD</v>
      </c>
    </row>
    <row r="115" spans="1:16" ht="20.100000000000001" customHeight="1" x14ac:dyDescent="0.25">
      <c r="A115"/>
      <c r="D115" s="30" t="str" cm="1">
        <f t="array" ref="D115">Common_InputFunctions.Utility_DisplayArrayInTable(Scope3_SourceData.Scope3_Feed_Data(), Table_SourceData_Scope3_Feed[[#Headers],[Category]], 0, 2)</f>
        <v>Grain</v>
      </c>
      <c r="E115" s="30" t="str" cm="1">
        <f t="array" ref="E115">Common_InputFunctions.Utility_DisplayArrayInTable(Scope3_SourceData.Scope3_Feed_Data(), Table_SourceData_Scope3_Feed[[#Headers],[Category]], 0, 2)</f>
        <v>Wheat grain</v>
      </c>
      <c r="F115" s="30" t="str" cm="1">
        <f t="array" ref="F115">Common_InputFunctions.Utility_DisplayArrayInTable(Scope3_SourceData.Scope3_Feed_Data(), Table_SourceData_Scope3_Feed[[#Headers],[Category]], 0, 2)</f>
        <v>SA</v>
      </c>
      <c r="G115" s="30" t="str" cm="1">
        <f t="array" ref="G115">Common_InputFunctions.Utility_DisplayArrayInTable(Scope3_SourceData.Scope3_Feed_Data(), Table_SourceData_Scope3_Feed[[#Headers],[Category]], 0, 2)</f>
        <v>kg</v>
      </c>
      <c r="H115" s="30" cm="1">
        <f t="array" ref="H115">Common_InputFunctions.Utility_DisplayArrayInTable(Scope3_SourceData.Scope3_Feed_Data(), Table_SourceData_Scope3_Feed[[#Headers],[Category]], 0, 2)</f>
        <v>0.24099999999999999</v>
      </c>
      <c r="I115" s="30" t="str" cm="1">
        <f t="array" ref="I115">Common_InputFunctions.Utility_DisplayArrayInTable(Scope3_SourceData.Scope3_Feed_Data(), Table_SourceData_Scope3_Feed[[#Headers],[Category]], 0, 2)</f>
        <v>at market</v>
      </c>
      <c r="K115" s="30" t="str">
        <f>Table_SourceData_Scope3_Feed[[#This Row],[Product]]</f>
        <v>Wheat grain</v>
      </c>
      <c r="L115" s="30" t="str">
        <f>Table_SourceData_Scope3_Feed[[#This Row],[Region of origin]]</f>
        <v>SA</v>
      </c>
    </row>
    <row r="116" spans="1:16" ht="20.100000000000001" customHeight="1" x14ac:dyDescent="0.25">
      <c r="A116"/>
      <c r="D116" s="30" t="str" cm="1">
        <f t="array" ref="D116">Common_InputFunctions.Utility_DisplayArrayInTable(Scope3_SourceData.Scope3_Feed_Data(), Table_SourceData_Scope3_Feed[[#Headers],[Category]], 0, 2)</f>
        <v>Grain</v>
      </c>
      <c r="E116" s="30" t="str" cm="1">
        <f t="array" ref="E116">Common_InputFunctions.Utility_DisplayArrayInTable(Scope3_SourceData.Scope3_Feed_Data(), Table_SourceData_Scope3_Feed[[#Headers],[Category]], 0, 2)</f>
        <v>Wheat grain</v>
      </c>
      <c r="F116" s="30" t="str" cm="1">
        <f t="array" ref="F116">Common_InputFunctions.Utility_DisplayArrayInTable(Scope3_SourceData.Scope3_Feed_Data(), Table_SourceData_Scope3_Feed[[#Headers],[Category]], 0, 2)</f>
        <v>TAS</v>
      </c>
      <c r="G116" s="30" t="str" cm="1">
        <f t="array" ref="G116">Common_InputFunctions.Utility_DisplayArrayInTable(Scope3_SourceData.Scope3_Feed_Data(), Table_SourceData_Scope3_Feed[[#Headers],[Category]], 0, 2)</f>
        <v>kg</v>
      </c>
      <c r="H116" s="30" cm="1">
        <f t="array" ref="H116">Common_InputFunctions.Utility_DisplayArrayInTable(Scope3_SourceData.Scope3_Feed_Data(), Table_SourceData_Scope3_Feed[[#Headers],[Category]], 0, 2)</f>
        <v>0.33800000000000002</v>
      </c>
      <c r="I116" s="30" t="str" cm="1">
        <f t="array" ref="I116">Common_InputFunctions.Utility_DisplayArrayInTable(Scope3_SourceData.Scope3_Feed_Data(), Table_SourceData_Scope3_Feed[[#Headers],[Category]], 0, 2)</f>
        <v>at market</v>
      </c>
      <c r="K116" s="30" t="str">
        <f>Table_SourceData_Scope3_Feed[[#This Row],[Product]]</f>
        <v>Wheat grain</v>
      </c>
      <c r="L116" s="30" t="str">
        <f>Table_SourceData_Scope3_Feed[[#This Row],[Region of origin]]</f>
        <v>TAS</v>
      </c>
    </row>
    <row r="117" spans="1:16" ht="20.100000000000001" customHeight="1" x14ac:dyDescent="0.25">
      <c r="A117"/>
      <c r="D117" s="30" t="str" cm="1">
        <f t="array" ref="D117">Common_InputFunctions.Utility_DisplayArrayInTable(Scope3_SourceData.Scope3_Feed_Data(), Table_SourceData_Scope3_Feed[[#Headers],[Category]], 0, 2)</f>
        <v>Grain</v>
      </c>
      <c r="E117" s="30" t="str" cm="1">
        <f t="array" ref="E117">Common_InputFunctions.Utility_DisplayArrayInTable(Scope3_SourceData.Scope3_Feed_Data(), Table_SourceData_Scope3_Feed[[#Headers],[Category]], 0, 2)</f>
        <v>Wheat grain</v>
      </c>
      <c r="F117" s="30" t="str" cm="1">
        <f t="array" ref="F117">Common_InputFunctions.Utility_DisplayArrayInTable(Scope3_SourceData.Scope3_Feed_Data(), Table_SourceData_Scope3_Feed[[#Headers],[Category]], 0, 2)</f>
        <v>VIC</v>
      </c>
      <c r="G117" s="30" t="str" cm="1">
        <f t="array" ref="G117">Common_InputFunctions.Utility_DisplayArrayInTable(Scope3_SourceData.Scope3_Feed_Data(), Table_SourceData_Scope3_Feed[[#Headers],[Category]], 0, 2)</f>
        <v>kg</v>
      </c>
      <c r="H117" s="30" cm="1">
        <f t="array" ref="H117">Common_InputFunctions.Utility_DisplayArrayInTable(Scope3_SourceData.Scope3_Feed_Data(), Table_SourceData_Scope3_Feed[[#Headers],[Category]], 0, 2)</f>
        <v>0.26600000000000001</v>
      </c>
      <c r="I117" s="30" t="str" cm="1">
        <f t="array" ref="I117">Common_InputFunctions.Utility_DisplayArrayInTable(Scope3_SourceData.Scope3_Feed_Data(), Table_SourceData_Scope3_Feed[[#Headers],[Category]], 0, 2)</f>
        <v>at market</v>
      </c>
      <c r="K117" s="30" t="str">
        <f>Table_SourceData_Scope3_Feed[[#This Row],[Product]]</f>
        <v>Wheat grain</v>
      </c>
      <c r="L117" s="30" t="str">
        <f>Table_SourceData_Scope3_Feed[[#This Row],[Region of origin]]</f>
        <v>VIC</v>
      </c>
    </row>
    <row r="118" spans="1:16" ht="20.100000000000001" customHeight="1" x14ac:dyDescent="0.25">
      <c r="A118"/>
      <c r="D118" s="30" t="str" cm="1">
        <f t="array" ref="D118">Common_InputFunctions.Utility_DisplayArrayInTable(Scope3_SourceData.Scope3_Feed_Data(), Table_SourceData_Scope3_Feed[[#Headers],[Category]], 0, 2)</f>
        <v>Grain</v>
      </c>
      <c r="E118" s="30" t="str" cm="1">
        <f t="array" ref="E118">Common_InputFunctions.Utility_DisplayArrayInTable(Scope3_SourceData.Scope3_Feed_Data(), Table_SourceData_Scope3_Feed[[#Headers],[Category]], 0, 2)</f>
        <v>Wheat grain</v>
      </c>
      <c r="F118" s="30" t="str" cm="1">
        <f t="array" ref="F118">Common_InputFunctions.Utility_DisplayArrayInTable(Scope3_SourceData.Scope3_Feed_Data(), Table_SourceData_Scope3_Feed[[#Headers],[Category]], 0, 2)</f>
        <v>WA</v>
      </c>
      <c r="G118" s="30" t="str" cm="1">
        <f t="array" ref="G118">Common_InputFunctions.Utility_DisplayArrayInTable(Scope3_SourceData.Scope3_Feed_Data(), Table_SourceData_Scope3_Feed[[#Headers],[Category]], 0, 2)</f>
        <v>kg</v>
      </c>
      <c r="H118" s="30" cm="1">
        <f t="array" ref="H118">Common_InputFunctions.Utility_DisplayArrayInTable(Scope3_SourceData.Scope3_Feed_Data(), Table_SourceData_Scope3_Feed[[#Headers],[Category]], 0, 2)</f>
        <v>0.26100000000000001</v>
      </c>
      <c r="I118" s="30" t="str" cm="1">
        <f t="array" ref="I118">Common_InputFunctions.Utility_DisplayArrayInTable(Scope3_SourceData.Scope3_Feed_Data(), Table_SourceData_Scope3_Feed[[#Headers],[Category]], 0, 2)</f>
        <v>at market</v>
      </c>
      <c r="K118" s="30" t="str">
        <f>Table_SourceData_Scope3_Feed[[#This Row],[Product]]</f>
        <v>Wheat grain</v>
      </c>
      <c r="L118" s="30" t="str">
        <f>Table_SourceData_Scope3_Feed[[#This Row],[Region of origin]]</f>
        <v>WA</v>
      </c>
      <c r="N118" s="30" t="s">
        <v>137</v>
      </c>
      <c r="O118" s="30" t="s">
        <v>896</v>
      </c>
      <c r="P118" s="1" t="str">
        <f>"Table_ProductRegions_" &amp; SUBSTITUTE(SUBSTITUTE(SUBSTITUTE(SUBSTITUTE(N119, " ", ""), ",", ""), "(", ""), ")", "")</f>
        <v>Table_ProductRegions_Cerealhay</v>
      </c>
    </row>
    <row r="119" spans="1:16" ht="20.100000000000001" customHeight="1" x14ac:dyDescent="0.25">
      <c r="A119"/>
      <c r="D119" s="30" t="str" cm="1">
        <f t="array" ref="D119">Common_InputFunctions.Utility_DisplayArrayInTable(Scope3_SourceData.Scope3_Feed_Data(), Table_SourceData_Scope3_Feed[[#Headers],[Category]], 0, 2)</f>
        <v>Hay</v>
      </c>
      <c r="E119" s="30" t="str" cm="1">
        <f t="array" ref="E119">Common_InputFunctions.Utility_DisplayArrayInTable(Scope3_SourceData.Scope3_Feed_Data(), Table_SourceData_Scope3_Feed[[#Headers],[Category]], 0, 2)</f>
        <v>Cereal hay</v>
      </c>
      <c r="F119" s="30" t="str" cm="1">
        <f t="array" ref="F119">Common_InputFunctions.Utility_DisplayArrayInTable(Scope3_SourceData.Scope3_Feed_Data(), Table_SourceData_Scope3_Feed[[#Headers],[Category]], 0, 2)</f>
        <v>Australia</v>
      </c>
      <c r="G119" s="30" t="str" cm="1">
        <f t="array" ref="G119">Common_InputFunctions.Utility_DisplayArrayInTable(Scope3_SourceData.Scope3_Feed_Data(), Table_SourceData_Scope3_Feed[[#Headers],[Category]], 0, 2)</f>
        <v>kg</v>
      </c>
      <c r="H119" s="30" cm="1">
        <f t="array" ref="H119">Common_InputFunctions.Utility_DisplayArrayInTable(Scope3_SourceData.Scope3_Feed_Data(), Table_SourceData_Scope3_Feed[[#Headers],[Category]], 0, 2)</f>
        <v>0.11700000000000001</v>
      </c>
      <c r="I119" s="30" t="str" cm="1">
        <f t="array" ref="I119">Common_InputFunctions.Utility_DisplayArrayInTable(Scope3_SourceData.Scope3_Feed_Data(), Table_SourceData_Scope3_Feed[[#Headers],[Category]], 0, 2)</f>
        <v>at market</v>
      </c>
      <c r="N119" s="30" t="str">
        <f>Table_SourceData_Scope3_Feed[[#This Row],[Product]]</f>
        <v>Cereal hay</v>
      </c>
      <c r="O119" s="30" t="str">
        <f>Table_SourceData_Scope3_Feed[[#This Row],[Region of origin]]</f>
        <v>Australia</v>
      </c>
    </row>
    <row r="120" spans="1:16" ht="20.100000000000001" customHeight="1" x14ac:dyDescent="0.25">
      <c r="A120"/>
      <c r="D120" s="30" t="str" cm="1">
        <f t="array" ref="D120">Common_InputFunctions.Utility_DisplayArrayInTable(Scope3_SourceData.Scope3_Feed_Data(), Table_SourceData_Scope3_Feed[[#Headers],[Category]], 0, 2)</f>
        <v>Hay</v>
      </c>
      <c r="E120" s="30" t="str" cm="1">
        <f t="array" ref="E120">Common_InputFunctions.Utility_DisplayArrayInTable(Scope3_SourceData.Scope3_Feed_Data(), Table_SourceData_Scope3_Feed[[#Headers],[Category]], 0, 2)</f>
        <v>Cereal hay</v>
      </c>
      <c r="F120" s="30" t="str" cm="1">
        <f t="array" ref="F120">Common_InputFunctions.Utility_DisplayArrayInTable(Scope3_SourceData.Scope3_Feed_Data(), Table_SourceData_Scope3_Feed[[#Headers],[Category]], 0, 2)</f>
        <v>NSW</v>
      </c>
      <c r="G120" s="30" t="str" cm="1">
        <f t="array" ref="G120">Common_InputFunctions.Utility_DisplayArrayInTable(Scope3_SourceData.Scope3_Feed_Data(), Table_SourceData_Scope3_Feed[[#Headers],[Category]], 0, 2)</f>
        <v>kg</v>
      </c>
      <c r="H120" s="30" cm="1">
        <f t="array" ref="H120">Common_InputFunctions.Utility_DisplayArrayInTable(Scope3_SourceData.Scope3_Feed_Data(), Table_SourceData_Scope3_Feed[[#Headers],[Category]], 0, 2)</f>
        <v>0.11600000000000001</v>
      </c>
      <c r="I120" s="30" t="str" cm="1">
        <f t="array" ref="I120">Common_InputFunctions.Utility_DisplayArrayInTable(Scope3_SourceData.Scope3_Feed_Data(), Table_SourceData_Scope3_Feed[[#Headers],[Category]], 0, 2)</f>
        <v>at market</v>
      </c>
      <c r="N120" s="30" t="str">
        <f>Table_SourceData_Scope3_Feed[[#This Row],[Product]]</f>
        <v>Cereal hay</v>
      </c>
      <c r="O120" s="30" t="str">
        <f>Table_SourceData_Scope3_Feed[[#This Row],[Region of origin]]</f>
        <v>NSW</v>
      </c>
    </row>
    <row r="121" spans="1:16" ht="20.100000000000001" customHeight="1" x14ac:dyDescent="0.25">
      <c r="A121"/>
      <c r="D121" s="30" t="str" cm="1">
        <f t="array" ref="D121">Common_InputFunctions.Utility_DisplayArrayInTable(Scope3_SourceData.Scope3_Feed_Data(), Table_SourceData_Scope3_Feed[[#Headers],[Category]], 0, 2)</f>
        <v>Hay</v>
      </c>
      <c r="E121" s="30" t="str" cm="1">
        <f t="array" ref="E121">Common_InputFunctions.Utility_DisplayArrayInTable(Scope3_SourceData.Scope3_Feed_Data(), Table_SourceData_Scope3_Feed[[#Headers],[Category]], 0, 2)</f>
        <v>Cereal hay</v>
      </c>
      <c r="F121" s="30" t="str" cm="1">
        <f t="array" ref="F121">Common_InputFunctions.Utility_DisplayArrayInTable(Scope3_SourceData.Scope3_Feed_Data(), Table_SourceData_Scope3_Feed[[#Headers],[Category]], 0, 2)</f>
        <v>QLD</v>
      </c>
      <c r="G121" s="30" t="str" cm="1">
        <f t="array" ref="G121">Common_InputFunctions.Utility_DisplayArrayInTable(Scope3_SourceData.Scope3_Feed_Data(), Table_SourceData_Scope3_Feed[[#Headers],[Category]], 0, 2)</f>
        <v>kg</v>
      </c>
      <c r="H121" s="30" cm="1">
        <f t="array" ref="H121">Common_InputFunctions.Utility_DisplayArrayInTable(Scope3_SourceData.Scope3_Feed_Data(), Table_SourceData_Scope3_Feed[[#Headers],[Category]], 0, 2)</f>
        <v>0.11799999999999999</v>
      </c>
      <c r="I121" s="30" t="str" cm="1">
        <f t="array" ref="I121">Common_InputFunctions.Utility_DisplayArrayInTable(Scope3_SourceData.Scope3_Feed_Data(), Table_SourceData_Scope3_Feed[[#Headers],[Category]], 0, 2)</f>
        <v>at market</v>
      </c>
      <c r="N121" s="30" t="str">
        <f>Table_SourceData_Scope3_Feed[[#This Row],[Product]]</f>
        <v>Cereal hay</v>
      </c>
      <c r="O121" s="30" t="str">
        <f>Table_SourceData_Scope3_Feed[[#This Row],[Region of origin]]</f>
        <v>QLD</v>
      </c>
    </row>
    <row r="122" spans="1:16" ht="20.100000000000001" customHeight="1" x14ac:dyDescent="0.25">
      <c r="A122"/>
      <c r="D122" s="30" t="str" cm="1">
        <f t="array" ref="D122">Common_InputFunctions.Utility_DisplayArrayInTable(Scope3_SourceData.Scope3_Feed_Data(), Table_SourceData_Scope3_Feed[[#Headers],[Category]], 0, 2)</f>
        <v>Hay</v>
      </c>
      <c r="E122" s="30" t="str" cm="1">
        <f t="array" ref="E122">Common_InputFunctions.Utility_DisplayArrayInTable(Scope3_SourceData.Scope3_Feed_Data(), Table_SourceData_Scope3_Feed[[#Headers],[Category]], 0, 2)</f>
        <v>Cereal hay</v>
      </c>
      <c r="F122" s="30" t="str" cm="1">
        <f t="array" ref="F122">Common_InputFunctions.Utility_DisplayArrayInTable(Scope3_SourceData.Scope3_Feed_Data(), Table_SourceData_Scope3_Feed[[#Headers],[Category]], 0, 2)</f>
        <v>SA</v>
      </c>
      <c r="G122" s="30" t="str" cm="1">
        <f t="array" ref="G122">Common_InputFunctions.Utility_DisplayArrayInTable(Scope3_SourceData.Scope3_Feed_Data(), Table_SourceData_Scope3_Feed[[#Headers],[Category]], 0, 2)</f>
        <v>kg</v>
      </c>
      <c r="H122" s="30" cm="1">
        <f t="array" ref="H122">Common_InputFunctions.Utility_DisplayArrayInTable(Scope3_SourceData.Scope3_Feed_Data(), Table_SourceData_Scope3_Feed[[#Headers],[Category]], 0, 2)</f>
        <v>0.111</v>
      </c>
      <c r="I122" s="30" t="str" cm="1">
        <f t="array" ref="I122">Common_InputFunctions.Utility_DisplayArrayInTable(Scope3_SourceData.Scope3_Feed_Data(), Table_SourceData_Scope3_Feed[[#Headers],[Category]], 0, 2)</f>
        <v>at market</v>
      </c>
      <c r="N122" s="30" t="str">
        <f>Table_SourceData_Scope3_Feed[[#This Row],[Product]]</f>
        <v>Cereal hay</v>
      </c>
      <c r="O122" s="30" t="str">
        <f>Table_SourceData_Scope3_Feed[[#This Row],[Region of origin]]</f>
        <v>SA</v>
      </c>
    </row>
    <row r="123" spans="1:16" ht="20.100000000000001" customHeight="1" x14ac:dyDescent="0.25">
      <c r="A123"/>
      <c r="D123" s="30" t="str" cm="1">
        <f t="array" ref="D123">Common_InputFunctions.Utility_DisplayArrayInTable(Scope3_SourceData.Scope3_Feed_Data(), Table_SourceData_Scope3_Feed[[#Headers],[Category]], 0, 2)</f>
        <v>Hay</v>
      </c>
      <c r="E123" s="30" t="str" cm="1">
        <f t="array" ref="E123">Common_InputFunctions.Utility_DisplayArrayInTable(Scope3_SourceData.Scope3_Feed_Data(), Table_SourceData_Scope3_Feed[[#Headers],[Category]], 0, 2)</f>
        <v>Cereal hay</v>
      </c>
      <c r="F123" s="30" t="str" cm="1">
        <f t="array" ref="F123">Common_InputFunctions.Utility_DisplayArrayInTable(Scope3_SourceData.Scope3_Feed_Data(), Table_SourceData_Scope3_Feed[[#Headers],[Category]], 0, 2)</f>
        <v>TAS</v>
      </c>
      <c r="G123" s="30" t="str" cm="1">
        <f t="array" ref="G123">Common_InputFunctions.Utility_DisplayArrayInTable(Scope3_SourceData.Scope3_Feed_Data(), Table_SourceData_Scope3_Feed[[#Headers],[Category]], 0, 2)</f>
        <v>kg</v>
      </c>
      <c r="H123" s="30" cm="1">
        <f t="array" ref="H123">Common_InputFunctions.Utility_DisplayArrayInTable(Scope3_SourceData.Scope3_Feed_Data(), Table_SourceData_Scope3_Feed[[#Headers],[Category]], 0, 2)</f>
        <v>0.13900000000000001</v>
      </c>
      <c r="I123" s="30" t="str" cm="1">
        <f t="array" ref="I123">Common_InputFunctions.Utility_DisplayArrayInTable(Scope3_SourceData.Scope3_Feed_Data(), Table_SourceData_Scope3_Feed[[#Headers],[Category]], 0, 2)</f>
        <v>at market</v>
      </c>
      <c r="N123" s="30" t="str">
        <f>Table_SourceData_Scope3_Feed[[#This Row],[Product]]</f>
        <v>Cereal hay</v>
      </c>
      <c r="O123" s="30" t="str">
        <f>Table_SourceData_Scope3_Feed[[#This Row],[Region of origin]]</f>
        <v>TAS</v>
      </c>
    </row>
    <row r="124" spans="1:16" ht="20.100000000000001" customHeight="1" x14ac:dyDescent="0.25">
      <c r="A124"/>
      <c r="D124" s="30" t="str" cm="1">
        <f t="array" ref="D124">Common_InputFunctions.Utility_DisplayArrayInTable(Scope3_SourceData.Scope3_Feed_Data(), Table_SourceData_Scope3_Feed[[#Headers],[Category]], 0, 2)</f>
        <v>Hay</v>
      </c>
      <c r="E124" s="30" t="str" cm="1">
        <f t="array" ref="E124">Common_InputFunctions.Utility_DisplayArrayInTable(Scope3_SourceData.Scope3_Feed_Data(), Table_SourceData_Scope3_Feed[[#Headers],[Category]], 0, 2)</f>
        <v>Cereal hay</v>
      </c>
      <c r="F124" s="30" t="str" cm="1">
        <f t="array" ref="F124">Common_InputFunctions.Utility_DisplayArrayInTable(Scope3_SourceData.Scope3_Feed_Data(), Table_SourceData_Scope3_Feed[[#Headers],[Category]], 0, 2)</f>
        <v>VIC</v>
      </c>
      <c r="G124" s="30" t="str" cm="1">
        <f t="array" ref="G124">Common_InputFunctions.Utility_DisplayArrayInTable(Scope3_SourceData.Scope3_Feed_Data(), Table_SourceData_Scope3_Feed[[#Headers],[Category]], 0, 2)</f>
        <v>kg</v>
      </c>
      <c r="H124" s="30" cm="1">
        <f t="array" ref="H124">Common_InputFunctions.Utility_DisplayArrayInTable(Scope3_SourceData.Scope3_Feed_Data(), Table_SourceData_Scope3_Feed[[#Headers],[Category]], 0, 2)</f>
        <v>0.11600000000000001</v>
      </c>
      <c r="I124" s="30" t="str" cm="1">
        <f t="array" ref="I124">Common_InputFunctions.Utility_DisplayArrayInTable(Scope3_SourceData.Scope3_Feed_Data(), Table_SourceData_Scope3_Feed[[#Headers],[Category]], 0, 2)</f>
        <v>at market</v>
      </c>
      <c r="N124" s="30" t="str">
        <f>Table_SourceData_Scope3_Feed[[#This Row],[Product]]</f>
        <v>Cereal hay</v>
      </c>
      <c r="O124" s="30" t="str">
        <f>Table_SourceData_Scope3_Feed[[#This Row],[Region of origin]]</f>
        <v>VIC</v>
      </c>
    </row>
    <row r="125" spans="1:16" ht="20.100000000000001" customHeight="1" x14ac:dyDescent="0.25">
      <c r="A125"/>
      <c r="D125" s="30" t="str" cm="1">
        <f t="array" ref="D125">Common_InputFunctions.Utility_DisplayArrayInTable(Scope3_SourceData.Scope3_Feed_Data(), Table_SourceData_Scope3_Feed[[#Headers],[Category]], 0, 2)</f>
        <v>Hay</v>
      </c>
      <c r="E125" s="30" t="str" cm="1">
        <f t="array" ref="E125">Common_InputFunctions.Utility_DisplayArrayInTable(Scope3_SourceData.Scope3_Feed_Data(), Table_SourceData_Scope3_Feed[[#Headers],[Category]], 0, 2)</f>
        <v>Cereal hay</v>
      </c>
      <c r="F125" s="30" t="str" cm="1">
        <f t="array" ref="F125">Common_InputFunctions.Utility_DisplayArrayInTable(Scope3_SourceData.Scope3_Feed_Data(), Table_SourceData_Scope3_Feed[[#Headers],[Category]], 0, 2)</f>
        <v>WA</v>
      </c>
      <c r="G125" s="30" t="str" cm="1">
        <f t="array" ref="G125">Common_InputFunctions.Utility_DisplayArrayInTable(Scope3_SourceData.Scope3_Feed_Data(), Table_SourceData_Scope3_Feed[[#Headers],[Category]], 0, 2)</f>
        <v>kg</v>
      </c>
      <c r="H125" s="30" cm="1">
        <f t="array" ref="H125">Common_InputFunctions.Utility_DisplayArrayInTable(Scope3_SourceData.Scope3_Feed_Data(), Table_SourceData_Scope3_Feed[[#Headers],[Category]], 0, 2)</f>
        <v>0.122</v>
      </c>
      <c r="I125" s="30" t="str" cm="1">
        <f t="array" ref="I125">Common_InputFunctions.Utility_DisplayArrayInTable(Scope3_SourceData.Scope3_Feed_Data(), Table_SourceData_Scope3_Feed[[#Headers],[Category]], 0, 2)</f>
        <v>at market</v>
      </c>
      <c r="K125" s="30" t="s">
        <v>137</v>
      </c>
      <c r="L125" s="30" t="s">
        <v>896</v>
      </c>
      <c r="M125" s="1" t="str">
        <f>"Table_ProductRegions_" &amp; SUBSTITUTE(SUBSTITUTE(SUBSTITUTE(SUBSTITUTE(K126, " ", ""), ",", ""), "(", ""), ")", "")</f>
        <v>Table_ProductRegions_Cerealsilage</v>
      </c>
      <c r="N125" s="30" t="str">
        <f>Table_SourceData_Scope3_Feed[[#This Row],[Product]]</f>
        <v>Cereal hay</v>
      </c>
      <c r="O125" s="30" t="str">
        <f>Table_SourceData_Scope3_Feed[[#This Row],[Region of origin]]</f>
        <v>WA</v>
      </c>
    </row>
    <row r="126" spans="1:16" ht="20.100000000000001" customHeight="1" x14ac:dyDescent="0.25">
      <c r="A126"/>
      <c r="D126" s="30" t="str" cm="1">
        <f t="array" ref="D126">Common_InputFunctions.Utility_DisplayArrayInTable(Scope3_SourceData.Scope3_Feed_Data(), Table_SourceData_Scope3_Feed[[#Headers],[Category]], 0, 2)</f>
        <v>Hay</v>
      </c>
      <c r="E126" s="30" t="str" cm="1">
        <f t="array" ref="E126">Common_InputFunctions.Utility_DisplayArrayInTable(Scope3_SourceData.Scope3_Feed_Data(), Table_SourceData_Scope3_Feed[[#Headers],[Category]], 0, 2)</f>
        <v>Cereal silage</v>
      </c>
      <c r="F126" s="30" t="str" cm="1">
        <f t="array" ref="F126">Common_InputFunctions.Utility_DisplayArrayInTable(Scope3_SourceData.Scope3_Feed_Data(), Table_SourceData_Scope3_Feed[[#Headers],[Category]], 0, 2)</f>
        <v>Australia</v>
      </c>
      <c r="G126" s="30" t="str" cm="1">
        <f t="array" ref="G126">Common_InputFunctions.Utility_DisplayArrayInTable(Scope3_SourceData.Scope3_Feed_Data(), Table_SourceData_Scope3_Feed[[#Headers],[Category]], 0, 2)</f>
        <v>kg</v>
      </c>
      <c r="H126" s="30" cm="1">
        <f t="array" ref="H126">Common_InputFunctions.Utility_DisplayArrayInTable(Scope3_SourceData.Scope3_Feed_Data(), Table_SourceData_Scope3_Feed[[#Headers],[Category]], 0, 2)</f>
        <v>7.4399999999999994E-2</v>
      </c>
      <c r="I126" s="30" t="str" cm="1">
        <f t="array" ref="I126">Common_InputFunctions.Utility_DisplayArrayInTable(Scope3_SourceData.Scope3_Feed_Data(), Table_SourceData_Scope3_Feed[[#Headers],[Category]], 0, 2)</f>
        <v>at market</v>
      </c>
      <c r="K126" s="30" t="str">
        <f>Table_SourceData_Scope3_Feed[[#This Row],[Product]]</f>
        <v>Cereal silage</v>
      </c>
      <c r="L126" s="30" t="str">
        <f>Table_SourceData_Scope3_Feed[[#This Row],[Region of origin]]</f>
        <v>Australia</v>
      </c>
    </row>
    <row r="127" spans="1:16" ht="20.100000000000001" customHeight="1" x14ac:dyDescent="0.25">
      <c r="A127"/>
      <c r="D127" s="30" t="str" cm="1">
        <f t="array" ref="D127">Common_InputFunctions.Utility_DisplayArrayInTable(Scope3_SourceData.Scope3_Feed_Data(), Table_SourceData_Scope3_Feed[[#Headers],[Category]], 0, 2)</f>
        <v>Hay</v>
      </c>
      <c r="E127" s="30" t="str" cm="1">
        <f t="array" ref="E127">Common_InputFunctions.Utility_DisplayArrayInTable(Scope3_SourceData.Scope3_Feed_Data(), Table_SourceData_Scope3_Feed[[#Headers],[Category]], 0, 2)</f>
        <v>Cereal silage</v>
      </c>
      <c r="F127" s="30" t="str" cm="1">
        <f t="array" ref="F127">Common_InputFunctions.Utility_DisplayArrayInTable(Scope3_SourceData.Scope3_Feed_Data(), Table_SourceData_Scope3_Feed[[#Headers],[Category]], 0, 2)</f>
        <v>NSW</v>
      </c>
      <c r="G127" s="30" t="str" cm="1">
        <f t="array" ref="G127">Common_InputFunctions.Utility_DisplayArrayInTable(Scope3_SourceData.Scope3_Feed_Data(), Table_SourceData_Scope3_Feed[[#Headers],[Category]], 0, 2)</f>
        <v>kg</v>
      </c>
      <c r="H127" s="30" cm="1">
        <f t="array" ref="H127">Common_InputFunctions.Utility_DisplayArrayInTable(Scope3_SourceData.Scope3_Feed_Data(), Table_SourceData_Scope3_Feed[[#Headers],[Category]], 0, 2)</f>
        <v>7.3899999999999993E-2</v>
      </c>
      <c r="I127" s="30" t="str" cm="1">
        <f t="array" ref="I127">Common_InputFunctions.Utility_DisplayArrayInTable(Scope3_SourceData.Scope3_Feed_Data(), Table_SourceData_Scope3_Feed[[#Headers],[Category]], 0, 2)</f>
        <v>at market</v>
      </c>
      <c r="K127" s="30" t="str">
        <f>Table_SourceData_Scope3_Feed[[#This Row],[Product]]</f>
        <v>Cereal silage</v>
      </c>
      <c r="L127" s="30" t="str">
        <f>Table_SourceData_Scope3_Feed[[#This Row],[Region of origin]]</f>
        <v>NSW</v>
      </c>
    </row>
    <row r="128" spans="1:16" ht="20.100000000000001" customHeight="1" x14ac:dyDescent="0.25">
      <c r="A128"/>
      <c r="D128" s="30" t="str" cm="1">
        <f t="array" ref="D128">Common_InputFunctions.Utility_DisplayArrayInTable(Scope3_SourceData.Scope3_Feed_Data(), Table_SourceData_Scope3_Feed[[#Headers],[Category]], 0, 2)</f>
        <v>Hay</v>
      </c>
      <c r="E128" s="30" t="str" cm="1">
        <f t="array" ref="E128">Common_InputFunctions.Utility_DisplayArrayInTable(Scope3_SourceData.Scope3_Feed_Data(), Table_SourceData_Scope3_Feed[[#Headers],[Category]], 0, 2)</f>
        <v>Cereal silage</v>
      </c>
      <c r="F128" s="30" t="str" cm="1">
        <f t="array" ref="F128">Common_InputFunctions.Utility_DisplayArrayInTable(Scope3_SourceData.Scope3_Feed_Data(), Table_SourceData_Scope3_Feed[[#Headers],[Category]], 0, 2)</f>
        <v>QLD</v>
      </c>
      <c r="G128" s="30" t="str" cm="1">
        <f t="array" ref="G128">Common_InputFunctions.Utility_DisplayArrayInTable(Scope3_SourceData.Scope3_Feed_Data(), Table_SourceData_Scope3_Feed[[#Headers],[Category]], 0, 2)</f>
        <v>kg</v>
      </c>
      <c r="H128" s="30" cm="1">
        <f t="array" ref="H128">Common_InputFunctions.Utility_DisplayArrayInTable(Scope3_SourceData.Scope3_Feed_Data(), Table_SourceData_Scope3_Feed[[#Headers],[Category]], 0, 2)</f>
        <v>7.9000000000000001E-2</v>
      </c>
      <c r="I128" s="30" t="str" cm="1">
        <f t="array" ref="I128">Common_InputFunctions.Utility_DisplayArrayInTable(Scope3_SourceData.Scope3_Feed_Data(), Table_SourceData_Scope3_Feed[[#Headers],[Category]], 0, 2)</f>
        <v>at market</v>
      </c>
      <c r="K128" s="30" t="str">
        <f>Table_SourceData_Scope3_Feed[[#This Row],[Product]]</f>
        <v>Cereal silage</v>
      </c>
      <c r="L128" s="30" t="str">
        <f>Table_SourceData_Scope3_Feed[[#This Row],[Region of origin]]</f>
        <v>QLD</v>
      </c>
    </row>
    <row r="129" spans="1:16" ht="20.100000000000001" customHeight="1" x14ac:dyDescent="0.25">
      <c r="A129"/>
      <c r="D129" s="30" t="str" cm="1">
        <f t="array" ref="D129">Common_InputFunctions.Utility_DisplayArrayInTable(Scope3_SourceData.Scope3_Feed_Data(), Table_SourceData_Scope3_Feed[[#Headers],[Category]], 0, 2)</f>
        <v>Hay</v>
      </c>
      <c r="E129" s="30" t="str" cm="1">
        <f t="array" ref="E129">Common_InputFunctions.Utility_DisplayArrayInTable(Scope3_SourceData.Scope3_Feed_Data(), Table_SourceData_Scope3_Feed[[#Headers],[Category]], 0, 2)</f>
        <v>Cereal silage</v>
      </c>
      <c r="F129" s="30" t="str" cm="1">
        <f t="array" ref="F129">Common_InputFunctions.Utility_DisplayArrayInTable(Scope3_SourceData.Scope3_Feed_Data(), Table_SourceData_Scope3_Feed[[#Headers],[Category]], 0, 2)</f>
        <v>SA</v>
      </c>
      <c r="G129" s="30" t="str" cm="1">
        <f t="array" ref="G129">Common_InputFunctions.Utility_DisplayArrayInTable(Scope3_SourceData.Scope3_Feed_Data(), Table_SourceData_Scope3_Feed[[#Headers],[Category]], 0, 2)</f>
        <v>kg</v>
      </c>
      <c r="H129" s="30" cm="1">
        <f t="array" ref="H129">Common_InputFunctions.Utility_DisplayArrayInTable(Scope3_SourceData.Scope3_Feed_Data(), Table_SourceData_Scope3_Feed[[#Headers],[Category]], 0, 2)</f>
        <v>7.0599999999999996E-2</v>
      </c>
      <c r="I129" s="30" t="str" cm="1">
        <f t="array" ref="I129">Common_InputFunctions.Utility_DisplayArrayInTable(Scope3_SourceData.Scope3_Feed_Data(), Table_SourceData_Scope3_Feed[[#Headers],[Category]], 0, 2)</f>
        <v>at market</v>
      </c>
      <c r="K129" s="30" t="str">
        <f>Table_SourceData_Scope3_Feed[[#This Row],[Product]]</f>
        <v>Cereal silage</v>
      </c>
      <c r="L129" s="30" t="str">
        <f>Table_SourceData_Scope3_Feed[[#This Row],[Region of origin]]</f>
        <v>SA</v>
      </c>
    </row>
    <row r="130" spans="1:16" ht="20.100000000000001" customHeight="1" x14ac:dyDescent="0.25">
      <c r="A130"/>
      <c r="D130" s="30" t="str" cm="1">
        <f t="array" ref="D130">Common_InputFunctions.Utility_DisplayArrayInTable(Scope3_SourceData.Scope3_Feed_Data(), Table_SourceData_Scope3_Feed[[#Headers],[Category]], 0, 2)</f>
        <v>Hay</v>
      </c>
      <c r="E130" s="30" t="str" cm="1">
        <f t="array" ref="E130">Common_InputFunctions.Utility_DisplayArrayInTable(Scope3_SourceData.Scope3_Feed_Data(), Table_SourceData_Scope3_Feed[[#Headers],[Category]], 0, 2)</f>
        <v>Cereal silage</v>
      </c>
      <c r="F130" s="30" t="str" cm="1">
        <f t="array" ref="F130">Common_InputFunctions.Utility_DisplayArrayInTable(Scope3_SourceData.Scope3_Feed_Data(), Table_SourceData_Scope3_Feed[[#Headers],[Category]], 0, 2)</f>
        <v>TAS</v>
      </c>
      <c r="G130" s="30" t="str" cm="1">
        <f t="array" ref="G130">Common_InputFunctions.Utility_DisplayArrayInTable(Scope3_SourceData.Scope3_Feed_Data(), Table_SourceData_Scope3_Feed[[#Headers],[Category]], 0, 2)</f>
        <v>kg</v>
      </c>
      <c r="H130" s="30" cm="1">
        <f t="array" ref="H130">Common_InputFunctions.Utility_DisplayArrayInTable(Scope3_SourceData.Scope3_Feed_Data(), Table_SourceData_Scope3_Feed[[#Headers],[Category]], 0, 2)</f>
        <v>8.0799999999999997E-2</v>
      </c>
      <c r="I130" s="30" t="str" cm="1">
        <f t="array" ref="I130">Common_InputFunctions.Utility_DisplayArrayInTable(Scope3_SourceData.Scope3_Feed_Data(), Table_SourceData_Scope3_Feed[[#Headers],[Category]], 0, 2)</f>
        <v>at market</v>
      </c>
      <c r="K130" s="30" t="str">
        <f>Table_SourceData_Scope3_Feed[[#This Row],[Product]]</f>
        <v>Cereal silage</v>
      </c>
      <c r="L130" s="30" t="str">
        <f>Table_SourceData_Scope3_Feed[[#This Row],[Region of origin]]</f>
        <v>TAS</v>
      </c>
    </row>
    <row r="131" spans="1:16" ht="20.100000000000001" customHeight="1" x14ac:dyDescent="0.25">
      <c r="A131"/>
      <c r="D131" s="30" t="str" cm="1">
        <f t="array" ref="D131">Common_InputFunctions.Utility_DisplayArrayInTable(Scope3_SourceData.Scope3_Feed_Data(), Table_SourceData_Scope3_Feed[[#Headers],[Category]], 0, 2)</f>
        <v>Hay</v>
      </c>
      <c r="E131" s="30" t="str" cm="1">
        <f t="array" ref="E131">Common_InputFunctions.Utility_DisplayArrayInTable(Scope3_SourceData.Scope3_Feed_Data(), Table_SourceData_Scope3_Feed[[#Headers],[Category]], 0, 2)</f>
        <v>Cereal silage</v>
      </c>
      <c r="F131" s="30" t="str" cm="1">
        <f t="array" ref="F131">Common_InputFunctions.Utility_DisplayArrayInTable(Scope3_SourceData.Scope3_Feed_Data(), Table_SourceData_Scope3_Feed[[#Headers],[Category]], 0, 2)</f>
        <v>VIC</v>
      </c>
      <c r="G131" s="30" t="str" cm="1">
        <f t="array" ref="G131">Common_InputFunctions.Utility_DisplayArrayInTable(Scope3_SourceData.Scope3_Feed_Data(), Table_SourceData_Scope3_Feed[[#Headers],[Category]], 0, 2)</f>
        <v>kg</v>
      </c>
      <c r="H131" s="30" cm="1">
        <f t="array" ref="H131">Common_InputFunctions.Utility_DisplayArrayInTable(Scope3_SourceData.Scope3_Feed_Data(), Table_SourceData_Scope3_Feed[[#Headers],[Category]], 0, 2)</f>
        <v>7.3599999999999999E-2</v>
      </c>
      <c r="I131" s="30" t="str" cm="1">
        <f t="array" ref="I131">Common_InputFunctions.Utility_DisplayArrayInTable(Scope3_SourceData.Scope3_Feed_Data(), Table_SourceData_Scope3_Feed[[#Headers],[Category]], 0, 2)</f>
        <v>at market</v>
      </c>
      <c r="K131" s="30" t="str">
        <f>Table_SourceData_Scope3_Feed[[#This Row],[Product]]</f>
        <v>Cereal silage</v>
      </c>
      <c r="L131" s="30" t="str">
        <f>Table_SourceData_Scope3_Feed[[#This Row],[Region of origin]]</f>
        <v>VIC</v>
      </c>
      <c r="N131" s="30" t="s">
        <v>137</v>
      </c>
      <c r="O131" s="30" t="s">
        <v>896</v>
      </c>
      <c r="P131" s="1" t="str">
        <f>"Table_ProductRegions_" &amp; SUBSTITUTE(SUBSTITUTE(SUBSTITUTE(SUBSTITUTE(N132, " ", ""), ",", ""), "(", ""), ")", "")</f>
        <v>Table_ProductRegions_Lucernehay</v>
      </c>
    </row>
    <row r="132" spans="1:16" ht="20.100000000000001" customHeight="1" x14ac:dyDescent="0.25">
      <c r="A132"/>
      <c r="D132" s="30" t="str" cm="1">
        <f t="array" ref="D132">Common_InputFunctions.Utility_DisplayArrayInTable(Scope3_SourceData.Scope3_Feed_Data(), Table_SourceData_Scope3_Feed[[#Headers],[Category]], 0, 2)</f>
        <v>Hay</v>
      </c>
      <c r="E132" s="30" t="str" cm="1">
        <f t="array" ref="E132">Common_InputFunctions.Utility_DisplayArrayInTable(Scope3_SourceData.Scope3_Feed_Data(), Table_SourceData_Scope3_Feed[[#Headers],[Category]], 0, 2)</f>
        <v>Lucerne hay</v>
      </c>
      <c r="F132" s="30" t="str" cm="1">
        <f t="array" ref="F132">Common_InputFunctions.Utility_DisplayArrayInTable(Scope3_SourceData.Scope3_Feed_Data(), Table_SourceData_Scope3_Feed[[#Headers],[Category]], 0, 2)</f>
        <v>Australia</v>
      </c>
      <c r="G132" s="30" t="str" cm="1">
        <f t="array" ref="G132">Common_InputFunctions.Utility_DisplayArrayInTable(Scope3_SourceData.Scope3_Feed_Data(), Table_SourceData_Scope3_Feed[[#Headers],[Category]], 0, 2)</f>
        <v>kg</v>
      </c>
      <c r="H132" s="30" cm="1">
        <f t="array" ref="H132">Common_InputFunctions.Utility_DisplayArrayInTable(Scope3_SourceData.Scope3_Feed_Data(), Table_SourceData_Scope3_Feed[[#Headers],[Category]], 0, 2)</f>
        <v>0.11700000000000001</v>
      </c>
      <c r="I132" s="30" t="str" cm="1">
        <f t="array" ref="I132">Common_InputFunctions.Utility_DisplayArrayInTable(Scope3_SourceData.Scope3_Feed_Data(), Table_SourceData_Scope3_Feed[[#Headers],[Category]], 0, 2)</f>
        <v>at market</v>
      </c>
      <c r="N132" s="30" t="str">
        <f>Table_SourceData_Scope3_Feed[[#This Row],[Product]]</f>
        <v>Lucerne hay</v>
      </c>
      <c r="O132" s="30" t="str">
        <f>Table_SourceData_Scope3_Feed[[#This Row],[Region of origin]]</f>
        <v>Australia</v>
      </c>
    </row>
    <row r="133" spans="1:16" ht="20.100000000000001" customHeight="1" x14ac:dyDescent="0.25">
      <c r="A133"/>
      <c r="D133" s="30" t="str" cm="1">
        <f t="array" ref="D133">Common_InputFunctions.Utility_DisplayArrayInTable(Scope3_SourceData.Scope3_Feed_Data(), Table_SourceData_Scope3_Feed[[#Headers],[Category]], 0, 2)</f>
        <v>Hay</v>
      </c>
      <c r="E133" s="30" t="str" cm="1">
        <f t="array" ref="E133">Common_InputFunctions.Utility_DisplayArrayInTable(Scope3_SourceData.Scope3_Feed_Data(), Table_SourceData_Scope3_Feed[[#Headers],[Category]], 0, 2)</f>
        <v>Lucerne hay</v>
      </c>
      <c r="F133" s="30" t="str" cm="1">
        <f t="array" ref="F133">Common_InputFunctions.Utility_DisplayArrayInTable(Scope3_SourceData.Scope3_Feed_Data(), Table_SourceData_Scope3_Feed[[#Headers],[Category]], 0, 2)</f>
        <v>NSW</v>
      </c>
      <c r="G133" s="30" t="str" cm="1">
        <f t="array" ref="G133">Common_InputFunctions.Utility_DisplayArrayInTable(Scope3_SourceData.Scope3_Feed_Data(), Table_SourceData_Scope3_Feed[[#Headers],[Category]], 0, 2)</f>
        <v>kg</v>
      </c>
      <c r="H133" s="30" cm="1">
        <f t="array" ref="H133">Common_InputFunctions.Utility_DisplayArrayInTable(Scope3_SourceData.Scope3_Feed_Data(), Table_SourceData_Scope3_Feed[[#Headers],[Category]], 0, 2)</f>
        <v>0.113</v>
      </c>
      <c r="I133" s="30" t="str" cm="1">
        <f t="array" ref="I133">Common_InputFunctions.Utility_DisplayArrayInTable(Scope3_SourceData.Scope3_Feed_Data(), Table_SourceData_Scope3_Feed[[#Headers],[Category]], 0, 2)</f>
        <v>at market</v>
      </c>
      <c r="N133" s="30" t="str">
        <f>Table_SourceData_Scope3_Feed[[#This Row],[Product]]</f>
        <v>Lucerne hay</v>
      </c>
      <c r="O133" s="30" t="str">
        <f>Table_SourceData_Scope3_Feed[[#This Row],[Region of origin]]</f>
        <v>NSW</v>
      </c>
    </row>
    <row r="134" spans="1:16" ht="20.100000000000001" customHeight="1" x14ac:dyDescent="0.25">
      <c r="A134"/>
      <c r="D134" s="30" t="str" cm="1">
        <f t="array" ref="D134">Common_InputFunctions.Utility_DisplayArrayInTable(Scope3_SourceData.Scope3_Feed_Data(), Table_SourceData_Scope3_Feed[[#Headers],[Category]], 0, 2)</f>
        <v>Hay</v>
      </c>
      <c r="E134" s="30" t="str" cm="1">
        <f t="array" ref="E134">Common_InputFunctions.Utility_DisplayArrayInTable(Scope3_SourceData.Scope3_Feed_Data(), Table_SourceData_Scope3_Feed[[#Headers],[Category]], 0, 2)</f>
        <v>Lucerne hay</v>
      </c>
      <c r="F134" s="30" t="str" cm="1">
        <f t="array" ref="F134">Common_InputFunctions.Utility_DisplayArrayInTable(Scope3_SourceData.Scope3_Feed_Data(), Table_SourceData_Scope3_Feed[[#Headers],[Category]], 0, 2)</f>
        <v>QLD</v>
      </c>
      <c r="G134" s="30" t="str" cm="1">
        <f t="array" ref="G134">Common_InputFunctions.Utility_DisplayArrayInTable(Scope3_SourceData.Scope3_Feed_Data(), Table_SourceData_Scope3_Feed[[#Headers],[Category]], 0, 2)</f>
        <v>kg</v>
      </c>
      <c r="H134" s="30" cm="1">
        <f t="array" ref="H134">Common_InputFunctions.Utility_DisplayArrayInTable(Scope3_SourceData.Scope3_Feed_Data(), Table_SourceData_Scope3_Feed[[#Headers],[Category]], 0, 2)</f>
        <v>0.14299999999999999</v>
      </c>
      <c r="I134" s="30" t="str" cm="1">
        <f t="array" ref="I134">Common_InputFunctions.Utility_DisplayArrayInTable(Scope3_SourceData.Scope3_Feed_Data(), Table_SourceData_Scope3_Feed[[#Headers],[Category]], 0, 2)</f>
        <v>at market</v>
      </c>
      <c r="N134" s="30" t="str">
        <f>Table_SourceData_Scope3_Feed[[#This Row],[Product]]</f>
        <v>Lucerne hay</v>
      </c>
      <c r="O134" s="30" t="str">
        <f>Table_SourceData_Scope3_Feed[[#This Row],[Region of origin]]</f>
        <v>QLD</v>
      </c>
    </row>
    <row r="135" spans="1:16" ht="20.100000000000001" customHeight="1" x14ac:dyDescent="0.25">
      <c r="A135"/>
      <c r="D135" s="30" t="str" cm="1">
        <f t="array" ref="D135">Common_InputFunctions.Utility_DisplayArrayInTable(Scope3_SourceData.Scope3_Feed_Data(), Table_SourceData_Scope3_Feed[[#Headers],[Category]], 0, 2)</f>
        <v>Hay</v>
      </c>
      <c r="E135" s="30" t="str" cm="1">
        <f t="array" ref="E135">Common_InputFunctions.Utility_DisplayArrayInTable(Scope3_SourceData.Scope3_Feed_Data(), Table_SourceData_Scope3_Feed[[#Headers],[Category]], 0, 2)</f>
        <v>Lucerne hay</v>
      </c>
      <c r="F135" s="30" t="str" cm="1">
        <f t="array" ref="F135">Common_InputFunctions.Utility_DisplayArrayInTable(Scope3_SourceData.Scope3_Feed_Data(), Table_SourceData_Scope3_Feed[[#Headers],[Category]], 0, 2)</f>
        <v>SA</v>
      </c>
      <c r="G135" s="30" t="str" cm="1">
        <f t="array" ref="G135">Common_InputFunctions.Utility_DisplayArrayInTable(Scope3_SourceData.Scope3_Feed_Data(), Table_SourceData_Scope3_Feed[[#Headers],[Category]], 0, 2)</f>
        <v>kg</v>
      </c>
      <c r="H135" s="30" cm="1">
        <f t="array" ref="H135">Common_InputFunctions.Utility_DisplayArrayInTable(Scope3_SourceData.Scope3_Feed_Data(), Table_SourceData_Scope3_Feed[[#Headers],[Category]], 0, 2)</f>
        <v>0.106</v>
      </c>
      <c r="I135" s="30" t="str" cm="1">
        <f t="array" ref="I135">Common_InputFunctions.Utility_DisplayArrayInTable(Scope3_SourceData.Scope3_Feed_Data(), Table_SourceData_Scope3_Feed[[#Headers],[Category]], 0, 2)</f>
        <v>at market</v>
      </c>
      <c r="N135" s="30" t="str">
        <f>Table_SourceData_Scope3_Feed[[#This Row],[Product]]</f>
        <v>Lucerne hay</v>
      </c>
      <c r="O135" s="30" t="str">
        <f>Table_SourceData_Scope3_Feed[[#This Row],[Region of origin]]</f>
        <v>SA</v>
      </c>
    </row>
    <row r="136" spans="1:16" ht="20.100000000000001" customHeight="1" x14ac:dyDescent="0.25">
      <c r="A136"/>
      <c r="D136" s="30" t="str" cm="1">
        <f t="array" ref="D136">Common_InputFunctions.Utility_DisplayArrayInTable(Scope3_SourceData.Scope3_Feed_Data(), Table_SourceData_Scope3_Feed[[#Headers],[Category]], 0, 2)</f>
        <v>Hay</v>
      </c>
      <c r="E136" s="30" t="str" cm="1">
        <f t="array" ref="E136">Common_InputFunctions.Utility_DisplayArrayInTable(Scope3_SourceData.Scope3_Feed_Data(), Table_SourceData_Scope3_Feed[[#Headers],[Category]], 0, 2)</f>
        <v>Lucerne hay</v>
      </c>
      <c r="F136" s="30" t="str" cm="1">
        <f t="array" ref="F136">Common_InputFunctions.Utility_DisplayArrayInTable(Scope3_SourceData.Scope3_Feed_Data(), Table_SourceData_Scope3_Feed[[#Headers],[Category]], 0, 2)</f>
        <v>TAS</v>
      </c>
      <c r="G136" s="30" t="str" cm="1">
        <f t="array" ref="G136">Common_InputFunctions.Utility_DisplayArrayInTable(Scope3_SourceData.Scope3_Feed_Data(), Table_SourceData_Scope3_Feed[[#Headers],[Category]], 0, 2)</f>
        <v>kg</v>
      </c>
      <c r="H136" s="30" cm="1">
        <f t="array" ref="H136">Common_InputFunctions.Utility_DisplayArrayInTable(Scope3_SourceData.Scope3_Feed_Data(), Table_SourceData_Scope3_Feed[[#Headers],[Category]], 0, 2)</f>
        <v>0.113</v>
      </c>
      <c r="I136" s="30" t="str" cm="1">
        <f t="array" ref="I136">Common_InputFunctions.Utility_DisplayArrayInTable(Scope3_SourceData.Scope3_Feed_Data(), Table_SourceData_Scope3_Feed[[#Headers],[Category]], 0, 2)</f>
        <v>at market</v>
      </c>
      <c r="N136" s="30" t="str">
        <f>Table_SourceData_Scope3_Feed[[#This Row],[Product]]</f>
        <v>Lucerne hay</v>
      </c>
      <c r="O136" s="30" t="str">
        <f>Table_SourceData_Scope3_Feed[[#This Row],[Region of origin]]</f>
        <v>TAS</v>
      </c>
    </row>
    <row r="137" spans="1:16" ht="20.100000000000001" customHeight="1" x14ac:dyDescent="0.25">
      <c r="A137"/>
      <c r="D137" s="30" t="str" cm="1">
        <f t="array" ref="D137">Common_InputFunctions.Utility_DisplayArrayInTable(Scope3_SourceData.Scope3_Feed_Data(), Table_SourceData_Scope3_Feed[[#Headers],[Category]], 0, 2)</f>
        <v>Hay</v>
      </c>
      <c r="E137" s="30" t="str" cm="1">
        <f t="array" ref="E137">Common_InputFunctions.Utility_DisplayArrayInTable(Scope3_SourceData.Scope3_Feed_Data(), Table_SourceData_Scope3_Feed[[#Headers],[Category]], 0, 2)</f>
        <v>Lucerne hay</v>
      </c>
      <c r="F137" s="30" t="str" cm="1">
        <f t="array" ref="F137">Common_InputFunctions.Utility_DisplayArrayInTable(Scope3_SourceData.Scope3_Feed_Data(), Table_SourceData_Scope3_Feed[[#Headers],[Category]], 0, 2)</f>
        <v>VIC</v>
      </c>
      <c r="G137" s="30" t="str" cm="1">
        <f t="array" ref="G137">Common_InputFunctions.Utility_DisplayArrayInTable(Scope3_SourceData.Scope3_Feed_Data(), Table_SourceData_Scope3_Feed[[#Headers],[Category]], 0, 2)</f>
        <v>kg</v>
      </c>
      <c r="H137" s="30" cm="1">
        <f t="array" ref="H137">Common_InputFunctions.Utility_DisplayArrayInTable(Scope3_SourceData.Scope3_Feed_Data(), Table_SourceData_Scope3_Feed[[#Headers],[Category]], 0, 2)</f>
        <v>0.106</v>
      </c>
      <c r="I137" s="30" t="str" cm="1">
        <f t="array" ref="I137">Common_InputFunctions.Utility_DisplayArrayInTable(Scope3_SourceData.Scope3_Feed_Data(), Table_SourceData_Scope3_Feed[[#Headers],[Category]], 0, 2)</f>
        <v>at market</v>
      </c>
      <c r="N137" s="30" t="str">
        <f>Table_SourceData_Scope3_Feed[[#This Row],[Product]]</f>
        <v>Lucerne hay</v>
      </c>
      <c r="O137" s="30" t="str">
        <f>Table_SourceData_Scope3_Feed[[#This Row],[Region of origin]]</f>
        <v>VIC</v>
      </c>
    </row>
    <row r="138" spans="1:16" ht="20.100000000000001" customHeight="1" x14ac:dyDescent="0.25">
      <c r="A138"/>
      <c r="D138" s="30" t="str" cm="1">
        <f t="array" ref="D138">Common_InputFunctions.Utility_DisplayArrayInTable(Scope3_SourceData.Scope3_Feed_Data(), Table_SourceData_Scope3_Feed[[#Headers],[Category]], 0, 2)</f>
        <v>Hay</v>
      </c>
      <c r="E138" s="30" t="str" cm="1">
        <f t="array" ref="E138">Common_InputFunctions.Utility_DisplayArrayInTable(Scope3_SourceData.Scope3_Feed_Data(), Table_SourceData_Scope3_Feed[[#Headers],[Category]], 0, 2)</f>
        <v>Maize silage</v>
      </c>
      <c r="F138" s="30" t="str" cm="1">
        <f t="array" ref="F138">Common_InputFunctions.Utility_DisplayArrayInTable(Scope3_SourceData.Scope3_Feed_Data(), Table_SourceData_Scope3_Feed[[#Headers],[Category]], 0, 2)</f>
        <v>VIC</v>
      </c>
      <c r="G138" s="30" t="str" cm="1">
        <f t="array" ref="G138">Common_InputFunctions.Utility_DisplayArrayInTable(Scope3_SourceData.Scope3_Feed_Data(), Table_SourceData_Scope3_Feed[[#Headers],[Category]], 0, 2)</f>
        <v>kg</v>
      </c>
      <c r="H138" s="30" cm="1">
        <f t="array" ref="H138">Common_InputFunctions.Utility_DisplayArrayInTable(Scope3_SourceData.Scope3_Feed_Data(), Table_SourceData_Scope3_Feed[[#Headers],[Category]], 0, 2)</f>
        <v>0.16300000000000001</v>
      </c>
      <c r="I138" s="30" t="str" cm="1">
        <f t="array" ref="I138">Common_InputFunctions.Utility_DisplayArrayInTable(Scope3_SourceData.Scope3_Feed_Data(), Table_SourceData_Scope3_Feed[[#Headers],[Category]], 0, 2)</f>
        <v>at market</v>
      </c>
      <c r="K138" s="30" t="s">
        <v>137</v>
      </c>
      <c r="L138" s="30" t="s">
        <v>896</v>
      </c>
      <c r="M138" s="1" t="str">
        <f>"Table_ProductRegions_" &amp; SUBSTITUTE(SUBSTITUTE(SUBSTITUTE(SUBSTITUTE(K139, " ", ""), ",", ""), "(", ""), ")", "")</f>
        <v>Table_ProductRegions_Oatenhay</v>
      </c>
      <c r="N138" s="30" t="str">
        <f>Table_SourceData_Scope3_Feed[[#This Row],[Product]]</f>
        <v>Maize silage</v>
      </c>
      <c r="O138" s="30" t="str">
        <f>Table_SourceData_Scope3_Feed[[#This Row],[Region of origin]]</f>
        <v>VIC</v>
      </c>
    </row>
    <row r="139" spans="1:16" ht="20.100000000000001" customHeight="1" x14ac:dyDescent="0.25">
      <c r="A139"/>
      <c r="D139" s="30" t="str" cm="1">
        <f t="array" ref="D139">Common_InputFunctions.Utility_DisplayArrayInTable(Scope3_SourceData.Scope3_Feed_Data(), Table_SourceData_Scope3_Feed[[#Headers],[Category]], 0, 2)</f>
        <v>Hay</v>
      </c>
      <c r="E139" s="30" t="str" cm="1">
        <f t="array" ref="E139">Common_InputFunctions.Utility_DisplayArrayInTable(Scope3_SourceData.Scope3_Feed_Data(), Table_SourceData_Scope3_Feed[[#Headers],[Category]], 0, 2)</f>
        <v>Oaten hay</v>
      </c>
      <c r="F139" s="30" t="str" cm="1">
        <f t="array" ref="F139">Common_InputFunctions.Utility_DisplayArrayInTable(Scope3_SourceData.Scope3_Feed_Data(), Table_SourceData_Scope3_Feed[[#Headers],[Category]], 0, 2)</f>
        <v>Australia</v>
      </c>
      <c r="G139" s="30" t="str" cm="1">
        <f t="array" ref="G139">Common_InputFunctions.Utility_DisplayArrayInTable(Scope3_SourceData.Scope3_Feed_Data(), Table_SourceData_Scope3_Feed[[#Headers],[Category]], 0, 2)</f>
        <v>kg</v>
      </c>
      <c r="H139" s="30" cm="1">
        <f t="array" ref="H139">Common_InputFunctions.Utility_DisplayArrayInTable(Scope3_SourceData.Scope3_Feed_Data(), Table_SourceData_Scope3_Feed[[#Headers],[Category]], 0, 2)</f>
        <v>0.12</v>
      </c>
      <c r="I139" s="30" t="str" cm="1">
        <f t="array" ref="I139">Common_InputFunctions.Utility_DisplayArrayInTable(Scope3_SourceData.Scope3_Feed_Data(), Table_SourceData_Scope3_Feed[[#Headers],[Category]], 0, 2)</f>
        <v>at market</v>
      </c>
      <c r="K139" s="30" t="str">
        <f>Table_SourceData_Scope3_Feed[[#This Row],[Product]]</f>
        <v>Oaten hay</v>
      </c>
      <c r="L139" s="30" t="str">
        <f>Table_SourceData_Scope3_Feed[[#This Row],[Region of origin]]</f>
        <v>Australia</v>
      </c>
    </row>
    <row r="140" spans="1:16" ht="20.100000000000001" customHeight="1" x14ac:dyDescent="0.25">
      <c r="A140"/>
      <c r="D140" s="30" t="str" cm="1">
        <f t="array" ref="D140">Common_InputFunctions.Utility_DisplayArrayInTable(Scope3_SourceData.Scope3_Feed_Data(), Table_SourceData_Scope3_Feed[[#Headers],[Category]], 0, 2)</f>
        <v>Hay</v>
      </c>
      <c r="E140" s="30" t="str" cm="1">
        <f t="array" ref="E140">Common_InputFunctions.Utility_DisplayArrayInTable(Scope3_SourceData.Scope3_Feed_Data(), Table_SourceData_Scope3_Feed[[#Headers],[Category]], 0, 2)</f>
        <v>Oaten hay</v>
      </c>
      <c r="F140" s="30" t="str" cm="1">
        <f t="array" ref="F140">Common_InputFunctions.Utility_DisplayArrayInTable(Scope3_SourceData.Scope3_Feed_Data(), Table_SourceData_Scope3_Feed[[#Headers],[Category]], 0, 2)</f>
        <v>NSW</v>
      </c>
      <c r="G140" s="30" t="str" cm="1">
        <f t="array" ref="G140">Common_InputFunctions.Utility_DisplayArrayInTable(Scope3_SourceData.Scope3_Feed_Data(), Table_SourceData_Scope3_Feed[[#Headers],[Category]], 0, 2)</f>
        <v>kg</v>
      </c>
      <c r="H140" s="30" cm="1">
        <f t="array" ref="H140">Common_InputFunctions.Utility_DisplayArrayInTable(Scope3_SourceData.Scope3_Feed_Data(), Table_SourceData_Scope3_Feed[[#Headers],[Category]], 0, 2)</f>
        <v>0.11899999999999999</v>
      </c>
      <c r="I140" s="30" t="str" cm="1">
        <f t="array" ref="I140">Common_InputFunctions.Utility_DisplayArrayInTable(Scope3_SourceData.Scope3_Feed_Data(), Table_SourceData_Scope3_Feed[[#Headers],[Category]], 0, 2)</f>
        <v>at market</v>
      </c>
      <c r="K140" s="30" t="str">
        <f>Table_SourceData_Scope3_Feed[[#This Row],[Product]]</f>
        <v>Oaten hay</v>
      </c>
      <c r="L140" s="30" t="str">
        <f>Table_SourceData_Scope3_Feed[[#This Row],[Region of origin]]</f>
        <v>NSW</v>
      </c>
    </row>
    <row r="141" spans="1:16" ht="20.100000000000001" customHeight="1" x14ac:dyDescent="0.25">
      <c r="A141"/>
      <c r="D141" s="30" t="str" cm="1">
        <f t="array" ref="D141">Common_InputFunctions.Utility_DisplayArrayInTable(Scope3_SourceData.Scope3_Feed_Data(), Table_SourceData_Scope3_Feed[[#Headers],[Category]], 0, 2)</f>
        <v>Hay</v>
      </c>
      <c r="E141" s="30" t="str" cm="1">
        <f t="array" ref="E141">Common_InputFunctions.Utility_DisplayArrayInTable(Scope3_SourceData.Scope3_Feed_Data(), Table_SourceData_Scope3_Feed[[#Headers],[Category]], 0, 2)</f>
        <v>Oaten hay</v>
      </c>
      <c r="F141" s="30" t="str" cm="1">
        <f t="array" ref="F141">Common_InputFunctions.Utility_DisplayArrayInTable(Scope3_SourceData.Scope3_Feed_Data(), Table_SourceData_Scope3_Feed[[#Headers],[Category]], 0, 2)</f>
        <v>QLD</v>
      </c>
      <c r="G141" s="30" t="str" cm="1">
        <f t="array" ref="G141">Common_InputFunctions.Utility_DisplayArrayInTable(Scope3_SourceData.Scope3_Feed_Data(), Table_SourceData_Scope3_Feed[[#Headers],[Category]], 0, 2)</f>
        <v>kg</v>
      </c>
      <c r="H141" s="30" cm="1">
        <f t="array" ref="H141">Common_InputFunctions.Utility_DisplayArrayInTable(Scope3_SourceData.Scope3_Feed_Data(), Table_SourceData_Scope3_Feed[[#Headers],[Category]], 0, 2)</f>
        <v>0.11700000000000001</v>
      </c>
      <c r="I141" s="30" t="str" cm="1">
        <f t="array" ref="I141">Common_InputFunctions.Utility_DisplayArrayInTable(Scope3_SourceData.Scope3_Feed_Data(), Table_SourceData_Scope3_Feed[[#Headers],[Category]], 0, 2)</f>
        <v>at market</v>
      </c>
      <c r="K141" s="30" t="str">
        <f>Table_SourceData_Scope3_Feed[[#This Row],[Product]]</f>
        <v>Oaten hay</v>
      </c>
      <c r="L141" s="30" t="str">
        <f>Table_SourceData_Scope3_Feed[[#This Row],[Region of origin]]</f>
        <v>QLD</v>
      </c>
    </row>
    <row r="142" spans="1:16" ht="20.100000000000001" customHeight="1" x14ac:dyDescent="0.25">
      <c r="A142"/>
      <c r="D142" s="30" t="str" cm="1">
        <f t="array" ref="D142">Common_InputFunctions.Utility_DisplayArrayInTable(Scope3_SourceData.Scope3_Feed_Data(), Table_SourceData_Scope3_Feed[[#Headers],[Category]], 0, 2)</f>
        <v>Hay</v>
      </c>
      <c r="E142" s="30" t="str" cm="1">
        <f t="array" ref="E142">Common_InputFunctions.Utility_DisplayArrayInTable(Scope3_SourceData.Scope3_Feed_Data(), Table_SourceData_Scope3_Feed[[#Headers],[Category]], 0, 2)</f>
        <v>Oaten hay</v>
      </c>
      <c r="F142" s="30" t="str" cm="1">
        <f t="array" ref="F142">Common_InputFunctions.Utility_DisplayArrayInTable(Scope3_SourceData.Scope3_Feed_Data(), Table_SourceData_Scope3_Feed[[#Headers],[Category]], 0, 2)</f>
        <v>SA</v>
      </c>
      <c r="G142" s="30" t="str" cm="1">
        <f t="array" ref="G142">Common_InputFunctions.Utility_DisplayArrayInTable(Scope3_SourceData.Scope3_Feed_Data(), Table_SourceData_Scope3_Feed[[#Headers],[Category]], 0, 2)</f>
        <v>kg</v>
      </c>
      <c r="H142" s="30" cm="1">
        <f t="array" ref="H142">Common_InputFunctions.Utility_DisplayArrayInTable(Scope3_SourceData.Scope3_Feed_Data(), Table_SourceData_Scope3_Feed[[#Headers],[Category]], 0, 2)</f>
        <v>0.114</v>
      </c>
      <c r="I142" s="30" t="str" cm="1">
        <f t="array" ref="I142">Common_InputFunctions.Utility_DisplayArrayInTable(Scope3_SourceData.Scope3_Feed_Data(), Table_SourceData_Scope3_Feed[[#Headers],[Category]], 0, 2)</f>
        <v>at market</v>
      </c>
      <c r="K142" s="30" t="str">
        <f>Table_SourceData_Scope3_Feed[[#This Row],[Product]]</f>
        <v>Oaten hay</v>
      </c>
      <c r="L142" s="30" t="str">
        <f>Table_SourceData_Scope3_Feed[[#This Row],[Region of origin]]</f>
        <v>SA</v>
      </c>
    </row>
    <row r="143" spans="1:16" ht="20.100000000000001" customHeight="1" x14ac:dyDescent="0.25">
      <c r="A143"/>
      <c r="D143" s="30" t="str" cm="1">
        <f t="array" ref="D143">Common_InputFunctions.Utility_DisplayArrayInTable(Scope3_SourceData.Scope3_Feed_Data(), Table_SourceData_Scope3_Feed[[#Headers],[Category]], 0, 2)</f>
        <v>Hay</v>
      </c>
      <c r="E143" s="30" t="str" cm="1">
        <f t="array" ref="E143">Common_InputFunctions.Utility_DisplayArrayInTable(Scope3_SourceData.Scope3_Feed_Data(), Table_SourceData_Scope3_Feed[[#Headers],[Category]], 0, 2)</f>
        <v>Oaten hay</v>
      </c>
      <c r="F143" s="30" t="str" cm="1">
        <f t="array" ref="F143">Common_InputFunctions.Utility_DisplayArrayInTable(Scope3_SourceData.Scope3_Feed_Data(), Table_SourceData_Scope3_Feed[[#Headers],[Category]], 0, 2)</f>
        <v>VIC</v>
      </c>
      <c r="G143" s="30" t="str" cm="1">
        <f t="array" ref="G143">Common_InputFunctions.Utility_DisplayArrayInTable(Scope3_SourceData.Scope3_Feed_Data(), Table_SourceData_Scope3_Feed[[#Headers],[Category]], 0, 2)</f>
        <v>kg</v>
      </c>
      <c r="H143" s="30" cm="1">
        <f t="array" ref="H143">Common_InputFunctions.Utility_DisplayArrayInTable(Scope3_SourceData.Scope3_Feed_Data(), Table_SourceData_Scope3_Feed[[#Headers],[Category]], 0, 2)</f>
        <v>0.11799999999999999</v>
      </c>
      <c r="I143" s="30" t="str" cm="1">
        <f t="array" ref="I143">Common_InputFunctions.Utility_DisplayArrayInTable(Scope3_SourceData.Scope3_Feed_Data(), Table_SourceData_Scope3_Feed[[#Headers],[Category]], 0, 2)</f>
        <v>at market</v>
      </c>
      <c r="K143" s="30" t="str">
        <f>Table_SourceData_Scope3_Feed[[#This Row],[Product]]</f>
        <v>Oaten hay</v>
      </c>
      <c r="L143" s="30" t="str">
        <f>Table_SourceData_Scope3_Feed[[#This Row],[Region of origin]]</f>
        <v>VIC</v>
      </c>
    </row>
    <row r="144" spans="1:16" ht="20.100000000000001" customHeight="1" x14ac:dyDescent="0.25">
      <c r="A144"/>
      <c r="D144" s="30" t="str" cm="1">
        <f t="array" ref="D144">Common_InputFunctions.Utility_DisplayArrayInTable(Scope3_SourceData.Scope3_Feed_Data(), Table_SourceData_Scope3_Feed[[#Headers],[Category]], 0, 2)</f>
        <v>Hay</v>
      </c>
      <c r="E144" s="30" t="str" cm="1">
        <f t="array" ref="E144">Common_InputFunctions.Utility_DisplayArrayInTable(Scope3_SourceData.Scope3_Feed_Data(), Table_SourceData_Scope3_Feed[[#Headers],[Category]], 0, 2)</f>
        <v>Oaten hay</v>
      </c>
      <c r="F144" s="30" t="str" cm="1">
        <f t="array" ref="F144">Common_InputFunctions.Utility_DisplayArrayInTable(Scope3_SourceData.Scope3_Feed_Data(), Table_SourceData_Scope3_Feed[[#Headers],[Category]], 0, 2)</f>
        <v>WA</v>
      </c>
      <c r="G144" s="30" t="str" cm="1">
        <f t="array" ref="G144">Common_InputFunctions.Utility_DisplayArrayInTable(Scope3_SourceData.Scope3_Feed_Data(), Table_SourceData_Scope3_Feed[[#Headers],[Category]], 0, 2)</f>
        <v>kg</v>
      </c>
      <c r="H144" s="30" cm="1">
        <f t="array" ref="H144">Common_InputFunctions.Utility_DisplayArrayInTable(Scope3_SourceData.Scope3_Feed_Data(), Table_SourceData_Scope3_Feed[[#Headers],[Category]], 0, 2)</f>
        <v>0.124</v>
      </c>
      <c r="I144" s="30" t="str" cm="1">
        <f t="array" ref="I144">Common_InputFunctions.Utility_DisplayArrayInTable(Scope3_SourceData.Scope3_Feed_Data(), Table_SourceData_Scope3_Feed[[#Headers],[Category]], 0, 2)</f>
        <v>at market</v>
      </c>
      <c r="K144" s="30" t="str">
        <f>Table_SourceData_Scope3_Feed[[#This Row],[Product]]</f>
        <v>Oaten hay</v>
      </c>
      <c r="L144" s="30" t="str">
        <f>Table_SourceData_Scope3_Feed[[#This Row],[Region of origin]]</f>
        <v>WA</v>
      </c>
      <c r="N144" s="30" t="s">
        <v>137</v>
      </c>
      <c r="O144" s="30" t="s">
        <v>896</v>
      </c>
      <c r="P144" s="1" t="str">
        <f>"Table_ProductRegions_" &amp; SUBSTITUTE(SUBSTITUTE(SUBSTITUTE(SUBSTITUTE(N145, " ", ""), ",", ""), "(", ""), ")", "")</f>
        <v>Table_ProductRegions_Pasturehay</v>
      </c>
    </row>
    <row r="145" spans="1:16" ht="20.100000000000001" customHeight="1" x14ac:dyDescent="0.25">
      <c r="A145"/>
      <c r="D145" s="30" t="str" cm="1">
        <f t="array" ref="D145">Common_InputFunctions.Utility_DisplayArrayInTable(Scope3_SourceData.Scope3_Feed_Data(), Table_SourceData_Scope3_Feed[[#Headers],[Category]], 0, 2)</f>
        <v>Hay</v>
      </c>
      <c r="E145" s="30" t="str" cm="1">
        <f t="array" ref="E145">Common_InputFunctions.Utility_DisplayArrayInTable(Scope3_SourceData.Scope3_Feed_Data(), Table_SourceData_Scope3_Feed[[#Headers],[Category]], 0, 2)</f>
        <v>Pasture hay</v>
      </c>
      <c r="F145" s="30" t="str" cm="1">
        <f t="array" ref="F145">Common_InputFunctions.Utility_DisplayArrayInTable(Scope3_SourceData.Scope3_Feed_Data(), Table_SourceData_Scope3_Feed[[#Headers],[Category]], 0, 2)</f>
        <v>Australia</v>
      </c>
      <c r="G145" s="30" t="str" cm="1">
        <f t="array" ref="G145">Common_InputFunctions.Utility_DisplayArrayInTable(Scope3_SourceData.Scope3_Feed_Data(), Table_SourceData_Scope3_Feed[[#Headers],[Category]], 0, 2)</f>
        <v>kg</v>
      </c>
      <c r="H145" s="30" cm="1">
        <f t="array" ref="H145">Common_InputFunctions.Utility_DisplayArrayInTable(Scope3_SourceData.Scope3_Feed_Data(), Table_SourceData_Scope3_Feed[[#Headers],[Category]], 0, 2)</f>
        <v>0.33900000000000002</v>
      </c>
      <c r="I145" s="30" t="str" cm="1">
        <f t="array" ref="I145">Common_InputFunctions.Utility_DisplayArrayInTable(Scope3_SourceData.Scope3_Feed_Data(), Table_SourceData_Scope3_Feed[[#Headers],[Category]], 0, 2)</f>
        <v>at market</v>
      </c>
      <c r="N145" s="30" t="str">
        <f>Table_SourceData_Scope3_Feed[[#This Row],[Product]]</f>
        <v>Pasture hay</v>
      </c>
      <c r="O145" s="30" t="str">
        <f>Table_SourceData_Scope3_Feed[[#This Row],[Region of origin]]</f>
        <v>Australia</v>
      </c>
    </row>
    <row r="146" spans="1:16" ht="20.100000000000001" customHeight="1" x14ac:dyDescent="0.25">
      <c r="A146"/>
      <c r="D146" s="30" t="str" cm="1">
        <f t="array" ref="D146">Common_InputFunctions.Utility_DisplayArrayInTable(Scope3_SourceData.Scope3_Feed_Data(), Table_SourceData_Scope3_Feed[[#Headers],[Category]], 0, 2)</f>
        <v>Hay</v>
      </c>
      <c r="E146" s="30" t="str" cm="1">
        <f t="array" ref="E146">Common_InputFunctions.Utility_DisplayArrayInTable(Scope3_SourceData.Scope3_Feed_Data(), Table_SourceData_Scope3_Feed[[#Headers],[Category]], 0, 2)</f>
        <v>Pasture hay</v>
      </c>
      <c r="F146" s="30" t="str" cm="1">
        <f t="array" ref="F146">Common_InputFunctions.Utility_DisplayArrayInTable(Scope3_SourceData.Scope3_Feed_Data(), Table_SourceData_Scope3_Feed[[#Headers],[Category]], 0, 2)</f>
        <v>NSW</v>
      </c>
      <c r="G146" s="30" t="str" cm="1">
        <f t="array" ref="G146">Common_InputFunctions.Utility_DisplayArrayInTable(Scope3_SourceData.Scope3_Feed_Data(), Table_SourceData_Scope3_Feed[[#Headers],[Category]], 0, 2)</f>
        <v>kg</v>
      </c>
      <c r="H146" s="30" cm="1">
        <f t="array" ref="H146">Common_InputFunctions.Utility_DisplayArrayInTable(Scope3_SourceData.Scope3_Feed_Data(), Table_SourceData_Scope3_Feed[[#Headers],[Category]], 0, 2)</f>
        <v>0.311</v>
      </c>
      <c r="I146" s="30" t="str" cm="1">
        <f t="array" ref="I146">Common_InputFunctions.Utility_DisplayArrayInTable(Scope3_SourceData.Scope3_Feed_Data(), Table_SourceData_Scope3_Feed[[#Headers],[Category]], 0, 2)</f>
        <v>at market</v>
      </c>
      <c r="N146" s="30" t="str">
        <f>Table_SourceData_Scope3_Feed[[#This Row],[Product]]</f>
        <v>Pasture hay</v>
      </c>
      <c r="O146" s="30" t="str">
        <f>Table_SourceData_Scope3_Feed[[#This Row],[Region of origin]]</f>
        <v>NSW</v>
      </c>
    </row>
    <row r="147" spans="1:16" ht="20.100000000000001" customHeight="1" x14ac:dyDescent="0.25">
      <c r="A147"/>
      <c r="D147" s="30" t="str" cm="1">
        <f t="array" ref="D147">Common_InputFunctions.Utility_DisplayArrayInTable(Scope3_SourceData.Scope3_Feed_Data(), Table_SourceData_Scope3_Feed[[#Headers],[Category]], 0, 2)</f>
        <v>Hay</v>
      </c>
      <c r="E147" s="30" t="str" cm="1">
        <f t="array" ref="E147">Common_InputFunctions.Utility_DisplayArrayInTable(Scope3_SourceData.Scope3_Feed_Data(), Table_SourceData_Scope3_Feed[[#Headers],[Category]], 0, 2)</f>
        <v>Pasture hay</v>
      </c>
      <c r="F147" s="30" t="str" cm="1">
        <f t="array" ref="F147">Common_InputFunctions.Utility_DisplayArrayInTable(Scope3_SourceData.Scope3_Feed_Data(), Table_SourceData_Scope3_Feed[[#Headers],[Category]], 0, 2)</f>
        <v>QLD</v>
      </c>
      <c r="G147" s="30" t="str" cm="1">
        <f t="array" ref="G147">Common_InputFunctions.Utility_DisplayArrayInTable(Scope3_SourceData.Scope3_Feed_Data(), Table_SourceData_Scope3_Feed[[#Headers],[Category]], 0, 2)</f>
        <v>kg</v>
      </c>
      <c r="H147" s="30" cm="1">
        <f t="array" ref="H147">Common_InputFunctions.Utility_DisplayArrayInTable(Scope3_SourceData.Scope3_Feed_Data(), Table_SourceData_Scope3_Feed[[#Headers],[Category]], 0, 2)</f>
        <v>0.254</v>
      </c>
      <c r="I147" s="30" t="str" cm="1">
        <f t="array" ref="I147">Common_InputFunctions.Utility_DisplayArrayInTable(Scope3_SourceData.Scope3_Feed_Data(), Table_SourceData_Scope3_Feed[[#Headers],[Category]], 0, 2)</f>
        <v>at market</v>
      </c>
      <c r="N147" s="30" t="str">
        <f>Table_SourceData_Scope3_Feed[[#This Row],[Product]]</f>
        <v>Pasture hay</v>
      </c>
      <c r="O147" s="30" t="str">
        <f>Table_SourceData_Scope3_Feed[[#This Row],[Region of origin]]</f>
        <v>QLD</v>
      </c>
    </row>
    <row r="148" spans="1:16" ht="20.100000000000001" customHeight="1" x14ac:dyDescent="0.25">
      <c r="A148"/>
      <c r="D148" s="30" t="str" cm="1">
        <f t="array" ref="D148">Common_InputFunctions.Utility_DisplayArrayInTable(Scope3_SourceData.Scope3_Feed_Data(), Table_SourceData_Scope3_Feed[[#Headers],[Category]], 0, 2)</f>
        <v>Hay</v>
      </c>
      <c r="E148" s="30" t="str" cm="1">
        <f t="array" ref="E148">Common_InputFunctions.Utility_DisplayArrayInTable(Scope3_SourceData.Scope3_Feed_Data(), Table_SourceData_Scope3_Feed[[#Headers],[Category]], 0, 2)</f>
        <v>Pasture hay</v>
      </c>
      <c r="F148" s="30" t="str" cm="1">
        <f t="array" ref="F148">Common_InputFunctions.Utility_DisplayArrayInTable(Scope3_SourceData.Scope3_Feed_Data(), Table_SourceData_Scope3_Feed[[#Headers],[Category]], 0, 2)</f>
        <v>SA</v>
      </c>
      <c r="G148" s="30" t="str" cm="1">
        <f t="array" ref="G148">Common_InputFunctions.Utility_DisplayArrayInTable(Scope3_SourceData.Scope3_Feed_Data(), Table_SourceData_Scope3_Feed[[#Headers],[Category]], 0, 2)</f>
        <v>kg</v>
      </c>
      <c r="H148" s="30" cm="1">
        <f t="array" ref="H148">Common_InputFunctions.Utility_DisplayArrayInTable(Scope3_SourceData.Scope3_Feed_Data(), Table_SourceData_Scope3_Feed[[#Headers],[Category]], 0, 2)</f>
        <v>0.313</v>
      </c>
      <c r="I148" s="30" t="str" cm="1">
        <f t="array" ref="I148">Common_InputFunctions.Utility_DisplayArrayInTable(Scope3_SourceData.Scope3_Feed_Data(), Table_SourceData_Scope3_Feed[[#Headers],[Category]], 0, 2)</f>
        <v>at market</v>
      </c>
      <c r="N148" s="30" t="str">
        <f>Table_SourceData_Scope3_Feed[[#This Row],[Product]]</f>
        <v>Pasture hay</v>
      </c>
      <c r="O148" s="30" t="str">
        <f>Table_SourceData_Scope3_Feed[[#This Row],[Region of origin]]</f>
        <v>SA</v>
      </c>
    </row>
    <row r="149" spans="1:16" ht="20.100000000000001" customHeight="1" x14ac:dyDescent="0.25">
      <c r="A149"/>
      <c r="D149" s="30" t="str" cm="1">
        <f t="array" ref="D149">Common_InputFunctions.Utility_DisplayArrayInTable(Scope3_SourceData.Scope3_Feed_Data(), Table_SourceData_Scope3_Feed[[#Headers],[Category]], 0, 2)</f>
        <v>Hay</v>
      </c>
      <c r="E149" s="30" t="str" cm="1">
        <f t="array" ref="E149">Common_InputFunctions.Utility_DisplayArrayInTable(Scope3_SourceData.Scope3_Feed_Data(), Table_SourceData_Scope3_Feed[[#Headers],[Category]], 0, 2)</f>
        <v>Pasture hay</v>
      </c>
      <c r="F149" s="30" t="str" cm="1">
        <f t="array" ref="F149">Common_InputFunctions.Utility_DisplayArrayInTable(Scope3_SourceData.Scope3_Feed_Data(), Table_SourceData_Scope3_Feed[[#Headers],[Category]], 0, 2)</f>
        <v>TAS</v>
      </c>
      <c r="G149" s="30" t="str" cm="1">
        <f t="array" ref="G149">Common_InputFunctions.Utility_DisplayArrayInTable(Scope3_SourceData.Scope3_Feed_Data(), Table_SourceData_Scope3_Feed[[#Headers],[Category]], 0, 2)</f>
        <v>kg</v>
      </c>
      <c r="H149" s="30" cm="1">
        <f t="array" ref="H149">Common_InputFunctions.Utility_DisplayArrayInTable(Scope3_SourceData.Scope3_Feed_Data(), Table_SourceData_Scope3_Feed[[#Headers],[Category]], 0, 2)</f>
        <v>0.39800000000000002</v>
      </c>
      <c r="I149" s="30" t="str" cm="1">
        <f t="array" ref="I149">Common_InputFunctions.Utility_DisplayArrayInTable(Scope3_SourceData.Scope3_Feed_Data(), Table_SourceData_Scope3_Feed[[#Headers],[Category]], 0, 2)</f>
        <v>at market</v>
      </c>
      <c r="N149" s="30" t="str">
        <f>Table_SourceData_Scope3_Feed[[#This Row],[Product]]</f>
        <v>Pasture hay</v>
      </c>
      <c r="O149" s="30" t="str">
        <f>Table_SourceData_Scope3_Feed[[#This Row],[Region of origin]]</f>
        <v>TAS</v>
      </c>
    </row>
    <row r="150" spans="1:16" ht="20.100000000000001" customHeight="1" x14ac:dyDescent="0.25">
      <c r="A150"/>
      <c r="D150" s="30" t="str" cm="1">
        <f t="array" ref="D150">Common_InputFunctions.Utility_DisplayArrayInTable(Scope3_SourceData.Scope3_Feed_Data(), Table_SourceData_Scope3_Feed[[#Headers],[Category]], 0, 2)</f>
        <v>Hay</v>
      </c>
      <c r="E150" s="30" t="str" cm="1">
        <f t="array" ref="E150">Common_InputFunctions.Utility_DisplayArrayInTable(Scope3_SourceData.Scope3_Feed_Data(), Table_SourceData_Scope3_Feed[[#Headers],[Category]], 0, 2)</f>
        <v>Pasture hay</v>
      </c>
      <c r="F150" s="30" t="str" cm="1">
        <f t="array" ref="F150">Common_InputFunctions.Utility_DisplayArrayInTable(Scope3_SourceData.Scope3_Feed_Data(), Table_SourceData_Scope3_Feed[[#Headers],[Category]], 0, 2)</f>
        <v>VIC</v>
      </c>
      <c r="G150" s="30" t="str" cm="1">
        <f t="array" ref="G150">Common_InputFunctions.Utility_DisplayArrayInTable(Scope3_SourceData.Scope3_Feed_Data(), Table_SourceData_Scope3_Feed[[#Headers],[Category]], 0, 2)</f>
        <v>kg</v>
      </c>
      <c r="H150" s="30" cm="1">
        <f t="array" ref="H150">Common_InputFunctions.Utility_DisplayArrayInTable(Scope3_SourceData.Scope3_Feed_Data(), Table_SourceData_Scope3_Feed[[#Headers],[Category]], 0, 2)</f>
        <v>0.34499999999999997</v>
      </c>
      <c r="I150" s="30" t="str" cm="1">
        <f t="array" ref="I150">Common_InputFunctions.Utility_DisplayArrayInTable(Scope3_SourceData.Scope3_Feed_Data(), Table_SourceData_Scope3_Feed[[#Headers],[Category]], 0, 2)</f>
        <v>at market</v>
      </c>
      <c r="N150" s="30" t="str">
        <f>Table_SourceData_Scope3_Feed[[#This Row],[Product]]</f>
        <v>Pasture hay</v>
      </c>
      <c r="O150" s="30" t="str">
        <f>Table_SourceData_Scope3_Feed[[#This Row],[Region of origin]]</f>
        <v>VIC</v>
      </c>
    </row>
    <row r="151" spans="1:16" ht="20.100000000000001" customHeight="1" x14ac:dyDescent="0.25">
      <c r="A151"/>
      <c r="D151" s="30" t="str" cm="1">
        <f t="array" ref="D151">Common_InputFunctions.Utility_DisplayArrayInTable(Scope3_SourceData.Scope3_Feed_Data(), Table_SourceData_Scope3_Feed[[#Headers],[Category]], 0, 2)</f>
        <v>Hay</v>
      </c>
      <c r="E151" s="30" t="str" cm="1">
        <f t="array" ref="E151">Common_InputFunctions.Utility_DisplayArrayInTable(Scope3_SourceData.Scope3_Feed_Data(), Table_SourceData_Scope3_Feed[[#Headers],[Category]], 0, 2)</f>
        <v>Pasture hay</v>
      </c>
      <c r="F151" s="30" t="str" cm="1">
        <f t="array" ref="F151">Common_InputFunctions.Utility_DisplayArrayInTable(Scope3_SourceData.Scope3_Feed_Data(), Table_SourceData_Scope3_Feed[[#Headers],[Category]], 0, 2)</f>
        <v>WA</v>
      </c>
      <c r="G151" s="30" t="str" cm="1">
        <f t="array" ref="G151">Common_InputFunctions.Utility_DisplayArrayInTable(Scope3_SourceData.Scope3_Feed_Data(), Table_SourceData_Scope3_Feed[[#Headers],[Category]], 0, 2)</f>
        <v>kg</v>
      </c>
      <c r="H151" s="30" cm="1">
        <f t="array" ref="H151">Common_InputFunctions.Utility_DisplayArrayInTable(Scope3_SourceData.Scope3_Feed_Data(), Table_SourceData_Scope3_Feed[[#Headers],[Category]], 0, 2)</f>
        <v>0.36799999999999999</v>
      </c>
      <c r="I151" s="30" t="str" cm="1">
        <f t="array" ref="I151">Common_InputFunctions.Utility_DisplayArrayInTable(Scope3_SourceData.Scope3_Feed_Data(), Table_SourceData_Scope3_Feed[[#Headers],[Category]], 0, 2)</f>
        <v>at market</v>
      </c>
      <c r="K151" s="254" t="s">
        <v>137</v>
      </c>
      <c r="L151" s="254" t="s">
        <v>896</v>
      </c>
      <c r="M151" s="1" t="str">
        <f>"Table_ProductRegions_" &amp; SUBSTITUTE(SUBSTITUTE(SUBSTITUTE(SUBSTITUTE(K152, " ", ""), ",", ""), "(", ""), ")", "")</f>
        <v>Table_ProductRegions_Canolameal</v>
      </c>
      <c r="N151" s="30" t="str">
        <f>Table_SourceData_Scope3_Feed[[#This Row],[Product]]</f>
        <v>Pasture hay</v>
      </c>
      <c r="O151" s="30" t="str">
        <f>Table_SourceData_Scope3_Feed[[#This Row],[Region of origin]]</f>
        <v>WA</v>
      </c>
    </row>
    <row r="152" spans="1:16" ht="20.100000000000001" customHeight="1" x14ac:dyDescent="0.25">
      <c r="A152"/>
      <c r="D152" s="30" t="str" cm="1">
        <f t="array" ref="D152">Common_InputFunctions.Utility_DisplayArrayInTable(Scope3_SourceData.Scope3_Feed_Data(), Table_SourceData_Scope3_Feed[[#Headers],[Category]], 0, 2)</f>
        <v>Meal</v>
      </c>
      <c r="E152" s="30" t="str" cm="1">
        <f t="array" ref="E152">Common_InputFunctions.Utility_DisplayArrayInTable(Scope3_SourceData.Scope3_Feed_Data(), Table_SourceData_Scope3_Feed[[#Headers],[Category]], 0, 2)</f>
        <v>Canola meal</v>
      </c>
      <c r="F152" s="30" t="str" cm="1">
        <f t="array" ref="F152">Common_InputFunctions.Utility_DisplayArrayInTable(Scope3_SourceData.Scope3_Feed_Data(), Table_SourceData_Scope3_Feed[[#Headers],[Category]], 0, 2)</f>
        <v>Australia</v>
      </c>
      <c r="G152" s="30" t="str" cm="1">
        <f t="array" ref="G152">Common_InputFunctions.Utility_DisplayArrayInTable(Scope3_SourceData.Scope3_Feed_Data(), Table_SourceData_Scope3_Feed[[#Headers],[Category]], 0, 2)</f>
        <v>kg</v>
      </c>
      <c r="H152" s="30" cm="1">
        <f t="array" ref="H152">Common_InputFunctions.Utility_DisplayArrayInTable(Scope3_SourceData.Scope3_Feed_Data(), Table_SourceData_Scope3_Feed[[#Headers],[Category]], 0, 2)</f>
        <v>0.24399999999999999</v>
      </c>
      <c r="I152" s="30" t="str" cm="1">
        <f t="array" ref="I152">Common_InputFunctions.Utility_DisplayArrayInTable(Scope3_SourceData.Scope3_Feed_Data(), Table_SourceData_Scope3_Feed[[#Headers],[Category]], 0, 2)</f>
        <v>at market</v>
      </c>
      <c r="K152" s="1" t="str">
        <f>Table_SourceData_Scope3_Feed[[#This Row],[Product]]</f>
        <v>Canola meal</v>
      </c>
      <c r="L152" s="1" t="str">
        <f>Table_SourceData_Scope3_Feed[[#This Row],[Region of origin]]</f>
        <v>Australia</v>
      </c>
      <c r="N152" s="30" t="s">
        <v>137</v>
      </c>
      <c r="O152" s="30" t="s">
        <v>896</v>
      </c>
      <c r="P152" s="1" t="str">
        <f>"Table_ProductRegions_" &amp; SUBSTITUTE(SUBSTITUTE(SUBSTITUTE(SUBSTITUTE(N153, " ", ""), ",", ""), "(", ""), ")", "")</f>
        <v>Table_ProductRegions_Meatmeal</v>
      </c>
    </row>
    <row r="153" spans="1:16" ht="20.100000000000001" customHeight="1" x14ac:dyDescent="0.25">
      <c r="A153"/>
      <c r="D153" s="30" t="str" cm="1">
        <f t="array" ref="D153">Common_InputFunctions.Utility_DisplayArrayInTable(Scope3_SourceData.Scope3_Feed_Data(), Table_SourceData_Scope3_Feed[[#Headers],[Category]], 0, 2)</f>
        <v>Meal</v>
      </c>
      <c r="E153" s="30" t="str" cm="1">
        <f t="array" ref="E153">Common_InputFunctions.Utility_DisplayArrayInTable(Scope3_SourceData.Scope3_Feed_Data(), Table_SourceData_Scope3_Feed[[#Headers],[Category]], 0, 2)</f>
        <v>Meat meal</v>
      </c>
      <c r="F153" s="30" t="str" cm="1">
        <f t="array" ref="F153">Common_InputFunctions.Utility_DisplayArrayInTable(Scope3_SourceData.Scope3_Feed_Data(), Table_SourceData_Scope3_Feed[[#Headers],[Category]], 0, 2)</f>
        <v>Australia</v>
      </c>
      <c r="G153" s="30" t="str" cm="1">
        <f t="array" ref="G153">Common_InputFunctions.Utility_DisplayArrayInTable(Scope3_SourceData.Scope3_Feed_Data(), Table_SourceData_Scope3_Feed[[#Headers],[Category]], 0, 2)</f>
        <v>kg</v>
      </c>
      <c r="H153" s="30" cm="1">
        <f t="array" ref="H153">Common_InputFunctions.Utility_DisplayArrayInTable(Scope3_SourceData.Scope3_Feed_Data(), Table_SourceData_Scope3_Feed[[#Headers],[Category]], 0, 2)</f>
        <v>0.40799999999999997</v>
      </c>
      <c r="I153" s="30" t="str" cm="1">
        <f t="array" ref="I153">Common_InputFunctions.Utility_DisplayArrayInTable(Scope3_SourceData.Scope3_Feed_Data(), Table_SourceData_Scope3_Feed[[#Headers],[Category]], 0, 2)</f>
        <v>at market</v>
      </c>
      <c r="K153" s="30" t="s">
        <v>137</v>
      </c>
      <c r="L153" s="30" t="s">
        <v>896</v>
      </c>
      <c r="M153" s="1" t="str">
        <f>"Table_ProductRegions_" &amp; SUBSTITUTE(SUBSTITUTE(SUBSTITUTE(SUBSTITUTE(K154, " ", ""), ",", ""), "(", ""), ")", "")</f>
        <v>Table_ProductRegions_Soybeanmeal</v>
      </c>
      <c r="N153" s="30" t="str">
        <f>Table_SourceData_Scope3_Feed[[#This Row],[Product]]</f>
        <v>Meat meal</v>
      </c>
      <c r="O153" s="30" t="str">
        <f>Table_SourceData_Scope3_Feed[[#This Row],[Region of origin]]</f>
        <v>Australia</v>
      </c>
    </row>
    <row r="154" spans="1:16" ht="20.100000000000001" customHeight="1" x14ac:dyDescent="0.25">
      <c r="A154"/>
      <c r="D154" s="30" t="str" cm="1">
        <f t="array" ref="D154">Common_InputFunctions.Utility_DisplayArrayInTable(Scope3_SourceData.Scope3_Feed_Data(), Table_SourceData_Scope3_Feed[[#Headers],[Category]], 0, 2)</f>
        <v>Meal</v>
      </c>
      <c r="E154" s="30" t="str" cm="1">
        <f t="array" ref="E154">Common_InputFunctions.Utility_DisplayArrayInTable(Scope3_SourceData.Scope3_Feed_Data(), Table_SourceData_Scope3_Feed[[#Headers],[Category]], 0, 2)</f>
        <v>Soybean meal</v>
      </c>
      <c r="F154" s="30" t="str" cm="1">
        <f t="array" ref="F154">Common_InputFunctions.Utility_DisplayArrayInTable(Scope3_SourceData.Scope3_Feed_Data(), Table_SourceData_Scope3_Feed[[#Headers],[Category]], 0, 2)</f>
        <v>Brazil</v>
      </c>
      <c r="G154" s="30" t="str" cm="1">
        <f t="array" ref="G154">Common_InputFunctions.Utility_DisplayArrayInTable(Scope3_SourceData.Scope3_Feed_Data(), Table_SourceData_Scope3_Feed[[#Headers],[Category]], 0, 2)</f>
        <v>kg</v>
      </c>
      <c r="H154" s="30" cm="1">
        <f t="array" ref="H154">Common_InputFunctions.Utility_DisplayArrayInTable(Scope3_SourceData.Scope3_Feed_Data(), Table_SourceData_Scope3_Feed[[#Headers],[Category]], 0, 2)</f>
        <v>0.42599999999999999</v>
      </c>
      <c r="I154" s="30" t="str" cm="1">
        <f t="array" ref="I154">Common_InputFunctions.Utility_DisplayArrayInTable(Scope3_SourceData.Scope3_Feed_Data(), Table_SourceData_Scope3_Feed[[#Headers],[Category]], 0, 2)</f>
        <v>at market</v>
      </c>
      <c r="K154" s="30" t="str">
        <f>Table_SourceData_Scope3_Feed[[#This Row],[Product]]</f>
        <v>Soybean meal</v>
      </c>
      <c r="L154" s="30" t="str">
        <f>Table_SourceData_Scope3_Feed[[#This Row],[Region of origin]]</f>
        <v>Brazil</v>
      </c>
      <c r="N154" s="30" t="s">
        <v>137</v>
      </c>
      <c r="O154" s="30" t="s">
        <v>896</v>
      </c>
      <c r="P154" s="1" t="str">
        <f>"Table_ProductRegions_" &amp; SUBSTITUTE(SUBSTITUTE(SUBSTITUTE(SUBSTITUTE(N155, " ", ""), ",", ""), "(", ""), ")", "")</f>
        <v>Table_ProductRegions_Wheatbran</v>
      </c>
    </row>
    <row r="155" spans="1:16" ht="20.100000000000001" customHeight="1" x14ac:dyDescent="0.25">
      <c r="A155"/>
      <c r="D155" s="30" t="str" cm="1">
        <f t="array" ref="D155">Common_InputFunctions.Utility_DisplayArrayInTable(Scope3_SourceData.Scope3_Feed_Data(), Table_SourceData_Scope3_Feed[[#Headers],[Category]], 0, 2)</f>
        <v>Meal</v>
      </c>
      <c r="E155" s="30" t="str" cm="1">
        <f t="array" ref="E155">Common_InputFunctions.Utility_DisplayArrayInTable(Scope3_SourceData.Scope3_Feed_Data(), Table_SourceData_Scope3_Feed[[#Headers],[Category]], 0, 2)</f>
        <v>Wheat bran</v>
      </c>
      <c r="F155" s="30" t="str" cm="1">
        <f t="array" ref="F155">Common_InputFunctions.Utility_DisplayArrayInTable(Scope3_SourceData.Scope3_Feed_Data(), Table_SourceData_Scope3_Feed[[#Headers],[Category]], 0, 2)</f>
        <v>Australia</v>
      </c>
      <c r="G155" s="30" t="str" cm="1">
        <f t="array" ref="G155">Common_InputFunctions.Utility_DisplayArrayInTable(Scope3_SourceData.Scope3_Feed_Data(), Table_SourceData_Scope3_Feed[[#Headers],[Category]], 0, 2)</f>
        <v>kg</v>
      </c>
      <c r="H155" s="30" cm="1">
        <f t="array" ref="H155">Common_InputFunctions.Utility_DisplayArrayInTable(Scope3_SourceData.Scope3_Feed_Data(), Table_SourceData_Scope3_Feed[[#Headers],[Category]], 0, 2)</f>
        <v>0.19600000000000001</v>
      </c>
      <c r="I155" s="30" t="str" cm="1">
        <f t="array" ref="I155">Common_InputFunctions.Utility_DisplayArrayInTable(Scope3_SourceData.Scope3_Feed_Data(), Table_SourceData_Scope3_Feed[[#Headers],[Category]], 0, 2)</f>
        <v>at market</v>
      </c>
      <c r="K155" s="30" t="s">
        <v>137</v>
      </c>
      <c r="L155" s="30" t="s">
        <v>896</v>
      </c>
      <c r="M155" s="1" t="str">
        <f>"Table_ProductRegions_" &amp; SUBSTITUTE(SUBSTITUTE(SUBSTITUTE(SUBSTITUTE(K156, " ", ""), ",", ""), "(", ""), ")", "")</f>
        <v>Table_ProductRegions_Bentonite</v>
      </c>
      <c r="N155" s="30" t="str">
        <f>Table_SourceData_Scope3_Feed[[#This Row],[Product]]</f>
        <v>Wheat bran</v>
      </c>
      <c r="O155" s="30" t="str">
        <f>Table_SourceData_Scope3_Feed[[#This Row],[Region of origin]]</f>
        <v>Australia</v>
      </c>
    </row>
    <row r="156" spans="1:16" ht="20.100000000000001" customHeight="1" x14ac:dyDescent="0.25">
      <c r="A156"/>
      <c r="D156" s="1" t="str" cm="1">
        <f t="array" ref="D156">Common_InputFunctions.Utility_DisplayArrayInTable(Scope3_SourceData.Scope3_Feed_Data(), Table_SourceData_Scope3_Feed[[#Headers],[Category]], -4, 2)</f>
        <v>Other</v>
      </c>
      <c r="E156" s="1" t="str" cm="1">
        <f t="array" ref="E156">Common_InputFunctions.Utility_DisplayArrayInTable(Scope3_SourceData.Scope3_Feed_Data(), Table_SourceData_Scope3_Feed[[#Headers],[Category]], -4, 2)</f>
        <v>Bentonite</v>
      </c>
      <c r="F156" s="1" t="str" cm="1">
        <f t="array" ref="F156">Common_InputFunctions.Utility_DisplayArrayInTable(Scope3_SourceData.Scope3_Feed_Data(), Table_SourceData_Scope3_Feed[[#Headers],[Category]], -4, 2)</f>
        <v>Australia</v>
      </c>
      <c r="G156" s="1" t="str" cm="1">
        <f t="array" ref="G156">Common_InputFunctions.Utility_DisplayArrayInTable(Scope3_SourceData.Scope3_Feed_Data(), Table_SourceData_Scope3_Feed[[#Headers],[Category]], -4, 2)</f>
        <v>kg</v>
      </c>
      <c r="H156" s="1" cm="1">
        <f t="array" ref="H156">Common_InputFunctions.Utility_DisplayArrayInTable(Scope3_SourceData.Scope3_Feed_Data(), Table_SourceData_Scope3_Feed[[#Headers],[Category]], -4, 2)</f>
        <v>6.5199999999999994E-2</v>
      </c>
      <c r="I156" s="1" t="str" cm="1">
        <f t="array" ref="I156">Common_InputFunctions.Utility_DisplayArrayInTable(Scope3_SourceData.Scope3_Feed_Data(), Table_SourceData_Scope3_Feed[[#Headers],[Category]], -4, 2)</f>
        <v>at market</v>
      </c>
      <c r="K156" s="30" t="str">
        <f>Table_SourceData_Scope3_Feed[[#This Row],[Product]]</f>
        <v>Bentonite</v>
      </c>
      <c r="L156" s="30" t="str">
        <f>Table_SourceData_Scope3_Feed[[#This Row],[Region of origin]]</f>
        <v>Australia</v>
      </c>
      <c r="N156" s="30" t="s">
        <v>137</v>
      </c>
      <c r="O156" s="30" t="s">
        <v>896</v>
      </c>
      <c r="P156" s="1" t="str">
        <f>"Table_ProductRegions_" &amp; SUBSTITUTE(SUBSTITUTE(SUBSTITUTE(SUBSTITUTE(N157, " ", ""), ",", ""), "(", ""), ")", "")</f>
        <v>Table_ProductRegions_Canolaoil</v>
      </c>
    </row>
    <row r="157" spans="1:16" ht="20.100000000000001" customHeight="1" x14ac:dyDescent="0.25">
      <c r="A157"/>
      <c r="D157" s="1" t="str" cm="1">
        <f t="array" ref="D157">Common_InputFunctions.Utility_DisplayArrayInTable(Scope3_SourceData.Scope3_Feed_Data(), Table_SourceData_Scope3_Feed[[#Headers],[Category]], -4, 2)</f>
        <v>Other</v>
      </c>
      <c r="E157" s="1" t="str" cm="1">
        <f t="array" ref="E157">Common_InputFunctions.Utility_DisplayArrayInTable(Scope3_SourceData.Scope3_Feed_Data(), Table_SourceData_Scope3_Feed[[#Headers],[Category]], -4, 2)</f>
        <v>Canola oil</v>
      </c>
      <c r="F157" s="1" t="str" cm="1">
        <f t="array" ref="F157">Common_InputFunctions.Utility_DisplayArrayInTable(Scope3_SourceData.Scope3_Feed_Data(), Table_SourceData_Scope3_Feed[[#Headers],[Category]], -4, 2)</f>
        <v>Australia</v>
      </c>
      <c r="G157" s="1" t="str" cm="1">
        <f t="array" ref="G157">Common_InputFunctions.Utility_DisplayArrayInTable(Scope3_SourceData.Scope3_Feed_Data(), Table_SourceData_Scope3_Feed[[#Headers],[Category]], -4, 2)</f>
        <v>kg</v>
      </c>
      <c r="H157" s="1" cm="1">
        <f t="array" ref="H157">Common_InputFunctions.Utility_DisplayArrayInTable(Scope3_SourceData.Scope3_Feed_Data(), Table_SourceData_Scope3_Feed[[#Headers],[Category]], -4, 2)</f>
        <v>0.87</v>
      </c>
      <c r="I157" s="1" t="str" cm="1">
        <f t="array" ref="I157">Common_InputFunctions.Utility_DisplayArrayInTable(Scope3_SourceData.Scope3_Feed_Data(), Table_SourceData_Scope3_Feed[[#Headers],[Category]], -4, 2)</f>
        <v>at market</v>
      </c>
      <c r="K157" s="30" t="s">
        <v>137</v>
      </c>
      <c r="L157" s="30" t="s">
        <v>896</v>
      </c>
      <c r="M157" s="1" t="str">
        <f>"Table_ProductRegions_" &amp; SUBSTITUTE(SUBSTITUTE(SUBSTITUTE(SUBSTITUTE(K158, " ", ""), ",", ""), "(", ""), ")", "")</f>
        <v>Table_ProductRegions_Cottonseed</v>
      </c>
      <c r="N157" s="30" t="str">
        <f>Table_SourceData_Scope3_Feed[[#This Row],[Product]]</f>
        <v>Canola oil</v>
      </c>
      <c r="O157" s="30" t="str">
        <f>Table_SourceData_Scope3_Feed[[#This Row],[Region of origin]]</f>
        <v>Australia</v>
      </c>
    </row>
    <row r="158" spans="1:16" ht="20.100000000000001" customHeight="1" x14ac:dyDescent="0.25">
      <c r="A158"/>
      <c r="D158" s="1" t="str" cm="1">
        <f t="array" ref="D158">Common_InputFunctions.Utility_DisplayArrayInTable(Scope3_SourceData.Scope3_Feed_Data(), Table_SourceData_Scope3_Feed[[#Headers],[Category]], -4, 2)</f>
        <v>Other</v>
      </c>
      <c r="E158" s="1" t="str" cm="1">
        <f t="array" ref="E158">Common_InputFunctions.Utility_DisplayArrayInTable(Scope3_SourceData.Scope3_Feed_Data(), Table_SourceData_Scope3_Feed[[#Headers],[Category]], -4, 2)</f>
        <v>Cotton seed</v>
      </c>
      <c r="F158" s="1" t="str" cm="1">
        <f t="array" ref="F158">Common_InputFunctions.Utility_DisplayArrayInTable(Scope3_SourceData.Scope3_Feed_Data(), Table_SourceData_Scope3_Feed[[#Headers],[Category]], -4, 2)</f>
        <v>Australia</v>
      </c>
      <c r="G158" s="1" t="str" cm="1">
        <f t="array" ref="G158">Common_InputFunctions.Utility_DisplayArrayInTable(Scope3_SourceData.Scope3_Feed_Data(), Table_SourceData_Scope3_Feed[[#Headers],[Category]], -4, 2)</f>
        <v>kg</v>
      </c>
      <c r="H158" s="1" cm="1">
        <f t="array" ref="H158">Common_InputFunctions.Utility_DisplayArrayInTable(Scope3_SourceData.Scope3_Feed_Data(), Table_SourceData_Scope3_Feed[[#Headers],[Category]], -4, 2)</f>
        <v>0.19700000000000001</v>
      </c>
      <c r="I158" s="1" t="str" cm="1">
        <f t="array" ref="I158">Common_InputFunctions.Utility_DisplayArrayInTable(Scope3_SourceData.Scope3_Feed_Data(), Table_SourceData_Scope3_Feed[[#Headers],[Category]], -4, 2)</f>
        <v>at market</v>
      </c>
      <c r="K158" s="30" t="str">
        <f>Table_SourceData_Scope3_Feed[[#This Row],[Product]]</f>
        <v>Cotton seed</v>
      </c>
      <c r="L158" s="30" t="str">
        <f>Table_SourceData_Scope3_Feed[[#This Row],[Region of origin]]</f>
        <v>Australia</v>
      </c>
      <c r="N158" s="30" t="s">
        <v>137</v>
      </c>
      <c r="O158" s="30" t="s">
        <v>896</v>
      </c>
      <c r="P158" s="1" t="str">
        <f>"Table_ProductRegions_" &amp; SUBSTITUTE(SUBSTITUTE(SUBSTITUTE(SUBSTITUTE(N159, " ", ""), ",", ""), "(", ""), ")", "")</f>
        <v>Table_ProductRegions_Molasses</v>
      </c>
    </row>
    <row r="159" spans="1:16" ht="20.100000000000001" customHeight="1" x14ac:dyDescent="0.25">
      <c r="A159"/>
      <c r="D159" s="1" t="str" cm="1">
        <f t="array" ref="D159">Common_InputFunctions.Utility_DisplayArrayInTable(Scope3_SourceData.Scope3_Feed_Data(), Table_SourceData_Scope3_Feed[[#Headers],[Category]], -7, 2)</f>
        <v>Other</v>
      </c>
      <c r="E159" s="1" t="str" cm="1">
        <f t="array" ref="E159">Common_InputFunctions.Utility_DisplayArrayInTable(Scope3_SourceData.Scope3_Feed_Data(), Table_SourceData_Scope3_Feed[[#Headers],[Category]], -7, 2)</f>
        <v>Molasses</v>
      </c>
      <c r="F159" s="1" t="str" cm="1">
        <f t="array" ref="F159">Common_InputFunctions.Utility_DisplayArrayInTable(Scope3_SourceData.Scope3_Feed_Data(), Table_SourceData_Scope3_Feed[[#Headers],[Category]], -7, 2)</f>
        <v>QLD</v>
      </c>
      <c r="G159" s="1" t="str" cm="1">
        <f t="array" ref="G159">Common_InputFunctions.Utility_DisplayArrayInTable(Scope3_SourceData.Scope3_Feed_Data(), Table_SourceData_Scope3_Feed[[#Headers],[Category]], -7, 2)</f>
        <v>kg</v>
      </c>
      <c r="H159" s="1" cm="1">
        <f t="array" ref="H159">Common_InputFunctions.Utility_DisplayArrayInTable(Scope3_SourceData.Scope3_Feed_Data(), Table_SourceData_Scope3_Feed[[#Headers],[Category]], -7, 2)</f>
        <v>0.184</v>
      </c>
      <c r="I159" s="1" t="str" cm="1">
        <f t="array" ref="I159">Common_InputFunctions.Utility_DisplayArrayInTable(Scope3_SourceData.Scope3_Feed_Data(), Table_SourceData_Scope3_Feed[[#Headers],[Category]], -7, 2)</f>
        <v>at market</v>
      </c>
      <c r="N159" s="30" t="str">
        <f>Table_SourceData_Scope3_Feed[[#This Row],[Product]]</f>
        <v>Molasses</v>
      </c>
      <c r="O159" s="30" t="str">
        <f>Table_SourceData_Scope3_Feed[[#This Row],[Region of origin]]</f>
        <v>QLD</v>
      </c>
    </row>
    <row r="160" spans="1:16" ht="20.100000000000001" customHeight="1" x14ac:dyDescent="0.25">
      <c r="A160"/>
    </row>
    <row r="161" spans="4:13" ht="20.100000000000001" customHeight="1" x14ac:dyDescent="0.25">
      <c r="D161" s="30" t="s">
        <v>891</v>
      </c>
      <c r="E161" s="30" t="s">
        <v>137</v>
      </c>
      <c r="F161" s="30" t="s">
        <v>892</v>
      </c>
      <c r="G161" s="30" t="s">
        <v>893</v>
      </c>
      <c r="H161" s="30" t="s">
        <v>894</v>
      </c>
      <c r="I161" s="30" t="s">
        <v>895</v>
      </c>
    </row>
    <row r="162" spans="4:13" ht="20.100000000000001" customHeight="1" x14ac:dyDescent="0.25">
      <c r="D162" s="30" t="str" cm="1">
        <f t="array" ref="D162">Common_InputFunctions.Utility_DisplayArrayInTable(Scope3_SourceData.Scope3_Feed_Data(), Table_SourceData_Scope3_MixedRations[[#Headers],[Category]], -66, 2)</f>
        <v>Mixed rations</v>
      </c>
      <c r="E162" s="30" t="str" cm="1">
        <f t="array" ref="E162">Common_InputFunctions.Utility_DisplayArrayInTable(Scope3_SourceData.Scope3_Feed_Data(), Table_SourceData_Scope3_MixedRations[[#Headers],[Category]], -66, 2)</f>
        <v>Feed for chickens</v>
      </c>
      <c r="F162" s="30" t="str" cm="1">
        <f t="array" ref="F162">Common_InputFunctions.Utility_DisplayArrayInTable(Scope3_SourceData.Scope3_Feed_Data(), Table_SourceData_Scope3_MixedRations[[#Headers],[Category]], -66, 2)</f>
        <v>Australia</v>
      </c>
      <c r="G162" s="30" t="str" cm="1">
        <f t="array" ref="G162">Common_InputFunctions.Utility_DisplayArrayInTable(Scope3_SourceData.Scope3_Feed_Data(), Table_SourceData_Scope3_MixedRations[[#Headers],[Category]], -66, 2)</f>
        <v>kg</v>
      </c>
      <c r="H162" s="30" cm="1">
        <f t="array" ref="H162">Common_InputFunctions.Utility_DisplayArrayInTable(Scope3_SourceData.Scope3_Feed_Data(), Table_SourceData_Scope3_MixedRations[[#Headers],[Category]], -66, 2)</f>
        <v>0.59399999999999997</v>
      </c>
      <c r="I162" s="30" t="str" cm="1">
        <f t="array" ref="I162">Common_InputFunctions.Utility_DisplayArrayInTable(Scope3_SourceData.Scope3_Feed_Data(), Table_SourceData_Scope3_MixedRations[[#Headers],[Category]], -66, 2)</f>
        <v>at market</v>
      </c>
    </row>
    <row r="163" spans="4:13" ht="20.100000000000001" customHeight="1" x14ac:dyDescent="0.25">
      <c r="D163" s="30" t="str" cm="1">
        <f t="array" ref="D163">Common_InputFunctions.Utility_DisplayArrayInTable(Scope3_SourceData.Scope3_Feed_Data(), Table_SourceData_Scope3_MixedRations[[#Headers],[Category]], -66, 2)</f>
        <v>Mixed rations</v>
      </c>
      <c r="E163" s="30" t="str" cm="1">
        <f t="array" ref="E163">Common_InputFunctions.Utility_DisplayArrayInTable(Scope3_SourceData.Scope3_Feed_Data(), Table_SourceData_Scope3_MixedRations[[#Headers],[Category]], -66, 2)</f>
        <v>Feed for dairy calves</v>
      </c>
      <c r="F163" s="30" t="str" cm="1">
        <f t="array" ref="F163">Common_InputFunctions.Utility_DisplayArrayInTable(Scope3_SourceData.Scope3_Feed_Data(), Table_SourceData_Scope3_MixedRations[[#Headers],[Category]], -66, 2)</f>
        <v>Australia</v>
      </c>
      <c r="G163" s="30" t="str" cm="1">
        <f t="array" ref="G163">Common_InputFunctions.Utility_DisplayArrayInTable(Scope3_SourceData.Scope3_Feed_Data(), Table_SourceData_Scope3_MixedRations[[#Headers],[Category]], -66, 2)</f>
        <v>kg</v>
      </c>
      <c r="H163" s="30" cm="1">
        <f t="array" ref="H163">Common_InputFunctions.Utility_DisplayArrayInTable(Scope3_SourceData.Scope3_Feed_Data(), Table_SourceData_Scope3_MixedRations[[#Headers],[Category]], -66, 2)</f>
        <v>0.41899999999999998</v>
      </c>
      <c r="I163" s="30" t="str" cm="1">
        <f t="array" ref="I163">Common_InputFunctions.Utility_DisplayArrayInTable(Scope3_SourceData.Scope3_Feed_Data(), Table_SourceData_Scope3_MixedRations[[#Headers],[Category]], -66, 2)</f>
        <v>at market</v>
      </c>
    </row>
    <row r="164" spans="4:13" ht="20.100000000000001" customHeight="1" x14ac:dyDescent="0.25">
      <c r="D164" s="30" t="str" cm="1">
        <f t="array" ref="D164">Common_InputFunctions.Utility_DisplayArrayInTable(Scope3_SourceData.Scope3_Feed_Data(), Table_SourceData_Scope3_MixedRations[[#Headers],[Category]], -66, 2)</f>
        <v>Mixed rations</v>
      </c>
      <c r="E164" s="30" t="str" cm="1">
        <f t="array" ref="E164">Common_InputFunctions.Utility_DisplayArrayInTable(Scope3_SourceData.Scope3_Feed_Data(), Table_SourceData_Scope3_MixedRations[[#Headers],[Category]], -66, 2)</f>
        <v>Feed for dairy cows</v>
      </c>
      <c r="F164" s="30" t="str" cm="1">
        <f t="array" ref="F164">Common_InputFunctions.Utility_DisplayArrayInTable(Scope3_SourceData.Scope3_Feed_Data(), Table_SourceData_Scope3_MixedRations[[#Headers],[Category]], -66, 2)</f>
        <v>Australia</v>
      </c>
      <c r="G164" s="30" t="str" cm="1">
        <f t="array" ref="G164">Common_InputFunctions.Utility_DisplayArrayInTable(Scope3_SourceData.Scope3_Feed_Data(), Table_SourceData_Scope3_MixedRations[[#Headers],[Category]], -66, 2)</f>
        <v>kg</v>
      </c>
      <c r="H164" s="30" cm="1">
        <f t="array" ref="H164">Common_InputFunctions.Utility_DisplayArrayInTable(Scope3_SourceData.Scope3_Feed_Data(), Table_SourceData_Scope3_MixedRations[[#Headers],[Category]], -66, 2)</f>
        <v>0.33300000000000002</v>
      </c>
      <c r="I164" s="30" t="str" cm="1">
        <f t="array" ref="I164">Common_InputFunctions.Utility_DisplayArrayInTable(Scope3_SourceData.Scope3_Feed_Data(), Table_SourceData_Scope3_MixedRations[[#Headers],[Category]], -66, 2)</f>
        <v>at market</v>
      </c>
    </row>
    <row r="165" spans="4:13" ht="20.100000000000001" customHeight="1" x14ac:dyDescent="0.25">
      <c r="D165" s="30" t="str" cm="1">
        <f t="array" ref="D165">Common_InputFunctions.Utility_DisplayArrayInTable(Scope3_SourceData.Scope3_Feed_Data(), Table_SourceData_Scope3_MixedRations[[#Headers],[Category]], -66, 2)</f>
        <v>Mixed rations</v>
      </c>
      <c r="E165" s="30" t="str" cm="1">
        <f t="array" ref="E165">Common_InputFunctions.Utility_DisplayArrayInTable(Scope3_SourceData.Scope3_Feed_Data(), Table_SourceData_Scope3_MixedRations[[#Headers],[Category]], -66, 2)</f>
        <v>Feed for pigs</v>
      </c>
      <c r="F165" s="30" t="str" cm="1">
        <f t="array" ref="F165">Common_InputFunctions.Utility_DisplayArrayInTable(Scope3_SourceData.Scope3_Feed_Data(), Table_SourceData_Scope3_MixedRations[[#Headers],[Category]], -66, 2)</f>
        <v>Australia</v>
      </c>
      <c r="G165" s="30" t="str" cm="1">
        <f t="array" ref="G165">Common_InputFunctions.Utility_DisplayArrayInTable(Scope3_SourceData.Scope3_Feed_Data(), Table_SourceData_Scope3_MixedRations[[#Headers],[Category]], -66, 2)</f>
        <v>kg</v>
      </c>
      <c r="H165" s="30" cm="1">
        <f t="array" ref="H165">Common_InputFunctions.Utility_DisplayArrayInTable(Scope3_SourceData.Scope3_Feed_Data(), Table_SourceData_Scope3_MixedRations[[#Headers],[Category]], -66, 2)</f>
        <v>0.40300000000000002</v>
      </c>
      <c r="I165" s="3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30" t="s">
        <v>891</v>
      </c>
      <c r="E167" s="30" t="s">
        <v>137</v>
      </c>
      <c r="F167" s="30" t="s">
        <v>892</v>
      </c>
      <c r="G167" s="30" t="s">
        <v>893</v>
      </c>
      <c r="H167" s="30" t="s">
        <v>894</v>
      </c>
      <c r="I167" s="30" t="s">
        <v>895</v>
      </c>
    </row>
    <row r="168" spans="4:13" ht="20.100000000000001" customHeight="1" x14ac:dyDescent="0.25">
      <c r="D168" s="30" t="str" cm="1">
        <f t="array" ref="D168">Common_InputFunctions.Utility_DisplayArrayInTable(Scope3_SourceData.Scope3_Feed_Data(), Table_SourceData_Scope3_LickBlocks[[#Headers],[Category]], -73, 2)</f>
        <v>Other</v>
      </c>
      <c r="E168" s="30" t="str" cm="1">
        <f t="array" ref="E168">Common_InputFunctions.Utility_DisplayArrayInTable(Scope3_SourceData.Scope3_Feed_Data(), Table_SourceData_Scope3_LickBlocks[[#Headers],[Category]], -73, 2)</f>
        <v>Lick block, dry season mix</v>
      </c>
      <c r="F168" s="30" t="str" cm="1">
        <f t="array" ref="F168">Common_InputFunctions.Utility_DisplayArrayInTable(Scope3_SourceData.Scope3_Feed_Data(), Table_SourceData_Scope3_LickBlocks[[#Headers],[Category]], -73, 2)</f>
        <v>Australia</v>
      </c>
      <c r="G168" s="30" t="str" cm="1">
        <f t="array" ref="G168">Common_InputFunctions.Utility_DisplayArrayInTable(Scope3_SourceData.Scope3_Feed_Data(), Table_SourceData_Scope3_LickBlocks[[#Headers],[Category]], -73, 2)</f>
        <v>kg</v>
      </c>
      <c r="H168" s="30" cm="1">
        <f t="array" ref="H168">Common_InputFunctions.Utility_DisplayArrayInTable(Scope3_SourceData.Scope3_Feed_Data(), Table_SourceData_Scope3_LickBlocks[[#Headers],[Category]], -73, 2)</f>
        <v>0.88100000000000001</v>
      </c>
      <c r="I168" s="30" t="str" cm="1">
        <f t="array" ref="I168">Common_InputFunctions.Utility_DisplayArrayInTable(Scope3_SourceData.Scope3_Feed_Data(), Table_SourceData_Scope3_LickBlocks[[#Headers],[Category]], -73, 2)</f>
        <v>at market</v>
      </c>
    </row>
    <row r="169" spans="4:13" ht="20.100000000000001" customHeight="1" x14ac:dyDescent="0.25">
      <c r="D169" s="30" t="str" cm="1">
        <f t="array" ref="D169">Common_InputFunctions.Utility_DisplayArrayInTable(Scope3_SourceData.Scope3_Feed_Data(), Table_SourceData_Scope3_LickBlocks[[#Headers],[Category]], -73, 2)</f>
        <v>Other</v>
      </c>
      <c r="E169" s="30" t="str" cm="1">
        <f t="array" ref="E169">Common_InputFunctions.Utility_DisplayArrayInTable(Scope3_SourceData.Scope3_Feed_Data(), Table_SourceData_Scope3_LickBlocks[[#Headers],[Category]], -73, 2)</f>
        <v>Lick block, mineral</v>
      </c>
      <c r="F169" s="30" t="str" cm="1">
        <f t="array" ref="F169">Common_InputFunctions.Utility_DisplayArrayInTable(Scope3_SourceData.Scope3_Feed_Data(), Table_SourceData_Scope3_LickBlocks[[#Headers],[Category]], -73, 2)</f>
        <v>Australia</v>
      </c>
      <c r="G169" s="30" t="str" cm="1">
        <f t="array" ref="G169">Common_InputFunctions.Utility_DisplayArrayInTable(Scope3_SourceData.Scope3_Feed_Data(), Table_SourceData_Scope3_LickBlocks[[#Headers],[Category]], -73, 2)</f>
        <v>kg</v>
      </c>
      <c r="H169" s="30" cm="1">
        <f t="array" ref="H169">Common_InputFunctions.Utility_DisplayArrayInTable(Scope3_SourceData.Scope3_Feed_Data(), Table_SourceData_Scope3_LickBlocks[[#Headers],[Category]], -73, 2)</f>
        <v>0.67700000000000005</v>
      </c>
      <c r="I169" s="30" t="str" cm="1">
        <f t="array" ref="I169">Common_InputFunctions.Utility_DisplayArrayInTable(Scope3_SourceData.Scope3_Feed_Data(), Table_SourceData_Scope3_LickBlocks[[#Headers],[Category]], -73, 2)</f>
        <v>at market</v>
      </c>
    </row>
    <row r="170" spans="4:13" ht="20.100000000000001" customHeight="1" x14ac:dyDescent="0.25">
      <c r="D170" s="30" t="str" cm="1">
        <f t="array" ref="D170">Common_InputFunctions.Utility_DisplayArrayInTable(Scope3_SourceData.Scope3_Feed_Data(), Table_SourceData_Scope3_LickBlocks[[#Headers],[Category]], -73, 2)</f>
        <v>Other</v>
      </c>
      <c r="E170" s="30" t="str" cm="1">
        <f t="array" ref="E170">Common_InputFunctions.Utility_DisplayArrayInTable(Scope3_SourceData.Scope3_Feed_Data(), Table_SourceData_Scope3_LickBlocks[[#Headers],[Category]], -73, 2)</f>
        <v>Lick block, weaner</v>
      </c>
      <c r="F170" s="30" t="str" cm="1">
        <f t="array" ref="F170">Common_InputFunctions.Utility_DisplayArrayInTable(Scope3_SourceData.Scope3_Feed_Data(), Table_SourceData_Scope3_LickBlocks[[#Headers],[Category]], -73, 2)</f>
        <v>Australia</v>
      </c>
      <c r="G170" s="30" t="str" cm="1">
        <f t="array" ref="G170">Common_InputFunctions.Utility_DisplayArrayInTable(Scope3_SourceData.Scope3_Feed_Data(), Table_SourceData_Scope3_LickBlocks[[#Headers],[Category]], -73, 2)</f>
        <v>kg</v>
      </c>
      <c r="H170" s="30" cm="1">
        <f t="array" ref="H170">Common_InputFunctions.Utility_DisplayArrayInTable(Scope3_SourceData.Scope3_Feed_Data(), Table_SourceData_Scope3_LickBlocks[[#Headers],[Category]], -73, 2)</f>
        <v>0.23100000000000001</v>
      </c>
      <c r="I170" s="3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2" t="s">
        <v>919</v>
      </c>
    </row>
    <row r="173" spans="4:13" ht="20.100000000000001" customHeight="1" x14ac:dyDescent="0.25">
      <c r="D173" s="30" t="s">
        <v>891</v>
      </c>
      <c r="E173" s="30" t="s">
        <v>137</v>
      </c>
      <c r="F173" s="30" t="s">
        <v>892</v>
      </c>
      <c r="G173" s="30" t="s">
        <v>329</v>
      </c>
      <c r="H173" s="30" t="s">
        <v>226</v>
      </c>
      <c r="I173" s="30" t="s">
        <v>227</v>
      </c>
      <c r="J173" s="30" t="s">
        <v>920</v>
      </c>
      <c r="K173" s="30" t="s">
        <v>893</v>
      </c>
      <c r="L173" s="30" t="s">
        <v>894</v>
      </c>
      <c r="M173" s="30" t="s">
        <v>895</v>
      </c>
    </row>
    <row r="174" spans="4:13" ht="20.100000000000001" customHeight="1" x14ac:dyDescent="0.25">
      <c r="D174" s="30" t="str" cm="1">
        <f t="array" ref="D174">Common_InputFunctions.Utility_DisplayArrayInTable(Scope3_SourceData.Scope3_InorganicFertilisers_Data(), Table_SourceData_Scope3_InorganicFertiliser[[#Headers],[Category]], 0, 2)</f>
        <v>Inorganic fertilisers</v>
      </c>
      <c r="E174" s="30" t="str" cm="1">
        <f t="array" ref="E174">Common_InputFunctions.Utility_DisplayArrayInTable(Scope3_SourceData.Scope3_InorganicFertilisers_Data(), Table_SourceData_Scope3_InorganicFertiliser[[#Headers],[Category]], 0, 2)</f>
        <v>Ammonia, AU market mix</v>
      </c>
      <c r="F174" s="30" t="str" cm="1">
        <f t="array" ref="F174">Common_InputFunctions.Utility_DisplayArrayInTable(Scope3_SourceData.Scope3_InorganicFertilisers_Data(), Table_SourceData_Scope3_InorganicFertiliser[[#Headers],[Category]], 0, 2)</f>
        <v>Global</v>
      </c>
      <c r="G174" s="30" t="str">
        <f>'Constants - Fertiliser'!$D$37</f>
        <v>Ammonia</v>
      </c>
      <c r="H174" s="30"/>
      <c r="I174" s="30" t="str">
        <f>'Constants - Fertiliser'!$V$20</f>
        <v>Global</v>
      </c>
      <c r="J174" s="30"/>
      <c r="K174" s="30" t="str" cm="1">
        <f t="array" ref="K174">Common_InputFunctions.Utility_DisplayArrayInTable(Scope3_SourceData.Scope3_InorganicFertilisers_Data(), Table_SourceData_Scope3_InorganicFertiliser[[#Headers],[Category]], 0, -2)</f>
        <v>kg</v>
      </c>
      <c r="L174" s="30" cm="1">
        <f t="array" ref="L174">Common_InputFunctions.Utility_DisplayArrayInTable(Scope3_SourceData.Scope3_InorganicFertilisers_Data(), Table_SourceData_Scope3_InorganicFertiliser[[#Headers],[Category]], 0, -2)</f>
        <v>2.3199999999999998</v>
      </c>
      <c r="M174" s="3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30" t="str" cm="1">
        <f t="array" ref="D175">Common_InputFunctions.Utility_DisplayArrayInTable(Scope3_SourceData.Scope3_InorganicFertilisers_Data(), Table_SourceData_Scope3_InorganicFertiliser[[#Headers],[Category]], 0, 2)</f>
        <v>Inorganic fertilisers</v>
      </c>
      <c r="E175" s="30" t="str" cm="1">
        <f t="array" ref="E175">Common_InputFunctions.Utility_DisplayArrayInTable(Scope3_SourceData.Scope3_InorganicFertilisers_Data(), Table_SourceData_Scope3_InorganicFertiliser[[#Headers],[Category]], 0, 2)</f>
        <v>Ammonia, Canada</v>
      </c>
      <c r="F175" s="30" t="str" cm="1">
        <f t="array" ref="F175">Common_InputFunctions.Utility_DisplayArrayInTable(Scope3_SourceData.Scope3_InorganicFertilisers_Data(), Table_SourceData_Scope3_InorganicFertiliser[[#Headers],[Category]], 0, 2)</f>
        <v>Canada</v>
      </c>
      <c r="G175" s="30" t="str">
        <f>'Constants - Fertiliser'!$D$37</f>
        <v>Ammonia</v>
      </c>
      <c r="H175" s="30"/>
      <c r="I175" s="30" t="str">
        <f>'Constants - Fertiliser'!$V$21</f>
        <v>Canada</v>
      </c>
      <c r="J175" s="30"/>
      <c r="K175" s="30" t="str" cm="1">
        <f t="array" ref="K175">Common_InputFunctions.Utility_DisplayArrayInTable(Scope3_SourceData.Scope3_InorganicFertilisers_Data(), Table_SourceData_Scope3_InorganicFertiliser[[#Headers],[Category]], 0, -2)</f>
        <v>kg</v>
      </c>
      <c r="L175" s="30" cm="1">
        <f t="array" ref="L175">Common_InputFunctions.Utility_DisplayArrayInTable(Scope3_SourceData.Scope3_InorganicFertilisers_Data(), Table_SourceData_Scope3_InorganicFertiliser[[#Headers],[Category]], 0, -2)</f>
        <v>2.12</v>
      </c>
      <c r="M175" s="3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30" t="str" cm="1">
        <f t="array" ref="D176">Common_InputFunctions.Utility_DisplayArrayInTable(Scope3_SourceData.Scope3_InorganicFertilisers_Data(), Table_SourceData_Scope3_InorganicFertiliser[[#Headers],[Category]], 0, 2)</f>
        <v>Inorganic fertilisers</v>
      </c>
      <c r="E176" s="30" t="str" cm="1">
        <f t="array" ref="E176">Common_InputFunctions.Utility_DisplayArrayInTable(Scope3_SourceData.Scope3_InorganicFertilisers_Data(), Table_SourceData_Scope3_InorganicFertiliser[[#Headers],[Category]], 0, 2)</f>
        <v>Ammonia, China</v>
      </c>
      <c r="F176" s="30" t="str" cm="1">
        <f t="array" ref="F176">Common_InputFunctions.Utility_DisplayArrayInTable(Scope3_SourceData.Scope3_InorganicFertilisers_Data(), Table_SourceData_Scope3_InorganicFertiliser[[#Headers],[Category]], 0, 2)</f>
        <v>China</v>
      </c>
      <c r="G176" s="30" t="str">
        <f>'Constants - Fertiliser'!$D$37</f>
        <v>Ammonia</v>
      </c>
      <c r="H176" s="30"/>
      <c r="I176" s="30" t="str">
        <f>'Constants - Fertiliser'!$V$22</f>
        <v>China</v>
      </c>
      <c r="J176" s="30"/>
      <c r="K176" s="30" t="str" cm="1">
        <f t="array" ref="K176">Common_InputFunctions.Utility_DisplayArrayInTable(Scope3_SourceData.Scope3_InorganicFertilisers_Data(), Table_SourceData_Scope3_InorganicFertiliser[[#Headers],[Category]], 0, -2)</f>
        <v>kg</v>
      </c>
      <c r="L176" s="30" cm="1">
        <f t="array" ref="L176">Common_InputFunctions.Utility_DisplayArrayInTable(Scope3_SourceData.Scope3_InorganicFertilisers_Data(), Table_SourceData_Scope3_InorganicFertiliser[[#Headers],[Category]], 0, -2)</f>
        <v>4.17</v>
      </c>
      <c r="M176" s="3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30" t="str" cm="1">
        <f t="array" ref="D177">Common_InputFunctions.Utility_DisplayArrayInTable(Scope3_SourceData.Scope3_InorganicFertilisers_Data(), Table_SourceData_Scope3_InorganicFertiliser[[#Headers],[Category]], 0, 2)</f>
        <v>Inorganic fertilisers</v>
      </c>
      <c r="E177" s="30" t="str" cm="1">
        <f t="array" ref="E177">Common_InputFunctions.Utility_DisplayArrayInTable(Scope3_SourceData.Scope3_InorganicFertilisers_Data(), Table_SourceData_Scope3_InorganicFertiliser[[#Headers],[Category]], 0, 2)</f>
        <v>Ammonia, Yemen</v>
      </c>
      <c r="F177" s="30" t="str" cm="1">
        <f t="array" ref="F177">Common_InputFunctions.Utility_DisplayArrayInTable(Scope3_SourceData.Scope3_InorganicFertilisers_Data(), Table_SourceData_Scope3_InorganicFertiliser[[#Headers],[Category]], 0, 2)</f>
        <v>Yemen</v>
      </c>
      <c r="G177" s="30" t="str">
        <f>'Constants - Fertiliser'!$D$37</f>
        <v>Ammonia</v>
      </c>
      <c r="H177" s="30"/>
      <c r="I177" s="30" t="str">
        <f>'Constants - Fertiliser'!$V$23</f>
        <v>Yemen</v>
      </c>
      <c r="J177" s="30"/>
      <c r="K177" s="30" t="str" cm="1">
        <f t="array" ref="K177">Common_InputFunctions.Utility_DisplayArrayInTable(Scope3_SourceData.Scope3_InorganicFertilisers_Data(), Table_SourceData_Scope3_InorganicFertiliser[[#Headers],[Category]], 0, -2)</f>
        <v>kg</v>
      </c>
      <c r="L177" s="30" cm="1">
        <f t="array" ref="L177">Common_InputFunctions.Utility_DisplayArrayInTable(Scope3_SourceData.Scope3_InorganicFertilisers_Data(), Table_SourceData_Scope3_InorganicFertiliser[[#Headers],[Category]], 0, -2)</f>
        <v>2.2599999999999998</v>
      </c>
      <c r="M177" s="3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30" t="str" cm="1">
        <f t="array" ref="D178">Common_InputFunctions.Utility_DisplayArrayInTable(Scope3_SourceData.Scope3_InorganicFertilisers_Data(), Table_SourceData_Scope3_InorganicFertiliser[[#Headers],[Category]], 0, 2)</f>
        <v>Inorganic fertilisers</v>
      </c>
      <c r="E178" s="30" t="str" cm="1">
        <f t="array" ref="E178">Common_InputFunctions.Utility_DisplayArrayInTable(Scope3_SourceData.Scope3_InorganicFertilisers_Data(), Table_SourceData_Scope3_InorganicFertiliser[[#Headers],[Category]], 0, 2)</f>
        <v>Ammonium nitrate, AU market mix</v>
      </c>
      <c r="F178" s="30" t="str" cm="1">
        <f t="array" ref="F178">Common_InputFunctions.Utility_DisplayArrayInTable(Scope3_SourceData.Scope3_InorganicFertilisers_Data(), Table_SourceData_Scope3_InorganicFertiliser[[#Headers],[Category]], 0, 2)</f>
        <v>Global</v>
      </c>
      <c r="G178" s="30" t="str">
        <f>'Constants - Fertiliser'!$D$25</f>
        <v>Ammonium nitrate (AN)</v>
      </c>
      <c r="H178" s="30"/>
      <c r="I178" s="30"/>
      <c r="J178" s="30"/>
      <c r="K178" s="30" t="str" cm="1">
        <f t="array" ref="K178">Common_InputFunctions.Utility_DisplayArrayInTable(Scope3_SourceData.Scope3_InorganicFertilisers_Data(), Table_SourceData_Scope3_InorganicFertiliser[[#Headers],[Category]], 0, -2)</f>
        <v>kg</v>
      </c>
      <c r="L178" s="30" cm="1">
        <f t="array" ref="L178">Common_InputFunctions.Utility_DisplayArrayInTable(Scope3_SourceData.Scope3_InorganicFertilisers_Data(), Table_SourceData_Scope3_InorganicFertiliser[[#Headers],[Category]], 0, -2)</f>
        <v>2.21</v>
      </c>
      <c r="M178" s="3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30" t="str" cm="1">
        <f t="array" ref="D179">Common_InputFunctions.Utility_DisplayArrayInTable(Scope3_SourceData.Scope3_InorganicFertilisers_Data(), Table_SourceData_Scope3_InorganicFertiliser[[#Headers],[Category]], 0, 2)</f>
        <v>Inorganic fertilisers</v>
      </c>
      <c r="E179" s="30" t="str" cm="1">
        <f t="array" ref="E179">Common_InputFunctions.Utility_DisplayArrayInTable(Scope3_SourceData.Scope3_InorganicFertilisers_Data(), Table_SourceData_Scope3_InorganicFertiliser[[#Headers],[Category]], 0, 2)</f>
        <v>Calcium ammonium nitrate, AU market mix</v>
      </c>
      <c r="F179" s="30" t="str" cm="1">
        <f t="array" ref="F179">Common_InputFunctions.Utility_DisplayArrayInTable(Scope3_SourceData.Scope3_InorganicFertilisers_Data(), Table_SourceData_Scope3_InorganicFertiliser[[#Headers],[Category]], 0, 2)</f>
        <v>Global</v>
      </c>
      <c r="G179" s="30" t="str">
        <f>'Constants - Fertiliser'!$D$26</f>
        <v>Calcium ammonium nitrate (CAN)</v>
      </c>
      <c r="H179" s="30"/>
      <c r="I179" s="30"/>
      <c r="J179" s="30"/>
      <c r="K179" s="30" t="str" cm="1">
        <f t="array" ref="K179">Common_InputFunctions.Utility_DisplayArrayInTable(Scope3_SourceData.Scope3_InorganicFertilisers_Data(), Table_SourceData_Scope3_InorganicFertiliser[[#Headers],[Category]], 0, -2)</f>
        <v>kg</v>
      </c>
      <c r="L179" s="30" cm="1">
        <f t="array" ref="L179">Common_InputFunctions.Utility_DisplayArrayInTable(Scope3_SourceData.Scope3_InorganicFertilisers_Data(), Table_SourceData_Scope3_InorganicFertiliser[[#Headers],[Category]], 0, -2)</f>
        <v>1.1499999999999999</v>
      </c>
      <c r="M179" s="3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30" t="str" cm="1">
        <f t="array" ref="D180">Common_InputFunctions.Utility_DisplayArrayInTable(Scope3_SourceData.Scope3_InorganicFertilisers_Data(), Table_SourceData_Scope3_InorganicFertiliser[[#Headers],[Category]], 0, 2)</f>
        <v>Inorganic fertilisers</v>
      </c>
      <c r="E180" s="30" t="str" cm="1">
        <f t="array" ref="E180">Common_InputFunctions.Utility_DisplayArrayInTable(Scope3_SourceData.Scope3_InorganicFertilisers_Data(), Table_SourceData_Scope3_InorganicFertiliser[[#Headers],[Category]], 0, 2)</f>
        <v>Calcium nitrate</v>
      </c>
      <c r="F180" s="30" t="str" cm="1">
        <f t="array" ref="F180">Common_InputFunctions.Utility_DisplayArrayInTable(Scope3_SourceData.Scope3_InorganicFertilisers_Data(), Table_SourceData_Scope3_InorganicFertiliser[[#Headers],[Category]], 0, 2)</f>
        <v>Global</v>
      </c>
      <c r="G180" s="30" t="str">
        <f>'Constants - Fertiliser'!$D$38</f>
        <v>Calcium nitrate</v>
      </c>
      <c r="H180" s="30"/>
      <c r="I180" s="30"/>
      <c r="J180" s="30"/>
      <c r="K180" s="30" t="str" cm="1">
        <f t="array" ref="K180">Common_InputFunctions.Utility_DisplayArrayInTable(Scope3_SourceData.Scope3_InorganicFertilisers_Data(), Table_SourceData_Scope3_InorganicFertiliser[[#Headers],[Category]], 0, -2)</f>
        <v>kg</v>
      </c>
      <c r="L180" s="30" cm="1">
        <f t="array" ref="L180">Common_InputFunctions.Utility_DisplayArrayInTable(Scope3_SourceData.Scope3_InorganicFertilisers_Data(), Table_SourceData_Scope3_InorganicFertiliser[[#Headers],[Category]], 0, -2)</f>
        <v>0.75</v>
      </c>
      <c r="M180" s="3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30" t="str" cm="1">
        <f t="array" ref="D181">Common_InputFunctions.Utility_DisplayArrayInTable(Scope3_SourceData.Scope3_InorganicFertilisers_Data(), Table_SourceData_Scope3_InorganicFertiliser[[#Headers],[Category]], 0, 2)</f>
        <v>Inorganic fertilisers</v>
      </c>
      <c r="E181" s="30" t="str" cm="1">
        <f t="array" ref="E181">Common_InputFunctions.Utility_DisplayArrayInTable(Scope3_SourceData.Scope3_InorganicFertilisers_Data(), Table_SourceData_Scope3_InorganicFertiliser[[#Headers],[Category]], 0, 2)</f>
        <v>Diammonium phosphate, AU market mix</v>
      </c>
      <c r="F181" s="30" t="str" cm="1">
        <f t="array" ref="F181">Common_InputFunctions.Utility_DisplayArrayInTable(Scope3_SourceData.Scope3_InorganicFertilisers_Data(), Table_SourceData_Scope3_InorganicFertiliser[[#Headers],[Category]], 0, 2)</f>
        <v>Global</v>
      </c>
      <c r="G181" s="30" t="str">
        <f>'Constants - Fertiliser'!$D$21</f>
        <v>Diammonium phosphate (DAP)</v>
      </c>
      <c r="H181" s="30"/>
      <c r="I181" s="30"/>
      <c r="J181" s="30"/>
      <c r="K181" s="30" t="str" cm="1">
        <f t="array" ref="K181">Common_InputFunctions.Utility_DisplayArrayInTable(Scope3_SourceData.Scope3_InorganicFertilisers_Data(), Table_SourceData_Scope3_InorganicFertiliser[[#Headers],[Category]], 0, -2)</f>
        <v>kg</v>
      </c>
      <c r="L181" s="30" cm="1">
        <f t="array" ref="L181">Common_InputFunctions.Utility_DisplayArrayInTable(Scope3_SourceData.Scope3_InorganicFertilisers_Data(), Table_SourceData_Scope3_InorganicFertiliser[[#Headers],[Category]], 0, -2)</f>
        <v>1.34</v>
      </c>
      <c r="M181" s="3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30" t="str" cm="1">
        <f t="array" ref="D182">Common_InputFunctions.Utility_DisplayArrayInTable(Scope3_SourceData.Scope3_InorganicFertilisers_Data(), Table_SourceData_Scope3_InorganicFertiliser[[#Headers],[Category]], 0, 2)</f>
        <v>Inorganic fertilisers</v>
      </c>
      <c r="E182" s="30" t="str" cm="1">
        <f t="array" ref="E182">Common_InputFunctions.Utility_DisplayArrayInTable(Scope3_SourceData.Scope3_InorganicFertilisers_Data(), Table_SourceData_Scope3_InorganicFertiliser[[#Headers],[Category]], 0, 2)</f>
        <v>Double superphosphate, AU market mix</v>
      </c>
      <c r="F182" s="30" t="str" cm="1">
        <f t="array" ref="F182">Common_InputFunctions.Utility_DisplayArrayInTable(Scope3_SourceData.Scope3_InorganicFertilisers_Data(), Table_SourceData_Scope3_InorganicFertiliser[[#Headers],[Category]], 0, 2)</f>
        <v>Global</v>
      </c>
      <c r="G182" s="30" t="str">
        <f>'Constants - Fertiliser'!$D$35</f>
        <v>Double superphosphate</v>
      </c>
      <c r="H182" s="30"/>
      <c r="I182" s="30"/>
      <c r="J182" s="30"/>
      <c r="K182" s="30" t="str" cm="1">
        <f t="array" ref="K182">Common_InputFunctions.Utility_DisplayArrayInTable(Scope3_SourceData.Scope3_InorganicFertilisers_Data(), Table_SourceData_Scope3_InorganicFertiliser[[#Headers],[Category]], 0, -2)</f>
        <v>kg</v>
      </c>
      <c r="L182" s="30" cm="1">
        <f t="array" ref="L182">Common_InputFunctions.Utility_DisplayArrayInTable(Scope3_SourceData.Scope3_InorganicFertilisers_Data(), Table_SourceData_Scope3_InorganicFertiliser[[#Headers],[Category]], 0, -2)</f>
        <v>0.39200000000000002</v>
      </c>
      <c r="M182" s="3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30" t="str" cm="1">
        <f t="array" ref="D183">Common_InputFunctions.Utility_DisplayArrayInTable(Scope3_SourceData.Scope3_InorganicFertilisers_Data(), Table_SourceData_Scope3_InorganicFertiliser[[#Headers],[Category]], 0, 2)</f>
        <v>Inorganic fertilisers</v>
      </c>
      <c r="E183" s="30" t="str" cm="1">
        <f t="array" ref="E183">Common_InputFunctions.Utility_DisplayArrayInTable(Scope3_SourceData.Scope3_InorganicFertilisers_Data(), Table_SourceData_Scope3_InorganicFertiliser[[#Headers],[Category]], 0, 2)</f>
        <v>Monoammonium phosphate, AU market mix</v>
      </c>
      <c r="F183" s="30" t="str" cm="1">
        <f t="array" ref="F183">Common_InputFunctions.Utility_DisplayArrayInTable(Scope3_SourceData.Scope3_InorganicFertilisers_Data(), Table_SourceData_Scope3_InorganicFertiliser[[#Headers],[Category]], 0, 2)</f>
        <v>Global</v>
      </c>
      <c r="G183" s="30" t="str">
        <f>'Constants - Fertiliser'!$D$20</f>
        <v>Monoammonium phosphate (MAP)</v>
      </c>
      <c r="H183" s="30"/>
      <c r="I183" s="30"/>
      <c r="J183" s="30"/>
      <c r="K183" s="30" t="str" cm="1">
        <f t="array" ref="K183">Common_InputFunctions.Utility_DisplayArrayInTable(Scope3_SourceData.Scope3_InorganicFertilisers_Data(), Table_SourceData_Scope3_InorganicFertiliser[[#Headers],[Category]], 0, -2)</f>
        <v>kg</v>
      </c>
      <c r="L183" s="30" cm="1">
        <f t="array" ref="L183">Common_InputFunctions.Utility_DisplayArrayInTable(Scope3_SourceData.Scope3_InorganicFertilisers_Data(), Table_SourceData_Scope3_InorganicFertiliser[[#Headers],[Category]], 0, -2)</f>
        <v>0.82699999999999996</v>
      </c>
      <c r="M183" s="3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30" t="str" cm="1">
        <f t="array" ref="D184">Common_InputFunctions.Utility_DisplayArrayInTable(Scope3_SourceData.Scope3_InorganicFertilisers_Data(), Table_SourceData_Scope3_InorganicFertiliser[[#Headers],[Category]], 0, 2)</f>
        <v>Inorganic fertilisers</v>
      </c>
      <c r="E184" s="30" t="str" cm="1">
        <f t="array" ref="E184">Common_InputFunctions.Utility_DisplayArrayInTable(Scope3_SourceData.Scope3_InorganicFertilisers_Data(), Table_SourceData_Scope3_InorganicFertiliser[[#Headers],[Category]], 0, 2)</f>
        <v>Muriate of potash, AU market mix</v>
      </c>
      <c r="F184" s="30" t="str" cm="1">
        <f t="array" ref="F184">Common_InputFunctions.Utility_DisplayArrayInTable(Scope3_SourceData.Scope3_InorganicFertilisers_Data(), Table_SourceData_Scope3_InorganicFertiliser[[#Headers],[Category]], 0, 2)</f>
        <v>Global</v>
      </c>
      <c r="G184" s="30" t="str">
        <f>'Constants - Fertiliser'!$D$34</f>
        <v>Muriate of potash (MOP)</v>
      </c>
      <c r="H184" s="30"/>
      <c r="I184" s="30"/>
      <c r="J184" s="30"/>
      <c r="K184" s="30" t="str" cm="1">
        <f t="array" ref="K184">Common_InputFunctions.Utility_DisplayArrayInTable(Scope3_SourceData.Scope3_InorganicFertilisers_Data(), Table_SourceData_Scope3_InorganicFertiliser[[#Headers],[Category]], 0, -2)</f>
        <v>kg</v>
      </c>
      <c r="L184" s="30" cm="1">
        <f t="array" ref="L184">Common_InputFunctions.Utility_DisplayArrayInTable(Scope3_SourceData.Scope3_InorganicFertilisers_Data(), Table_SourceData_Scope3_InorganicFertiliser[[#Headers],[Category]], 0, -2)</f>
        <v>0.54900000000000004</v>
      </c>
      <c r="M184" s="3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30" t="str" cm="1">
        <f t="array" ref="D185">Common_InputFunctions.Utility_DisplayArrayInTable(Scope3_SourceData.Scope3_InorganicFertilisers_Data(), Table_SourceData_Scope3_InorganicFertiliser[[#Headers],[Category]], 0, 2)</f>
        <v>Inorganic fertilisers</v>
      </c>
      <c r="E185" s="30" t="str" cm="1">
        <f t="array" ref="E185">Common_InputFunctions.Utility_DisplayArrayInTable(Scope3_SourceData.Scope3_InorganicFertilisers_Data(), Table_SourceData_Scope3_InorganicFertiliser[[#Headers],[Category]], 0, 2)</f>
        <v>Nitrogen from ammonia, AU market mix</v>
      </c>
      <c r="F185" s="30" t="str" cm="1">
        <f t="array" ref="F185">Common_InputFunctions.Utility_DisplayArrayInTable(Scope3_SourceData.Scope3_InorganicFertilisers_Data(), Table_SourceData_Scope3_InorganicFertiliser[[#Headers],[Category]], 0, 2)</f>
        <v>Global</v>
      </c>
      <c r="G185" s="30" t="str">
        <f>'Constants - Fertiliser'!$D$27</f>
        <v>Nitrogen - Ammoniacal</v>
      </c>
      <c r="H185" s="30"/>
      <c r="I185" s="30"/>
      <c r="J185" s="30"/>
      <c r="K185" s="30" t="str" cm="1">
        <f t="array" ref="K185">Common_InputFunctions.Utility_DisplayArrayInTable(Scope3_SourceData.Scope3_InorganicFertilisers_Data(), Table_SourceData_Scope3_InorganicFertiliser[[#Headers],[Category]], 0, -2)</f>
        <v>kg N</v>
      </c>
      <c r="L185" s="30" cm="1">
        <f t="array" ref="L185">Common_InputFunctions.Utility_DisplayArrayInTable(Scope3_SourceData.Scope3_InorganicFertilisers_Data(), Table_SourceData_Scope3_InorganicFertiliser[[#Headers],[Category]], 0, -2)</f>
        <v>2.83</v>
      </c>
      <c r="M185" s="30" t="str" cm="1">
        <f t="array" ref="M185">Common_InputFunctions.Utility_DisplayArrayInTable(Scope3_SourceData.Scope3_InorganicFertilisers_Data(), Table_SourceData_Scope3_InorganicFertiliser[[#Headers],[Category]], 0, -2)</f>
        <v>at market</v>
      </c>
      <c r="N185" s="30"/>
      <c r="O185" s="30"/>
      <c r="P185" s="30"/>
    </row>
    <row r="186" spans="4:16" ht="20.100000000000001" customHeight="1" x14ac:dyDescent="0.25">
      <c r="D186" s="30" t="str" cm="1">
        <f t="array" ref="D186">Common_InputFunctions.Utility_DisplayArrayInTable(Scope3_SourceData.Scope3_InorganicFertilisers_Data(), Table_SourceData_Scope3_InorganicFertiliser[[#Headers],[Category]], 0, 2)</f>
        <v>Inorganic fertilisers</v>
      </c>
      <c r="E186" s="30" t="str" cm="1">
        <f t="array" ref="E186">Common_InputFunctions.Utility_DisplayArrayInTable(Scope3_SourceData.Scope3_InorganicFertilisers_Data(), Table_SourceData_Scope3_InorganicFertiliser[[#Headers],[Category]], 0, 2)</f>
        <v>Nitrogen from fertilizer, AU market mix</v>
      </c>
      <c r="F186" s="30" t="str" cm="1">
        <f t="array" ref="F186">Common_InputFunctions.Utility_DisplayArrayInTable(Scope3_SourceData.Scope3_InorganicFertilisers_Data(), Table_SourceData_Scope3_InorganicFertiliser[[#Headers],[Category]], 0, 2)</f>
        <v>Global</v>
      </c>
      <c r="G186" s="30" t="str">
        <f>'Constants - Fertiliser'!$D$29</f>
        <v>Nitrogen - Generic</v>
      </c>
      <c r="H186" s="30"/>
      <c r="I186" s="30"/>
      <c r="J186" s="30"/>
      <c r="K186" s="30" t="str" cm="1">
        <f t="array" ref="K186">Common_InputFunctions.Utility_DisplayArrayInTable(Scope3_SourceData.Scope3_InorganicFertilisers_Data(), Table_SourceData_Scope3_InorganicFertiliser[[#Headers],[Category]], 0, -2)</f>
        <v>kg N</v>
      </c>
      <c r="L186" s="30" cm="1">
        <f t="array" ref="L186">Common_InputFunctions.Utility_DisplayArrayInTable(Scope3_SourceData.Scope3_InorganicFertilisers_Data(), Table_SourceData_Scope3_InorganicFertiliser[[#Headers],[Category]], 0, -2)</f>
        <v>4.2</v>
      </c>
      <c r="M186" s="30" t="str" cm="1">
        <f t="array" ref="M186">Common_InputFunctions.Utility_DisplayArrayInTable(Scope3_SourceData.Scope3_InorganicFertilisers_Data(), Table_SourceData_Scope3_InorganicFertiliser[[#Headers],[Category]], 0, -2)</f>
        <v>at market</v>
      </c>
      <c r="N186" s="30"/>
      <c r="O186" s="30"/>
      <c r="P186" s="30"/>
    </row>
    <row r="187" spans="4:16" ht="20.100000000000001" customHeight="1" x14ac:dyDescent="0.25">
      <c r="D187" s="30" t="str" cm="1">
        <f t="array" ref="D187">Common_InputFunctions.Utility_DisplayArrayInTable(Scope3_SourceData.Scope3_InorganicFertilisers_Data(), Table_SourceData_Scope3_InorganicFertiliser[[#Headers],[Category]], 0, 2)</f>
        <v>Inorganic fertilisers</v>
      </c>
      <c r="E187" s="30" t="str" cm="1">
        <f t="array" ref="E187">Common_InputFunctions.Utility_DisplayArrayInTable(Scope3_SourceData.Scope3_InorganicFertilisers_Data(), Table_SourceData_Scope3_InorganicFertiliser[[#Headers],[Category]], 0, 2)</f>
        <v>Nitrogen from nitrate fertilizer, AU market mix</v>
      </c>
      <c r="F187" s="30" t="str" cm="1">
        <f t="array" ref="F187">Common_InputFunctions.Utility_DisplayArrayInTable(Scope3_SourceData.Scope3_InorganicFertilisers_Data(), Table_SourceData_Scope3_InorganicFertiliser[[#Headers],[Category]], 0, 2)</f>
        <v>Global</v>
      </c>
      <c r="G187" s="30" t="str">
        <f>'Constants - Fertiliser'!$D$28</f>
        <v>Nitrogen - Nitrate</v>
      </c>
      <c r="H187" s="30"/>
      <c r="I187" s="30"/>
      <c r="J187" s="30"/>
      <c r="K187" s="30" t="str" cm="1">
        <f t="array" ref="K187">Common_InputFunctions.Utility_DisplayArrayInTable(Scope3_SourceData.Scope3_InorganicFertilisers_Data(), Table_SourceData_Scope3_InorganicFertiliser[[#Headers],[Category]], 0, -2)</f>
        <v>kg N</v>
      </c>
      <c r="L187" s="30" cm="1">
        <f t="array" ref="L187">Common_InputFunctions.Utility_DisplayArrayInTable(Scope3_SourceData.Scope3_InorganicFertilisers_Data(), Table_SourceData_Scope3_InorganicFertiliser[[#Headers],[Category]], 0, -2)</f>
        <v>5.47</v>
      </c>
      <c r="M187" s="30" t="str" cm="1">
        <f t="array" ref="M187">Common_InputFunctions.Utility_DisplayArrayInTable(Scope3_SourceData.Scope3_InorganicFertilisers_Data(), Table_SourceData_Scope3_InorganicFertiliser[[#Headers],[Category]], 0, -2)</f>
        <v>at market</v>
      </c>
      <c r="N187" s="30"/>
      <c r="O187" s="30"/>
      <c r="P187" s="30"/>
    </row>
    <row r="188" spans="4:16" ht="20.100000000000001" customHeight="1" x14ac:dyDescent="0.25">
      <c r="D188" s="30" t="str" cm="1">
        <f t="array" ref="D188">Common_InputFunctions.Utility_DisplayArrayInTable(Scope3_SourceData.Scope3_InorganicFertilisers_Data(), Table_SourceData_Scope3_InorganicFertiliser[[#Headers],[Category]], 0, 2)</f>
        <v>Inorganic fertilisers</v>
      </c>
      <c r="E188" s="30" t="str" cm="1">
        <f t="array" ref="E188">Common_InputFunctions.Utility_DisplayArrayInTable(Scope3_SourceData.Scope3_InorganicFertilisers_Data(), Table_SourceData_Scope3_InorganicFertiliser[[#Headers],[Category]], 0, 2)</f>
        <v>Phosphorus from fertilizer, AU market mix</v>
      </c>
      <c r="F188" s="30" t="str" cm="1">
        <f t="array" ref="F188">Common_InputFunctions.Utility_DisplayArrayInTable(Scope3_SourceData.Scope3_InorganicFertilisers_Data(), Table_SourceData_Scope3_InorganicFertiliser[[#Headers],[Category]], 0, 2)</f>
        <v>Global</v>
      </c>
      <c r="G188" s="30" t="str">
        <f>'Constants - Fertiliser'!$D$30</f>
        <v>Phosphorus - Generic</v>
      </c>
      <c r="H188" s="30"/>
      <c r="I188" s="30"/>
      <c r="J188" s="30"/>
      <c r="K188" s="30" t="str" cm="1">
        <f t="array" ref="K188">Common_InputFunctions.Utility_DisplayArrayInTable(Scope3_SourceData.Scope3_InorganicFertilisers_Data(), Table_SourceData_Scope3_InorganicFertiliser[[#Headers],[Category]], 0, -2)</f>
        <v>kg P</v>
      </c>
      <c r="L188" s="30" cm="1">
        <f t="array" ref="L188">Common_InputFunctions.Utility_DisplayArrayInTable(Scope3_SourceData.Scope3_InorganicFertilisers_Data(), Table_SourceData_Scope3_InorganicFertiliser[[#Headers],[Category]], 0, -2)</f>
        <v>3.96</v>
      </c>
      <c r="M188" s="30" t="str" cm="1">
        <f t="array" ref="M188">Common_InputFunctions.Utility_DisplayArrayInTable(Scope3_SourceData.Scope3_InorganicFertilisers_Data(), Table_SourceData_Scope3_InorganicFertiliser[[#Headers],[Category]], 0, -2)</f>
        <v>at market</v>
      </c>
      <c r="N188" s="30"/>
      <c r="O188" s="30"/>
      <c r="P188" s="30"/>
    </row>
    <row r="189" spans="4:16" ht="20.100000000000001" customHeight="1" x14ac:dyDescent="0.25">
      <c r="D189" s="30" t="str" cm="1">
        <f t="array" ref="D189">Common_InputFunctions.Utility_DisplayArrayInTable(Scope3_SourceData.Scope3_InorganicFertilisers_Data(), Table_SourceData_Scope3_InorganicFertiliser[[#Headers],[Category]], 0, 2)</f>
        <v>Inorganic fertilisers</v>
      </c>
      <c r="E189" s="30" t="str" cm="1">
        <f t="array" ref="E189">Common_InputFunctions.Utility_DisplayArrayInTable(Scope3_SourceData.Scope3_InorganicFertilisers_Data(), Table_SourceData_Scope3_InorganicFertiliser[[#Headers],[Category]], 0, 2)</f>
        <v>Potassium from fertilizer, AU market mix</v>
      </c>
      <c r="F189" s="30" t="str" cm="1">
        <f t="array" ref="F189">Common_InputFunctions.Utility_DisplayArrayInTable(Scope3_SourceData.Scope3_InorganicFertilisers_Data(), Table_SourceData_Scope3_InorganicFertiliser[[#Headers],[Category]], 0, 2)</f>
        <v>Global</v>
      </c>
      <c r="G189" s="30" t="str">
        <f>'Constants - Fertiliser'!$D$31</f>
        <v>Potassium - Generic</v>
      </c>
      <c r="H189" s="30"/>
      <c r="I189" s="30"/>
      <c r="J189" s="30"/>
      <c r="K189" s="30" t="str" cm="1">
        <f t="array" ref="K189">Common_InputFunctions.Utility_DisplayArrayInTable(Scope3_SourceData.Scope3_InorganicFertilisers_Data(), Table_SourceData_Scope3_InorganicFertiliser[[#Headers],[Category]], 0, -2)</f>
        <v>kg K</v>
      </c>
      <c r="L189" s="30" cm="1">
        <f t="array" ref="L189">Common_InputFunctions.Utility_DisplayArrayInTable(Scope3_SourceData.Scope3_InorganicFertilisers_Data(), Table_SourceData_Scope3_InorganicFertiliser[[#Headers],[Category]], 0, -2)</f>
        <v>0.90900000000000003</v>
      </c>
      <c r="M189" s="30" t="str" cm="1">
        <f t="array" ref="M189">Common_InputFunctions.Utility_DisplayArrayInTable(Scope3_SourceData.Scope3_InorganicFertilisers_Data(), Table_SourceData_Scope3_InorganicFertiliser[[#Headers],[Category]], 0, -2)</f>
        <v>at market</v>
      </c>
      <c r="N189" s="30"/>
      <c r="O189" s="30"/>
      <c r="P189" s="30"/>
    </row>
    <row r="190" spans="4:16" ht="20.100000000000001" customHeight="1" x14ac:dyDescent="0.25">
      <c r="D190" s="30" t="str" cm="1">
        <f t="array" ref="D190">Common_InputFunctions.Utility_DisplayArrayInTable(Scope3_SourceData.Scope3_InorganicFertilisers_Data(), Table_SourceData_Scope3_InorganicFertiliser[[#Headers],[Category]], 0, 2)</f>
        <v>Inorganic fertilisers</v>
      </c>
      <c r="E190" s="30" t="str" cm="1">
        <f t="array" ref="E190">Common_InputFunctions.Utility_DisplayArrayInTable(Scope3_SourceData.Scope3_InorganicFertilisers_Data(), Table_SourceData_Scope3_InorganicFertiliser[[#Headers],[Category]], 0, 2)</f>
        <v>Single superphosphate, AU market mix</v>
      </c>
      <c r="F190" s="30" t="str" cm="1">
        <f t="array" ref="F190">Common_InputFunctions.Utility_DisplayArrayInTable(Scope3_SourceData.Scope3_InorganicFertilisers_Data(), Table_SourceData_Scope3_InorganicFertiliser[[#Headers],[Category]], 0, 2)</f>
        <v>Global</v>
      </c>
      <c r="G190" s="30" t="str">
        <f>'Constants - Fertiliser'!$D$36</f>
        <v>Single superphosphate (SSP)</v>
      </c>
      <c r="H190" s="30"/>
      <c r="I190" s="30"/>
      <c r="J190" s="30"/>
      <c r="K190" s="30" t="str" cm="1">
        <f t="array" ref="K190">Common_InputFunctions.Utility_DisplayArrayInTable(Scope3_SourceData.Scope3_InorganicFertilisers_Data(), Table_SourceData_Scope3_InorganicFertiliser[[#Headers],[Category]], 0, -2)</f>
        <v>kg</v>
      </c>
      <c r="L190" s="30" cm="1">
        <f t="array" ref="L190">Common_InputFunctions.Utility_DisplayArrayInTable(Scope3_SourceData.Scope3_InorganicFertilisers_Data(), Table_SourceData_Scope3_InorganicFertiliser[[#Headers],[Category]], 0, -2)</f>
        <v>0.22700000000000001</v>
      </c>
      <c r="M190" s="30" t="str" cm="1">
        <f t="array" ref="M190">Common_InputFunctions.Utility_DisplayArrayInTable(Scope3_SourceData.Scope3_InorganicFertilisers_Data(), Table_SourceData_Scope3_InorganicFertiliser[[#Headers],[Category]], 0, -2)</f>
        <v>at market</v>
      </c>
      <c r="N190" s="30"/>
      <c r="O190" s="30"/>
      <c r="P190" s="30"/>
    </row>
    <row r="191" spans="4:16" ht="20.100000000000001" customHeight="1" x14ac:dyDescent="0.25">
      <c r="D191" s="30" t="str" cm="1">
        <f t="array" ref="D191">Common_InputFunctions.Utility_DisplayArrayInTable(Scope3_SourceData.Scope3_InorganicFertilisers_Data(), Table_SourceData_Scope3_InorganicFertiliser[[#Headers],[Category]], 0, 2)</f>
        <v>Inorganic fertilisers</v>
      </c>
      <c r="E191" s="30" t="str" cm="1">
        <f t="array" ref="E191">Common_InputFunctions.Utility_DisplayArrayInTable(Scope3_SourceData.Scope3_InorganicFertilisers_Data(), Table_SourceData_Scope3_InorganicFertiliser[[#Headers],[Category]], 0, 2)</f>
        <v>Sulfur from fertilizer, AU market mix</v>
      </c>
      <c r="F191" s="30" t="str" cm="1">
        <f t="array" ref="F191">Common_InputFunctions.Utility_DisplayArrayInTable(Scope3_SourceData.Scope3_InorganicFertilisers_Data(), Table_SourceData_Scope3_InorganicFertiliser[[#Headers],[Category]], 0, 2)</f>
        <v>Global</v>
      </c>
      <c r="G191" s="30" t="str">
        <f>'Constants - Fertiliser'!$D$32</f>
        <v>Sulfur - Generic</v>
      </c>
      <c r="H191" s="30"/>
      <c r="I191" s="30"/>
      <c r="J191" s="30"/>
      <c r="K191" s="30" t="str" cm="1">
        <f t="array" ref="K191">Common_InputFunctions.Utility_DisplayArrayInTable(Scope3_SourceData.Scope3_InorganicFertilisers_Data(), Table_SourceData_Scope3_InorganicFertiliser[[#Headers],[Category]], 0, -2)</f>
        <v>kg S</v>
      </c>
      <c r="L191" s="30" cm="1">
        <f t="array" ref="L191">Common_InputFunctions.Utility_DisplayArrayInTable(Scope3_SourceData.Scope3_InorganicFertilisers_Data(), Table_SourceData_Scope3_InorganicFertiliser[[#Headers],[Category]], 0, -2)</f>
        <v>2.5</v>
      </c>
      <c r="M191" s="30" t="str" cm="1">
        <f t="array" ref="M191">Common_InputFunctions.Utility_DisplayArrayInTable(Scope3_SourceData.Scope3_InorganicFertilisers_Data(), Table_SourceData_Scope3_InorganicFertiliser[[#Headers],[Category]], 0, -2)</f>
        <v>at market</v>
      </c>
      <c r="N191" s="30"/>
      <c r="O191" s="30"/>
      <c r="P191" s="30"/>
    </row>
    <row r="192" spans="4:16" ht="20.100000000000001" customHeight="1" x14ac:dyDescent="0.25">
      <c r="D192" s="30" t="str" cm="1">
        <f t="array" ref="D192">Common_InputFunctions.Utility_DisplayArrayInTable(Scope3_SourceData.Scope3_InorganicFertilisers_Data(), Table_SourceData_Scope3_InorganicFertiliser[[#Headers],[Category]], 0, 2)</f>
        <v>Inorganic fertilisers</v>
      </c>
      <c r="E192" s="30" t="str" cm="1">
        <f t="array" ref="E192">Common_InputFunctions.Utility_DisplayArrayInTable(Scope3_SourceData.Scope3_InorganicFertilisers_Data(), Table_SourceData_Scope3_InorganicFertiliser[[#Headers],[Category]], 0, 2)</f>
        <v>Ammonium sulphate, AU market mix</v>
      </c>
      <c r="F192" s="30" t="str" cm="1">
        <f t="array" ref="F192">Common_InputFunctions.Utility_DisplayArrayInTable(Scope3_SourceData.Scope3_InorganicFertilisers_Data(), Table_SourceData_Scope3_InorganicFertiliser[[#Headers],[Category]], 0, 2)</f>
        <v>Global</v>
      </c>
      <c r="G192" s="30" t="str">
        <f>'Constants - Fertiliser'!$D$23</f>
        <v>Sulphate of ammonia (SOA)</v>
      </c>
      <c r="H192" s="30"/>
      <c r="I192" s="30"/>
      <c r="J192" s="30"/>
      <c r="K192" s="30" t="str" cm="1">
        <f t="array" ref="K192">Common_InputFunctions.Utility_DisplayArrayInTable(Scope3_SourceData.Scope3_InorganicFertilisers_Data(), Table_SourceData_Scope3_InorganicFertiliser[[#Headers],[Category]], 0, -2)</f>
        <v>kg</v>
      </c>
      <c r="L192" s="30" cm="1">
        <f t="array" ref="L192">Common_InputFunctions.Utility_DisplayArrayInTable(Scope3_SourceData.Scope3_InorganicFertilisers_Data(), Table_SourceData_Scope3_InorganicFertiliser[[#Headers],[Category]], 0, -2)</f>
        <v>0.86499999999999999</v>
      </c>
      <c r="M192" s="30" t="str" cm="1">
        <f t="array" ref="M192">Common_InputFunctions.Utility_DisplayArrayInTable(Scope3_SourceData.Scope3_InorganicFertilisers_Data(), Table_SourceData_Scope3_InorganicFertiliser[[#Headers],[Category]], 0, -2)</f>
        <v>at market</v>
      </c>
      <c r="N192" s="30"/>
      <c r="O192" s="30"/>
      <c r="P192" s="30"/>
    </row>
    <row r="193" spans="4:16" ht="20.100000000000001" customHeight="1" x14ac:dyDescent="0.25">
      <c r="D193" s="30" t="str" cm="1">
        <f t="array" ref="D193">Common_InputFunctions.Utility_DisplayArrayInTable(Scope3_SourceData.Scope3_InorganicFertilisers_Data(), Table_SourceData_Scope3_InorganicFertiliser[[#Headers],[Category]], 0, 2)</f>
        <v>Inorganic fertilisers</v>
      </c>
      <c r="E193" s="30" t="str" cm="1">
        <f t="array" ref="E193">Common_InputFunctions.Utility_DisplayArrayInTable(Scope3_SourceData.Scope3_InorganicFertilisers_Data(), Table_SourceData_Scope3_InorganicFertiliser[[#Headers],[Category]], 0, 2)</f>
        <v>Urea ammonium nitrate, AU market mix</v>
      </c>
      <c r="F193" s="30" t="str" cm="1">
        <f t="array" ref="F193">Common_InputFunctions.Utility_DisplayArrayInTable(Scope3_SourceData.Scope3_InorganicFertilisers_Data(), Table_SourceData_Scope3_InorganicFertiliser[[#Headers],[Category]], 0, 2)</f>
        <v>Global</v>
      </c>
      <c r="G193" s="30" t="str">
        <f>'Constants - Fertiliser'!$D$24</f>
        <v>Urea-ammonium nitrate (UAN)</v>
      </c>
      <c r="H193" s="30"/>
      <c r="I193" s="30"/>
      <c r="J193" s="30"/>
      <c r="K193" s="30" t="str" cm="1">
        <f t="array" ref="K193">Common_InputFunctions.Utility_DisplayArrayInTable(Scope3_SourceData.Scope3_InorganicFertilisers_Data(), Table_SourceData_Scope3_InorganicFertiliser[[#Headers],[Category]], 0, -2)</f>
        <v>kg</v>
      </c>
      <c r="L193" s="30" cm="1">
        <f t="array" ref="L193">Common_InputFunctions.Utility_DisplayArrayInTable(Scope3_SourceData.Scope3_InorganicFertilisers_Data(), Table_SourceData_Scope3_InorganicFertiliser[[#Headers],[Category]], 0, -2)</f>
        <v>1.75</v>
      </c>
      <c r="M193" s="30" t="str" cm="1">
        <f t="array" ref="M193">Common_InputFunctions.Utility_DisplayArrayInTable(Scope3_SourceData.Scope3_InorganicFertilisers_Data(), Table_SourceData_Scope3_InorganicFertiliser[[#Headers],[Category]], 0, -2)</f>
        <v>at market</v>
      </c>
      <c r="N193" s="30"/>
      <c r="O193" s="30"/>
      <c r="P193" s="30"/>
    </row>
    <row r="194" spans="4:16" ht="20.100000000000001" customHeight="1" x14ac:dyDescent="0.25">
      <c r="D194" s="30" t="str" cm="1">
        <f t="array" ref="D194">Common_InputFunctions.Utility_DisplayArrayInTable(Scope3_SourceData.Scope3_InorganicFertilisers_Data(), Table_SourceData_Scope3_InorganicFertiliser[[#Headers],[Category]], 0, 2)</f>
        <v>Inorganic fertilisers</v>
      </c>
      <c r="E194" s="30" t="str" cm="1">
        <f t="array" ref="E194">Common_InputFunctions.Utility_DisplayArrayInTable(Scope3_SourceData.Scope3_InorganicFertilisers_Data(), Table_SourceData_Scope3_InorganicFertiliser[[#Headers],[Category]], 0, 2)</f>
        <v>Urea, AU market mix</v>
      </c>
      <c r="F194" s="30" t="str" cm="1">
        <f t="array" ref="F194">Common_InputFunctions.Utility_DisplayArrayInTable(Scope3_SourceData.Scope3_InorganicFertilisers_Data(), Table_SourceData_Scope3_InorganicFertiliser[[#Headers],[Category]], 0, 2)</f>
        <v>Global</v>
      </c>
      <c r="G194" s="30" t="str">
        <f>'Constants - Fertiliser'!$D$22</f>
        <v>Urea</v>
      </c>
      <c r="H194" s="30" t="str">
        <f>'Constants - Fertiliser'!$V$20</f>
        <v>Global</v>
      </c>
      <c r="I194" s="30"/>
      <c r="J194" s="30"/>
      <c r="K194" s="30" t="str" cm="1">
        <f t="array" ref="K194">Common_InputFunctions.Utility_DisplayArrayInTable(Scope3_SourceData.Scope3_InorganicFertilisers_Data(), Table_SourceData_Scope3_InorganicFertiliser[[#Headers],[Category]], 0, -2)</f>
        <v>kg</v>
      </c>
      <c r="L194" s="30" cm="1">
        <f t="array" ref="L194">Common_InputFunctions.Utility_DisplayArrayInTable(Scope3_SourceData.Scope3_InorganicFertilisers_Data(), Table_SourceData_Scope3_InorganicFertiliser[[#Headers],[Category]], 0, -2)</f>
        <v>0.96799999999999997</v>
      </c>
      <c r="M194" s="30" t="str" cm="1">
        <f t="array" ref="M194">Common_InputFunctions.Utility_DisplayArrayInTable(Scope3_SourceData.Scope3_InorganicFertilisers_Data(), Table_SourceData_Scope3_InorganicFertiliser[[#Headers],[Category]], 0, -2)</f>
        <v>at market</v>
      </c>
      <c r="N194" s="30"/>
      <c r="O194" s="30"/>
      <c r="P194" s="30"/>
    </row>
    <row r="195" spans="4:16" ht="20.100000000000001" customHeight="1" x14ac:dyDescent="0.25">
      <c r="D195" s="30" t="str" cm="1">
        <f t="array" ref="D195">Common_InputFunctions.Utility_DisplayArrayInTable(Scope3_SourceData.Scope3_InorganicFertilisers_Data(), Table_SourceData_Scope3_InorganicFertiliser[[#Headers],[Category]], 0, 2)</f>
        <v>Inorganic fertilisers</v>
      </c>
      <c r="E195" s="30" t="str" cm="1">
        <f t="array" ref="E195">Common_InputFunctions.Utility_DisplayArrayInTable(Scope3_SourceData.Scope3_InorganicFertilisers_Data(), Table_SourceData_Scope3_InorganicFertiliser[[#Headers],[Category]], 0, 2)</f>
        <v>Urea, Canada</v>
      </c>
      <c r="F195" s="30" t="str" cm="1">
        <f t="array" ref="F195">Common_InputFunctions.Utility_DisplayArrayInTable(Scope3_SourceData.Scope3_InorganicFertilisers_Data(), Table_SourceData_Scope3_InorganicFertiliser[[#Headers],[Category]], 0, 2)</f>
        <v>Canada</v>
      </c>
      <c r="G195" s="30" t="str">
        <f>'Constants - Fertiliser'!$D$22</f>
        <v>Urea</v>
      </c>
      <c r="H195" s="30" t="str">
        <f>'Constants - Fertiliser'!$V$21</f>
        <v>Canada</v>
      </c>
      <c r="I195" s="30"/>
      <c r="J195" s="30"/>
      <c r="K195" s="30" t="str" cm="1">
        <f t="array" ref="K195">Common_InputFunctions.Utility_DisplayArrayInTable(Scope3_SourceData.Scope3_InorganicFertilisers_Data(), Table_SourceData_Scope3_InorganicFertiliser[[#Headers],[Category]], 0, -2)</f>
        <v>kg</v>
      </c>
      <c r="L195" s="30" cm="1">
        <f t="array" ref="L195">Common_InputFunctions.Utility_DisplayArrayInTable(Scope3_SourceData.Scope3_InorganicFertilisers_Data(), Table_SourceData_Scope3_InorganicFertiliser[[#Headers],[Category]], 0, -2)</f>
        <v>0.82299999999999995</v>
      </c>
      <c r="M195" s="30" t="str" cm="1">
        <f t="array" ref="M195">Common_InputFunctions.Utility_DisplayArrayInTable(Scope3_SourceData.Scope3_InorganicFertilisers_Data(), Table_SourceData_Scope3_InorganicFertiliser[[#Headers],[Category]], 0, -2)</f>
        <v>at market</v>
      </c>
      <c r="N195" s="30"/>
      <c r="O195" s="30"/>
      <c r="P195" s="30"/>
    </row>
    <row r="196" spans="4:16" ht="20.100000000000001" customHeight="1" x14ac:dyDescent="0.25">
      <c r="D196" s="30" t="str" cm="1">
        <f t="array" ref="D196">Common_InputFunctions.Utility_DisplayArrayInTable(Scope3_SourceData.Scope3_InorganicFertilisers_Data(), Table_SourceData_Scope3_InorganicFertiliser[[#Headers],[Category]], 0, 2)</f>
        <v>Inorganic fertilisers</v>
      </c>
      <c r="E196" s="30" t="str" cm="1">
        <f t="array" ref="E196">Common_InputFunctions.Utility_DisplayArrayInTable(Scope3_SourceData.Scope3_InorganicFertilisers_Data(), Table_SourceData_Scope3_InorganicFertiliser[[#Headers],[Category]], 0, 2)</f>
        <v>Urea, China</v>
      </c>
      <c r="F196" s="30" t="str" cm="1">
        <f t="array" ref="F196">Common_InputFunctions.Utility_DisplayArrayInTable(Scope3_SourceData.Scope3_InorganicFertilisers_Data(), Table_SourceData_Scope3_InorganicFertiliser[[#Headers],[Category]], 0, 2)</f>
        <v>China</v>
      </c>
      <c r="G196" s="30" t="str">
        <f>'Constants - Fertiliser'!$D$22</f>
        <v>Urea</v>
      </c>
      <c r="H196" s="30" t="str">
        <f>'Constants - Fertiliser'!$V$22</f>
        <v>China</v>
      </c>
      <c r="I196" s="30"/>
      <c r="J196" s="30"/>
      <c r="K196" s="30" t="str" cm="1">
        <f t="array" ref="K196">Common_InputFunctions.Utility_DisplayArrayInTable(Scope3_SourceData.Scope3_InorganicFertilisers_Data(), Table_SourceData_Scope3_InorganicFertiliser[[#Headers],[Category]], 0, -2)</f>
        <v>kg</v>
      </c>
      <c r="L196" s="30" cm="1">
        <f t="array" ref="L196">Common_InputFunctions.Utility_DisplayArrayInTable(Scope3_SourceData.Scope3_InorganicFertilisers_Data(), Table_SourceData_Scope3_InorganicFertiliser[[#Headers],[Category]], 0, -2)</f>
        <v>2.09</v>
      </c>
      <c r="M196" s="30" t="str" cm="1">
        <f t="array" ref="M196">Common_InputFunctions.Utility_DisplayArrayInTable(Scope3_SourceData.Scope3_InorganicFertilisers_Data(), Table_SourceData_Scope3_InorganicFertiliser[[#Headers],[Category]], 0, -2)</f>
        <v>at market</v>
      </c>
      <c r="N196" s="30"/>
      <c r="O196" s="30"/>
      <c r="P196" s="30"/>
    </row>
    <row r="197" spans="4:16" ht="20.100000000000001" customHeight="1" x14ac:dyDescent="0.25">
      <c r="D197" s="30" t="str" cm="1">
        <f t="array" ref="D197">Common_InputFunctions.Utility_DisplayArrayInTable(Scope3_SourceData.Scope3_InorganicFertilisers_Data(), Table_SourceData_Scope3_InorganicFertiliser[[#Headers],[Category]], 0, 2)</f>
        <v>Inorganic fertilisers</v>
      </c>
      <c r="E197" s="30" t="str" cm="1">
        <f t="array" ref="E197">Common_InputFunctions.Utility_DisplayArrayInTable(Scope3_SourceData.Scope3_InorganicFertilisers_Data(), Table_SourceData_Scope3_InorganicFertiliser[[#Headers],[Category]], 0, 2)</f>
        <v>Urea, Yemen</v>
      </c>
      <c r="F197" s="30" t="str" cm="1">
        <f t="array" ref="F197">Common_InputFunctions.Utility_DisplayArrayInTable(Scope3_SourceData.Scope3_InorganicFertilisers_Data(), Table_SourceData_Scope3_InorganicFertiliser[[#Headers],[Category]], 0, 2)</f>
        <v>Yemen</v>
      </c>
      <c r="G197" s="30" t="str">
        <f>'Constants - Fertiliser'!$D$22</f>
        <v>Urea</v>
      </c>
      <c r="H197" s="30" t="str">
        <f>'Constants - Fertiliser'!$V$23</f>
        <v>Yemen</v>
      </c>
      <c r="I197" s="30"/>
      <c r="J197" s="30"/>
      <c r="K197" s="30" t="str" cm="1">
        <f t="array" ref="K197">Common_InputFunctions.Utility_DisplayArrayInTable(Scope3_SourceData.Scope3_InorganicFertilisers_Data(), Table_SourceData_Scope3_InorganicFertiliser[[#Headers],[Category]], 0, -2)</f>
        <v>kg</v>
      </c>
      <c r="L197" s="30" cm="1">
        <f t="array" ref="L197">Common_InputFunctions.Utility_DisplayArrayInTable(Scope3_SourceData.Scope3_InorganicFertilisers_Data(), Table_SourceData_Scope3_InorganicFertiliser[[#Headers],[Category]], 0, -2)</f>
        <v>0.96299999999999997</v>
      </c>
      <c r="M197" s="30" t="str" cm="1">
        <f t="array" ref="M197">Common_InputFunctions.Utility_DisplayArrayInTable(Scope3_SourceData.Scope3_InorganicFertilisers_Data(), Table_SourceData_Scope3_InorganicFertiliser[[#Headers],[Category]], 0, -2)</f>
        <v>at market</v>
      </c>
      <c r="N197" s="30"/>
      <c r="O197" s="30"/>
      <c r="P197" s="30"/>
    </row>
    <row r="198" spans="4:16" ht="20.100000000000001" customHeight="1" x14ac:dyDescent="0.25">
      <c r="D198" s="30" t="str" cm="1">
        <f t="array" ref="D198">Common_InputFunctions.Utility_DisplayArrayInTable(Scope3_SourceData.Scope3_InorganicFertilisers_Data(), Table_SourceData_Scope3_InorganicFertiliser[[#Headers],[Category]], 0, 2)</f>
        <v>Inorganic fertilisers</v>
      </c>
      <c r="E198" s="30" t="str" cm="1">
        <f t="array" ref="E198">Common_InputFunctions.Utility_DisplayArrayInTable(Scope3_SourceData.Scope3_InorganicFertilisers_Data(), Table_SourceData_Scope3_InorganicFertiliser[[#Headers],[Category]], 0, 2)</f>
        <v>Zinc from fertilizer</v>
      </c>
      <c r="F198" s="30" t="str" cm="1">
        <f t="array" ref="F198">Common_InputFunctions.Utility_DisplayArrayInTable(Scope3_SourceData.Scope3_InorganicFertilisers_Data(), Table_SourceData_Scope3_InorganicFertiliser[[#Headers],[Category]], 0, 2)</f>
        <v>Global</v>
      </c>
      <c r="G198" s="30" t="str">
        <f>'Constants - Fertiliser'!$D$33</f>
        <v>Zinc - Generic</v>
      </c>
      <c r="H198" s="30"/>
      <c r="I198" s="30"/>
      <c r="J198" s="30"/>
      <c r="K198" s="30" t="str" cm="1">
        <f t="array" ref="K198">Common_InputFunctions.Utility_DisplayArrayInTable(Scope3_SourceData.Scope3_InorganicFertilisers_Data(), Table_SourceData_Scope3_InorganicFertiliser[[#Headers],[Category]], 0, -2)</f>
        <v>kg Zn</v>
      </c>
      <c r="L198" s="30" cm="1">
        <f t="array" ref="L198">Common_InputFunctions.Utility_DisplayArrayInTable(Scope3_SourceData.Scope3_InorganicFertilisers_Data(), Table_SourceData_Scope3_InorganicFertiliser[[#Headers],[Category]], 0, -2)</f>
        <v>4.82</v>
      </c>
      <c r="M198" s="30" t="str" cm="1">
        <f t="array" ref="M198">Common_InputFunctions.Utility_DisplayArrayInTable(Scope3_SourceData.Scope3_InorganicFertilisers_Data(), Table_SourceData_Scope3_InorganicFertiliser[[#Headers],[Category]], 0, -2)</f>
        <v>at market</v>
      </c>
      <c r="N198" s="30"/>
      <c r="O198" s="30"/>
      <c r="P198" s="30"/>
    </row>
    <row r="199" spans="4:16" ht="20.100000000000001" customHeight="1" x14ac:dyDescent="0.25">
      <c r="N199" s="30"/>
      <c r="O199" s="30"/>
      <c r="P199" s="30"/>
    </row>
    <row r="200" spans="4:16" ht="20.100000000000001" customHeight="1" x14ac:dyDescent="0.25">
      <c r="D200" s="2" t="s">
        <v>921</v>
      </c>
      <c r="N200" s="30"/>
      <c r="O200" s="30"/>
      <c r="P200" s="30"/>
    </row>
    <row r="201" spans="4:16" ht="20.100000000000001" customHeight="1" x14ac:dyDescent="0.25">
      <c r="D201" s="30" t="s">
        <v>891</v>
      </c>
      <c r="E201" s="30" t="s">
        <v>137</v>
      </c>
      <c r="F201" s="30" t="s">
        <v>892</v>
      </c>
      <c r="G201" s="30" t="s">
        <v>893</v>
      </c>
      <c r="H201" s="30" t="s">
        <v>894</v>
      </c>
      <c r="I201" s="30" t="s">
        <v>895</v>
      </c>
      <c r="N201" s="30"/>
      <c r="O201" s="30"/>
      <c r="P201" s="30"/>
    </row>
    <row r="202" spans="4:16" ht="20.100000000000001" customHeight="1" x14ac:dyDescent="0.25">
      <c r="D202" s="30" t="str" cm="1">
        <f t="array" ref="D202">Common_InputFunctions.Utility_DisplayArrayInTable(Scope3_SourceData.Scope3_Other_Data(), Table_SourceData_Scope3_Other[[#Headers],[Category]], 0, 2)</f>
        <v>Other</v>
      </c>
      <c r="E202" s="30" t="str" cm="1">
        <f t="array" ref="E202">Common_InputFunctions.Utility_DisplayArrayInTable(Scope3_SourceData.Scope3_Other_Data(), Table_SourceData_Scope3_Other[[#Headers],[Category]], 0, 2)</f>
        <v>Animal ear tags (large)</v>
      </c>
      <c r="F202" s="30" t="str" cm="1">
        <f t="array" ref="F202">Common_InputFunctions.Utility_DisplayArrayInTable(Scope3_SourceData.Scope3_Other_Data(), Table_SourceData_Scope3_Other[[#Headers],[Category]], 0, 2)</f>
        <v>Australia</v>
      </c>
      <c r="G202" s="30" t="str" cm="1">
        <f t="array" ref="G202">Common_InputFunctions.Utility_DisplayArrayInTable(Scope3_SourceData.Scope3_Other_Data(), Table_SourceData_Scope3_Other[[#Headers],[Category]], 0, 2)</f>
        <v>p</v>
      </c>
      <c r="H202" s="30" cm="1">
        <f t="array" ref="H202">Common_InputFunctions.Utility_DisplayArrayInTable(Scope3_SourceData.Scope3_Other_Data(), Table_SourceData_Scope3_Other[[#Headers],[Category]], 0, 2)</f>
        <v>4.24E-2</v>
      </c>
      <c r="I202" s="30" t="str" cm="1">
        <f t="array" ref="I202">Common_InputFunctions.Utility_DisplayArrayInTable(Scope3_SourceData.Scope3_Other_Data(), Table_SourceData_Scope3_Other[[#Headers],[Category]], 0, 2)</f>
        <v>at market</v>
      </c>
      <c r="N202" s="30"/>
      <c r="O202" s="30"/>
      <c r="P202" s="30"/>
    </row>
    <row r="203" spans="4:16" ht="20.100000000000001" customHeight="1" x14ac:dyDescent="0.25">
      <c r="D203" s="30" t="str" cm="1">
        <f t="array" ref="D203">Common_InputFunctions.Utility_DisplayArrayInTable(Scope3_SourceData.Scope3_Other_Data(), Table_SourceData_Scope3_Other[[#Headers],[Category]], 0, 2)</f>
        <v>Other</v>
      </c>
      <c r="E203" s="30" t="str" cm="1">
        <f t="array" ref="E203">Common_InputFunctions.Utility_DisplayArrayInTable(Scope3_SourceData.Scope3_Other_Data(), Table_SourceData_Scope3_Other[[#Headers],[Category]], 0, 2)</f>
        <v>Animal ear tags (small)</v>
      </c>
      <c r="F203" s="30" t="str" cm="1">
        <f t="array" ref="F203">Common_InputFunctions.Utility_DisplayArrayInTable(Scope3_SourceData.Scope3_Other_Data(), Table_SourceData_Scope3_Other[[#Headers],[Category]], 0, 2)</f>
        <v>Australia</v>
      </c>
      <c r="G203" s="30" t="str" cm="1">
        <f t="array" ref="G203">Common_InputFunctions.Utility_DisplayArrayInTable(Scope3_SourceData.Scope3_Other_Data(), Table_SourceData_Scope3_Other[[#Headers],[Category]], 0, 2)</f>
        <v>p</v>
      </c>
      <c r="H203" s="30" cm="1">
        <f t="array" ref="H203">Common_InputFunctions.Utility_DisplayArrayInTable(Scope3_SourceData.Scope3_Other_Data(), Table_SourceData_Scope3_Other[[#Headers],[Category]], 0, 2)</f>
        <v>2.93E-2</v>
      </c>
      <c r="I203" s="30" t="str" cm="1">
        <f t="array" ref="I203">Common_InputFunctions.Utility_DisplayArrayInTable(Scope3_SourceData.Scope3_Other_Data(), Table_SourceData_Scope3_Other[[#Headers],[Category]], 0, 2)</f>
        <v>at market</v>
      </c>
      <c r="N203" s="30"/>
      <c r="O203" s="30"/>
      <c r="P203" s="30"/>
    </row>
    <row r="204" spans="4:16" ht="20.100000000000001" customHeight="1" x14ac:dyDescent="0.25">
      <c r="D204" s="30" t="str" cm="1">
        <f t="array" ref="D204">Common_InputFunctions.Utility_DisplayArrayInTable(Scope3_SourceData.Scope3_Other_Data(), Table_SourceData_Scope3_Other[[#Headers],[Category]], 0, 2)</f>
        <v>Other</v>
      </c>
      <c r="E204" s="30" t="str" cm="1">
        <f t="array" ref="E204">Common_InputFunctions.Utility_DisplayArrayInTable(Scope3_SourceData.Scope3_Other_Data(), Table_SourceData_Scope3_Other[[#Headers],[Category]], 0, 2)</f>
        <v>Barley grain (for seed)</v>
      </c>
      <c r="F204" s="30" t="str" cm="1">
        <f t="array" ref="F204">Common_InputFunctions.Utility_DisplayArrayInTable(Scope3_SourceData.Scope3_Other_Data(), Table_SourceData_Scope3_Other[[#Headers],[Category]], 0, 2)</f>
        <v>Australia</v>
      </c>
      <c r="G204" s="30" t="str" cm="1">
        <f t="array" ref="G204">Common_InputFunctions.Utility_DisplayArrayInTable(Scope3_SourceData.Scope3_Other_Data(), Table_SourceData_Scope3_Other[[#Headers],[Category]], 0, 2)</f>
        <v>kg</v>
      </c>
      <c r="H204" s="30" cm="1">
        <f t="array" ref="H204">Common_InputFunctions.Utility_DisplayArrayInTable(Scope3_SourceData.Scope3_Other_Data(), Table_SourceData_Scope3_Other[[#Headers],[Category]], 0, 2)</f>
        <v>0.23899999999999999</v>
      </c>
      <c r="I204" s="30" t="str" cm="1">
        <f t="array" ref="I204">Common_InputFunctions.Utility_DisplayArrayInTable(Scope3_SourceData.Scope3_Other_Data(), Table_SourceData_Scope3_Other[[#Headers],[Category]], 0, 2)</f>
        <v>at market</v>
      </c>
      <c r="N204" s="30"/>
      <c r="O204" s="30"/>
      <c r="P204" s="30"/>
    </row>
    <row r="205" spans="4:16" ht="20.100000000000001" customHeight="1" x14ac:dyDescent="0.25">
      <c r="D205" s="30" t="str" cm="1">
        <f t="array" ref="D205">Common_InputFunctions.Utility_DisplayArrayInTable(Scope3_SourceData.Scope3_Other_Data(), Table_SourceData_Scope3_Other[[#Headers],[Category]], 0, 2)</f>
        <v>Other</v>
      </c>
      <c r="E205" s="30" t="str" cm="1">
        <f t="array" ref="E205">Common_InputFunctions.Utility_DisplayArrayInTable(Scope3_SourceData.Scope3_Other_Data(), Table_SourceData_Scope3_Other[[#Headers],[Category]], 0, 2)</f>
        <v>Maize grain (for seed)</v>
      </c>
      <c r="F205" s="30" t="str" cm="1">
        <f t="array" ref="F205">Common_InputFunctions.Utility_DisplayArrayInTable(Scope3_SourceData.Scope3_Other_Data(), Table_SourceData_Scope3_Other[[#Headers],[Category]], 0, 2)</f>
        <v>Australia</v>
      </c>
      <c r="G205" s="30" t="str" cm="1">
        <f t="array" ref="G205">Common_InputFunctions.Utility_DisplayArrayInTable(Scope3_SourceData.Scope3_Other_Data(), Table_SourceData_Scope3_Other[[#Headers],[Category]], 0, 2)</f>
        <v>kg</v>
      </c>
      <c r="H205" s="30" cm="1">
        <f t="array" ref="H205">Common_InputFunctions.Utility_DisplayArrayInTable(Scope3_SourceData.Scope3_Other_Data(), Table_SourceData_Scope3_Other[[#Headers],[Category]], 0, 2)</f>
        <v>0.18099999999999999</v>
      </c>
      <c r="I205" s="30" t="str" cm="1">
        <f t="array" ref="I205">Common_InputFunctions.Utility_DisplayArrayInTable(Scope3_SourceData.Scope3_Other_Data(), Table_SourceData_Scope3_Other[[#Headers],[Category]], 0, 2)</f>
        <v>at market</v>
      </c>
      <c r="N205" s="30"/>
      <c r="O205" s="30"/>
      <c r="P205" s="30"/>
    </row>
    <row r="206" spans="4:16" ht="20.100000000000001" customHeight="1" x14ac:dyDescent="0.25">
      <c r="D206" s="30" t="str" cm="1">
        <f t="array" ref="D206">Common_InputFunctions.Utility_DisplayArrayInTable(Scope3_SourceData.Scope3_Other_Data(), Table_SourceData_Scope3_Other[[#Headers],[Category]], 0, 2)</f>
        <v>Other</v>
      </c>
      <c r="E206" s="30" t="str" cm="1">
        <f t="array" ref="E206">Common_InputFunctions.Utility_DisplayArrayInTable(Scope3_SourceData.Scope3_Other_Data(), Table_SourceData_Scope3_Other[[#Headers],[Category]], 0, 2)</f>
        <v>Nylon netting</v>
      </c>
      <c r="F206" s="30" t="str" cm="1">
        <f t="array" ref="F206">Common_InputFunctions.Utility_DisplayArrayInTable(Scope3_SourceData.Scope3_Other_Data(), Table_SourceData_Scope3_Other[[#Headers],[Category]], 0, 2)</f>
        <v>Global</v>
      </c>
      <c r="G206" s="30" t="str" cm="1">
        <f t="array" ref="G206">Common_InputFunctions.Utility_DisplayArrayInTable(Scope3_SourceData.Scope3_Other_Data(), Table_SourceData_Scope3_Other[[#Headers],[Category]], 0, 2)</f>
        <v>kg</v>
      </c>
      <c r="H206" s="30" cm="1">
        <f t="array" ref="H206">Common_InputFunctions.Utility_DisplayArrayInTable(Scope3_SourceData.Scope3_Other_Data(), Table_SourceData_Scope3_Other[[#Headers],[Category]], 0, 2)</f>
        <v>9.81</v>
      </c>
      <c r="I206" s="30" t="str" cm="1">
        <f t="array" ref="I206">Common_InputFunctions.Utility_DisplayArrayInTable(Scope3_SourceData.Scope3_Other_Data(), Table_SourceData_Scope3_Other[[#Headers],[Category]], 0, 2)</f>
        <v>at market</v>
      </c>
      <c r="N206" s="30"/>
      <c r="O206" s="30"/>
      <c r="P206" s="30"/>
    </row>
    <row r="207" spans="4:16" ht="20.100000000000001" customHeight="1" x14ac:dyDescent="0.25">
      <c r="D207" s="30" t="str" cm="1">
        <f t="array" ref="D207">Common_InputFunctions.Utility_DisplayArrayInTable(Scope3_SourceData.Scope3_Other_Data(), Table_SourceData_Scope3_Other[[#Headers],[Category]], 0, 2)</f>
        <v>Other</v>
      </c>
      <c r="E207" s="30" t="str" cm="1">
        <f t="array" ref="E207">Common_InputFunctions.Utility_DisplayArrayInTable(Scope3_SourceData.Scope3_Other_Data(), Table_SourceData_Scope3_Other[[#Headers],[Category]], 0, 2)</f>
        <v>Oat grain (for seed)</v>
      </c>
      <c r="F207" s="30" t="str" cm="1">
        <f t="array" ref="F207">Common_InputFunctions.Utility_DisplayArrayInTable(Scope3_SourceData.Scope3_Other_Data(), Table_SourceData_Scope3_Other[[#Headers],[Category]], 0, 2)</f>
        <v>Australia</v>
      </c>
      <c r="G207" s="30" t="str" cm="1">
        <f t="array" ref="G207">Common_InputFunctions.Utility_DisplayArrayInTable(Scope3_SourceData.Scope3_Other_Data(), Table_SourceData_Scope3_Other[[#Headers],[Category]], 0, 2)</f>
        <v>kg</v>
      </c>
      <c r="H207" s="30" cm="1">
        <f t="array" ref="H207">Common_InputFunctions.Utility_DisplayArrayInTable(Scope3_SourceData.Scope3_Other_Data(), Table_SourceData_Scope3_Other[[#Headers],[Category]], 0, 2)</f>
        <v>0.27</v>
      </c>
      <c r="I207" s="30" t="str" cm="1">
        <f t="array" ref="I207">Common_InputFunctions.Utility_DisplayArrayInTable(Scope3_SourceData.Scope3_Other_Data(), Table_SourceData_Scope3_Other[[#Headers],[Category]], 0, 2)</f>
        <v>at market</v>
      </c>
      <c r="N207" s="30"/>
      <c r="O207" s="30"/>
      <c r="P207" s="30"/>
    </row>
    <row r="208" spans="4:16" ht="20.100000000000001" customHeight="1" x14ac:dyDescent="0.25">
      <c r="D208" s="30" t="str" cm="1">
        <f t="array" ref="D208">Common_InputFunctions.Utility_DisplayArrayInTable(Scope3_SourceData.Scope3_Other_Data(), Table_SourceData_Scope3_Other[[#Headers],[Category]], 0, 2)</f>
        <v>Other</v>
      </c>
      <c r="E208" s="30" t="str" cm="1">
        <f t="array" ref="E208">Common_InputFunctions.Utility_DisplayArrayInTable(Scope3_SourceData.Scope3_Other_Data(), Table_SourceData_Scope3_Other[[#Headers],[Category]], 0, 2)</f>
        <v>Sorghum grain (for seed)</v>
      </c>
      <c r="F208" s="30" t="str" cm="1">
        <f t="array" ref="F208">Common_InputFunctions.Utility_DisplayArrayInTable(Scope3_SourceData.Scope3_Other_Data(), Table_SourceData_Scope3_Other[[#Headers],[Category]], 0, 2)</f>
        <v>Australia</v>
      </c>
      <c r="G208" s="30" t="str" cm="1">
        <f t="array" ref="G208">Common_InputFunctions.Utility_DisplayArrayInTable(Scope3_SourceData.Scope3_Other_Data(), Table_SourceData_Scope3_Other[[#Headers],[Category]], 0, 2)</f>
        <v>kg</v>
      </c>
      <c r="H208" s="30" cm="1">
        <f t="array" ref="H208">Common_InputFunctions.Utility_DisplayArrayInTable(Scope3_SourceData.Scope3_Other_Data(), Table_SourceData_Scope3_Other[[#Headers],[Category]], 0, 2)</f>
        <v>0.23200000000000001</v>
      </c>
      <c r="I208" s="30" t="str" cm="1">
        <f t="array" ref="I208">Common_InputFunctions.Utility_DisplayArrayInTable(Scope3_SourceData.Scope3_Other_Data(), Table_SourceData_Scope3_Other[[#Headers],[Category]], 0, 2)</f>
        <v>at market</v>
      </c>
      <c r="N208" s="30"/>
      <c r="O208" s="30"/>
      <c r="P208" s="30"/>
    </row>
    <row r="209" spans="4:16" ht="20.100000000000001" customHeight="1" x14ac:dyDescent="0.25">
      <c r="D209" s="30" t="str" cm="1">
        <f t="array" ref="D209">Common_InputFunctions.Utility_DisplayArrayInTable(Scope3_SourceData.Scope3_Other_Data(), Table_SourceData_Scope3_Other[[#Headers],[Category]], 0, 2)</f>
        <v>Other</v>
      </c>
      <c r="E209" s="30" t="str" cm="1">
        <f t="array" ref="E209">Common_InputFunctions.Utility_DisplayArrayInTable(Scope3_SourceData.Scope3_Other_Data(), Table_SourceData_Scope3_Other[[#Headers],[Category]], 0, 2)</f>
        <v>Wheat grain (for seed)</v>
      </c>
      <c r="F209" s="30" t="str" cm="1">
        <f t="array" ref="F209">Common_InputFunctions.Utility_DisplayArrayInTable(Scope3_SourceData.Scope3_Other_Data(), Table_SourceData_Scope3_Other[[#Headers],[Category]], 0, 2)</f>
        <v>Australia</v>
      </c>
      <c r="G209" s="30" t="str" cm="1">
        <f t="array" ref="G209">Common_InputFunctions.Utility_DisplayArrayInTable(Scope3_SourceData.Scope3_Other_Data(), Table_SourceData_Scope3_Other[[#Headers],[Category]], 0, 2)</f>
        <v>kg</v>
      </c>
      <c r="H209" s="30" cm="1">
        <f t="array" ref="H209">Common_InputFunctions.Utility_DisplayArrayInTable(Scope3_SourceData.Scope3_Other_Data(), Table_SourceData_Scope3_Other[[#Headers],[Category]], 0, 2)</f>
        <v>0.26800000000000002</v>
      </c>
      <c r="I209" s="30" t="str" cm="1">
        <f t="array" ref="I209">Common_InputFunctions.Utility_DisplayArrayInTable(Scope3_SourceData.Scope3_Other_Data(), Table_SourceData_Scope3_Other[[#Headers],[Category]], 0, 2)</f>
        <v>at market</v>
      </c>
      <c r="N209" s="30"/>
      <c r="O209" s="30"/>
      <c r="P209" s="30"/>
    </row>
    <row r="210" spans="4:16" ht="20.100000000000001" customHeight="1" x14ac:dyDescent="0.25">
      <c r="N210" s="30"/>
      <c r="O210" s="30"/>
      <c r="P210" s="30"/>
    </row>
    <row r="211" spans="4:16" ht="20.100000000000001" customHeight="1" x14ac:dyDescent="0.25">
      <c r="D211" s="2" t="s">
        <v>922</v>
      </c>
    </row>
    <row r="212" spans="4:16" ht="20.100000000000001" customHeight="1" x14ac:dyDescent="0.25">
      <c r="D212" s="30" t="s">
        <v>891</v>
      </c>
      <c r="E212" s="30" t="s">
        <v>137</v>
      </c>
      <c r="F212" s="30" t="s">
        <v>892</v>
      </c>
      <c r="G212" s="30" t="s">
        <v>893</v>
      </c>
      <c r="H212" s="30" t="s">
        <v>894</v>
      </c>
      <c r="I212" s="30" t="s">
        <v>895</v>
      </c>
    </row>
    <row r="213" spans="4:16" ht="20.100000000000001" customHeight="1" x14ac:dyDescent="0.25">
      <c r="D213" s="30" t="str" cm="1">
        <f t="array" ref="D213">Common_InputFunctions.Utility_DisplayArrayInTable(Scope3_SourceData.Scope3_Packaging_Data(), Table_SourceData_Scope3_Packaging[[#Headers],[Category]], 0, 2)</f>
        <v>Packaging</v>
      </c>
      <c r="E213" s="30" t="str" cm="1">
        <f t="array" ref="E213">Common_InputFunctions.Utility_DisplayArrayInTable(Scope3_SourceData.Scope3_Packaging_Data(), Table_SourceData_Scope3_Packaging[[#Headers],[Category]], 0, 2)</f>
        <v>Corrugated board</v>
      </c>
      <c r="F213" s="30" t="str" cm="1">
        <f t="array" ref="F213">Common_InputFunctions.Utility_DisplayArrayInTable(Scope3_SourceData.Scope3_Packaging_Data(), Table_SourceData_Scope3_Packaging[[#Headers],[Category]], 0, 2)</f>
        <v>Global</v>
      </c>
      <c r="G213" s="30" t="str" cm="1">
        <f t="array" ref="G213">Common_InputFunctions.Utility_DisplayArrayInTable(Scope3_SourceData.Scope3_Packaging_Data(), Table_SourceData_Scope3_Packaging[[#Headers],[Category]], 0, 2)</f>
        <v>kg</v>
      </c>
      <c r="H213" s="30" cm="1">
        <f t="array" ref="H213">Common_InputFunctions.Utility_DisplayArrayInTable(Scope3_SourceData.Scope3_Packaging_Data(), Table_SourceData_Scope3_Packaging[[#Headers],[Category]], 0, 2)</f>
        <v>1.05</v>
      </c>
      <c r="I213" s="30" t="str" cm="1">
        <f t="array" ref="I213">Common_InputFunctions.Utility_DisplayArrayInTable(Scope3_SourceData.Scope3_Packaging_Data(), Table_SourceData_Scope3_Packaging[[#Headers],[Category]], 0, 2)</f>
        <v>at manufacturer</v>
      </c>
    </row>
    <row r="214" spans="4:16" ht="20.100000000000001" customHeight="1" x14ac:dyDescent="0.25">
      <c r="D214" s="30" t="str" cm="1">
        <f t="array" ref="D214">Common_InputFunctions.Utility_DisplayArrayInTable(Scope3_SourceData.Scope3_Packaging_Data(), Table_SourceData_Scope3_Packaging[[#Headers],[Category]], 0, 2)</f>
        <v>Packaging</v>
      </c>
      <c r="E214" s="30" t="str" cm="1">
        <f t="array" ref="E214">Common_InputFunctions.Utility_DisplayArrayInTable(Scope3_SourceData.Scope3_Packaging_Data(), Table_SourceData_Scope3_Packaging[[#Headers],[Category]], 0, 2)</f>
        <v>Plastic crate polypropylene</v>
      </c>
      <c r="F214" s="30" t="str" cm="1">
        <f t="array" ref="F214">Common_InputFunctions.Utility_DisplayArrayInTable(Scope3_SourceData.Scope3_Packaging_Data(), Table_SourceData_Scope3_Packaging[[#Headers],[Category]], 0, 2)</f>
        <v>Global</v>
      </c>
      <c r="G214" s="30" t="str" cm="1">
        <f t="array" ref="G214">Common_InputFunctions.Utility_DisplayArrayInTable(Scope3_SourceData.Scope3_Packaging_Data(), Table_SourceData_Scope3_Packaging[[#Headers],[Category]], 0, 2)</f>
        <v>p</v>
      </c>
      <c r="H214" s="30" cm="1">
        <f t="array" ref="H214">Common_InputFunctions.Utility_DisplayArrayInTable(Scope3_SourceData.Scope3_Packaging_Data(), Table_SourceData_Scope3_Packaging[[#Headers],[Category]], 0, 2)</f>
        <v>3.99</v>
      </c>
      <c r="I214" s="30" t="str" cm="1">
        <f t="array" ref="I214">Common_InputFunctions.Utility_DisplayArrayInTable(Scope3_SourceData.Scope3_Packaging_Data(), Table_SourceData_Scope3_Packaging[[#Headers],[Category]], 0, 2)</f>
        <v>at manufacturer</v>
      </c>
    </row>
    <row r="215" spans="4:16" ht="20.100000000000001" customHeight="1" x14ac:dyDescent="0.25">
      <c r="D215" s="30" t="str" cm="1">
        <f t="array" ref="D215">Common_InputFunctions.Utility_DisplayArrayInTable(Scope3_SourceData.Scope3_Packaging_Data(), Table_SourceData_Scope3_Packaging[[#Headers],[Category]], 0, 2)</f>
        <v>Packaging</v>
      </c>
      <c r="E215" s="30" t="str" cm="1">
        <f t="array" ref="E215">Common_InputFunctions.Utility_DisplayArrayInTable(Scope3_SourceData.Scope3_Packaging_Data(), Table_SourceData_Scope3_Packaging[[#Headers],[Category]], 0, 2)</f>
        <v>Plastic film LDPE</v>
      </c>
      <c r="F215" s="30" t="str" cm="1">
        <f t="array" ref="F215">Common_InputFunctions.Utility_DisplayArrayInTable(Scope3_SourceData.Scope3_Packaging_Data(), Table_SourceData_Scope3_Packaging[[#Headers],[Category]], 0, 2)</f>
        <v>Global</v>
      </c>
      <c r="G215" s="30" t="str" cm="1">
        <f t="array" ref="G215">Common_InputFunctions.Utility_DisplayArrayInTable(Scope3_SourceData.Scope3_Packaging_Data(), Table_SourceData_Scope3_Packaging[[#Headers],[Category]], 0, 2)</f>
        <v>kg</v>
      </c>
      <c r="H215" s="30" cm="1">
        <f t="array" ref="H215">Common_InputFunctions.Utility_DisplayArrayInTable(Scope3_SourceData.Scope3_Packaging_Data(), Table_SourceData_Scope3_Packaging[[#Headers],[Category]], 0, 2)</f>
        <v>3.44</v>
      </c>
      <c r="I215" s="30" t="str" cm="1">
        <f t="array" ref="I215">Common_InputFunctions.Utility_DisplayArrayInTable(Scope3_SourceData.Scope3_Packaging_Data(), Table_SourceData_Scope3_Packaging[[#Headers],[Category]], 0, 2)</f>
        <v>at manufacturer</v>
      </c>
    </row>
    <row r="216" spans="4:16" ht="20.100000000000001" customHeight="1" x14ac:dyDescent="0.25">
      <c r="D216" s="30" t="str" cm="1">
        <f t="array" ref="D216">Common_InputFunctions.Utility_DisplayArrayInTable(Scope3_SourceData.Scope3_Packaging_Data(), Table_SourceData_Scope3_Packaging[[#Headers],[Category]], 0, 2)</f>
        <v>Packaging</v>
      </c>
      <c r="E216" s="30" t="str" cm="1">
        <f t="array" ref="E216">Common_InputFunctions.Utility_DisplayArrayInTable(Scope3_SourceData.Scope3_Packaging_Data(), Table_SourceData_Scope3_Packaging[[#Headers],[Category]], 0, 2)</f>
        <v>Plastic sheet HDPE</v>
      </c>
      <c r="F216" s="30" t="str" cm="1">
        <f t="array" ref="F216">Common_InputFunctions.Utility_DisplayArrayInTable(Scope3_SourceData.Scope3_Packaging_Data(), Table_SourceData_Scope3_Packaging[[#Headers],[Category]], 0, 2)</f>
        <v>Global</v>
      </c>
      <c r="G216" s="30" t="str" cm="1">
        <f t="array" ref="G216">Common_InputFunctions.Utility_DisplayArrayInTable(Scope3_SourceData.Scope3_Packaging_Data(), Table_SourceData_Scope3_Packaging[[#Headers],[Category]], 0, 2)</f>
        <v>kg</v>
      </c>
      <c r="H216" s="30" cm="1">
        <f t="array" ref="H216">Common_InputFunctions.Utility_DisplayArrayInTable(Scope3_SourceData.Scope3_Packaging_Data(), Table_SourceData_Scope3_Packaging[[#Headers],[Category]], 0, 2)</f>
        <v>3.72</v>
      </c>
      <c r="I216" s="3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2" t="s">
        <v>710</v>
      </c>
    </row>
    <row r="219" spans="4:16" ht="20.100000000000001" customHeight="1" x14ac:dyDescent="0.25">
      <c r="D219" s="30" t="s">
        <v>891</v>
      </c>
      <c r="E219" s="30" t="s">
        <v>137</v>
      </c>
      <c r="F219" s="30" t="s">
        <v>892</v>
      </c>
      <c r="G219" s="30" t="s">
        <v>893</v>
      </c>
      <c r="H219" s="30" t="s">
        <v>894</v>
      </c>
      <c r="I219" s="30" t="s">
        <v>895</v>
      </c>
    </row>
    <row r="220" spans="4:16" ht="20.100000000000001" customHeight="1" x14ac:dyDescent="0.25">
      <c r="D220" s="30" t="str" cm="1">
        <f t="array" ref="D220">Common_InputFunctions.Utility_DisplayArrayInTable(Scope3_SourceData.Scope3_Pesticides_Data(), Table_SourceData_Scope3_Pesticides[[#Headers],[Category]], 0, 2)</f>
        <v>Pesticides</v>
      </c>
      <c r="E220" s="30" t="str" cm="1">
        <f t="array" ref="E220">Common_InputFunctions.Utility_DisplayArrayInTable(Scope3_SourceData.Scope3_Pesticides_Data(), Table_SourceData_Scope3_Pesticides[[#Headers],[Category]], 0, 2)</f>
        <v>2,4-D</v>
      </c>
      <c r="F220" s="30" t="str" cm="1">
        <f t="array" ref="F220">Common_InputFunctions.Utility_DisplayArrayInTable(Scope3_SourceData.Scope3_Pesticides_Data(), Table_SourceData_Scope3_Pesticides[[#Headers],[Category]], 0, 2)</f>
        <v>Global</v>
      </c>
      <c r="G220" s="30" t="str" cm="1">
        <f t="array" ref="G220">Common_InputFunctions.Utility_DisplayArrayInTable(Scope3_SourceData.Scope3_Pesticides_Data(), Table_SourceData_Scope3_Pesticides[[#Headers],[Category]], 0, 2)</f>
        <v>kg AI</v>
      </c>
      <c r="H220" s="30" cm="1">
        <f t="array" ref="H220">Common_InputFunctions.Utility_DisplayArrayInTable(Scope3_SourceData.Scope3_Pesticides_Data(), Table_SourceData_Scope3_Pesticides[[#Headers],[Category]], 0, 2)</f>
        <v>5.2</v>
      </c>
      <c r="I220" s="30" t="str" cm="1">
        <f t="array" ref="I220">Common_InputFunctions.Utility_DisplayArrayInTable(Scope3_SourceData.Scope3_Pesticides_Data(), Table_SourceData_Scope3_Pesticides[[#Headers],[Category]], 0, 2)</f>
        <v>at market</v>
      </c>
    </row>
    <row r="221" spans="4:16" ht="20.100000000000001" customHeight="1" x14ac:dyDescent="0.25">
      <c r="D221" s="30" t="str" cm="1">
        <f t="array" ref="D221">Common_InputFunctions.Utility_DisplayArrayInTable(Scope3_SourceData.Scope3_Pesticides_Data(), Table_SourceData_Scope3_Pesticides[[#Headers],[Category]], 0, 2)</f>
        <v>Pesticides</v>
      </c>
      <c r="E221" s="30" t="str" cm="1">
        <f t="array" ref="E221">Common_InputFunctions.Utility_DisplayArrayInTable(Scope3_SourceData.Scope3_Pesticides_Data(), Table_SourceData_Scope3_Pesticides[[#Headers],[Category]], 0, 2)</f>
        <v>Atrazine</v>
      </c>
      <c r="F221" s="30" t="str" cm="1">
        <f t="array" ref="F221">Common_InputFunctions.Utility_DisplayArrayInTable(Scope3_SourceData.Scope3_Pesticides_Data(), Table_SourceData_Scope3_Pesticides[[#Headers],[Category]], 0, 2)</f>
        <v>Global</v>
      </c>
      <c r="G221" s="30" t="str" cm="1">
        <f t="array" ref="G221">Common_InputFunctions.Utility_DisplayArrayInTable(Scope3_SourceData.Scope3_Pesticides_Data(), Table_SourceData_Scope3_Pesticides[[#Headers],[Category]], 0, 2)</f>
        <v>kg AI</v>
      </c>
      <c r="H221" s="30" cm="1">
        <f t="array" ref="H221">Common_InputFunctions.Utility_DisplayArrayInTable(Scope3_SourceData.Scope3_Pesticides_Data(), Table_SourceData_Scope3_Pesticides[[#Headers],[Category]], 0, 2)</f>
        <v>8.3800000000000008</v>
      </c>
      <c r="I221" s="30" t="str" cm="1">
        <f t="array" ref="I221">Common_InputFunctions.Utility_DisplayArrayInTable(Scope3_SourceData.Scope3_Pesticides_Data(), Table_SourceData_Scope3_Pesticides[[#Headers],[Category]], 0, 2)</f>
        <v>at market</v>
      </c>
    </row>
    <row r="222" spans="4:16" ht="20.100000000000001" customHeight="1" x14ac:dyDescent="0.25">
      <c r="D222" s="30" t="str" cm="1">
        <f t="array" ref="D222">Common_InputFunctions.Utility_DisplayArrayInTable(Scope3_SourceData.Scope3_Pesticides_Data(), Table_SourceData_Scope3_Pesticides[[#Headers],[Category]], 0, 2)</f>
        <v>Pesticides</v>
      </c>
      <c r="E222" s="30" t="str" cm="1">
        <f t="array" ref="E222">Common_InputFunctions.Utility_DisplayArrayInTable(Scope3_SourceData.Scope3_Pesticides_Data(), Table_SourceData_Scope3_Pesticides[[#Headers],[Category]], 0, 2)</f>
        <v>Diuron</v>
      </c>
      <c r="F222" s="30" t="str" cm="1">
        <f t="array" ref="F222">Common_InputFunctions.Utility_DisplayArrayInTable(Scope3_SourceData.Scope3_Pesticides_Data(), Table_SourceData_Scope3_Pesticides[[#Headers],[Category]], 0, 2)</f>
        <v>Global</v>
      </c>
      <c r="G222" s="30" t="str" cm="1">
        <f t="array" ref="G222">Common_InputFunctions.Utility_DisplayArrayInTable(Scope3_SourceData.Scope3_Pesticides_Data(), Table_SourceData_Scope3_Pesticides[[#Headers],[Category]], 0, 2)</f>
        <v>kg AI</v>
      </c>
      <c r="H222" s="30" cm="1">
        <f t="array" ref="H222">Common_InputFunctions.Utility_DisplayArrayInTable(Scope3_SourceData.Scope3_Pesticides_Data(), Table_SourceData_Scope3_Pesticides[[#Headers],[Category]], 0, 2)</f>
        <v>8.8000000000000007</v>
      </c>
      <c r="I222" s="30" t="str" cm="1">
        <f t="array" ref="I222">Common_InputFunctions.Utility_DisplayArrayInTable(Scope3_SourceData.Scope3_Pesticides_Data(), Table_SourceData_Scope3_Pesticides[[#Headers],[Category]], 0, 2)</f>
        <v>at market</v>
      </c>
    </row>
    <row r="223" spans="4:16" ht="20.100000000000001" customHeight="1" x14ac:dyDescent="0.25">
      <c r="D223" s="30" t="str" cm="1">
        <f t="array" ref="D223">Common_InputFunctions.Utility_DisplayArrayInTable(Scope3_SourceData.Scope3_Pesticides_Data(), Table_SourceData_Scope3_Pesticides[[#Headers],[Category]], 0, 2)</f>
        <v>Pesticides</v>
      </c>
      <c r="E223" s="30" t="str" cm="1">
        <f t="array" ref="E223">Common_InputFunctions.Utility_DisplayArrayInTable(Scope3_SourceData.Scope3_Pesticides_Data(), Table_SourceData_Scope3_Pesticides[[#Headers],[Category]], 0, 2)</f>
        <v>Glyphosate</v>
      </c>
      <c r="F223" s="30" t="str" cm="1">
        <f t="array" ref="F223">Common_InputFunctions.Utility_DisplayArrayInTable(Scope3_SourceData.Scope3_Pesticides_Data(), Table_SourceData_Scope3_Pesticides[[#Headers],[Category]], 0, 2)</f>
        <v>Global</v>
      </c>
      <c r="G223" s="30" t="str" cm="1">
        <f t="array" ref="G223">Common_InputFunctions.Utility_DisplayArrayInTable(Scope3_SourceData.Scope3_Pesticides_Data(), Table_SourceData_Scope3_Pesticides[[#Headers],[Category]], 0, 2)</f>
        <v>kg AI</v>
      </c>
      <c r="H223" s="30" cm="1">
        <f t="array" ref="H223">Common_InputFunctions.Utility_DisplayArrayInTable(Scope3_SourceData.Scope3_Pesticides_Data(), Table_SourceData_Scope3_Pesticides[[#Headers],[Category]], 0, 2)</f>
        <v>10.3</v>
      </c>
      <c r="I223" s="30" t="str" cm="1">
        <f t="array" ref="I223">Common_InputFunctions.Utility_DisplayArrayInTable(Scope3_SourceData.Scope3_Pesticides_Data(), Table_SourceData_Scope3_Pesticides[[#Headers],[Category]], 0, 2)</f>
        <v>at market</v>
      </c>
    </row>
    <row r="224" spans="4:16" ht="20.100000000000001" customHeight="1" x14ac:dyDescent="0.25">
      <c r="D224" s="30" t="str" cm="1">
        <f t="array" ref="D224">Common_InputFunctions.Utility_DisplayArrayInTable(Scope3_SourceData.Scope3_Pesticides_Data(), Table_SourceData_Scope3_Pesticides[[#Headers],[Category]], 0, 2)</f>
        <v>Pesticides</v>
      </c>
      <c r="E224" s="30" t="str" cm="1">
        <f t="array" ref="E224">Common_InputFunctions.Utility_DisplayArrayInTable(Scope3_SourceData.Scope3_Pesticides_Data(), Table_SourceData_Scope3_Pesticides[[#Headers],[Category]], 0, 2)</f>
        <v>Mancozeb</v>
      </c>
      <c r="F224" s="30" t="str" cm="1">
        <f t="array" ref="F224">Common_InputFunctions.Utility_DisplayArrayInTable(Scope3_SourceData.Scope3_Pesticides_Data(), Table_SourceData_Scope3_Pesticides[[#Headers],[Category]], 0, 2)</f>
        <v>Global</v>
      </c>
      <c r="G224" s="30" t="str" cm="1">
        <f t="array" ref="G224">Common_InputFunctions.Utility_DisplayArrayInTable(Scope3_SourceData.Scope3_Pesticides_Data(), Table_SourceData_Scope3_Pesticides[[#Headers],[Category]], 0, 2)</f>
        <v>kg AI</v>
      </c>
      <c r="H224" s="30" cm="1">
        <f t="array" ref="H224">Common_InputFunctions.Utility_DisplayArrayInTable(Scope3_SourceData.Scope3_Pesticides_Data(), Table_SourceData_Scope3_Pesticides[[#Headers],[Category]], 0, 2)</f>
        <v>4.55</v>
      </c>
      <c r="I224" s="30" t="str" cm="1">
        <f t="array" ref="I224">Common_InputFunctions.Utility_DisplayArrayInTable(Scope3_SourceData.Scope3_Pesticides_Data(), Table_SourceData_Scope3_Pesticides[[#Headers],[Category]], 0, 2)</f>
        <v>at market</v>
      </c>
    </row>
    <row r="225" spans="4:9" ht="20.100000000000001" customHeight="1" x14ac:dyDescent="0.25">
      <c r="D225" s="30" t="str" cm="1">
        <f t="array" ref="D225">Common_InputFunctions.Utility_DisplayArrayInTable(Scope3_SourceData.Scope3_Pesticides_Data(), Table_SourceData_Scope3_Pesticides[[#Headers],[Category]], 0, 2)</f>
        <v>Pesticides</v>
      </c>
      <c r="E225" s="30" t="str" cm="1">
        <f t="array" ref="E225">Common_InputFunctions.Utility_DisplayArrayInTable(Scope3_SourceData.Scope3_Pesticides_Data(), Table_SourceData_Scope3_Pesticides[[#Headers],[Category]], 0, 2)</f>
        <v>MCPA</v>
      </c>
      <c r="F225" s="30" t="str" cm="1">
        <f t="array" ref="F225">Common_InputFunctions.Utility_DisplayArrayInTable(Scope3_SourceData.Scope3_Pesticides_Data(), Table_SourceData_Scope3_Pesticides[[#Headers],[Category]], 0, 2)</f>
        <v>Global</v>
      </c>
      <c r="G225" s="30" t="str" cm="1">
        <f t="array" ref="G225">Common_InputFunctions.Utility_DisplayArrayInTable(Scope3_SourceData.Scope3_Pesticides_Data(), Table_SourceData_Scope3_Pesticides[[#Headers],[Category]], 0, 2)</f>
        <v>kg AI</v>
      </c>
      <c r="H225" s="30" cm="1">
        <f t="array" ref="H225">Common_InputFunctions.Utility_DisplayArrayInTable(Scope3_SourceData.Scope3_Pesticides_Data(), Table_SourceData_Scope3_Pesticides[[#Headers],[Category]], 0, 2)</f>
        <v>5.6</v>
      </c>
      <c r="I225" s="30" t="str" cm="1">
        <f t="array" ref="I225">Common_InputFunctions.Utility_DisplayArrayInTable(Scope3_SourceData.Scope3_Pesticides_Data(), Table_SourceData_Scope3_Pesticides[[#Headers],[Category]], 0, 2)</f>
        <v>at market</v>
      </c>
    </row>
    <row r="226" spans="4:9" ht="20.100000000000001" customHeight="1" x14ac:dyDescent="0.25">
      <c r="D226" s="30" t="str" cm="1">
        <f t="array" ref="D226">Common_InputFunctions.Utility_DisplayArrayInTable(Scope3_SourceData.Scope3_Pesticides_Data(), Table_SourceData_Scope3_Pesticides[[#Headers],[Category]], 0, 2)</f>
        <v>Pesticides</v>
      </c>
      <c r="E226" s="30" t="str" cm="1">
        <f t="array" ref="E226">Common_InputFunctions.Utility_DisplayArrayInTable(Scope3_SourceData.Scope3_Pesticides_Data(), Table_SourceData_Scope3_Pesticides[[#Headers],[Category]], 0, 2)</f>
        <v>Metolachlor</v>
      </c>
      <c r="F226" s="30" t="str" cm="1">
        <f t="array" ref="F226">Common_InputFunctions.Utility_DisplayArrayInTable(Scope3_SourceData.Scope3_Pesticides_Data(), Table_SourceData_Scope3_Pesticides[[#Headers],[Category]], 0, 2)</f>
        <v>Global</v>
      </c>
      <c r="G226" s="30" t="str" cm="1">
        <f t="array" ref="G226">Common_InputFunctions.Utility_DisplayArrayInTable(Scope3_SourceData.Scope3_Pesticides_Data(), Table_SourceData_Scope3_Pesticides[[#Headers],[Category]], 0, 2)</f>
        <v>kg AI</v>
      </c>
      <c r="H226" s="30" cm="1">
        <f t="array" ref="H226">Common_InputFunctions.Utility_DisplayArrayInTable(Scope3_SourceData.Scope3_Pesticides_Data(), Table_SourceData_Scope3_Pesticides[[#Headers],[Category]], 0, 2)</f>
        <v>8.06</v>
      </c>
      <c r="I226" s="30" t="str" cm="1">
        <f t="array" ref="I226">Common_InputFunctions.Utility_DisplayArrayInTable(Scope3_SourceData.Scope3_Pesticides_Data(), Table_SourceData_Scope3_Pesticides[[#Headers],[Category]], 0, 2)</f>
        <v>at market</v>
      </c>
    </row>
    <row r="227" spans="4:9" ht="20.100000000000001" customHeight="1" x14ac:dyDescent="0.25">
      <c r="D227" s="30" t="str" cm="1">
        <f t="array" ref="D227">Common_InputFunctions.Utility_DisplayArrayInTable(Scope3_SourceData.Scope3_Pesticides_Data(), Table_SourceData_Scope3_Pesticides[[#Headers],[Category]], 0, 2)</f>
        <v>Pesticides</v>
      </c>
      <c r="E227" s="30" t="str" cm="1">
        <f t="array" ref="E227">Common_InputFunctions.Utility_DisplayArrayInTable(Scope3_SourceData.Scope3_Pesticides_Data(), Table_SourceData_Scope3_Pesticides[[#Headers],[Category]], 0, 2)</f>
        <v>Metsulfuron-methyl</v>
      </c>
      <c r="F227" s="30" t="str" cm="1">
        <f t="array" ref="F227">Common_InputFunctions.Utility_DisplayArrayInTable(Scope3_SourceData.Scope3_Pesticides_Data(), Table_SourceData_Scope3_Pesticides[[#Headers],[Category]], 0, 2)</f>
        <v>Global</v>
      </c>
      <c r="G227" s="30" t="str" cm="1">
        <f t="array" ref="G227">Common_InputFunctions.Utility_DisplayArrayInTable(Scope3_SourceData.Scope3_Pesticides_Data(), Table_SourceData_Scope3_Pesticides[[#Headers],[Category]], 0, 2)</f>
        <v>kg AI</v>
      </c>
      <c r="H227" s="30" cm="1">
        <f t="array" ref="H227">Common_InputFunctions.Utility_DisplayArrayInTable(Scope3_SourceData.Scope3_Pesticides_Data(), Table_SourceData_Scope3_Pesticides[[#Headers],[Category]], 0, 2)</f>
        <v>8.8000000000000007</v>
      </c>
      <c r="I227" s="30" t="str" cm="1">
        <f t="array" ref="I227">Common_InputFunctions.Utility_DisplayArrayInTable(Scope3_SourceData.Scope3_Pesticides_Data(), Table_SourceData_Scope3_Pesticides[[#Headers],[Category]], 0, 2)</f>
        <v>at market</v>
      </c>
    </row>
    <row r="228" spans="4:9" ht="20.100000000000001" customHeight="1" x14ac:dyDescent="0.25">
      <c r="D228" s="30" t="str" cm="1">
        <f t="array" ref="D228">Common_InputFunctions.Utility_DisplayArrayInTable(Scope3_SourceData.Scope3_Pesticides_Data(), Table_SourceData_Scope3_Pesticides[[#Headers],[Category]], 0, 2)</f>
        <v>Pesticides</v>
      </c>
      <c r="E228" s="30" t="str" cm="1">
        <f t="array" ref="E228">Common_InputFunctions.Utility_DisplayArrayInTable(Scope3_SourceData.Scope3_Pesticides_Data(), Table_SourceData_Scope3_Pesticides[[#Headers],[Category]], 0, 2)</f>
        <v>Pesticides (generic)</v>
      </c>
      <c r="F228" s="30" t="str" cm="1">
        <f t="array" ref="F228">Common_InputFunctions.Utility_DisplayArrayInTable(Scope3_SourceData.Scope3_Pesticides_Data(), Table_SourceData_Scope3_Pesticides[[#Headers],[Category]], 0, 2)</f>
        <v>Global</v>
      </c>
      <c r="G228" s="30" t="str" cm="1">
        <f t="array" ref="G228">Common_InputFunctions.Utility_DisplayArrayInTable(Scope3_SourceData.Scope3_Pesticides_Data(), Table_SourceData_Scope3_Pesticides[[#Headers],[Category]], 0, 2)</f>
        <v>kg AI</v>
      </c>
      <c r="H228" s="30" cm="1">
        <f t="array" ref="H228">Common_InputFunctions.Utility_DisplayArrayInTable(Scope3_SourceData.Scope3_Pesticides_Data(), Table_SourceData_Scope3_Pesticides[[#Headers],[Category]], 0, 2)</f>
        <v>9.16</v>
      </c>
      <c r="I228" s="30" t="str" cm="1">
        <f t="array" ref="I228">Common_InputFunctions.Utility_DisplayArrayInTable(Scope3_SourceData.Scope3_Pesticides_Data(), Table_SourceData_Scope3_Pesticides[[#Headers],[Category]], 0, 2)</f>
        <v>at market</v>
      </c>
    </row>
    <row r="229" spans="4:9" ht="20.100000000000001" customHeight="1" x14ac:dyDescent="0.25">
      <c r="D229" s="30" t="str" cm="1">
        <f t="array" ref="D229">Common_InputFunctions.Utility_DisplayArrayInTable(Scope3_SourceData.Scope3_Pesticides_Data(), Table_SourceData_Scope3_Pesticides[[#Headers],[Category]], 0, 2)</f>
        <v>Pesticides</v>
      </c>
      <c r="E229" s="30" t="str" cm="1">
        <f t="array" ref="E229">Common_InputFunctions.Utility_DisplayArrayInTable(Scope3_SourceData.Scope3_Pesticides_Data(), Table_SourceData_Scope3_Pesticides[[#Headers],[Category]], 0, 2)</f>
        <v>Tri-allate</v>
      </c>
      <c r="F229" s="30" t="str" cm="1">
        <f t="array" ref="F229">Common_InputFunctions.Utility_DisplayArrayInTable(Scope3_SourceData.Scope3_Pesticides_Data(), Table_SourceData_Scope3_Pesticides[[#Headers],[Category]], 0, 2)</f>
        <v>Global</v>
      </c>
      <c r="G229" s="30" t="str" cm="1">
        <f t="array" ref="G229">Common_InputFunctions.Utility_DisplayArrayInTable(Scope3_SourceData.Scope3_Pesticides_Data(), Table_SourceData_Scope3_Pesticides[[#Headers],[Category]], 0, 2)</f>
        <v>kg AI</v>
      </c>
      <c r="H229" s="30" cm="1">
        <f t="array" ref="H229">Common_InputFunctions.Utility_DisplayArrayInTable(Scope3_SourceData.Scope3_Pesticides_Data(), Table_SourceData_Scope3_Pesticides[[#Headers],[Category]], 0, 2)</f>
        <v>8.57</v>
      </c>
      <c r="I229" s="30" t="str" cm="1">
        <f t="array" ref="I229">Common_InputFunctions.Utility_DisplayArrayInTable(Scope3_SourceData.Scope3_Pesticides_Data(), Table_SourceData_Scope3_Pesticides[[#Headers],[Category]], 0, 2)</f>
        <v>at market</v>
      </c>
    </row>
    <row r="230" spans="4:9" ht="20.100000000000001" customHeight="1" x14ac:dyDescent="0.25">
      <c r="D230" s="30" t="str" cm="1">
        <f t="array" ref="D230">Common_InputFunctions.Utility_DisplayArrayInTable(Scope3_SourceData.Scope3_Pesticides_Data(), Table_SourceData_Scope3_Pesticides[[#Headers],[Category]], 0, 2)</f>
        <v>Pesticides</v>
      </c>
      <c r="E230" s="30" t="str" cm="1">
        <f t="array" ref="E230">Common_InputFunctions.Utility_DisplayArrayInTable(Scope3_SourceData.Scope3_Pesticides_Data(), Table_SourceData_Scope3_Pesticides[[#Headers],[Category]], 0, 2)</f>
        <v>Tribenuron methyl</v>
      </c>
      <c r="F230" s="30" t="str" cm="1">
        <f t="array" ref="F230">Common_InputFunctions.Utility_DisplayArrayInTable(Scope3_SourceData.Scope3_Pesticides_Data(), Table_SourceData_Scope3_Pesticides[[#Headers],[Category]], 0, 2)</f>
        <v>Global</v>
      </c>
      <c r="G230" s="30" t="str" cm="1">
        <f t="array" ref="G230">Common_InputFunctions.Utility_DisplayArrayInTable(Scope3_SourceData.Scope3_Pesticides_Data(), Table_SourceData_Scope3_Pesticides[[#Headers],[Category]], 0, 2)</f>
        <v>kg AI</v>
      </c>
      <c r="H230" s="30" cm="1">
        <f t="array" ref="H230">Common_InputFunctions.Utility_DisplayArrayInTable(Scope3_SourceData.Scope3_Pesticides_Data(), Table_SourceData_Scope3_Pesticides[[#Headers],[Category]], 0, 2)</f>
        <v>8.8000000000000007</v>
      </c>
      <c r="I230" s="30" t="str" cm="1">
        <f t="array" ref="I230">Common_InputFunctions.Utility_DisplayArrayInTable(Scope3_SourceData.Scope3_Pesticides_Data(), Table_SourceData_Scope3_Pesticides[[#Headers],[Category]], 0, 2)</f>
        <v>at market</v>
      </c>
    </row>
    <row r="231" spans="4:9" ht="20.100000000000001" customHeight="1" x14ac:dyDescent="0.25">
      <c r="D231" s="30" t="str" cm="1">
        <f t="array" ref="D231">Common_InputFunctions.Utility_DisplayArrayInTable(Scope3_SourceData.Scope3_Pesticides_Data(), Table_SourceData_Scope3_Pesticides[[#Headers],[Category]], 0, 2)</f>
        <v>Pesticides</v>
      </c>
      <c r="E231" s="30" t="str" cm="1">
        <f t="array" ref="E231">Common_InputFunctions.Utility_DisplayArrayInTable(Scope3_SourceData.Scope3_Pesticides_Data(), Table_SourceData_Scope3_Pesticides[[#Headers],[Category]], 0, 2)</f>
        <v>Trifluralin</v>
      </c>
      <c r="F231" s="30" t="str" cm="1">
        <f t="array" ref="F231">Common_InputFunctions.Utility_DisplayArrayInTable(Scope3_SourceData.Scope3_Pesticides_Data(), Table_SourceData_Scope3_Pesticides[[#Headers],[Category]], 0, 2)</f>
        <v>Global</v>
      </c>
      <c r="G231" s="30" t="str" cm="1">
        <f t="array" ref="G231">Common_InputFunctions.Utility_DisplayArrayInTable(Scope3_SourceData.Scope3_Pesticides_Data(), Table_SourceData_Scope3_Pesticides[[#Headers],[Category]], 0, 2)</f>
        <v>kg AI</v>
      </c>
      <c r="H231" s="30" cm="1">
        <f t="array" ref="H231">Common_InputFunctions.Utility_DisplayArrayInTable(Scope3_SourceData.Scope3_Pesticides_Data(), Table_SourceData_Scope3_Pesticides[[#Headers],[Category]], 0, 2)</f>
        <v>6.16</v>
      </c>
      <c r="I231" s="3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2" t="s">
        <v>923</v>
      </c>
    </row>
    <row r="234" spans="4:9" ht="20.100000000000001" customHeight="1" x14ac:dyDescent="0.25">
      <c r="D234" s="30" t="s">
        <v>891</v>
      </c>
      <c r="E234" s="30" t="s">
        <v>137</v>
      </c>
      <c r="F234" s="30" t="s">
        <v>892</v>
      </c>
      <c r="G234" s="30" t="s">
        <v>893</v>
      </c>
      <c r="H234" s="30" t="s">
        <v>894</v>
      </c>
      <c r="I234" s="30" t="s">
        <v>895</v>
      </c>
    </row>
    <row r="235" spans="4:9" ht="20.100000000000001" customHeight="1" x14ac:dyDescent="0.25">
      <c r="D235" s="30" t="str" cm="1">
        <f t="array" ref="D235">Common_InputFunctions.Utility_DisplayArrayInTable(Scope3_SourceData.Scope3_SoilAmendments_Data(), Table_SourceData_Scope3_SoilAmeliorants[[#Headers],[Category]], 0, 2)</f>
        <v>Soil ameliorants</v>
      </c>
      <c r="E235" s="30" t="str" cm="1">
        <f t="array" ref="E235">Common_InputFunctions.Utility_DisplayArrayInTable(Scope3_SourceData.Scope3_SoilAmendments_Data(), Table_SourceData_Scope3_SoilAmeliorants[[#Headers],[Category]], 0, 2)</f>
        <v>Dolomite</v>
      </c>
      <c r="F235" s="30" t="str" cm="1">
        <f t="array" ref="F235">Common_InputFunctions.Utility_DisplayArrayInTable(Scope3_SourceData.Scope3_SoilAmendments_Data(), Table_SourceData_Scope3_SoilAmeliorants[[#Headers],[Category]], 0, 2)</f>
        <v>Australia</v>
      </c>
      <c r="G235" s="30" t="str" cm="1">
        <f t="array" ref="G235">Common_InputFunctions.Utility_DisplayArrayInTable(Scope3_SourceData.Scope3_SoilAmendments_Data(), Table_SourceData_Scope3_SoilAmeliorants[[#Headers],[Category]], 0, 2)</f>
        <v>kg</v>
      </c>
      <c r="H235" s="30" cm="1">
        <f t="array" ref="H235">Common_InputFunctions.Utility_DisplayArrayInTable(Scope3_SourceData.Scope3_SoilAmendments_Data(), Table_SourceData_Scope3_SoilAmeliorants[[#Headers],[Category]], 0, 2)</f>
        <v>6.5199999999999994E-2</v>
      </c>
      <c r="I235" s="30" t="str" cm="1">
        <f t="array" ref="I235">Common_InputFunctions.Utility_DisplayArrayInTable(Scope3_SourceData.Scope3_SoilAmendments_Data(), Table_SourceData_Scope3_SoilAmeliorants[[#Headers],[Category]], 0, 2)</f>
        <v>at market</v>
      </c>
    </row>
    <row r="236" spans="4:9" ht="20.100000000000001" customHeight="1" x14ac:dyDescent="0.25">
      <c r="D236" s="30" t="str" cm="1">
        <f t="array" ref="D236">Common_InputFunctions.Utility_DisplayArrayInTable(Scope3_SourceData.Scope3_SoilAmendments_Data(), Table_SourceData_Scope3_SoilAmeliorants[[#Headers],[Category]], 0, 2)</f>
        <v>Soil ameliorants</v>
      </c>
      <c r="E236" s="30" t="str" cm="1">
        <f t="array" ref="E236">Common_InputFunctions.Utility_DisplayArrayInTable(Scope3_SourceData.Scope3_SoilAmendments_Data(), Table_SourceData_Scope3_SoilAmeliorants[[#Headers],[Category]], 0, 2)</f>
        <v>Gypsum</v>
      </c>
      <c r="F236" s="30" t="str" cm="1">
        <f t="array" ref="F236">Common_InputFunctions.Utility_DisplayArrayInTable(Scope3_SourceData.Scope3_SoilAmendments_Data(), Table_SourceData_Scope3_SoilAmeliorants[[#Headers],[Category]], 0, 2)</f>
        <v>Australia</v>
      </c>
      <c r="G236" s="30" t="str" cm="1">
        <f t="array" ref="G236">Common_InputFunctions.Utility_DisplayArrayInTable(Scope3_SourceData.Scope3_SoilAmendments_Data(), Table_SourceData_Scope3_SoilAmeliorants[[#Headers],[Category]], 0, 2)</f>
        <v>kg</v>
      </c>
      <c r="H236" s="30" cm="1">
        <f t="array" ref="H236">Common_InputFunctions.Utility_DisplayArrayInTable(Scope3_SourceData.Scope3_SoilAmendments_Data(), Table_SourceData_Scope3_SoilAmeliorants[[#Headers],[Category]], 0, 2)</f>
        <v>6.5199999999999994E-2</v>
      </c>
      <c r="I236" s="30" t="str" cm="1">
        <f t="array" ref="I236">Common_InputFunctions.Utility_DisplayArrayInTable(Scope3_SourceData.Scope3_SoilAmendments_Data(), Table_SourceData_Scope3_SoilAmeliorants[[#Headers],[Category]], 0, 2)</f>
        <v>at market</v>
      </c>
    </row>
    <row r="237" spans="4:9" ht="20.100000000000001" customHeight="1" x14ac:dyDescent="0.25">
      <c r="D237" s="30" t="str" cm="1">
        <f t="array" ref="D237">Common_InputFunctions.Utility_DisplayArrayInTable(Scope3_SourceData.Scope3_SoilAmendments_Data(), Table_SourceData_Scope3_SoilAmeliorants[[#Headers],[Category]], 0, 2)</f>
        <v>Soil ameliorants</v>
      </c>
      <c r="E237" s="30" t="str" cm="1">
        <f t="array" ref="E237">Common_InputFunctions.Utility_DisplayArrayInTable(Scope3_SourceData.Scope3_SoilAmendments_Data(), Table_SourceData_Scope3_SoilAmeliorants[[#Headers],[Category]], 0, 2)</f>
        <v>Limestone (crushed)</v>
      </c>
      <c r="F237" s="30" t="str" cm="1">
        <f t="array" ref="F237">Common_InputFunctions.Utility_DisplayArrayInTable(Scope3_SourceData.Scope3_SoilAmendments_Data(), Table_SourceData_Scope3_SoilAmeliorants[[#Headers],[Category]], 0, 2)</f>
        <v>Australia</v>
      </c>
      <c r="G237" s="30" t="str" cm="1">
        <f t="array" ref="G237">Common_InputFunctions.Utility_DisplayArrayInTable(Scope3_SourceData.Scope3_SoilAmendments_Data(), Table_SourceData_Scope3_SoilAmeliorants[[#Headers],[Category]], 0, 2)</f>
        <v>kg</v>
      </c>
      <c r="H237" s="30" cm="1">
        <f t="array" ref="H237">Common_InputFunctions.Utility_DisplayArrayInTable(Scope3_SourceData.Scope3_SoilAmendments_Data(), Table_SourceData_Scope3_SoilAmeliorants[[#Headers],[Category]], 0, 2)</f>
        <v>4.8500000000000001E-2</v>
      </c>
      <c r="I237" s="3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sheetPr>
    <tabColor theme="2" tint="-0.499984740745262"/>
  </sheetPr>
  <dimension ref="A1:BY259"/>
  <sheetViews>
    <sheetView showGridLines="0" topLeftCell="A29" workbookViewId="0" zoomScale="100" zoomScaleNormal="100">
      <selection activeCell="A50" sqref="A50"/>
    </sheetView>
  </sheetViews>
  <sheetFormatPr defaultColWidth="9.140625" defaultRowHeight="15.75" x14ac:dyDescent="0.25"/>
  <cols>
    <col min="1" max="1" width="30.7109375" style="32" customWidth="1"/>
    <col min="2" max="2" width="2.7109375" style="3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2" customWidth="1"/>
    <col min="34" max="39" width="21.85546875" style="32" customWidth="1"/>
    <col min="40" max="44" width="20.7109375" style="32" customWidth="1"/>
    <col min="45" max="65" width="9.140625" style="32"/>
    <col min="66" max="16384" width="9.140625" style="35"/>
  </cols>
  <sheetData>
    <row r="1" spans="1:65" s="31" customFormat="1" ht="30" customHeight="1" x14ac:dyDescent="0.35">
      <c r="A1" s="16" t="e" vm="1">
        <v>#VALUE!</v>
      </c>
      <c r="C1" s="31" t="s">
        <v>20</v>
      </c>
    </row>
    <row r="2" spans="1:65" s="3" customFormat="1" ht="20.100000000000001" customHeight="1" x14ac:dyDescent="0.25">
      <c r="A2"/>
    </row>
    <row r="3" spans="1:6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4"/>
      <c r="W3" s="34"/>
    </row>
    <row r="4" spans="1:65" ht="20.100000000000001" customHeight="1" x14ac:dyDescent="0.25">
      <c r="A4" s="5" t="str">
        <f>HYPERLINK("#'Overview'!A1", "Overview")</f>
        <v>Overview</v>
      </c>
      <c r="BM4" s="35"/>
    </row>
    <row r="5" spans="1:65" ht="20.100000000000001" customHeight="1" x14ac:dyDescent="0.25">
      <c r="A5" s="5" t="str">
        <f>HYPERLINK("#'Results'!A1", "Results")</f>
        <v>Results</v>
      </c>
      <c r="D5" s="2" t="str" cm="1">
        <f t="array" ref="D5">Common_SourceData.Common_SourceData_AustralianStatesTerritories_Title()</f>
        <v>Australian states and territories</v>
      </c>
      <c r="BM5" s="35"/>
    </row>
    <row r="6" spans="1:65" ht="20.100000000000001" customHeight="1" x14ac:dyDescent="0.25">
      <c r="A6"/>
      <c r="D6" s="30" t="s">
        <v>21</v>
      </c>
      <c r="E6" s="30" t="s">
        <v>22</v>
      </c>
      <c r="F6" s="30" t="s">
        <v>23</v>
      </c>
    </row>
    <row r="7" spans="1:65" ht="20.100000000000001" customHeight="1" x14ac:dyDescent="0.25">
      <c r="A7"/>
      <c r="D7" s="30" t="str" cm="1">
        <f t="array" ref="D7">Common_InputFunctions.Utility_DisplayArrayInTable(Common_SourceData.Common_SourceData_AustralianStatesTerritories_Data(),Table_AustralianStates[[#Headers],[State/Territory]],0)</f>
        <v>New South Wales</v>
      </c>
      <c r="E7" s="30" t="str" cm="1">
        <f t="array" ref="E7">Common_InputFunctions.Utility_DisplayArrayInTable(Common_SourceData.Common_SourceData_AustralianStatesTerritories_Data(),Table_AustralianStates[[#Headers],[State/Territory]],0)</f>
        <v>New South Wales</v>
      </c>
      <c r="F7" s="30" t="str" cm="1">
        <f t="array" ref="F7">Common_InputFunctions.Utility_DisplayArrayInTable(Common_SourceData.Common_SourceData_AustralianStatesTerritories_Data(),Table_AustralianStates[[#Headers],[State/Territory]],0)</f>
        <v>NSW</v>
      </c>
    </row>
    <row r="8" spans="1:65" ht="20.100000000000001" customHeight="1" x14ac:dyDescent="0.25">
      <c r="A8" s="7" t="s">
        <v>0</v>
      </c>
      <c r="D8" s="30" t="str" cm="1">
        <f t="array" ref="D8">Common_InputFunctions.Utility_DisplayArrayInTable(Common_SourceData.Common_SourceData_AustralianStatesTerritories_Data(),Table_AustralianStates[[#Headers],[State/Territory]],0)</f>
        <v>Australian Capital Territory</v>
      </c>
      <c r="E8" s="30" t="str" cm="1">
        <f t="array" ref="E8">Common_InputFunctions.Utility_DisplayArrayInTable(Common_SourceData.Common_SourceData_AustralianStatesTerritories_Data(),Table_AustralianStates[[#Headers],[State/Territory]],0)</f>
        <v>ACT</v>
      </c>
      <c r="F8" s="30" t="str" cm="1">
        <f t="array" ref="F8">Common_InputFunctions.Utility_DisplayArrayInTable(Common_SourceData.Common_SourceData_AustralianStatesTerritories_Data(),Table_AustralianStates[[#Headers],[State/Territory]],0)</f>
        <v>ACT</v>
      </c>
    </row>
    <row r="9" spans="1:65" ht="20.100000000000001" customHeight="1" x14ac:dyDescent="0.25">
      <c r="A9" s="5" t="str">
        <f>HYPERLINK("#'Input - Enterprise'!A1", "Enterprise")</f>
        <v>Enterprise</v>
      </c>
      <c r="D9" s="30" t="str" cm="1">
        <f t="array" ref="D9">Common_InputFunctions.Utility_DisplayArrayInTable(Common_SourceData.Common_SourceData_AustralianStatesTerritories_Data(),Table_AustralianStates[[#Headers],[State/Territory]],0)</f>
        <v>Victoria</v>
      </c>
      <c r="E9" s="30" t="str" cm="1">
        <f t="array" ref="E9">Common_InputFunctions.Utility_DisplayArrayInTable(Common_SourceData.Common_SourceData_AustralianStatesTerritories_Data(),Table_AustralianStates[[#Headers],[State/Territory]],0)</f>
        <v>Victoria</v>
      </c>
      <c r="F9" s="30" t="str" cm="1">
        <f t="array" ref="F9">Common_InputFunctions.Utility_DisplayArrayInTable(Common_SourceData.Common_SourceData_AustralianStatesTerritories_Data(),Table_AustralianStates[[#Headers],[State/Territory]],0)</f>
        <v>VIC</v>
      </c>
    </row>
    <row r="10" spans="1:65" ht="20.100000000000001" customHeight="1" x14ac:dyDescent="0.25">
      <c r="A10" s="5" t="str">
        <f>HYPERLINK("#'Input - Site'!A1", "Site")</f>
        <v>Site</v>
      </c>
      <c r="D10" s="30" t="str" cm="1">
        <f t="array" ref="D10">Common_InputFunctions.Utility_DisplayArrayInTable(Common_SourceData.Common_SourceData_AustralianStatesTerritories_Data(),Table_AustralianStates[[#Headers],[State/Territory]],0)</f>
        <v>Queensland</v>
      </c>
      <c r="E10" s="30" t="str" cm="1">
        <f t="array" ref="E10">Common_InputFunctions.Utility_DisplayArrayInTable(Common_SourceData.Common_SourceData_AustralianStatesTerritories_Data(),Table_AustralianStates[[#Headers],[State/Territory]],0)</f>
        <v>Queensland</v>
      </c>
      <c r="F10" s="30" t="str" cm="1">
        <f t="array" ref="F10">Common_InputFunctions.Utility_DisplayArrayInTable(Common_SourceData.Common_SourceData_AustralianStatesTerritories_Data(),Table_AustralianStates[[#Headers],[State/Territory]],0)</f>
        <v>QLD</v>
      </c>
    </row>
    <row r="11" spans="1:65" ht="20.100000000000001" customHeight="1" x14ac:dyDescent="0.25">
      <c r="A11" s="5" t="str">
        <f>HYPERLINK("#'Input - Crop'!A1", "Crop")</f>
        <v>Crop</v>
      </c>
      <c r="D11" s="30" t="str" cm="1">
        <f t="array" ref="D11">Common_InputFunctions.Utility_DisplayArrayInTable(Common_SourceData.Common_SourceData_AustralianStatesTerritories_Data(),Table_AustralianStates[[#Headers],[State/Territory]],0)</f>
        <v>South Australia</v>
      </c>
      <c r="E11" s="30" t="str" cm="1">
        <f t="array" ref="E11">Common_InputFunctions.Utility_DisplayArrayInTable(Common_SourceData.Common_SourceData_AustralianStatesTerritories_Data(),Table_AustralianStates[[#Headers],[State/Territory]],0)</f>
        <v>South Australia</v>
      </c>
      <c r="F11" s="30" t="str" cm="1">
        <f t="array" ref="F11">Common_InputFunctions.Utility_DisplayArrayInTable(Common_SourceData.Common_SourceData_AustralianStatesTerritories_Data(),Table_AustralianStates[[#Headers],[State/Territory]],0)</f>
        <v>SA</v>
      </c>
      <c r="BM11" s="35"/>
    </row>
    <row r="12" spans="1:65" ht="20.100000000000001" customHeight="1" x14ac:dyDescent="0.25">
      <c r="A12" s="5" t="str">
        <f>HYPERLINK("#'Input - Fert Prod System'!A1", "Fert Prod System")</f>
        <v>Fert Prod System</v>
      </c>
      <c r="D12" s="30" t="str" cm="1">
        <f t="array" ref="D12">Common_InputFunctions.Utility_DisplayArrayInTable(Common_SourceData.Common_SourceData_AustralianStatesTerritories_Data(),Table_AustralianStates[[#Headers],[State/Territory]],0)</f>
        <v>Western Australia</v>
      </c>
      <c r="E12" s="30" t="str" cm="1">
        <f t="array" ref="E12">Common_InputFunctions.Utility_DisplayArrayInTable(Common_SourceData.Common_SourceData_AustralianStatesTerritories_Data(),Table_AustralianStates[[#Headers],[State/Territory]],0)</f>
        <v>Western Australia</v>
      </c>
      <c r="F12" s="30" t="str" cm="1">
        <f t="array" ref="F12">Common_InputFunctions.Utility_DisplayArrayInTable(Common_SourceData.Common_SourceData_AustralianStatesTerritories_Data(),Table_AustralianStates[[#Headers],[State/Territory]],0)</f>
        <v>WA</v>
      </c>
      <c r="BM12" s="35"/>
    </row>
    <row r="13" spans="1:65" ht="20.100000000000001" customHeight="1" x14ac:dyDescent="0.25">
      <c r="A13" s="5" t="str">
        <f>HYPERLINK("#'Input - Fertiliser'!A1", "Fertiliser")</f>
        <v>Fertiliser</v>
      </c>
      <c r="D13" s="30" t="str" cm="1">
        <f t="array" ref="D13">Common_InputFunctions.Utility_DisplayArrayInTable(Common_SourceData.Common_SourceData_AustralianStatesTerritories_Data(),Table_AustralianStates[[#Headers],[State/Territory]],0)</f>
        <v>Tasmania</v>
      </c>
      <c r="E13" s="30" t="str" cm="1">
        <f t="array" ref="E13">Common_InputFunctions.Utility_DisplayArrayInTable(Common_SourceData.Common_SourceData_AustralianStatesTerritories_Data(),Table_AustralianStates[[#Headers],[State/Territory]],0)</f>
        <v>Tasmania</v>
      </c>
      <c r="F13" s="30" t="str" cm="1">
        <f t="array" ref="F13">Common_InputFunctions.Utility_DisplayArrayInTable(Common_SourceData.Common_SourceData_AustralianStatesTerritories_Data(),Table_AustralianStates[[#Headers],[State/Territory]],0)</f>
        <v>TAS</v>
      </c>
    </row>
    <row r="14" spans="1:65" ht="20.100000000000001" customHeight="1" x14ac:dyDescent="0.25">
      <c r="A14" s="5" t="str">
        <f>HYPERLINK("#'Input - Fuel'!A1", "Fuel")</f>
        <v>Fuel</v>
      </c>
      <c r="D14" s="30" t="str" cm="1">
        <f t="array" ref="D14">Common_InputFunctions.Utility_DisplayArrayInTable(Common_SourceData.Common_SourceData_AustralianStatesTerritories_Data(),Table_AustralianStates[[#Headers],[State/Territory]],0)</f>
        <v>Northern Territory</v>
      </c>
      <c r="E14" s="30" t="str" cm="1">
        <f t="array" ref="E14">Common_InputFunctions.Utility_DisplayArrayInTable(Common_SourceData.Common_SourceData_AustralianStatesTerritories_Data(),Table_AustralianStates[[#Headers],[State/Territory]],0)</f>
        <v>Northern Territory</v>
      </c>
      <c r="F14" s="30" t="str" cm="1">
        <f t="array" ref="F14">Common_InputFunctions.Utility_DisplayArrayInTable(Common_SourceData.Common_SourceData_AustralianStatesTerritories_Data(),Table_AustralianStates[[#Headers],[State/Territory]],0)</f>
        <v>NT</v>
      </c>
    </row>
    <row r="15" spans="1:65" ht="20.100000000000001" customHeight="1" x14ac:dyDescent="0.25">
      <c r="A15" s="5" t="str">
        <f>HYPERLINK("#'Input - Electricity'!A1", "Electricity")</f>
        <v>Electricity</v>
      </c>
    </row>
    <row r="16" spans="1:65" ht="20.100000000000001" customHeight="1" x14ac:dyDescent="0.25">
      <c r="A16" s="5" t="str">
        <f>HYPERLINK("#'Input - Common farm inputs'!A1", "Common farm inputs")</f>
        <v>Common farm inputs</v>
      </c>
    </row>
    <row r="17" spans="1:4" ht="20.100000000000001" customHeight="1" x14ac:dyDescent="0.25">
      <c r="A17" s="5" t="str">
        <f>HYPERLINK("#'Input - Crop pasture farm input'!A1", "Crop pasture farm input")</f>
        <v>Crop pasture farm input</v>
      </c>
    </row>
    <row r="18" spans="1:4" ht="20.100000000000001" customHeight="1" x14ac:dyDescent="0.25">
      <c r="A18" s="5" t="str">
        <f>HYPERLINK("#'Input - Freight'!A1", "Freight")</f>
        <v>Freight</v>
      </c>
      <c r="D18" s="2" t="str" cm="1">
        <f t="array" ref="D18">Common_SourceData.Common_SourceData_WASA4Areas_Title()</f>
        <v>ABS Statistcal Areas Level 4 - Western Australia</v>
      </c>
    </row>
    <row r="19" spans="1:4" ht="20.100000000000001" customHeight="1" x14ac:dyDescent="0.25">
      <c r="A19" s="5" t="str">
        <f>HYPERLINK("#'Input - Manure sent off-site'!A1", "Manure sent off-site")</f>
        <v>Manure sent off-site</v>
      </c>
      <c r="D19" s="27" t="str" cm="1">
        <f t="array" ref="D19">Common_SourceData.Common_SourceData_WASA4Areas_Source()</f>
        <v>Australian Bureau of Statistics (ABS) - Statistical Areas Level 2 - 2021 - Shapefile</v>
      </c>
    </row>
    <row r="20" spans="1:4" ht="20.100000000000001" customHeight="1" x14ac:dyDescent="0.25">
      <c r="A20" s="5" t="str">
        <f>HYPERLINK("#'Input - Solid waste'!A1", "Solid waste")</f>
        <v>Solid waste</v>
      </c>
      <c r="D20" s="30" t="s">
        <v>24</v>
      </c>
    </row>
    <row r="21" spans="1:4" ht="20.100000000000001" customHeight="1" x14ac:dyDescent="0.25">
      <c r="A21" s="5" t="str">
        <f>HYPERLINK("#'Input - Data quality'!A1", "Data quality")</f>
        <v>Data quality</v>
      </c>
      <c r="D21" s="30" t="str" cm="1">
        <f t="array" ref="D21">Common_InputFunctions.Utility_DisplayArrayInTable(Common_SourceData.Common_SourceData_WASA4Areas_Data(), Table_WASA4Areas[[#Headers],[SA 4 Name]], 0)</f>
        <v>Bunbury</v>
      </c>
    </row>
    <row r="22" spans="1:4" ht="20.100000000000001" customHeight="1" x14ac:dyDescent="0.25">
      <c r="A22"/>
      <c r="D22" s="30" t="str" cm="1">
        <f t="array" ref="D22">Common_InputFunctions.Utility_DisplayArrayInTable(Common_SourceData.Common_SourceData_WASA4Areas_Data(), Table_WASA4Areas[[#Headers],[SA 4 Name]], 0)</f>
        <v>Mandurah</v>
      </c>
    </row>
    <row r="23" spans="1:4" ht="20.100000000000001" customHeight="1" x14ac:dyDescent="0.25">
      <c r="A23"/>
      <c r="D23" s="30" t="str" cm="1">
        <f t="array" ref="D23">Common_InputFunctions.Utility_DisplayArrayInTable(Common_SourceData.Common_SourceData_WASA4Areas_Data(), Table_WASA4Areas[[#Headers],[SA 4 Name]], 0)</f>
        <v>Perth - Inner</v>
      </c>
    </row>
    <row r="24" spans="1:4" ht="20.100000000000001" customHeight="1" x14ac:dyDescent="0.25">
      <c r="A24" s="6" t="s">
        <v>2</v>
      </c>
      <c r="D24" s="30" t="str" cm="1">
        <f t="array" ref="D24">Common_InputFunctions.Utility_DisplayArrayInTable(Common_SourceData.Common_SourceData_WASA4Areas_Data(), Table_WASA4Areas[[#Headers],[SA 4 Name]], 0)</f>
        <v>Perth - North East</v>
      </c>
    </row>
    <row r="25" spans="1:4" ht="20.100000000000001" customHeight="1" x14ac:dyDescent="0.25">
      <c r="A25" s="5" t="str">
        <f>HYPERLINK("#'5.1.1.1-2 Inorganic fert N2O'!A1", "5.1.1.1-2 Inorganic fert N2O")</f>
        <v>5.1.1.1-2 Inorganic fert N2O</v>
      </c>
      <c r="D25" s="30" t="str" cm="1">
        <f t="array" ref="D25">Common_InputFunctions.Utility_DisplayArrayInTable(Common_SourceData.Common_SourceData_WASA4Areas_Data(), Table_WASA4Areas[[#Headers],[SA 4 Name]], 0)</f>
        <v>Perth - North West</v>
      </c>
    </row>
    <row r="26" spans="1:4" ht="20.100000000000001" customHeight="1" x14ac:dyDescent="0.25">
      <c r="A26" s="5" t="str">
        <f>HYPERLINK("#'5.1.1.3-4 Inorganic fert CO2'!A1", "5.1.1.3-4 Inorganic fert CO2")</f>
        <v>5.1.1.3-4 Inorganic fert CO2</v>
      </c>
      <c r="D26" s="30" t="str" cm="1">
        <f t="array" ref="D26">Common_InputFunctions.Utility_DisplayArrayInTable(Common_SourceData.Common_SourceData_WASA4Areas_Data(), Table_WASA4Areas[[#Headers],[SA 4 Name]], 0)</f>
        <v>Perth - South East</v>
      </c>
    </row>
    <row r="27" spans="1:4" ht="20.100000000000001" customHeight="1" x14ac:dyDescent="0.25">
      <c r="A27" s="5" t="str">
        <f>HYPERLINK("#'5.2.1.1-2 Organic Fert N2O'!A1", "5.2.1.1-2 Organic fert N2O")</f>
        <v>5.2.1.1-2 Organic fert N2O</v>
      </c>
      <c r="D27" s="30" t="str" cm="1">
        <f t="array" ref="D27">Common_InputFunctions.Utility_DisplayArrayInTable(Common_SourceData.Common_SourceData_WASA4Areas_Data(), Table_WASA4Areas[[#Headers],[SA 4 Name]], 0)</f>
        <v>Perth - South West</v>
      </c>
    </row>
    <row r="28" spans="1:4" ht="20.100000000000001" customHeight="1" x14ac:dyDescent="0.25">
      <c r="A28" s="5" t="str">
        <f>HYPERLINK("#'5.3.1.1-2 Lime CO2'!A1", "5.3.1.1-2 Lime CO2")</f>
        <v>5.3.1.1-2 Lime CO2</v>
      </c>
      <c r="D28" s="30" t="str" cm="1">
        <f t="array" ref="D28">Common_InputFunctions.Utility_DisplayArrayInTable(Common_SourceData.Common_SourceData_WASA4Areas_Data(), Table_WASA4Areas[[#Headers],[SA 4 Name]], 0)</f>
        <v>Western Australia - Wheat Belt</v>
      </c>
    </row>
    <row r="29" spans="1:4" ht="20.100000000000001" customHeight="1" x14ac:dyDescent="0.25">
      <c r="A29" s="5" t="str">
        <f>HYPERLINK("#'5.4.1.1-4 Atmos deposition'!A1", "5.4.1.1-4 Atmos. deposition")</f>
        <v>5.4.1.1-4 Atmos. deposition</v>
      </c>
      <c r="D29" s="30" t="str" cm="1">
        <f t="array" ref="D29">Common_InputFunctions.Utility_DisplayArrayInTable(Common_SourceData.Common_SourceData_WASA4Areas_Data(), Table_WASA4Areas[[#Headers],[SA 4 Name]], 0)</f>
        <v>Western Australia - Outback (North)</v>
      </c>
    </row>
    <row r="30" spans="1:4" ht="20.100000000000001" customHeight="1" x14ac:dyDescent="0.25">
      <c r="A30" s="5" t="str">
        <f>HYPERLINK("#'5.5.1.1-2 Leaching and runoff'!A1", "5.5.1.1-2 Leaching &amp; runoff")</f>
        <v>5.5.1.1-2 Leaching &amp; runoff</v>
      </c>
      <c r="D30" s="30" t="str" cm="1">
        <f t="array" ref="D30">Common_InputFunctions.Utility_DisplayArrayInTable(Common_SourceData.Common_SourceData_WASA4Areas_Data(), Table_WASA4Areas[[#Headers],[SA 4 Name]], 0)</f>
        <v>Western Australia - Outback (South)</v>
      </c>
    </row>
    <row r="31" spans="1:4" ht="20.100000000000001" customHeight="1" x14ac:dyDescent="0.25">
      <c r="A31" s="5" t="str">
        <f>HYPERLINK("#'6.1.1.1-2 Crop residue N2O'!A1", "6.1.1.1-2 Crop residue N2O")</f>
        <v>6.1.1.1-2 Crop residue N2O</v>
      </c>
    </row>
    <row r="32" spans="1:4" ht="20.100000000000001" customHeight="1" x14ac:dyDescent="0.25">
      <c r="A32" s="5" t="str">
        <f>HYPERLINK("#'6.3.1.1-2 Leach runoff crop'!A1", "6.3.1.1-2 Leach &amp; runoff (crop)")</f>
        <v>6.3.1.1-2 Leach &amp; runoff (crop)</v>
      </c>
    </row>
    <row r="33" spans="1:8" ht="20.100000000000001" customHeight="1" x14ac:dyDescent="0.25">
      <c r="A33" s="5" t="str">
        <f>HYPERLINK("#'6.4.1.1-2 Residue burning'!A1", "6.4.1.1-2 Residue burning")</f>
        <v>6.4.1.1-2 Residue burning</v>
      </c>
    </row>
    <row r="34" spans="1:8" ht="20.100000000000001" customHeight="1" x14ac:dyDescent="0.25">
      <c r="A34" s="5" t="str">
        <f>HYPERLINK("#'8.1.1.1-2 Transport fuel'!A1", "8.1.1.1-2 Transport fuel")</f>
        <v>8.1.1.1-2 Transport fuel</v>
      </c>
      <c r="D34" s="2" t="str" cm="1">
        <f t="array" ref="D34">Common_SourceData.Common_SourceData_GWP_Title()</f>
        <v>Global warming potential for greenhouse gases</v>
      </c>
    </row>
    <row r="35" spans="1:8" ht="20.100000000000001" customHeight="1" x14ac:dyDescent="0.25">
      <c r="A35" s="5" t="str">
        <f>HYPERLINK("#'8.2.1.1-2 Stationary fuel'!A1", "8.2.1.1-2 Stationary fuel")</f>
        <v>8.2.1.1-2 Stationary fuel</v>
      </c>
      <c r="D35" s="27" t="str" cm="1">
        <f t="array" ref="D35">Common_SourceData.Common_SourceData_GWP_Source()</f>
        <v>XXXXXXX</v>
      </c>
    </row>
    <row r="36" spans="1:8" ht="20.100000000000001" customHeight="1" x14ac:dyDescent="0.25">
      <c r="A36" s="5" t="str">
        <f>HYPERLINK("#'14.1.1-2 Purchased electricity'!A1", "14.1.1-2 Purchased electricity")</f>
        <v>14.1.1-2 Purchased electricity</v>
      </c>
      <c r="D36" s="30" t="s">
        <v>25</v>
      </c>
      <c r="E36" s="30" t="s">
        <v>26</v>
      </c>
    </row>
    <row r="37" spans="1:8" ht="20.100000000000001" customHeight="1" x14ac:dyDescent="0.25">
      <c r="A37" s="5" t="str">
        <f>HYPERLINK("#'15 Scope 3'!A1", "15 Scope 3")</f>
        <v>15 Scope 3</v>
      </c>
      <c r="D37" s="30" t="str" cm="1">
        <f t="array" ref="D37">Common_InputFunctions.Utility_DisplayArrayInTable(Common_SourceData.Common_SourceData_GWP_Data(), Table_GWPData[[#Headers],[Gas]], 0)</f>
        <v>CO2</v>
      </c>
      <c r="E37" s="30" cm="1">
        <f t="array" ref="E37">Common_InputFunctions.Utility_DisplayArrayInTable(Common_SourceData.Common_SourceData_GWP_Data(), Table_GWPData[[#Headers],[Gas]], 0)</f>
        <v>1</v>
      </c>
    </row>
    <row r="38" spans="1:8" ht="20.100000000000001" customHeight="1" x14ac:dyDescent="0.25">
      <c r="A38" s="5" t="str">
        <f>HYPERLINK("#'Calcs - Manure sent off-site'!A1", "Calcs - Manure sent off-site")</f>
        <v>Calcs - Manure sent off-site</v>
      </c>
      <c r="D38" s="30" t="str" cm="1">
        <f t="array" ref="D38">Common_InputFunctions.Utility_DisplayArrayInTable(Common_SourceData.Common_SourceData_GWP_Data(), Table_GWPData[[#Headers],[Gas]], 0)</f>
        <v>CH4</v>
      </c>
      <c r="E38" s="30" cm="1">
        <f t="array" ref="E38">Common_InputFunctions.Utility_DisplayArrayInTable(Common_SourceData.Common_SourceData_GWP_Data(), Table_GWPData[[#Headers],[Gas]], 0)</f>
        <v>28</v>
      </c>
    </row>
    <row r="39" spans="1:8" ht="20.100000000000001" customHeight="1" x14ac:dyDescent="0.25">
      <c r="A39" s="5" t="str">
        <f>HYPERLINK("#'10.1.1-2 Solid waste treatment'!A1", "10.1.1-2 Solid waste treatment")</f>
        <v>10.1.1-2 Solid waste treatment</v>
      </c>
      <c r="D39" s="30" t="str" cm="1">
        <f t="array" ref="D39">Common_InputFunctions.Utility_DisplayArrayInTable(Common_SourceData.Common_SourceData_GWP_Data(), Table_GWPData[[#Headers],[Gas]], 0)</f>
        <v>N2O</v>
      </c>
      <c r="E39" s="30" cm="1">
        <f t="array" ref="E39">Common_InputFunctions.Utility_DisplayArrayInTable(Common_SourceData.Common_SourceData_GWP_Data(), Table_GWPData[[#Headers],[Gas]], 0)</f>
        <v>265</v>
      </c>
    </row>
    <row r="40" spans="1:8" ht="20.100000000000001" customHeight="1" x14ac:dyDescent="0.25">
      <c r="A40"/>
      <c r="D40" s="30" t="str" cm="1">
        <f t="array" ref="D40">Common_InputFunctions.Utility_DisplayArrayInTable(Common_SourceData.Common_SourceData_GWP_Data(), Table_GWPData[[#Headers],[Gas]], 0)</f>
        <v>CF4</v>
      </c>
      <c r="E40" s="30" cm="1">
        <f t="array" ref="E40">Common_InputFunctions.Utility_DisplayArrayInTable(Common_SourceData.Common_SourceData_GWP_Data(), Table_GWPData[[#Headers],[Gas]], 0)</f>
        <v>6630</v>
      </c>
    </row>
    <row r="41" spans="1:8" ht="20.100000000000001" customHeight="1" x14ac:dyDescent="0.25">
      <c r="A41"/>
      <c r="D41" s="30" t="str" cm="1">
        <f t="array" ref="D41">Common_InputFunctions.Utility_DisplayArrayInTable(Common_SourceData.Common_SourceData_GWP_Data(), Table_GWPData[[#Headers],[Gas]], 0)</f>
        <v>C2F6</v>
      </c>
      <c r="E41" s="30" cm="1">
        <f t="array" ref="E41">Common_InputFunctions.Utility_DisplayArrayInTable(Common_SourceData.Common_SourceData_GWP_Data(), Table_GWPData[[#Headers],[Gas]], 0)</f>
        <v>12200</v>
      </c>
    </row>
    <row r="42" spans="1:8" ht="20.100000000000001" customHeight="1" x14ac:dyDescent="0.25">
      <c r="A42" s="108" t="s">
        <v>1</v>
      </c>
      <c r="D42" s="30" t="str" cm="1">
        <f t="array" ref="D42">Common_InputFunctions.Utility_DisplayArrayInTable(Common_SourceData.Common_SourceData_GWP_Data(), Table_GWPData[[#Headers],[Gas]], 0)</f>
        <v>SF6</v>
      </c>
      <c r="E42" s="30" cm="1">
        <f t="array" ref="E42">Common_InputFunctions.Utility_DisplayArrayInTable(Common_SourceData.Common_SourceData_GWP_Data(), Table_GWPData[[#Headers],[Gas]], 0)</f>
        <v>22800</v>
      </c>
    </row>
    <row r="43" spans="1:8" ht="20.100000000000001" customHeight="1" x14ac:dyDescent="0.25">
      <c r="A43" s="5" t="str">
        <f>HYPERLINK("#'Constants - Ag Residue'!A1", "Constants - Ag residue")</f>
        <v>Constants - Ag residue</v>
      </c>
      <c r="D43" s="30" t="str" cm="1">
        <f t="array" ref="D43">Common_InputFunctions.Utility_DisplayArrayInTable(Common_SourceData.Common_SourceData_GWP_Data(), Table_GWPData[[#Headers],[Gas]], 0)</f>
        <v>NF3</v>
      </c>
      <c r="E43" s="30" cm="1">
        <f t="array" ref="E43">Common_InputFunctions.Utility_DisplayArrayInTable(Common_SourceData.Common_SourceData_GWP_Data(), Table_GWPData[[#Headers],[Gas]], 0)</f>
        <v>17200</v>
      </c>
    </row>
    <row r="44" spans="1:8" ht="20.100000000000001" customHeight="1" x14ac:dyDescent="0.25">
      <c r="A44" s="5" t="str">
        <f>HYPERLINK("#'Constants - Common Livestock'!A1", "Constants - Common Livestock")</f>
        <v>Constants - Common Livestock</v>
      </c>
    </row>
    <row r="45" spans="1:8" ht="20.100000000000001" customHeight="1" x14ac:dyDescent="0.25">
      <c r="A45" s="5" t="str">
        <f>HYPERLINK("#'Constants - Electricity'!A1", "Constants - Electricity")</f>
        <v>Constants - Electricity</v>
      </c>
      <c r="D45" s="2" t="str" cm="1">
        <f t="array" ref="D45">Common_SourceData.Common_SourceData_ConvertGasElementalToMolecular_Title()</f>
        <v>Factor to convert elemental mass of gas to molecular mass</v>
      </c>
    </row>
    <row r="46" spans="1:8" ht="20.100000000000001" customHeight="1" x14ac:dyDescent="0.25">
      <c r="A46" s="5" t="str">
        <f>HYPERLINK("#'Constants - Fertiliser'!A1", "Constants - Fertiliser")</f>
        <v>Constants - Fertiliser</v>
      </c>
      <c r="D46" s="27" t="str" cm="1">
        <f t="array" ref="D46">Common_SourceData.Common_SourceData_ConvertGasElementalToMolecular_Source()</f>
        <v>XXXXXXX</v>
      </c>
    </row>
    <row r="47" spans="1:8" ht="20.100000000000001" customHeight="1" x14ac:dyDescent="0.25">
      <c r="A47" s="5" t="str">
        <f>HYPERLINK("#'Constants - Fuel'!A1", "Constants - Fuel")</f>
        <v>Constants - Fuel</v>
      </c>
      <c r="D47" s="30" t="s">
        <v>25</v>
      </c>
      <c r="E47" s="30" t="s">
        <v>27</v>
      </c>
      <c r="F47" s="30" t="s">
        <v>28</v>
      </c>
      <c r="G47" s="30" t="s">
        <v>29</v>
      </c>
      <c r="H47" s="30" t="s">
        <v>30</v>
      </c>
    </row>
    <row r="48" spans="1:8" ht="20.100000000000001" customHeight="1" x14ac:dyDescent="0.25">
      <c r="A48" s="5" t="str">
        <f>HYPERLINK("#'Constants - Scope 3'!A1", "Constants - Scope 3")</f>
        <v>Constants - Scope 3</v>
      </c>
      <c r="D48" s="30" t="str" cm="1">
        <f t="array" ref="D48">Common_InputFunctions.Utility_DisplayArrayInTable(Common_SourceData.Common_SourceData_ConvertGasElementalToMolecular_Data(),Table_GasToMolecularConversionFactor[[#Headers],[Gas]], 0)</f>
        <v>CO2</v>
      </c>
      <c r="E48" s="30" t="str" cm="1">
        <f t="array" ref="E48">Common_InputFunctions.Utility_DisplayArrayInTable(Common_SourceData.Common_SourceData_ConvertGasElementalToMolecular_Data(),Table_GasToMolecularConversionFactor[[#Headers],[Gas]], 0)</f>
        <v>44/12</v>
      </c>
      <c r="F48" s="30" cm="1">
        <f t="array" ref="F48">Common_InputFunctions.Utility_DisplayArrayInTable(Common_SourceData.Common_SourceData_ConvertGasElementalToMolecular_Data(),Table_GasToMolecularConversionFactor[[#Headers],[Gas]], 0)</f>
        <v>44</v>
      </c>
      <c r="G48" s="30" cm="1">
        <f t="array" ref="G48">Common_InputFunctions.Utility_DisplayArrayInTable(Common_SourceData.Common_SourceData_ConvertGasElementalToMolecular_Data(),Table_GasToMolecularConversionFactor[[#Headers],[Gas]], 0)</f>
        <v>12</v>
      </c>
      <c r="H48" s="30">
        <f>Table_GasToMolecularConversionFactor[[#This Row],[Conversion factor 1]]/Table_GasToMolecularConversionFactor[[#This Row],[Conversion factor 2]]</f>
        <v>3.6666666666666665</v>
      </c>
    </row>
    <row r="49" spans="1:8" ht="20.100000000000001" customHeight="1" x14ac:dyDescent="0.25">
      <c r="A49" s="173" t="str">
        <f>HYPERLINK("#'Constants - Common'!A1", "Constants - Common")</f>
        <v>Constants - Common</v>
      </c>
      <c r="D49" s="30" t="str" cm="1">
        <f t="array" ref="D49">Common_InputFunctions.Utility_DisplayArrayInTable(Common_SourceData.Common_SourceData_ConvertGasElementalToMolecular_Data(),Table_GasToMolecularConversionFactor[[#Headers],[Gas]], 0)</f>
        <v>CH4</v>
      </c>
      <c r="E49" s="30" t="str" cm="1">
        <f t="array" ref="E49">Common_InputFunctions.Utility_DisplayArrayInTable(Common_SourceData.Common_SourceData_ConvertGasElementalToMolecular_Data(),Table_GasToMolecularConversionFactor[[#Headers],[Gas]], 0)</f>
        <v>16/12</v>
      </c>
      <c r="F49" s="30" cm="1">
        <f t="array" ref="F49">Common_InputFunctions.Utility_DisplayArrayInTable(Common_SourceData.Common_SourceData_ConvertGasElementalToMolecular_Data(),Table_GasToMolecularConversionFactor[[#Headers],[Gas]], 0)</f>
        <v>16</v>
      </c>
      <c r="G49" s="30" cm="1">
        <f t="array" ref="G49">Common_InputFunctions.Utility_DisplayArrayInTable(Common_SourceData.Common_SourceData_ConvertGasElementalToMolecular_Data(),Table_GasToMolecularConversionFactor[[#Headers],[Gas]], 0)</f>
        <v>12</v>
      </c>
      <c r="H49" s="30">
        <f>Table_GasToMolecularConversionFactor[[#This Row],[Conversion factor 1]]/Table_GasToMolecularConversionFactor[[#This Row],[Conversion factor 2]]</f>
        <v>1.3333333333333333</v>
      </c>
    </row>
    <row r="50" spans="1:8" ht="20.100000000000001" customHeight="1" x14ac:dyDescent="0.25">
      <c r="A50" s="5" t="str">
        <f>HYPERLINK("#'Constants - Solid Waste'!A1", "Constants - Solid Waste")</f>
        <v>Constants - Solid Waste</v>
      </c>
      <c r="D50" s="30" t="str" cm="1">
        <f t="array" ref="D50">Common_InputFunctions.Utility_DisplayArrayInTable(Common_SourceData.Common_SourceData_ConvertGasElementalToMolecular_Data(),Table_GasToMolecularConversionFactor[[#Headers],[Gas]], 0)</f>
        <v>N2O</v>
      </c>
      <c r="E50" s="30" t="str" cm="1">
        <f t="array" ref="E50">Common_InputFunctions.Utility_DisplayArrayInTable(Common_SourceData.Common_SourceData_ConvertGasElementalToMolecular_Data(),Table_GasToMolecularConversionFactor[[#Headers],[Gas]], 0)</f>
        <v>44/28</v>
      </c>
      <c r="F50" s="30" cm="1">
        <f t="array" ref="F50">Common_InputFunctions.Utility_DisplayArrayInTable(Common_SourceData.Common_SourceData_ConvertGasElementalToMolecular_Data(),Table_GasToMolecularConversionFactor[[#Headers],[Gas]], 0)</f>
        <v>44</v>
      </c>
      <c r="G50" s="30" cm="1">
        <f t="array" ref="G50">Common_InputFunctions.Utility_DisplayArrayInTable(Common_SourceData.Common_SourceData_ConvertGasElementalToMolecular_Data(),Table_GasToMolecularConversionFactor[[#Headers],[Gas]], 0)</f>
        <v>28</v>
      </c>
      <c r="H50" s="30">
        <f>Table_GasToMolecularConversionFactor[[#This Row],[Conversion factor 1]]/Table_GasToMolecularConversionFactor[[#This Row],[Conversion factor 2]]</f>
        <v>1.5714285714285714</v>
      </c>
    </row>
    <row r="51" spans="1:8" ht="20.100000000000001" customHeight="1" x14ac:dyDescent="0.25">
      <c r="A51"/>
      <c r="D51" s="30" t="str" cm="1">
        <f t="array" ref="D51">Common_InputFunctions.Utility_DisplayArrayInTable(Common_SourceData.Common_SourceData_ConvertGasElementalToMolecular_Data(),Table_GasToMolecularConversionFactor[[#Headers],[Gas]], 0)</f>
        <v>Nox</v>
      </c>
      <c r="E51" s="30" t="str" cm="1">
        <f t="array" ref="E51">Common_InputFunctions.Utility_DisplayArrayInTable(Common_SourceData.Common_SourceData_ConvertGasElementalToMolecular_Data(),Table_GasToMolecularConversionFactor[[#Headers],[Gas]], 0)</f>
        <v>46/14</v>
      </c>
      <c r="F51" s="30" cm="1">
        <f t="array" ref="F51">Common_InputFunctions.Utility_DisplayArrayInTable(Common_SourceData.Common_SourceData_ConvertGasElementalToMolecular_Data(),Table_GasToMolecularConversionFactor[[#Headers],[Gas]], 0)</f>
        <v>46</v>
      </c>
      <c r="G51" s="30" cm="1">
        <f t="array" ref="G51">Common_InputFunctions.Utility_DisplayArrayInTable(Common_SourceData.Common_SourceData_ConvertGasElementalToMolecular_Data(),Table_GasToMolecularConversionFactor[[#Headers],[Gas]], 0)</f>
        <v>14</v>
      </c>
      <c r="H51" s="30">
        <f>Table_GasToMolecularConversionFactor[[#This Row],[Conversion factor 1]]/Table_GasToMolecularConversionFactor[[#This Row],[Conversion factor 2]]</f>
        <v>3.2857142857142856</v>
      </c>
    </row>
    <row r="52" spans="1:8" ht="20.100000000000001" customHeight="1" x14ac:dyDescent="0.25">
      <c r="A52"/>
      <c r="D52" s="30" t="str" cm="1">
        <f t="array" ref="D52">Common_InputFunctions.Utility_DisplayArrayInTable(Common_SourceData.Common_SourceData_ConvertGasElementalToMolecular_Data(),Table_GasToMolecularConversionFactor[[#Headers],[Gas]], 0)</f>
        <v>CO</v>
      </c>
      <c r="E52" s="30" t="str" cm="1">
        <f t="array" ref="E52">Common_InputFunctions.Utility_DisplayArrayInTable(Common_SourceData.Common_SourceData_ConvertGasElementalToMolecular_Data(),Table_GasToMolecularConversionFactor[[#Headers],[Gas]], 0)</f>
        <v>28/12</v>
      </c>
      <c r="F52" s="30" cm="1">
        <f t="array" ref="F52">Common_InputFunctions.Utility_DisplayArrayInTable(Common_SourceData.Common_SourceData_ConvertGasElementalToMolecular_Data(),Table_GasToMolecularConversionFactor[[#Headers],[Gas]], 0)</f>
        <v>28</v>
      </c>
      <c r="G52" s="30" cm="1">
        <f t="array" ref="G52">Common_InputFunctions.Utility_DisplayArrayInTable(Common_SourceData.Common_SourceData_ConvertGasElementalToMolecular_Data(),Table_GasToMolecularConversionFactor[[#Headers],[Gas]], 0)</f>
        <v>12</v>
      </c>
      <c r="H52" s="30">
        <f>Table_GasToMolecularConversionFactor[[#This Row],[Conversion factor 1]]/Table_GasToMolecularConversionFactor[[#This Row],[Conversion factor 2]]</f>
        <v>2.3333333333333335</v>
      </c>
    </row>
    <row r="53" spans="1:8" ht="20.100000000000001" customHeight="1" x14ac:dyDescent="0.25">
      <c r="A53"/>
      <c r="D53" s="30" t="str" cm="1">
        <f t="array" ref="D53">Common_InputFunctions.Utility_DisplayArrayInTable(Common_SourceData.Common_SourceData_ConvertGasElementalToMolecular_Data(),Table_GasToMolecularConversionFactor[[#Headers],[Gas]], 0)</f>
        <v>CO2 Lime</v>
      </c>
      <c r="E53" s="30" t="str" cm="1">
        <f t="array" ref="E53">Common_InputFunctions.Utility_DisplayArrayInTable(Common_SourceData.Common_SourceData_ConvertGasElementalToMolecular_Data(),Table_GasToMolecularConversionFactor[[#Headers],[Gas]], 0)</f>
        <v>44/12</v>
      </c>
      <c r="F53" s="30" cm="1">
        <f t="array" ref="F53">Common_InputFunctions.Utility_DisplayArrayInTable(Common_SourceData.Common_SourceData_ConvertGasElementalToMolecular_Data(),Table_GasToMolecularConversionFactor[[#Headers],[Gas]], 0)</f>
        <v>44</v>
      </c>
      <c r="G53" s="30" cm="1">
        <f t="array" ref="G53">Common_InputFunctions.Utility_DisplayArrayInTable(Common_SourceData.Common_SourceData_ConvertGasElementalToMolecular_Data(),Table_GasToMolecularConversionFactor[[#Headers],[Gas]], 0)</f>
        <v>12</v>
      </c>
      <c r="H53" s="30">
        <f>Table_GasToMolecularConversionFactor[[#This Row],[Conversion factor 1]]/Table_GasToMolecularConversionFactor[[#This Row],[Conversion factor 2]]</f>
        <v>3.6666666666666665</v>
      </c>
    </row>
    <row r="54" spans="1:8" ht="20.100000000000001" customHeight="1" x14ac:dyDescent="0.25">
      <c r="A54"/>
      <c r="D54" s="30" t="str" cm="1">
        <f t="array" ref="D54">Common_InputFunctions.Utility_DisplayArrayInTable(Common_SourceData.Common_SourceData_ConvertGasElementalToMolecular_Data(),Table_GasToMolecularConversionFactor[[#Headers],[Gas]], 0)</f>
        <v>NMVOC</v>
      </c>
      <c r="E54" s="30" t="str" cm="1">
        <f t="array" ref="E54">Common_InputFunctions.Utility_DisplayArrayInTable(Common_SourceData.Common_SourceData_ConvertGasElementalToMolecular_Data(),Table_GasToMolecularConversionFactor[[#Headers],[Gas]], 0)</f>
        <v>14/12</v>
      </c>
      <c r="F54" s="30" cm="1">
        <f t="array" ref="F54">Common_InputFunctions.Utility_DisplayArrayInTable(Common_SourceData.Common_SourceData_ConvertGasElementalToMolecular_Data(),Table_GasToMolecularConversionFactor[[#Headers],[Gas]], 0)</f>
        <v>14</v>
      </c>
      <c r="G54" s="30" cm="1">
        <f t="array" ref="G54">Common_InputFunctions.Utility_DisplayArrayInTable(Common_SourceData.Common_SourceData_ConvertGasElementalToMolecular_Data(),Table_GasToMolecularConversionFactor[[#Headers],[Gas]], 0)</f>
        <v>12</v>
      </c>
      <c r="H54" s="30">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2" t="str" cm="1">
        <f t="array" ref="D57">Common_SourceData.Common_SourceData_WetAndDryZones_Title()</f>
        <v>VEERG Australian wet and dry zones</v>
      </c>
    </row>
    <row r="58" spans="1:8" ht="20.100000000000001" customHeight="1" x14ac:dyDescent="0.25">
      <c r="A58"/>
      <c r="D58" s="27" t="str" cm="1">
        <f t="array" ref="D58">Common_SourceData.Common_SourceData_WetAndDryZones_Source()</f>
        <v>VEERG 2026: Table 1.2: Translating climate zones to wet and dry zones</v>
      </c>
    </row>
    <row r="59" spans="1:8" ht="20.100000000000001" customHeight="1" x14ac:dyDescent="0.25">
      <c r="A59"/>
      <c r="D59" s="36" t="str" cm="1">
        <f t="array" ref="D59:D61">"⚠️" &amp; Common_SourceData.Common_SourceData_WetAndDryZones_Variation()</f>
        <v>⚠️VARIATION OF SOURCE DATA:</v>
      </c>
    </row>
    <row r="60" spans="1:8" ht="20.100000000000001" customHeight="1" x14ac:dyDescent="0.25">
      <c r="A60"/>
      <c r="D60" s="36" t="str">
        <v>⚠️Added warm / cool temperate moist / dry - low frost and high temp classes to accommodate climate scenarios excluded by VEERG criteria.</v>
      </c>
    </row>
    <row r="61" spans="1:8" ht="20.100000000000001" customHeight="1" x14ac:dyDescent="0.25">
      <c r="A61"/>
      <c r="D61" s="36" t="str">
        <v>⚠️Fixed typo - Changed 'Fry' to 'Dry'.</v>
      </c>
    </row>
    <row r="62" spans="1:8" ht="20.100000000000001" customHeight="1" x14ac:dyDescent="0.25">
      <c r="A62"/>
    </row>
    <row r="63" spans="1:8" ht="20.100000000000001" customHeight="1" x14ac:dyDescent="0.25">
      <c r="A63"/>
      <c r="D63" s="30" t="s">
        <v>31</v>
      </c>
      <c r="E63" s="30" t="s">
        <v>32</v>
      </c>
    </row>
    <row r="64" spans="1:8" ht="20.100000000000001" customHeight="1" x14ac:dyDescent="0.25">
      <c r="A64"/>
      <c r="D64" s="30" t="str" cm="1">
        <f t="array" ref="D64">Common_InputFunctions.Utility_DisplayArrayInTable(Common_SourceData.Common_SourceData_WetAndDryZones_Data(), Table_SourceData_WetDryZones[[#Headers],[Climate zone]], 0)</f>
        <v>Tropical montane</v>
      </c>
      <c r="E64" s="3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0" t="str" cm="1">
        <f t="array" ref="D65">Common_InputFunctions.Utility_DisplayArrayInTable(Common_SourceData.Common_SourceData_WetAndDryZones_Data(), Table_SourceData_WetDryZones[[#Headers],[Climate zone]], 0)</f>
        <v>Tropical wet</v>
      </c>
      <c r="E65" s="3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0" t="str" cm="1">
        <f t="array" ref="D66">Common_InputFunctions.Utility_DisplayArrayInTable(Common_SourceData.Common_SourceData_WetAndDryZones_Data(), Table_SourceData_WetDryZones[[#Headers],[Climate zone]], 0)</f>
        <v>Tropical moist</v>
      </c>
      <c r="E66" s="3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0" t="str" cm="1">
        <f t="array" ref="D67">Common_InputFunctions.Utility_DisplayArrayInTable(Common_SourceData.Common_SourceData_WetAndDryZones_Data(), Table_SourceData_WetDryZones[[#Headers],[Climate zone]], 0)</f>
        <v>Tropical dry</v>
      </c>
      <c r="E67" s="3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0" t="str" cm="1">
        <f t="array" ref="D68">Common_InputFunctions.Utility_DisplayArrayInTable(Common_SourceData.Common_SourceData_WetAndDryZones_Data(), Table_SourceData_WetDryZones[[#Headers],[Climate zone]], 0)</f>
        <v>Warm temperate moist</v>
      </c>
      <c r="E68" s="3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0" t="str" cm="1">
        <f t="array" ref="D69">Common_InputFunctions.Utility_DisplayArrayInTable(Common_SourceData.Common_SourceData_WetAndDryZones_Data(), Table_SourceData_WetDryZones[[#Headers],[Climate zone]], 0)</f>
        <v>Warm temperate dry</v>
      </c>
      <c r="E69" s="3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0" t="str" cm="1">
        <f t="array" ref="D70">Common_InputFunctions.Utility_DisplayArrayInTable(Common_SourceData.Common_SourceData_WetAndDryZones_Data(), Table_SourceData_WetDryZones[[#Headers],[Climate zone]], 0)</f>
        <v>Cool temperate moist</v>
      </c>
      <c r="E70" s="3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0" t="str" cm="1">
        <f t="array" ref="D71">Common_InputFunctions.Utility_DisplayArrayInTable(Common_SourceData.Common_SourceData_WetAndDryZones_Data(), Table_SourceData_WetDryZones[[#Headers],[Climate zone]], 0)</f>
        <v>Cool temperate dry</v>
      </c>
      <c r="E71" s="3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0" t="str" cm="1">
        <f t="array" ref="D72">Common_InputFunctions.Utility_DisplayArrayInTable(Common_SourceData.Common_SourceData_WetAndDryZones_Data(), Table_SourceData_WetDryZones[[#Headers],[Climate zone]], 0)</f>
        <v>Warm temperate moist - low frost</v>
      </c>
      <c r="E72" s="3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0" t="str" cm="1">
        <f t="array" ref="D73">Common_InputFunctions.Utility_DisplayArrayInTable(Common_SourceData.Common_SourceData_WetAndDryZones_Data(), Table_SourceData_WetDryZones[[#Headers],[Climate zone]], 0)</f>
        <v>Warm temperate dry - low frost</v>
      </c>
      <c r="E73" s="3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0" t="str" cm="1">
        <f t="array" ref="D74">Common_InputFunctions.Utility_DisplayArrayInTable(Common_SourceData.Common_SourceData_WetAndDryZones_Data(), Table_SourceData_WetDryZones[[#Headers],[Climate zone]], 0)</f>
        <v>Warm temperate moist - high temp</v>
      </c>
      <c r="E74" s="3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0" t="str" cm="1">
        <f t="array" ref="D75">Common_InputFunctions.Utility_DisplayArrayInTable(Common_SourceData.Common_SourceData_WetAndDryZones_Data(), Table_SourceData_WetDryZones[[#Headers],[Climate zone]], 0)</f>
        <v>Warm temperate dry - high temp</v>
      </c>
      <c r="E75" s="3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0" t="str" cm="1">
        <f t="array" ref="D76">Common_InputFunctions.Utility_DisplayArrayInTable(Common_SourceData.Common_SourceData_WetAndDryZones_Data(), Table_SourceData_WetDryZones[[#Headers],[Climate zone]], 0)</f>
        <v>Cool temperate moist - low frost</v>
      </c>
      <c r="E76" s="3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0" t="str" cm="1">
        <f t="array" ref="D77">Common_InputFunctions.Utility_DisplayArrayInTable(Common_SourceData.Common_SourceData_WetAndDryZones_Data(), Table_SourceData_WetDryZones[[#Headers],[Climate zone]], 0)</f>
        <v>Cool temperate dry - low frost</v>
      </c>
      <c r="E77" s="3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27" t="str" cm="1">
        <f t="array" ref="D82">Common_SourceData.Common_SourceData_ClimateZones_Source()</f>
        <v>VEERG 2026: Table 1.3: Climate and Rainfall zone classifications and definitions</v>
      </c>
    </row>
    <row r="83" spans="1:20" ht="20.100000000000001" customHeight="1" x14ac:dyDescent="0.25">
      <c r="A83"/>
      <c r="D83" s="36" t="str" cm="1">
        <f t="array" ref="D83:D87">"⚠️" &amp; Common_SourceData.Common_SourceData_ClimateZones_Variation()</f>
        <v>⚠️VARIATION OF SOURCE DATA:</v>
      </c>
    </row>
    <row r="84" spans="1:20" ht="20.100000000000001" customHeight="1" x14ac:dyDescent="0.25">
      <c r="A84"/>
      <c r="D84" s="36" t="str">
        <v>⚠️Added warm / cool temperate moist / dry - low frost and high temp classes to accommodate climate scenarios excluded by VEERG criteria.</v>
      </c>
    </row>
    <row r="85" spans="1:20" ht="20.100000000000001" customHeight="1" x14ac:dyDescent="0.25">
      <c r="A85"/>
      <c r="D85" s="36" t="str">
        <v>⚠️Fixed typo in MAT value for warm temperate dry - changed 10 to 11.</v>
      </c>
    </row>
    <row r="86" spans="1:20" ht="20.100000000000001" customHeight="1" x14ac:dyDescent="0.25">
      <c r="A86"/>
      <c r="D86" s="36" t="str">
        <v>⚠️Added min and max columns for MAT, MAP, frost days per year, elevation, MAP:PET to calculate zones from real climate data.</v>
      </c>
    </row>
    <row r="87" spans="1:20" ht="20.100000000000001" customHeight="1" x14ac:dyDescent="0.25">
      <c r="A87"/>
      <c r="D87" s="36" t="str">
        <v>⚠️GAF accepts rainfall as a proxy for precipitation.</v>
      </c>
    </row>
    <row r="88" spans="1:20" ht="20.100000000000001" customHeight="1" x14ac:dyDescent="0.25">
      <c r="A88"/>
    </row>
    <row r="89" spans="1:20" ht="20.100000000000001" customHeight="1" x14ac:dyDescent="0.25">
      <c r="A89"/>
      <c r="D89" s="30" t="s">
        <v>31</v>
      </c>
      <c r="E89" s="30" t="s">
        <v>33</v>
      </c>
      <c r="F89" s="30" t="s">
        <v>34</v>
      </c>
      <c r="G89" s="30" t="s">
        <v>35</v>
      </c>
      <c r="H89" s="30" t="s">
        <v>36</v>
      </c>
      <c r="I89" s="30" t="s">
        <v>37</v>
      </c>
      <c r="J89" s="30" t="s">
        <v>38</v>
      </c>
      <c r="K89" s="30" t="s">
        <v>39</v>
      </c>
      <c r="L89" s="30" t="s">
        <v>40</v>
      </c>
      <c r="M89" s="30" t="s">
        <v>41</v>
      </c>
      <c r="N89" s="30" t="s">
        <v>42</v>
      </c>
      <c r="O89" s="30" t="s">
        <v>43</v>
      </c>
      <c r="P89" s="30" t="s">
        <v>44</v>
      </c>
      <c r="Q89" s="30" t="s">
        <v>45</v>
      </c>
      <c r="R89" s="30" t="s">
        <v>46</v>
      </c>
      <c r="S89" s="30" t="s">
        <v>47</v>
      </c>
      <c r="T89" s="30"/>
    </row>
    <row r="90" spans="1:20" ht="20.100000000000001" customHeight="1" x14ac:dyDescent="0.25">
      <c r="A90"/>
      <c r="D90" s="30" t="str" cm="1">
        <f t="array" ref="D90">Common_InputFunctions.Utility_DisplayArrayInTable(Common_SourceData.Common_SourceData_ClimateZones_Data(), Table_SourceData_ClimateZones[[#Headers],[Climate zone]], 0)</f>
        <v>Tropical montane</v>
      </c>
      <c r="E90" s="30" t="str" cm="1">
        <f t="array" ref="E90">Common_InputFunctions.Utility_DisplayArrayInTable(Common_SourceData.Common_SourceData_ClimateZones_Data(), Table_SourceData_ClimateZones[[#Headers],[Climate zone]], 0)</f>
        <v>&gt; 18 C</v>
      </c>
      <c r="F90" s="30" t="str" cm="1">
        <f t="array" ref="F90">Common_InputFunctions.Utility_DisplayArrayInTable(Common_SourceData.Common_SourceData_ClimateZones_Data(), Table_SourceData_ClimateZones[[#Headers],[Climate zone]], 0)</f>
        <v>Any</v>
      </c>
      <c r="G90" s="30" t="str" cm="1">
        <f t="array" ref="G90">Common_InputFunctions.Utility_DisplayArrayInTable(Common_SourceData.Common_SourceData_ClimateZones_Data(), Table_SourceData_ClimateZones[[#Headers],[Climate zone]], 0)</f>
        <v>≤ 7</v>
      </c>
      <c r="H90" s="30" t="str" cm="1">
        <f t="array" ref="H90">Common_InputFunctions.Utility_DisplayArrayInTable(Common_SourceData.Common_SourceData_ClimateZones_Data(), Table_SourceData_ClimateZones[[#Headers],[Climate zone]], 0)</f>
        <v>&gt; 1000 m</v>
      </c>
      <c r="I90" s="30" t="str" cm="1">
        <f t="array" ref="I90">Common_InputFunctions.Utility_DisplayArrayInTable(Common_SourceData.Common_SourceData_ClimateZones_Data(), Table_SourceData_ClimateZones[[#Headers],[Climate zone]], 0)</f>
        <v>Any</v>
      </c>
      <c r="J90" s="30" cm="1">
        <f t="array" ref="J90">Common_InputFunctions.Utility_DisplayArrayInTable(Common_SourceData.Common_SourceData_ClimateZones_Data(), Table_SourceData_ClimateZones[[#Headers],[Climate zone]], 0)</f>
        <v>18.001000000000001</v>
      </c>
      <c r="K90" s="30" cm="1">
        <f t="array" ref="K90">Common_InputFunctions.Utility_DisplayArrayInTable(Common_SourceData.Common_SourceData_ClimateZones_Data(), Table_SourceData_ClimateZones[[#Headers],[Climate zone]], 0)</f>
        <v>999999</v>
      </c>
      <c r="L90" s="30" cm="1">
        <f t="array" ref="L90">Common_InputFunctions.Utility_DisplayArrayInTable(Common_SourceData.Common_SourceData_ClimateZones_Data(), Table_SourceData_ClimateZones[[#Headers],[Climate zone]], 0)</f>
        <v>-999999</v>
      </c>
      <c r="M90" s="30" cm="1">
        <f t="array" ref="M90">Common_InputFunctions.Utility_DisplayArrayInTable(Common_SourceData.Common_SourceData_ClimateZones_Data(), Table_SourceData_ClimateZones[[#Headers],[Climate zone]], 0)</f>
        <v>999999</v>
      </c>
      <c r="N90" s="30" cm="1">
        <f t="array" ref="N90">Common_InputFunctions.Utility_DisplayArrayInTable(Common_SourceData.Common_SourceData_ClimateZones_Data(), Table_SourceData_ClimateZones[[#Headers],[Climate zone]], 0)</f>
        <v>-999999</v>
      </c>
      <c r="O90" s="30" cm="1">
        <f t="array" ref="O90">Common_InputFunctions.Utility_DisplayArrayInTable(Common_SourceData.Common_SourceData_ClimateZones_Data(), Table_SourceData_ClimateZones[[#Headers],[Climate zone]], 0)</f>
        <v>7</v>
      </c>
      <c r="P90" s="30" cm="1">
        <f t="array" ref="P90">Common_InputFunctions.Utility_DisplayArrayInTable(Common_SourceData.Common_SourceData_ClimateZones_Data(), Table_SourceData_ClimateZones[[#Headers],[Climate zone]], 0)</f>
        <v>1000</v>
      </c>
      <c r="Q90" s="30" cm="1">
        <f t="array" ref="Q90">Common_InputFunctions.Utility_DisplayArrayInTable(Common_SourceData.Common_SourceData_ClimateZones_Data(), Table_SourceData_ClimateZones[[#Headers],[Climate zone]], 0)</f>
        <v>999999</v>
      </c>
      <c r="R90" s="30" cm="1">
        <f t="array" ref="R90">Common_InputFunctions.Utility_DisplayArrayInTable(Common_SourceData.Common_SourceData_ClimateZones_Data(), Table_SourceData_ClimateZones[[#Headers],[Climate zone]], 0)</f>
        <v>-999999</v>
      </c>
      <c r="S90" s="30" cm="1">
        <f t="array" ref="S90">Common_InputFunctions.Utility_DisplayArrayInTable(Common_SourceData.Common_SourceData_ClimateZones_Data(), Table_SourceData_ClimateZones[[#Headers],[Climate zone]], 0)</f>
        <v>999999</v>
      </c>
      <c r="T90" s="30"/>
    </row>
    <row r="91" spans="1:20" ht="20.100000000000001" customHeight="1" x14ac:dyDescent="0.25">
      <c r="A91"/>
      <c r="D91" s="30" t="str" cm="1">
        <f t="array" ref="D91">Common_InputFunctions.Utility_DisplayArrayInTable(Common_SourceData.Common_SourceData_ClimateZones_Data(), Table_SourceData_ClimateZones[[#Headers],[Climate zone]], 0)</f>
        <v>Tropical wet</v>
      </c>
      <c r="E91" s="30" t="str" cm="1">
        <f t="array" ref="E91">Common_InputFunctions.Utility_DisplayArrayInTable(Common_SourceData.Common_SourceData_ClimateZones_Data(), Table_SourceData_ClimateZones[[#Headers],[Climate zone]], 0)</f>
        <v>&gt; 18 C</v>
      </c>
      <c r="F91" s="30" t="str" cm="1">
        <f t="array" ref="F91">Common_InputFunctions.Utility_DisplayArrayInTable(Common_SourceData.Common_SourceData_ClimateZones_Data(), Table_SourceData_ClimateZones[[#Headers],[Climate zone]], 0)</f>
        <v>&gt; 2000 mm</v>
      </c>
      <c r="G91" s="30" t="str" cm="1">
        <f t="array" ref="G91">Common_InputFunctions.Utility_DisplayArrayInTable(Common_SourceData.Common_SourceData_ClimateZones_Data(), Table_SourceData_ClimateZones[[#Headers],[Climate zone]], 0)</f>
        <v>≤ 7</v>
      </c>
      <c r="H91" s="30" t="str" cm="1">
        <f t="array" ref="H91">Common_InputFunctions.Utility_DisplayArrayInTable(Common_SourceData.Common_SourceData_ClimateZones_Data(), Table_SourceData_ClimateZones[[#Headers],[Climate zone]], 0)</f>
        <v>≤ 1000 m</v>
      </c>
      <c r="I91" s="30" t="str" cm="1">
        <f t="array" ref="I91">Common_InputFunctions.Utility_DisplayArrayInTable(Common_SourceData.Common_SourceData_ClimateZones_Data(), Table_SourceData_ClimateZones[[#Headers],[Climate zone]], 0)</f>
        <v>Any</v>
      </c>
      <c r="J91" s="30" cm="1">
        <f t="array" ref="J91">Common_InputFunctions.Utility_DisplayArrayInTable(Common_SourceData.Common_SourceData_ClimateZones_Data(), Table_SourceData_ClimateZones[[#Headers],[Climate zone]], 0)</f>
        <v>18.001000000000001</v>
      </c>
      <c r="K91" s="30" cm="1">
        <f t="array" ref="K91">Common_InputFunctions.Utility_DisplayArrayInTable(Common_SourceData.Common_SourceData_ClimateZones_Data(), Table_SourceData_ClimateZones[[#Headers],[Climate zone]], 0)</f>
        <v>999999</v>
      </c>
      <c r="L91" s="30" cm="1">
        <f t="array" ref="L91">Common_InputFunctions.Utility_DisplayArrayInTable(Common_SourceData.Common_SourceData_ClimateZones_Data(), Table_SourceData_ClimateZones[[#Headers],[Climate zone]], 0)</f>
        <v>2000.001</v>
      </c>
      <c r="M91" s="30" cm="1">
        <f t="array" ref="M91">Common_InputFunctions.Utility_DisplayArrayInTable(Common_SourceData.Common_SourceData_ClimateZones_Data(), Table_SourceData_ClimateZones[[#Headers],[Climate zone]], 0)</f>
        <v>999999</v>
      </c>
      <c r="N91" s="30" cm="1">
        <f t="array" ref="N91">Common_InputFunctions.Utility_DisplayArrayInTable(Common_SourceData.Common_SourceData_ClimateZones_Data(), Table_SourceData_ClimateZones[[#Headers],[Climate zone]], 0)</f>
        <v>-999999</v>
      </c>
      <c r="O91" s="30" cm="1">
        <f t="array" ref="O91">Common_InputFunctions.Utility_DisplayArrayInTable(Common_SourceData.Common_SourceData_ClimateZones_Data(), Table_SourceData_ClimateZones[[#Headers],[Climate zone]], 0)</f>
        <v>7</v>
      </c>
      <c r="P91" s="30" cm="1">
        <f t="array" ref="P91">Common_InputFunctions.Utility_DisplayArrayInTable(Common_SourceData.Common_SourceData_ClimateZones_Data(), Table_SourceData_ClimateZones[[#Headers],[Climate zone]], 0)</f>
        <v>-999999</v>
      </c>
      <c r="Q91" s="30" cm="1">
        <f t="array" ref="Q91">Common_InputFunctions.Utility_DisplayArrayInTable(Common_SourceData.Common_SourceData_ClimateZones_Data(), Table_SourceData_ClimateZones[[#Headers],[Climate zone]], 0)</f>
        <v>999.99900000000002</v>
      </c>
      <c r="R91" s="30" cm="1">
        <f t="array" ref="R91">Common_InputFunctions.Utility_DisplayArrayInTable(Common_SourceData.Common_SourceData_ClimateZones_Data(), Table_SourceData_ClimateZones[[#Headers],[Climate zone]], 0)</f>
        <v>-999999</v>
      </c>
      <c r="S91" s="30" cm="1">
        <f t="array" ref="S91">Common_InputFunctions.Utility_DisplayArrayInTable(Common_SourceData.Common_SourceData_ClimateZones_Data(), Table_SourceData_ClimateZones[[#Headers],[Climate zone]], 0)</f>
        <v>999999</v>
      </c>
      <c r="T91" s="30"/>
    </row>
    <row r="92" spans="1:20" ht="20.100000000000001" customHeight="1" x14ac:dyDescent="0.25">
      <c r="A92"/>
      <c r="D92" s="30" t="str" cm="1">
        <f t="array" ref="D92">Common_InputFunctions.Utility_DisplayArrayInTable(Common_SourceData.Common_SourceData_ClimateZones_Data(), Table_SourceData_ClimateZones[[#Headers],[Climate zone]], 0)</f>
        <v>Tropical moist</v>
      </c>
      <c r="E92" s="30" t="str" cm="1">
        <f t="array" ref="E92">Common_InputFunctions.Utility_DisplayArrayInTable(Common_SourceData.Common_SourceData_ClimateZones_Data(), Table_SourceData_ClimateZones[[#Headers],[Climate zone]], 0)</f>
        <v>&gt; 18 C</v>
      </c>
      <c r="F92" s="30" t="str" cm="1">
        <f t="array" ref="F92">Common_InputFunctions.Utility_DisplayArrayInTable(Common_SourceData.Common_SourceData_ClimateZones_Data(), Table_SourceData_ClimateZones[[#Headers],[Climate zone]], 0)</f>
        <v>&gt; 1000 mm - ≤ 2000 mm</v>
      </c>
      <c r="G92" s="30" t="str" cm="1">
        <f t="array" ref="G92">Common_InputFunctions.Utility_DisplayArrayInTable(Common_SourceData.Common_SourceData_ClimateZones_Data(), Table_SourceData_ClimateZones[[#Headers],[Climate zone]], 0)</f>
        <v>≤ 7</v>
      </c>
      <c r="H92" s="30" t="str" cm="1">
        <f t="array" ref="H92">Common_InputFunctions.Utility_DisplayArrayInTable(Common_SourceData.Common_SourceData_ClimateZones_Data(), Table_SourceData_ClimateZones[[#Headers],[Climate zone]], 0)</f>
        <v>≤ 1000 m</v>
      </c>
      <c r="I92" s="30" t="str" cm="1">
        <f t="array" ref="I92">Common_InputFunctions.Utility_DisplayArrayInTable(Common_SourceData.Common_SourceData_ClimateZones_Data(), Table_SourceData_ClimateZones[[#Headers],[Climate zone]], 0)</f>
        <v>Any</v>
      </c>
      <c r="J92" s="30" cm="1">
        <f t="array" ref="J92">Common_InputFunctions.Utility_DisplayArrayInTable(Common_SourceData.Common_SourceData_ClimateZones_Data(), Table_SourceData_ClimateZones[[#Headers],[Climate zone]], 0)</f>
        <v>18.001000000000001</v>
      </c>
      <c r="K92" s="30" cm="1">
        <f t="array" ref="K92">Common_InputFunctions.Utility_DisplayArrayInTable(Common_SourceData.Common_SourceData_ClimateZones_Data(), Table_SourceData_ClimateZones[[#Headers],[Climate zone]], 0)</f>
        <v>999999</v>
      </c>
      <c r="L92" s="30" cm="1">
        <f t="array" ref="L92">Common_InputFunctions.Utility_DisplayArrayInTable(Common_SourceData.Common_SourceData_ClimateZones_Data(), Table_SourceData_ClimateZones[[#Headers],[Climate zone]], 0)</f>
        <v>1000.001</v>
      </c>
      <c r="M92" s="30" cm="1">
        <f t="array" ref="M92">Common_InputFunctions.Utility_DisplayArrayInTable(Common_SourceData.Common_SourceData_ClimateZones_Data(), Table_SourceData_ClimateZones[[#Headers],[Climate zone]], 0)</f>
        <v>2000</v>
      </c>
      <c r="N92" s="30" cm="1">
        <f t="array" ref="N92">Common_InputFunctions.Utility_DisplayArrayInTable(Common_SourceData.Common_SourceData_ClimateZones_Data(), Table_SourceData_ClimateZones[[#Headers],[Climate zone]], 0)</f>
        <v>-999999</v>
      </c>
      <c r="O92" s="30" cm="1">
        <f t="array" ref="O92">Common_InputFunctions.Utility_DisplayArrayInTable(Common_SourceData.Common_SourceData_ClimateZones_Data(), Table_SourceData_ClimateZones[[#Headers],[Climate zone]], 0)</f>
        <v>7</v>
      </c>
      <c r="P92" s="30" cm="1">
        <f t="array" ref="P92">Common_InputFunctions.Utility_DisplayArrayInTable(Common_SourceData.Common_SourceData_ClimateZones_Data(), Table_SourceData_ClimateZones[[#Headers],[Climate zone]], 0)</f>
        <v>-999999</v>
      </c>
      <c r="Q92" s="30" cm="1">
        <f t="array" ref="Q92">Common_InputFunctions.Utility_DisplayArrayInTable(Common_SourceData.Common_SourceData_ClimateZones_Data(), Table_SourceData_ClimateZones[[#Headers],[Climate zone]], 0)</f>
        <v>999.99900000000002</v>
      </c>
      <c r="R92" s="30" cm="1">
        <f t="array" ref="R92">Common_InputFunctions.Utility_DisplayArrayInTable(Common_SourceData.Common_SourceData_ClimateZones_Data(), Table_SourceData_ClimateZones[[#Headers],[Climate zone]], 0)</f>
        <v>-999999</v>
      </c>
      <c r="S92" s="30" cm="1">
        <f t="array" ref="S92">Common_InputFunctions.Utility_DisplayArrayInTable(Common_SourceData.Common_SourceData_ClimateZones_Data(), Table_SourceData_ClimateZones[[#Headers],[Climate zone]], 0)</f>
        <v>999999</v>
      </c>
      <c r="T92" s="30"/>
    </row>
    <row r="93" spans="1:20" ht="20.100000000000001" customHeight="1" x14ac:dyDescent="0.25">
      <c r="A93"/>
      <c r="D93" s="30" t="str" cm="1">
        <f t="array" ref="D93">Common_InputFunctions.Utility_DisplayArrayInTable(Common_SourceData.Common_SourceData_ClimateZones_Data(), Table_SourceData_ClimateZones[[#Headers],[Climate zone]], 0)</f>
        <v>Tropical dry</v>
      </c>
      <c r="E93" s="30" t="str" cm="1">
        <f t="array" ref="E93">Common_InputFunctions.Utility_DisplayArrayInTable(Common_SourceData.Common_SourceData_ClimateZones_Data(), Table_SourceData_ClimateZones[[#Headers],[Climate zone]], 0)</f>
        <v>&gt; 18 C</v>
      </c>
      <c r="F93" s="30" t="str" cm="1">
        <f t="array" ref="F93">Common_InputFunctions.Utility_DisplayArrayInTable(Common_SourceData.Common_SourceData_ClimateZones_Data(), Table_SourceData_ClimateZones[[#Headers],[Climate zone]], 0)</f>
        <v>≤ 1000 mm</v>
      </c>
      <c r="G93" s="30" t="str" cm="1">
        <f t="array" ref="G93">Common_InputFunctions.Utility_DisplayArrayInTable(Common_SourceData.Common_SourceData_ClimateZones_Data(), Table_SourceData_ClimateZones[[#Headers],[Climate zone]], 0)</f>
        <v>≤ 7</v>
      </c>
      <c r="H93" s="30" t="str" cm="1">
        <f t="array" ref="H93">Common_InputFunctions.Utility_DisplayArrayInTable(Common_SourceData.Common_SourceData_ClimateZones_Data(), Table_SourceData_ClimateZones[[#Headers],[Climate zone]], 0)</f>
        <v>≤ 1000 m</v>
      </c>
      <c r="I93" s="30" t="str" cm="1">
        <f t="array" ref="I93">Common_InputFunctions.Utility_DisplayArrayInTable(Common_SourceData.Common_SourceData_ClimateZones_Data(), Table_SourceData_ClimateZones[[#Headers],[Climate zone]], 0)</f>
        <v>Any</v>
      </c>
      <c r="J93" s="30" cm="1">
        <f t="array" ref="J93">Common_InputFunctions.Utility_DisplayArrayInTable(Common_SourceData.Common_SourceData_ClimateZones_Data(), Table_SourceData_ClimateZones[[#Headers],[Climate zone]], 0)</f>
        <v>18.001000000000001</v>
      </c>
      <c r="K93" s="30" cm="1">
        <f t="array" ref="K93">Common_InputFunctions.Utility_DisplayArrayInTable(Common_SourceData.Common_SourceData_ClimateZones_Data(), Table_SourceData_ClimateZones[[#Headers],[Climate zone]], 0)</f>
        <v>999999</v>
      </c>
      <c r="L93" s="30" cm="1">
        <f t="array" ref="L93">Common_InputFunctions.Utility_DisplayArrayInTable(Common_SourceData.Common_SourceData_ClimateZones_Data(), Table_SourceData_ClimateZones[[#Headers],[Climate zone]], 0)</f>
        <v>-999999</v>
      </c>
      <c r="M93" s="30" cm="1">
        <f t="array" ref="M93">Common_InputFunctions.Utility_DisplayArrayInTable(Common_SourceData.Common_SourceData_ClimateZones_Data(), Table_SourceData_ClimateZones[[#Headers],[Climate zone]], 0)</f>
        <v>1000</v>
      </c>
      <c r="N93" s="30" cm="1">
        <f t="array" ref="N93">Common_InputFunctions.Utility_DisplayArrayInTable(Common_SourceData.Common_SourceData_ClimateZones_Data(), Table_SourceData_ClimateZones[[#Headers],[Climate zone]], 0)</f>
        <v>-999999</v>
      </c>
      <c r="O93" s="30" cm="1">
        <f t="array" ref="O93">Common_InputFunctions.Utility_DisplayArrayInTable(Common_SourceData.Common_SourceData_ClimateZones_Data(), Table_SourceData_ClimateZones[[#Headers],[Climate zone]], 0)</f>
        <v>7</v>
      </c>
      <c r="P93" s="30" cm="1">
        <f t="array" ref="P93">Common_InputFunctions.Utility_DisplayArrayInTable(Common_SourceData.Common_SourceData_ClimateZones_Data(), Table_SourceData_ClimateZones[[#Headers],[Climate zone]], 0)</f>
        <v>-999999</v>
      </c>
      <c r="Q93" s="30" cm="1">
        <f t="array" ref="Q93">Common_InputFunctions.Utility_DisplayArrayInTable(Common_SourceData.Common_SourceData_ClimateZones_Data(), Table_SourceData_ClimateZones[[#Headers],[Climate zone]], 0)</f>
        <v>999.99900000000002</v>
      </c>
      <c r="R93" s="30" cm="1">
        <f t="array" ref="R93">Common_InputFunctions.Utility_DisplayArrayInTable(Common_SourceData.Common_SourceData_ClimateZones_Data(), Table_SourceData_ClimateZones[[#Headers],[Climate zone]], 0)</f>
        <v>-999999</v>
      </c>
      <c r="S93" s="30" cm="1">
        <f t="array" ref="S93">Common_InputFunctions.Utility_DisplayArrayInTable(Common_SourceData.Common_SourceData_ClimateZones_Data(), Table_SourceData_ClimateZones[[#Headers],[Climate zone]], 0)</f>
        <v>999999</v>
      </c>
      <c r="T93" s="30"/>
    </row>
    <row r="94" spans="1:20" ht="20.100000000000001" customHeight="1" x14ac:dyDescent="0.25">
      <c r="A94"/>
      <c r="D94" s="30" t="str" cm="1">
        <f t="array" ref="D94">Common_InputFunctions.Utility_DisplayArrayInTable(Common_SourceData.Common_SourceData_ClimateZones_Data(), Table_SourceData_ClimateZones[[#Headers],[Climate zone]], 0)</f>
        <v>Warm temperate moist</v>
      </c>
      <c r="E94" s="30" t="str" cm="1">
        <f t="array" ref="E94">Common_InputFunctions.Utility_DisplayArrayInTable(Common_SourceData.Common_SourceData_ClimateZones_Data(), Table_SourceData_ClimateZones[[#Headers],[Climate zone]], 0)</f>
        <v>&gt; 10 C</v>
      </c>
      <c r="F94" s="30" t="str" cm="1">
        <f t="array" ref="F94">Common_InputFunctions.Utility_DisplayArrayInTable(Common_SourceData.Common_SourceData_ClimateZones_Data(), Table_SourceData_ClimateZones[[#Headers],[Climate zone]], 0)</f>
        <v>Any</v>
      </c>
      <c r="G94" s="30" t="str" cm="1">
        <f t="array" ref="G94">Common_InputFunctions.Utility_DisplayArrayInTable(Common_SourceData.Common_SourceData_ClimateZones_Data(), Table_SourceData_ClimateZones[[#Headers],[Climate zone]], 0)</f>
        <v>Any</v>
      </c>
      <c r="H94" s="30" t="str" cm="1">
        <f t="array" ref="H94">Common_InputFunctions.Utility_DisplayArrayInTable(Common_SourceData.Common_SourceData_ClimateZones_Data(), Table_SourceData_ClimateZones[[#Headers],[Climate zone]], 0)</f>
        <v>Any</v>
      </c>
      <c r="I94" s="30" t="str" cm="1">
        <f t="array" ref="I94">Common_InputFunctions.Utility_DisplayArrayInTable(Common_SourceData.Common_SourceData_ClimateZones_Data(), Table_SourceData_ClimateZones[[#Headers],[Climate zone]], 0)</f>
        <v>&gt; 1</v>
      </c>
      <c r="J94" s="30" cm="1">
        <f t="array" ref="J94">Common_InputFunctions.Utility_DisplayArrayInTable(Common_SourceData.Common_SourceData_ClimateZones_Data(), Table_SourceData_ClimateZones[[#Headers],[Climate zone]], 0)</f>
        <v>10.000999999999999</v>
      </c>
      <c r="K94" s="30" cm="1">
        <f t="array" ref="K94">Common_InputFunctions.Utility_DisplayArrayInTable(Common_SourceData.Common_SourceData_ClimateZones_Data(), Table_SourceData_ClimateZones[[#Headers],[Climate zone]], 0)</f>
        <v>999999</v>
      </c>
      <c r="L94" s="30" cm="1">
        <f t="array" ref="L94">Common_InputFunctions.Utility_DisplayArrayInTable(Common_SourceData.Common_SourceData_ClimateZones_Data(), Table_SourceData_ClimateZones[[#Headers],[Climate zone]], 0)</f>
        <v>-999999</v>
      </c>
      <c r="M94" s="30" cm="1">
        <f t="array" ref="M94">Common_InputFunctions.Utility_DisplayArrayInTable(Common_SourceData.Common_SourceData_ClimateZones_Data(), Table_SourceData_ClimateZones[[#Headers],[Climate zone]], 0)</f>
        <v>999999</v>
      </c>
      <c r="N94" s="30" cm="1">
        <f t="array" ref="N94">Common_InputFunctions.Utility_DisplayArrayInTable(Common_SourceData.Common_SourceData_ClimateZones_Data(), Table_SourceData_ClimateZones[[#Headers],[Climate zone]], 0)</f>
        <v>-999999</v>
      </c>
      <c r="O94" s="30" cm="1">
        <f t="array" ref="O94">Common_InputFunctions.Utility_DisplayArrayInTable(Common_SourceData.Common_SourceData_ClimateZones_Data(), Table_SourceData_ClimateZones[[#Headers],[Climate zone]], 0)</f>
        <v>999999</v>
      </c>
      <c r="P94" s="30" cm="1">
        <f t="array" ref="P94">Common_InputFunctions.Utility_DisplayArrayInTable(Common_SourceData.Common_SourceData_ClimateZones_Data(), Table_SourceData_ClimateZones[[#Headers],[Climate zone]], 0)</f>
        <v>-999999</v>
      </c>
      <c r="Q94" s="30" cm="1">
        <f t="array" ref="Q94">Common_InputFunctions.Utility_DisplayArrayInTable(Common_SourceData.Common_SourceData_ClimateZones_Data(), Table_SourceData_ClimateZones[[#Headers],[Climate zone]], 0)</f>
        <v>999999</v>
      </c>
      <c r="R94" s="30" cm="1">
        <f t="array" ref="R94">Common_InputFunctions.Utility_DisplayArrayInTable(Common_SourceData.Common_SourceData_ClimateZones_Data(), Table_SourceData_ClimateZones[[#Headers],[Climate zone]], 0)</f>
        <v>1.0009999999999999</v>
      </c>
      <c r="S94" s="30" cm="1">
        <f t="array" ref="S94">Common_InputFunctions.Utility_DisplayArrayInTable(Common_SourceData.Common_SourceData_ClimateZones_Data(), Table_SourceData_ClimateZones[[#Headers],[Climate zone]], 0)</f>
        <v>999999</v>
      </c>
      <c r="T94" s="30"/>
    </row>
    <row r="95" spans="1:20" ht="20.100000000000001" customHeight="1" x14ac:dyDescent="0.25">
      <c r="A95"/>
      <c r="D95" s="30" t="str" cm="1">
        <f t="array" ref="D95">Common_InputFunctions.Utility_DisplayArrayInTable(Common_SourceData.Common_SourceData_ClimateZones_Data(), Table_SourceData_ClimateZones[[#Headers],[Climate zone]], 0)</f>
        <v>Warm temperate dry</v>
      </c>
      <c r="E95" s="30" t="str" cm="1">
        <f t="array" ref="E95">Common_InputFunctions.Utility_DisplayArrayInTable(Common_SourceData.Common_SourceData_ClimateZones_Data(), Table_SourceData_ClimateZones[[#Headers],[Climate zone]], 0)</f>
        <v>&gt; 10 C</v>
      </c>
      <c r="F95" s="30" t="str" cm="1">
        <f t="array" ref="F95">Common_InputFunctions.Utility_DisplayArrayInTable(Common_SourceData.Common_SourceData_ClimateZones_Data(), Table_SourceData_ClimateZones[[#Headers],[Climate zone]], 0)</f>
        <v>Any</v>
      </c>
      <c r="G95" s="30" t="str" cm="1">
        <f t="array" ref="G95">Common_InputFunctions.Utility_DisplayArrayInTable(Common_SourceData.Common_SourceData_ClimateZones_Data(), Table_SourceData_ClimateZones[[#Headers],[Climate zone]], 0)</f>
        <v>Any</v>
      </c>
      <c r="H95" s="30" t="str" cm="1">
        <f t="array" ref="H95">Common_InputFunctions.Utility_DisplayArrayInTable(Common_SourceData.Common_SourceData_ClimateZones_Data(), Table_SourceData_ClimateZones[[#Headers],[Climate zone]], 0)</f>
        <v>Any</v>
      </c>
      <c r="I95" s="30" t="str" cm="1">
        <f t="array" ref="I95">Common_InputFunctions.Utility_DisplayArrayInTable(Common_SourceData.Common_SourceData_ClimateZones_Data(), Table_SourceData_ClimateZones[[#Headers],[Climate zone]], 0)</f>
        <v>≤ 1</v>
      </c>
      <c r="J95" s="30" cm="1">
        <f t="array" ref="J95">Common_InputFunctions.Utility_DisplayArrayInTable(Common_SourceData.Common_SourceData_ClimateZones_Data(), Table_SourceData_ClimateZones[[#Headers],[Climate zone]], 0)</f>
        <v>10.000999999999999</v>
      </c>
      <c r="K95" s="30" cm="1">
        <f t="array" ref="K95">Common_InputFunctions.Utility_DisplayArrayInTable(Common_SourceData.Common_SourceData_ClimateZones_Data(), Table_SourceData_ClimateZones[[#Headers],[Climate zone]], 0)</f>
        <v>999999</v>
      </c>
      <c r="L95" s="30" cm="1">
        <f t="array" ref="L95">Common_InputFunctions.Utility_DisplayArrayInTable(Common_SourceData.Common_SourceData_ClimateZones_Data(), Table_SourceData_ClimateZones[[#Headers],[Climate zone]], 0)</f>
        <v>-999999</v>
      </c>
      <c r="M95" s="30" cm="1">
        <f t="array" ref="M95">Common_InputFunctions.Utility_DisplayArrayInTable(Common_SourceData.Common_SourceData_ClimateZones_Data(), Table_SourceData_ClimateZones[[#Headers],[Climate zone]], 0)</f>
        <v>999999</v>
      </c>
      <c r="N95" s="30" cm="1">
        <f t="array" ref="N95">Common_InputFunctions.Utility_DisplayArrayInTable(Common_SourceData.Common_SourceData_ClimateZones_Data(), Table_SourceData_ClimateZones[[#Headers],[Climate zone]], 0)</f>
        <v>-999999</v>
      </c>
      <c r="O95" s="30" cm="1">
        <f t="array" ref="O95">Common_InputFunctions.Utility_DisplayArrayInTable(Common_SourceData.Common_SourceData_ClimateZones_Data(), Table_SourceData_ClimateZones[[#Headers],[Climate zone]], 0)</f>
        <v>999999</v>
      </c>
      <c r="P95" s="30" cm="1">
        <f t="array" ref="P95">Common_InputFunctions.Utility_DisplayArrayInTable(Common_SourceData.Common_SourceData_ClimateZones_Data(), Table_SourceData_ClimateZones[[#Headers],[Climate zone]], 0)</f>
        <v>-999999</v>
      </c>
      <c r="Q95" s="30" cm="1">
        <f t="array" ref="Q95">Common_InputFunctions.Utility_DisplayArrayInTable(Common_SourceData.Common_SourceData_ClimateZones_Data(), Table_SourceData_ClimateZones[[#Headers],[Climate zone]], 0)</f>
        <v>999999</v>
      </c>
      <c r="R95" s="30" cm="1">
        <f t="array" ref="R95">Common_InputFunctions.Utility_DisplayArrayInTable(Common_SourceData.Common_SourceData_ClimateZones_Data(), Table_SourceData_ClimateZones[[#Headers],[Climate zone]], 0)</f>
        <v>-999999</v>
      </c>
      <c r="S95" s="30" cm="1">
        <f t="array" ref="S95">Common_InputFunctions.Utility_DisplayArrayInTable(Common_SourceData.Common_SourceData_ClimateZones_Data(), Table_SourceData_ClimateZones[[#Headers],[Climate zone]], 0)</f>
        <v>1</v>
      </c>
      <c r="T95" s="30"/>
    </row>
    <row r="96" spans="1:20" ht="20.100000000000001" customHeight="1" x14ac:dyDescent="0.25">
      <c r="A96"/>
      <c r="D96" s="30" t="str" cm="1">
        <f t="array" ref="D96">Common_InputFunctions.Utility_DisplayArrayInTable(Common_SourceData.Common_SourceData_ClimateZones_Data(), Table_SourceData_ClimateZones[[#Headers],[Climate zone]], 0)</f>
        <v>Cool temperate moist</v>
      </c>
      <c r="E96" s="30" t="str" cm="1">
        <f t="array" ref="E96">Common_InputFunctions.Utility_DisplayArrayInTable(Common_SourceData.Common_SourceData_ClimateZones_Data(), Table_SourceData_ClimateZones[[#Headers],[Climate zone]], 0)</f>
        <v>&gt; 0 C - ≤ 10 C</v>
      </c>
      <c r="F96" s="30" t="str" cm="1">
        <f t="array" ref="F96">Common_InputFunctions.Utility_DisplayArrayInTable(Common_SourceData.Common_SourceData_ClimateZones_Data(), Table_SourceData_ClimateZones[[#Headers],[Climate zone]], 0)</f>
        <v>Any</v>
      </c>
      <c r="G96" s="30" t="str" cm="1">
        <f t="array" ref="G96">Common_InputFunctions.Utility_DisplayArrayInTable(Common_SourceData.Common_SourceData_ClimateZones_Data(), Table_SourceData_ClimateZones[[#Headers],[Climate zone]], 0)</f>
        <v>Any</v>
      </c>
      <c r="H96" s="30" t="str" cm="1">
        <f t="array" ref="H96">Common_InputFunctions.Utility_DisplayArrayInTable(Common_SourceData.Common_SourceData_ClimateZones_Data(), Table_SourceData_ClimateZones[[#Headers],[Climate zone]], 0)</f>
        <v>Any</v>
      </c>
      <c r="I96" s="30" t="str" cm="1">
        <f t="array" ref="I96">Common_InputFunctions.Utility_DisplayArrayInTable(Common_SourceData.Common_SourceData_ClimateZones_Data(), Table_SourceData_ClimateZones[[#Headers],[Climate zone]], 0)</f>
        <v>&gt; 1</v>
      </c>
      <c r="J96" s="30" cm="1">
        <f t="array" ref="J96">Common_InputFunctions.Utility_DisplayArrayInTable(Common_SourceData.Common_SourceData_ClimateZones_Data(), Table_SourceData_ClimateZones[[#Headers],[Climate zone]], 0)</f>
        <v>-999999</v>
      </c>
      <c r="K96" s="30" cm="1">
        <f t="array" ref="K96">Common_InputFunctions.Utility_DisplayArrayInTable(Common_SourceData.Common_SourceData_ClimateZones_Data(), Table_SourceData_ClimateZones[[#Headers],[Climate zone]], 0)</f>
        <v>10</v>
      </c>
      <c r="L96" s="30" cm="1">
        <f t="array" ref="L96">Common_InputFunctions.Utility_DisplayArrayInTable(Common_SourceData.Common_SourceData_ClimateZones_Data(), Table_SourceData_ClimateZones[[#Headers],[Climate zone]], 0)</f>
        <v>-999999</v>
      </c>
      <c r="M96" s="30" cm="1">
        <f t="array" ref="M96">Common_InputFunctions.Utility_DisplayArrayInTable(Common_SourceData.Common_SourceData_ClimateZones_Data(), Table_SourceData_ClimateZones[[#Headers],[Climate zone]], 0)</f>
        <v>999999</v>
      </c>
      <c r="N96" s="30" cm="1">
        <f t="array" ref="N96">Common_InputFunctions.Utility_DisplayArrayInTable(Common_SourceData.Common_SourceData_ClimateZones_Data(), Table_SourceData_ClimateZones[[#Headers],[Climate zone]], 0)</f>
        <v>-999999</v>
      </c>
      <c r="O96" s="30" cm="1">
        <f t="array" ref="O96">Common_InputFunctions.Utility_DisplayArrayInTable(Common_SourceData.Common_SourceData_ClimateZones_Data(), Table_SourceData_ClimateZones[[#Headers],[Climate zone]], 0)</f>
        <v>999999</v>
      </c>
      <c r="P96" s="30" cm="1">
        <f t="array" ref="P96">Common_InputFunctions.Utility_DisplayArrayInTable(Common_SourceData.Common_SourceData_ClimateZones_Data(), Table_SourceData_ClimateZones[[#Headers],[Climate zone]], 0)</f>
        <v>-999999</v>
      </c>
      <c r="Q96" s="30" cm="1">
        <f t="array" ref="Q96">Common_InputFunctions.Utility_DisplayArrayInTable(Common_SourceData.Common_SourceData_ClimateZones_Data(), Table_SourceData_ClimateZones[[#Headers],[Climate zone]], 0)</f>
        <v>999999</v>
      </c>
      <c r="R96" s="30" cm="1">
        <f t="array" ref="R96">Common_InputFunctions.Utility_DisplayArrayInTable(Common_SourceData.Common_SourceData_ClimateZones_Data(), Table_SourceData_ClimateZones[[#Headers],[Climate zone]], 0)</f>
        <v>1.0009999999999999</v>
      </c>
      <c r="S96" s="30" cm="1">
        <f t="array" ref="S96">Common_InputFunctions.Utility_DisplayArrayInTable(Common_SourceData.Common_SourceData_ClimateZones_Data(), Table_SourceData_ClimateZones[[#Headers],[Climate zone]], 0)</f>
        <v>999999</v>
      </c>
      <c r="T96" s="30"/>
    </row>
    <row r="97" spans="1:20" ht="20.100000000000001" customHeight="1" x14ac:dyDescent="0.25">
      <c r="A97"/>
      <c r="D97" s="30" t="str" cm="1">
        <f t="array" ref="D97">Common_InputFunctions.Utility_DisplayArrayInTable(Common_SourceData.Common_SourceData_ClimateZones_Data(), Table_SourceData_ClimateZones[[#Headers],[Climate zone]], 0)</f>
        <v>Cool temperate dry</v>
      </c>
      <c r="E97" s="30" t="str" cm="1">
        <f t="array" ref="E97">Common_InputFunctions.Utility_DisplayArrayInTable(Common_SourceData.Common_SourceData_ClimateZones_Data(), Table_SourceData_ClimateZones[[#Headers],[Climate zone]], 0)</f>
        <v>&gt; 0 C - ≤ 10 C</v>
      </c>
      <c r="F97" s="30" t="str" cm="1">
        <f t="array" ref="F97">Common_InputFunctions.Utility_DisplayArrayInTable(Common_SourceData.Common_SourceData_ClimateZones_Data(), Table_SourceData_ClimateZones[[#Headers],[Climate zone]], 0)</f>
        <v>Any</v>
      </c>
      <c r="G97" s="30" t="str" cm="1">
        <f t="array" ref="G97">Common_InputFunctions.Utility_DisplayArrayInTable(Common_SourceData.Common_SourceData_ClimateZones_Data(), Table_SourceData_ClimateZones[[#Headers],[Climate zone]], 0)</f>
        <v>Any</v>
      </c>
      <c r="H97" s="30" t="str" cm="1">
        <f t="array" ref="H97">Common_InputFunctions.Utility_DisplayArrayInTable(Common_SourceData.Common_SourceData_ClimateZones_Data(), Table_SourceData_ClimateZones[[#Headers],[Climate zone]], 0)</f>
        <v>Any</v>
      </c>
      <c r="I97" s="30" t="str" cm="1">
        <f t="array" ref="I97">Common_InputFunctions.Utility_DisplayArrayInTable(Common_SourceData.Common_SourceData_ClimateZones_Data(), Table_SourceData_ClimateZones[[#Headers],[Climate zone]], 0)</f>
        <v>≤ 1</v>
      </c>
      <c r="J97" s="30" cm="1">
        <f t="array" ref="J97">Common_InputFunctions.Utility_DisplayArrayInTable(Common_SourceData.Common_SourceData_ClimateZones_Data(), Table_SourceData_ClimateZones[[#Headers],[Climate zone]], 0)</f>
        <v>-999999</v>
      </c>
      <c r="K97" s="30" cm="1">
        <f t="array" ref="K97">Common_InputFunctions.Utility_DisplayArrayInTable(Common_SourceData.Common_SourceData_ClimateZones_Data(), Table_SourceData_ClimateZones[[#Headers],[Climate zone]], 0)</f>
        <v>10</v>
      </c>
      <c r="L97" s="30" cm="1">
        <f t="array" ref="L97">Common_InputFunctions.Utility_DisplayArrayInTable(Common_SourceData.Common_SourceData_ClimateZones_Data(), Table_SourceData_ClimateZones[[#Headers],[Climate zone]], 0)</f>
        <v>-999999</v>
      </c>
      <c r="M97" s="30" cm="1">
        <f t="array" ref="M97">Common_InputFunctions.Utility_DisplayArrayInTable(Common_SourceData.Common_SourceData_ClimateZones_Data(), Table_SourceData_ClimateZones[[#Headers],[Climate zone]], 0)</f>
        <v>999999</v>
      </c>
      <c r="N97" s="30" cm="1">
        <f t="array" ref="N97">Common_InputFunctions.Utility_DisplayArrayInTable(Common_SourceData.Common_SourceData_ClimateZones_Data(), Table_SourceData_ClimateZones[[#Headers],[Climate zone]], 0)</f>
        <v>-999999</v>
      </c>
      <c r="O97" s="30" cm="1">
        <f t="array" ref="O97">Common_InputFunctions.Utility_DisplayArrayInTable(Common_SourceData.Common_SourceData_ClimateZones_Data(), Table_SourceData_ClimateZones[[#Headers],[Climate zone]], 0)</f>
        <v>999999</v>
      </c>
      <c r="P97" s="30" cm="1">
        <f t="array" ref="P97">Common_InputFunctions.Utility_DisplayArrayInTable(Common_SourceData.Common_SourceData_ClimateZones_Data(), Table_SourceData_ClimateZones[[#Headers],[Climate zone]], 0)</f>
        <v>-999999</v>
      </c>
      <c r="Q97" s="30" cm="1">
        <f t="array" ref="Q97">Common_InputFunctions.Utility_DisplayArrayInTable(Common_SourceData.Common_SourceData_ClimateZones_Data(), Table_SourceData_ClimateZones[[#Headers],[Climate zone]], 0)</f>
        <v>999999</v>
      </c>
      <c r="R97" s="30" cm="1">
        <f t="array" ref="R97">Common_InputFunctions.Utility_DisplayArrayInTable(Common_SourceData.Common_SourceData_ClimateZones_Data(), Table_SourceData_ClimateZones[[#Headers],[Climate zone]], 0)</f>
        <v>-999999</v>
      </c>
      <c r="S97" s="30" cm="1">
        <f t="array" ref="S97">Common_InputFunctions.Utility_DisplayArrayInTable(Common_SourceData.Common_SourceData_ClimateZones_Data(), Table_SourceData_ClimateZones[[#Headers],[Climate zone]], 0)</f>
        <v>1</v>
      </c>
      <c r="T97" s="30"/>
    </row>
    <row r="98" spans="1:20" ht="20.100000000000001" customHeight="1" x14ac:dyDescent="0.25">
      <c r="A98"/>
    </row>
    <row r="99" spans="1:20" ht="20.100000000000001" customHeight="1" x14ac:dyDescent="0.25">
      <c r="A99"/>
      <c r="D99" s="15" t="str" cm="1">
        <f t="array" ref="D99:D102">Common_SourceData.Common_SourceData_ClimateZones_Appendices()</f>
        <v>Note:</v>
      </c>
    </row>
    <row r="100" spans="1:20" ht="20.100000000000001" customHeight="1" x14ac:dyDescent="0.25">
      <c r="A100"/>
      <c r="D100" s="15" t="str">
        <v>MAT = mean annual temperature</v>
      </c>
    </row>
    <row r="101" spans="1:20" ht="20.100000000000001" customHeight="1" x14ac:dyDescent="0.25">
      <c r="A101"/>
      <c r="D101" s="15" t="str">
        <v>MAP = mean annual precipitation</v>
      </c>
    </row>
    <row r="102" spans="1:20" ht="20.100000000000001" customHeight="1" x14ac:dyDescent="0.25">
      <c r="A102"/>
      <c r="D102" s="15" t="str">
        <v>PET = potential evapotranspiration</v>
      </c>
    </row>
    <row r="103" spans="1:20" ht="20.100000000000001" customHeight="1" x14ac:dyDescent="0.25">
      <c r="A103"/>
      <c r="D103" s="15"/>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27" t="str" cm="1">
        <f t="array" ref="D106">Common_SourceData.Common_SourceData_TemperatureZones_Source()</f>
        <v>VEERG 2026: Table 1.3: Climate and Rainfall zone classifications and definitions</v>
      </c>
    </row>
    <row r="107" spans="1:20" ht="20.100000000000001" customHeight="1" x14ac:dyDescent="0.25">
      <c r="A107"/>
      <c r="D107" s="3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0" t="s">
        <v>48</v>
      </c>
      <c r="E109" s="30" t="s">
        <v>33</v>
      </c>
      <c r="F109" s="30" t="s">
        <v>49</v>
      </c>
      <c r="G109" s="30" t="s">
        <v>50</v>
      </c>
    </row>
    <row r="110" spans="1:20" ht="20.100000000000001" customHeight="1" x14ac:dyDescent="0.25">
      <c r="A110"/>
      <c r="D110" s="30" t="str" cm="1">
        <f t="array" ref="D110">Common_InputFunctions.Utility_DisplayArrayInTable(Common_SourceData.Common_SourceData_TemperatureZones_Data(),Table_SourceData_TemperatureZones[[#Headers],[Temperature Zone]],0)</f>
        <v>Warm</v>
      </c>
      <c r="E110" s="30" t="str" cm="1">
        <f t="array" ref="E110">Common_InputFunctions.Utility_DisplayArrayInTable(Common_SourceData.Common_SourceData_TemperatureZones_Data(),Table_SourceData_TemperatureZones[[#Headers],[Temperature Zone]],0)</f>
        <v>≥ 26 C</v>
      </c>
      <c r="F110" s="30" cm="1">
        <f t="array" ref="F110">Common_InputFunctions.Utility_DisplayArrayInTable(Common_SourceData.Common_SourceData_TemperatureZones_Data(),Table_SourceData_TemperatureZones[[#Headers],[Temperature Zone]],0)</f>
        <v>26</v>
      </c>
      <c r="G110" s="3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0" t="str" cm="1">
        <f t="array" ref="D111">Common_InputFunctions.Utility_DisplayArrayInTable(Common_SourceData.Common_SourceData_TemperatureZones_Data(),Table_SourceData_TemperatureZones[[#Headers],[Temperature Zone]],0)</f>
        <v>Temperate</v>
      </c>
      <c r="E111" s="30" t="str" cm="1">
        <f t="array" ref="E111">Common_InputFunctions.Utility_DisplayArrayInTable(Common_SourceData.Common_SourceData_TemperatureZones_Data(),Table_SourceData_TemperatureZones[[#Headers],[Temperature Zone]],0)</f>
        <v>15 - 25 C</v>
      </c>
      <c r="F111" s="30" cm="1">
        <f t="array" ref="F111">Common_InputFunctions.Utility_DisplayArrayInTable(Common_SourceData.Common_SourceData_TemperatureZones_Data(),Table_SourceData_TemperatureZones[[#Headers],[Temperature Zone]],0)</f>
        <v>15</v>
      </c>
      <c r="G111" s="3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0" t="str" cm="1">
        <f t="array" ref="D112">Common_InputFunctions.Utility_DisplayArrayInTable(Common_SourceData.Common_SourceData_TemperatureZones_Data(),Table_SourceData_TemperatureZones[[#Headers],[Temperature Zone]],0)</f>
        <v>Cool</v>
      </c>
      <c r="E112" s="30" t="str" cm="1">
        <f t="array" ref="E112">Common_InputFunctions.Utility_DisplayArrayInTable(Common_SourceData.Common_SourceData_TemperatureZones_Data(),Table_SourceData_TemperatureZones[[#Headers],[Temperature Zone]],0)</f>
        <v>≤ 14 C</v>
      </c>
      <c r="F112" s="30" cm="1">
        <f t="array" ref="F112">Common_InputFunctions.Utility_DisplayArrayInTable(Common_SourceData.Common_SourceData_TemperatureZones_Data(),Table_SourceData_TemperatureZones[[#Headers],[Temperature Zone]],0)</f>
        <v>-999999</v>
      </c>
      <c r="G112" s="3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32"/>
    </row>
    <row r="116" spans="1:66" ht="20.100000000000001" customHeight="1" x14ac:dyDescent="0.25">
      <c r="A116"/>
      <c r="D116" s="27" t="str" cm="1">
        <f t="array" ref="D116">Common_SourceData.Common_SourceData_RainfallZones_Source()</f>
        <v>VEERG 2026: Table 1.3: Climate and Rainfall zone classifications and definitions</v>
      </c>
      <c r="BN116" s="32"/>
    </row>
    <row r="117" spans="1:66" ht="20.100000000000001" customHeight="1" x14ac:dyDescent="0.25">
      <c r="A117"/>
      <c r="D117" s="36" t="str" cm="1">
        <f t="array" ref="D117">"⚠️" &amp; Common_SourceData.Common_SourceData_RainfallZones_Variation()</f>
        <v>⚠️VARIATION OF SOURCE DATA: Added extra Rainfall min and Rainfall max columns to calculate zone from real rainfall data.</v>
      </c>
      <c r="BN117" s="32"/>
    </row>
    <row r="118" spans="1:66" ht="20.100000000000001" customHeight="1" x14ac:dyDescent="0.25">
      <c r="A118"/>
      <c r="BN118" s="32"/>
    </row>
    <row r="119" spans="1:66" ht="20.100000000000001" customHeight="1" x14ac:dyDescent="0.25">
      <c r="A119"/>
      <c r="D119" s="30" t="s">
        <v>51</v>
      </c>
      <c r="E119" s="30" t="s">
        <v>52</v>
      </c>
      <c r="F119" s="30" t="s">
        <v>40</v>
      </c>
      <c r="G119" s="30" t="s">
        <v>41</v>
      </c>
      <c r="BN119" s="32"/>
    </row>
    <row r="120" spans="1:66" ht="20.100000000000001" customHeight="1" x14ac:dyDescent="0.25">
      <c r="A120"/>
      <c r="D120" s="30" t="str" cm="1">
        <f t="array" ref="D120">Common_InputFunctions.Utility_DisplayArrayInTable(Common_SourceData.Common_SourceData_RainfallZones_Data(),Table_SourceData_RainfallZones[[#Headers],[Rainfall Zone]],0)</f>
        <v>High rainfall</v>
      </c>
      <c r="E120" s="30" t="str" cm="1">
        <f t="array" ref="E120">Common_InputFunctions.Utility_DisplayArrayInTable(Common_SourceData.Common_SourceData_RainfallZones_Data(),Table_SourceData_RainfallZones[[#Headers],[Rainfall Zone]],0)</f>
        <v>Annual rainfall &gt; 600mm</v>
      </c>
      <c r="F120" s="30" cm="1">
        <f t="array" ref="F120">Common_InputFunctions.Utility_DisplayArrayInTable(Common_SourceData.Common_SourceData_RainfallZones_Data(),Table_SourceData_RainfallZones[[#Headers],[Rainfall Zone]],0)</f>
        <v>600.00099999999998</v>
      </c>
      <c r="G120" s="30" cm="1">
        <f t="array" ref="G120">Common_InputFunctions.Utility_DisplayArrayInTable(Common_SourceData.Common_SourceData_RainfallZones_Data(),Table_SourceData_RainfallZones[[#Headers],[Rainfall Zone]],0)</f>
        <v>999999</v>
      </c>
      <c r="BN120" s="32"/>
    </row>
    <row r="121" spans="1:66" ht="20.100000000000001" customHeight="1" x14ac:dyDescent="0.25">
      <c r="A121"/>
      <c r="D121" s="30" t="str" cm="1">
        <f t="array" ref="D121">Common_InputFunctions.Utility_DisplayArrayInTable(Common_SourceData.Common_SourceData_RainfallZones_Data(),Table_SourceData_RainfallZones[[#Headers],[Rainfall Zone]],0)</f>
        <v>Low rainfall</v>
      </c>
      <c r="E121" s="30" t="str" cm="1">
        <f t="array" ref="E121">Common_InputFunctions.Utility_DisplayArrayInTable(Common_SourceData.Common_SourceData_RainfallZones_Data(),Table_SourceData_RainfallZones[[#Headers],[Rainfall Zone]],0)</f>
        <v>Annual rainfall ≤ 600mm</v>
      </c>
      <c r="F121" s="30" cm="1">
        <f t="array" ref="F121">Common_InputFunctions.Utility_DisplayArrayInTable(Common_SourceData.Common_SourceData_RainfallZones_Data(),Table_SourceData_RainfallZones[[#Headers],[Rainfall Zone]],0)</f>
        <v>-999999</v>
      </c>
      <c r="G121" s="30" cm="1">
        <f t="array" ref="G121">Common_InputFunctions.Utility_DisplayArrayInTable(Common_SourceData.Common_SourceData_RainfallZones_Data(),Table_SourceData_RainfallZones[[#Headers],[Rainfall Zone]],0)</f>
        <v>600</v>
      </c>
      <c r="BN121" s="32"/>
    </row>
    <row r="122" spans="1:66" ht="20.100000000000001" customHeight="1" x14ac:dyDescent="0.25">
      <c r="A122"/>
      <c r="BN122" s="32"/>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27"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0" t="s">
        <v>53</v>
      </c>
      <c r="E127" s="30" t="s">
        <v>54</v>
      </c>
    </row>
    <row r="128" spans="1:66" ht="20.100000000000001" customHeight="1" x14ac:dyDescent="0.25">
      <c r="A128"/>
      <c r="D128" s="30" t="str" cm="1">
        <f t="array" ref="D128">Common_InputFunctions.Utility_DisplayArrayInTable(Common_SourceData.Common_SourceData_LeachingZones_Data(), Table_SourceData_LeachingZones[[#Headers],[Leaching Zone]], 0)</f>
        <v>Leaching occurs</v>
      </c>
      <c r="E128" s="3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0" t="str" cm="1">
        <f t="array" ref="D129">Common_InputFunctions.Utility_DisplayArrayInTable(Common_SourceData.Common_SourceData_LeachingZones_Data(), Table_SourceData_LeachingZones[[#Headers],[Leaching Zone]], 0)</f>
        <v>Leaching does not occur</v>
      </c>
      <c r="E129" s="3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8"/>
    </row>
    <row r="133" spans="1:77" ht="20.100000000000001" customHeight="1" x14ac:dyDescent="0.25">
      <c r="A133"/>
      <c r="D133" s="27" t="str" cm="1">
        <f t="array" ref="D133">Common_SourceData.Common_SourceData_FracWET_Source()</f>
        <v>VEERG 2026:5.5.2.3 Constant Parameters</v>
      </c>
      <c r="E133" s="8"/>
    </row>
    <row r="134" spans="1:77" ht="20.100000000000001" customHeight="1" x14ac:dyDescent="0.25">
      <c r="A134"/>
      <c r="D134" t="s">
        <v>55</v>
      </c>
      <c r="E134" t="s">
        <v>56</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32"/>
      <c r="BO138" s="32"/>
      <c r="BP138" s="32"/>
      <c r="BQ138" s="32"/>
      <c r="BR138" s="32"/>
      <c r="BS138" s="32"/>
      <c r="BT138" s="32"/>
      <c r="BU138" s="32"/>
      <c r="BV138" s="32"/>
      <c r="BW138" s="32"/>
      <c r="BX138" s="32"/>
      <c r="BY138" s="32"/>
    </row>
    <row r="139" spans="1:77" ht="20.100000000000001" customHeight="1" x14ac:dyDescent="0.25">
      <c r="A139"/>
      <c r="D139" s="2" t="str" cm="1">
        <f t="array" ref="D139">Common_SourceData.Common_SourceData_FracWETIrrigation_Title()</f>
        <v>FracWET for irrigation types</v>
      </c>
      <c r="BN139" s="32"/>
      <c r="BO139" s="32"/>
      <c r="BP139" s="32"/>
      <c r="BQ139" s="32"/>
      <c r="BR139" s="32"/>
      <c r="BS139" s="32"/>
      <c r="BT139" s="32"/>
      <c r="BU139" s="32"/>
      <c r="BV139" s="32"/>
      <c r="BW139" s="32"/>
      <c r="BX139" s="32"/>
      <c r="BY139" s="32"/>
    </row>
    <row r="140" spans="1:77" ht="20.100000000000001" customHeight="1" x14ac:dyDescent="0.25">
      <c r="A140"/>
      <c r="D140" s="27" t="str" cm="1">
        <f t="array" ref="D140">Common_SourceData.Common_SourceData_FracWETIrrigation_Source()</f>
        <v>VEERG 2026: Chapter 1, section 1.8.2 Leaching, climate and rainfall zones</v>
      </c>
      <c r="BN140" s="32"/>
      <c r="BO140" s="32"/>
      <c r="BP140" s="32"/>
      <c r="BQ140" s="32"/>
      <c r="BR140" s="32"/>
      <c r="BS140" s="32"/>
      <c r="BT140" s="32"/>
      <c r="BU140" s="32"/>
      <c r="BV140" s="32"/>
      <c r="BW140" s="32"/>
      <c r="BX140" s="32"/>
      <c r="BY140" s="32"/>
    </row>
    <row r="141" spans="1:77" ht="20.100000000000001" customHeight="1" x14ac:dyDescent="0.25">
      <c r="A141"/>
      <c r="D141" s="36" t="str" cm="1">
        <f t="array" ref="D141">Common_SourceData.Common_SourceData_FracWETIrrigation_Variation()</f>
        <v>VARIATION FROM SOURCE DATA: Table created based on VEERG text 'Areas are subject to leaching (i.e., in the leaching zone) when... the land is irrigated (except drip irrigation).'</v>
      </c>
      <c r="BN141" s="32"/>
    </row>
    <row r="142" spans="1:77" ht="20.100000000000001" customHeight="1" x14ac:dyDescent="0.25">
      <c r="A142"/>
      <c r="D142" s="30" t="s">
        <v>57</v>
      </c>
      <c r="E142" s="30" t="s">
        <v>56</v>
      </c>
      <c r="BN142" s="32"/>
    </row>
    <row r="143" spans="1:77" ht="20.100000000000001" customHeight="1" x14ac:dyDescent="0.25">
      <c r="A143"/>
      <c r="D143" s="30" t="str" cm="1">
        <f t="array" ref="D143">Common_InputFunctions.Utility_DisplayArrayInTable(Common_SourceData.Common_SourceData_FracWETIrrigation_Data(), Table_SourceData_FracWETIrrigation[[#Headers],[Irrigation type i]], 0)</f>
        <v>Not irrigated</v>
      </c>
      <c r="E143" s="30" cm="1">
        <f t="array" ref="E143">Common_InputFunctions.Utility_DisplayArrayInTable(Common_SourceData.Common_SourceData_FracWETIrrigation_Data(), Table_SourceData_FracWETIrrigation[[#Headers],[Irrigation type i]], 0)</f>
        <v>0</v>
      </c>
      <c r="BN143" s="32"/>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0" cm="1">
        <f t="array" ref="E144">Common_InputFunctions.Utility_DisplayArrayInTable(Common_SourceData.Common_SourceData_FracWETIrrigation_Data(), Table_SourceData_FracWETIrrigation[[#Headers],[Irrigation type i]], 0)</f>
        <v>0</v>
      </c>
      <c r="BN144" s="32"/>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0" cm="1">
        <f t="array" ref="E145">Common_InputFunctions.Utility_DisplayArrayInTable(Common_SourceData.Common_SourceData_FracWETIrrigation_Data(), Table_SourceData_FracWETIrrigation[[#Headers],[Irrigation type i]], 0)</f>
        <v>1</v>
      </c>
      <c r="BN145" s="32"/>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0" cm="1">
        <f t="array" ref="E146">Common_InputFunctions.Utility_DisplayArrayInTable(Common_SourceData.Common_SourceData_FracWETIrrigation_Data(), Table_SourceData_FracWETIrrigation[[#Headers],[Irrigation type i]], 0)</f>
        <v>1</v>
      </c>
      <c r="BN146" s="32"/>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0" cm="1">
        <f t="array" ref="E147">Common_InputFunctions.Utility_DisplayArrayInTable(Common_SourceData.Common_SourceData_FracWETIrrigation_Data(), Table_SourceData_FracWETIrrigation[[#Headers],[Irrigation type i]], 0)</f>
        <v>1</v>
      </c>
      <c r="BN147" s="32"/>
    </row>
    <row r="148" spans="1:66" ht="20.100000000000001" customHeight="1" x14ac:dyDescent="0.25">
      <c r="A148"/>
      <c r="BN148" s="32"/>
    </row>
    <row r="149" spans="1:66" ht="20.100000000000001" customHeight="1" x14ac:dyDescent="0.25">
      <c r="A149"/>
      <c r="BN149" s="32"/>
    </row>
    <row r="150" spans="1:66" ht="20.100000000000001" customHeight="1" x14ac:dyDescent="0.25">
      <c r="A150"/>
      <c r="D150" s="2" t="str" cm="1">
        <f t="array" ref="D150">Common_SourceData.Common_SourceData_DataScores_Scope3_Title()</f>
        <v>Australian data scores for scope 3</v>
      </c>
      <c r="BN150" s="32"/>
    </row>
    <row r="151" spans="1:66" ht="20.100000000000001" customHeight="1" x14ac:dyDescent="0.25">
      <c r="A151"/>
      <c r="D151" s="27" t="str" cm="1">
        <f t="array" ref="D151">Common_SourceData.Common_SourceData_DataScores_Scope3_Source()</f>
        <v>VEERG 2026: XXXXXXXX</v>
      </c>
      <c r="BN151" s="32"/>
    </row>
    <row r="152" spans="1:66" ht="20.100000000000001" customHeight="1" x14ac:dyDescent="0.25">
      <c r="A152"/>
      <c r="BN152" s="32"/>
    </row>
    <row r="153" spans="1:66" ht="20.100000000000001" customHeight="1" x14ac:dyDescent="0.25">
      <c r="A153"/>
      <c r="D153" s="30" t="s">
        <v>58</v>
      </c>
      <c r="E153" s="30" t="s">
        <v>59</v>
      </c>
      <c r="BC153" s="35"/>
      <c r="BD153" s="35"/>
      <c r="BE153" s="35"/>
      <c r="BF153" s="35"/>
      <c r="BG153" s="35"/>
      <c r="BH153" s="35"/>
      <c r="BI153" s="35"/>
      <c r="BJ153" s="35"/>
      <c r="BK153" s="35"/>
      <c r="BL153" s="35"/>
      <c r="BM153" s="35"/>
    </row>
    <row r="154" spans="1:66" ht="20.100000000000001" customHeight="1" x14ac:dyDescent="0.25">
      <c r="A154"/>
      <c r="D154" s="30" t="str" cm="1">
        <f t="array" ref="D154">Common_InputFunctions.Utility_DisplayArrayInTable(Common_SourceData.Common_SourceData_DataScores_Scope3_Data(), Table_SourceData_DataScores_Scope3[[#Headers],[Data source]], 0)</f>
        <v>International scope 3 database</v>
      </c>
      <c r="E154" s="30" cm="1">
        <f t="array" ref="E154">Common_InputFunctions.Utility_DisplayArrayInTable(Common_SourceData.Common_SourceData_DataScores_Scope3_Data(), Table_SourceData_DataScores_Scope3[[#Headers],[Data source]], 0)</f>
        <v>1</v>
      </c>
      <c r="BC154" s="35"/>
      <c r="BD154" s="35"/>
      <c r="BE154" s="35"/>
      <c r="BF154" s="35"/>
      <c r="BG154" s="35"/>
      <c r="BH154" s="35"/>
      <c r="BI154" s="35"/>
      <c r="BJ154" s="35"/>
      <c r="BK154" s="35"/>
      <c r="BL154" s="35"/>
      <c r="BM154" s="35"/>
    </row>
    <row r="155" spans="1:66" ht="20.100000000000001" customHeight="1" x14ac:dyDescent="0.25">
      <c r="A155"/>
      <c r="D155" s="30" t="str" cm="1">
        <f t="array" ref="D155">Common_InputFunctions.Utility_DisplayArrayInTable(Common_SourceData.Common_SourceData_DataScores_Scope3_Data(), Table_SourceData_DataScores_Scope3[[#Headers],[Data source]], 0)</f>
        <v>Australian scope 3 database</v>
      </c>
      <c r="E155" s="30" cm="1">
        <f t="array" ref="E155">Common_InputFunctions.Utility_DisplayArrayInTable(Common_SourceData.Common_SourceData_DataScores_Scope3_Data(), Table_SourceData_DataScores_Scope3[[#Headers],[Data source]], 0)</f>
        <v>2</v>
      </c>
      <c r="BC155" s="35"/>
      <c r="BD155" s="35"/>
      <c r="BE155" s="35"/>
      <c r="BF155" s="35"/>
      <c r="BG155" s="35"/>
      <c r="BH155" s="35"/>
      <c r="BI155" s="35"/>
      <c r="BJ155" s="35"/>
      <c r="BK155" s="35"/>
      <c r="BL155" s="35"/>
      <c r="BM155" s="35"/>
    </row>
    <row r="156" spans="1:66" ht="20.100000000000001" customHeight="1" x14ac:dyDescent="0.25">
      <c r="A156"/>
      <c r="D156" s="30" t="str" cm="1">
        <f t="array" ref="D156">Common_InputFunctions.Utility_DisplayArrayInTable(Common_SourceData.Common_SourceData_DataScores_Scope3_Data(), Table_SourceData_DataScores_Scope3[[#Headers],[Data source]], 0)</f>
        <v>State or regional scope 3 database</v>
      </c>
      <c r="E156" s="3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0" t="str" cm="1">
        <f t="array" ref="D157">Common_InputFunctions.Utility_DisplayArrayInTable(Common_SourceData.Common_SourceData_DataScores_Scope3_Data(), Table_SourceData_DataScores_Scope3[[#Headers],[Data source]], 0)</f>
        <v>Emissions intensity calculated from approved method</v>
      </c>
      <c r="E157" s="3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0" t="str" cm="1">
        <f t="array" ref="D158">Common_InputFunctions.Utility_DisplayArrayInTable(Common_SourceData.Common_SourceData_DataScores_Scope3_Data(), Table_SourceData_DataScores_Scope3[[#Headers],[Data source]], 0)</f>
        <v>Verified credential matching ISO14067</v>
      </c>
      <c r="E158" s="3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8"/>
    </row>
    <row r="162" spans="4:68" ht="20.100000000000001" customHeight="1" x14ac:dyDescent="0.25">
      <c r="D162" s="27" t="str" cm="1">
        <f t="array" ref="D162">Common_SourceData.Common_SourceData_FracLEACH_Source()</f>
        <v>VEERG 2026:5.5.2.3 Constant Parameters</v>
      </c>
      <c r="E162" s="8"/>
    </row>
    <row r="163" spans="4:68" ht="20.100000000000001" customHeight="1" x14ac:dyDescent="0.25">
      <c r="D163" s="27" t="str" cm="1">
        <f t="array" ref="D163">Common_SourceData.Common_SourceData_FracLEACH_NIRReference()</f>
        <v>National Inventory Report Volume 1: Leaching and runoff (3.D.b.2)</v>
      </c>
      <c r="E163" s="8"/>
    </row>
    <row r="164" spans="4:68" ht="20.100000000000001" customHeight="1" x14ac:dyDescent="0.25">
      <c r="D164" s="8" t="str" cm="1">
        <f t="array" ref="D164:E164">Common_SourceData.Common_SourceData_FracLEACH_Data()</f>
        <v>FracLEACH</v>
      </c>
      <c r="E164" s="8">
        <v>0.24</v>
      </c>
    </row>
    <row r="165" spans="4:68" ht="20.100000000000001" customHeight="1" x14ac:dyDescent="0.25">
      <c r="BN165" s="32"/>
      <c r="BO165" s="32"/>
      <c r="BP165" s="32"/>
    </row>
    <row r="166" spans="4:68" ht="20.100000000000001" customHeight="1" x14ac:dyDescent="0.25">
      <c r="BN166" s="32"/>
      <c r="BO166" s="32"/>
      <c r="BP166" s="32"/>
    </row>
    <row r="167" spans="4:68" ht="20.100000000000001" customHeight="1" x14ac:dyDescent="0.25">
      <c r="D167" s="2" t="str" cm="1">
        <f t="array" ref="D167">Common_SourceData.Common_SourceData_EFleach_Title()</f>
        <v>Emission factor for nitrogen leaching and runoff</v>
      </c>
      <c r="BN167" s="32"/>
      <c r="BO167" s="32"/>
      <c r="BP167" s="32"/>
    </row>
    <row r="168" spans="4:68" ht="20.100000000000001" customHeight="1" x14ac:dyDescent="0.25">
      <c r="D168" s="27" t="str" cm="1">
        <f t="array" ref="D168">Common_SourceData.Common_SourceData_EFleach_Source()</f>
        <v>VEERG 2026:5.5.2.3 Constant Parameters</v>
      </c>
      <c r="BN168" s="32"/>
      <c r="BO168" s="32"/>
      <c r="BP168" s="32"/>
    </row>
    <row r="169" spans="4:68" ht="20.100000000000001" customHeight="1" x14ac:dyDescent="0.25">
      <c r="D169" s="27" t="str" cm="1">
        <f t="array" ref="D169">Common_SourceData.Common_SourceData_EFleach_NIRReference()</f>
        <v>National Inventory Report Volume 1: Equation 3.D.B_10</v>
      </c>
      <c r="BN169" s="32"/>
      <c r="BO169" s="32"/>
      <c r="BP169" s="32"/>
    </row>
    <row r="170" spans="4:68" ht="20.100000000000001" customHeight="1" x14ac:dyDescent="0.25">
      <c r="D170" s="1" t="str" cm="1">
        <f t="array" ref="D170:E170">Common_SourceData.Common_SourceData_EFleach_Data()</f>
        <v>EFleach</v>
      </c>
      <c r="E170" s="1">
        <v>1.0999999999999999E-2</v>
      </c>
      <c r="BN170" s="32"/>
      <c r="BO170" s="32"/>
      <c r="BP170" s="32"/>
    </row>
    <row r="171" spans="4:68" ht="20.100000000000001" customHeight="1" x14ac:dyDescent="0.25">
      <c r="BN171" s="32"/>
      <c r="BO171" s="32"/>
      <c r="BP171" s="32"/>
    </row>
    <row r="172" spans="4:68" ht="20.100000000000001" customHeight="1" x14ac:dyDescent="0.25">
      <c r="BN172" s="32"/>
      <c r="BO172" s="32"/>
      <c r="BP172" s="32"/>
    </row>
    <row r="173" spans="4:68" ht="20.100000000000001" customHeight="1" x14ac:dyDescent="0.25">
      <c r="D173" s="2" t="str" cm="1">
        <f t="array" ref="D173">Common_SourceData.Common_SourceData_DensityOfMethane_Title()</f>
        <v>p = density of methane</v>
      </c>
      <c r="BN173" s="32"/>
      <c r="BO173" s="32"/>
      <c r="BP173" s="32"/>
    </row>
    <row r="174" spans="4:68" ht="20.100000000000001" customHeight="1" x14ac:dyDescent="0.25">
      <c r="D174" s="27" t="str" cm="1">
        <f t="array" ref="D174">Common_SourceData.Common_SourceData_DensityOfMethane_Source()</f>
        <v>National Inventory Report 2023 Volume 1: Equations 3.B.1a_2, 3.B.1c_2, 3.B.3_1, 3.B.4g_2</v>
      </c>
      <c r="BN174" s="32"/>
      <c r="BO174" s="32"/>
      <c r="BP174" s="32"/>
    </row>
    <row r="175" spans="4:68" ht="20.100000000000001" customHeight="1" x14ac:dyDescent="0.25">
      <c r="D175" s="1" cm="1">
        <f t="array" ref="D175">Common_SourceData.Common_SourceData_DensityOfMethane_Data()</f>
        <v>0.6784</v>
      </c>
      <c r="E175" s="15" t="str" cm="1">
        <f t="array" ref="E175">Common_SourceData.Common_SourceData_DensityOfMethane_Unit()</f>
        <v>kg/m3</v>
      </c>
      <c r="BN175" s="32"/>
      <c r="BO175" s="32"/>
      <c r="BP175" s="32"/>
    </row>
    <row r="176" spans="4:68" ht="20.100000000000001" customHeight="1" x14ac:dyDescent="0.25">
      <c r="BN176" s="32"/>
      <c r="BO176" s="32"/>
      <c r="BP176" s="32"/>
    </row>
    <row r="177" spans="4:68" ht="20.100000000000001" customHeight="1" x14ac:dyDescent="0.25">
      <c r="BN177" s="32"/>
      <c r="BO177" s="32"/>
      <c r="BP177" s="32"/>
    </row>
    <row r="178" spans="4:68" ht="20.100000000000001" customHeight="1" x14ac:dyDescent="0.25">
      <c r="D178" s="2" t="str" cm="1">
        <f t="array" ref="D178">Common_SourceData.Common_SourceData_EFN2O_Title()</f>
        <v>Nitrous oxide emission factors for inorganic fertiliser application</v>
      </c>
      <c r="BN178" s="32"/>
      <c r="BO178" s="32"/>
      <c r="BP178" s="32"/>
    </row>
    <row r="179" spans="4:68" ht="20.100000000000001" customHeight="1" x14ac:dyDescent="0.25">
      <c r="D179" s="27" t="str" cm="1">
        <f t="array" ref="D179">Common_SourceData.Common_SourceData_EFN2O_Source()</f>
        <v>VEERG 2026: Table A.2.2.1</v>
      </c>
      <c r="BN179" s="32"/>
      <c r="BO179" s="32"/>
      <c r="BP179" s="32"/>
    </row>
    <row r="180" spans="4:68" ht="20.100000000000001" customHeight="1" x14ac:dyDescent="0.25">
      <c r="D180" s="15" t="str" cm="1">
        <f t="array" ref="D180">Common_SourceData.Common_SourceData_EFN2O_Unit()</f>
        <v>(kg N2O-N / kg N</v>
      </c>
    </row>
    <row r="181" spans="4:68" ht="20.100000000000001" customHeight="1" x14ac:dyDescent="0.25">
      <c r="D181" s="36" t="str" cm="1">
        <f t="array" ref="D181:D185">Common_SourceData.Common_SourceData_EFN2O_Variation()</f>
        <v>VARIATION OF SOURCE DATA:</v>
      </c>
    </row>
    <row r="182" spans="4:68" ht="20.100000000000001" customHeight="1" x14ac:dyDescent="0.25">
      <c r="D182" s="36" t="str">
        <v>Removed duplicate 'Aquaculture' row.</v>
      </c>
    </row>
    <row r="183" spans="4:68" ht="20.100000000000001" customHeight="1" x14ac:dyDescent="0.25">
      <c r="D183" s="36" t="str">
        <v>Removed asterisks to aid lookup.</v>
      </c>
    </row>
    <row r="184" spans="4:68" ht="20.100000000000001" customHeight="1" x14ac:dyDescent="0.25">
      <c r="D184" s="36" t="str">
        <v>Added 'production system only', 'rainfall zone' and 'irrigation method' columns to aid lookup.</v>
      </c>
    </row>
    <row r="185" spans="4:68" ht="20.100000000000001" customHeight="1" x14ac:dyDescent="0.25">
      <c r="D185" s="36" t="str">
        <v>Duplicated 'non-irrigated pasture' row with same EF for low and high rainfall zones to aid lookup.</v>
      </c>
    </row>
    <row r="186" spans="4:68" ht="20.100000000000001" customHeight="1" x14ac:dyDescent="0.25">
      <c r="D186" s="30" t="s">
        <v>60</v>
      </c>
      <c r="E186" s="30" t="s">
        <v>61</v>
      </c>
      <c r="F186" s="30" t="s">
        <v>62</v>
      </c>
      <c r="G186" s="30" t="s">
        <v>63</v>
      </c>
      <c r="H186" s="30" t="s">
        <v>64</v>
      </c>
    </row>
    <row r="187" spans="4:68" ht="20.100000000000001" customHeight="1" x14ac:dyDescent="0.25">
      <c r="D187" s="30" t="str" cm="1">
        <f t="array" ref="D187">Common_InputFunctions.Utility_DisplayArrayInTable(Common_SourceData.Common_SourceData_EFN2O_Data(), Table_SourceData_Common_EFN2O[[#Headers],[Production system j]], 0)</f>
        <v>Irrigated pasture</v>
      </c>
      <c r="E187" s="30" cm="1">
        <f t="array" ref="E187">Common_InputFunctions.Utility_DisplayArrayInTable(Common_SourceData.Common_SourceData_EFN2O_Data(), Table_SourceData_Common_EFN2O[[#Headers],[Production system j]], 0)</f>
        <v>5.8999999999999999E-3</v>
      </c>
      <c r="F187" s="30" t="str" cm="1">
        <f t="array" ref="F187">Common_InputFunctions.Utility_DisplayArrayInTable(Common_SourceData.Common_SourceData_EFN2O_Data(), Table_SourceData_Common_EFN2O[[#Headers],[Production system j]], 0)</f>
        <v>Pasture</v>
      </c>
      <c r="G187" s="30" t="str" cm="1">
        <f t="array" ref="G187">Common_InputFunctions.Utility_DisplayArrayInTable(Common_SourceData.Common_SourceData_EFN2O_Data(), Table_SourceData_Common_EFN2O[[#Headers],[Production system j]], 0)</f>
        <v>Any</v>
      </c>
      <c r="H187" s="30" t="str" cm="1">
        <f t="array" ref="H187">Common_InputFunctions.Utility_DisplayArrayInTable(Common_SourceData.Common_SourceData_EFN2O_Data(), Table_SourceData_Common_EFN2O[[#Headers],[Production system j]], 0)</f>
        <v>Any</v>
      </c>
    </row>
    <row r="188" spans="4:68" ht="20.100000000000001" customHeight="1" x14ac:dyDescent="0.25">
      <c r="D188" s="30" t="str" cm="1">
        <f t="array" ref="D188">Common_InputFunctions.Utility_DisplayArrayInTable(Common_SourceData.Common_SourceData_EFN2O_Data(), Table_SourceData_Common_EFN2O[[#Headers],[Production system j]], 0)</f>
        <v>Irrigated crop</v>
      </c>
      <c r="E188" s="30" cm="1">
        <f t="array" ref="E188">Common_InputFunctions.Utility_DisplayArrayInTable(Common_SourceData.Common_SourceData_EFN2O_Data(), Table_SourceData_Common_EFN2O[[#Headers],[Production system j]], 0)</f>
        <v>7.0000000000000001E-3</v>
      </c>
      <c r="F188" s="30" t="str" cm="1">
        <f t="array" ref="F188">Common_InputFunctions.Utility_DisplayArrayInTable(Common_SourceData.Common_SourceData_EFN2O_Data(), Table_SourceData_Common_EFN2O[[#Headers],[Production system j]], 0)</f>
        <v>Crop</v>
      </c>
      <c r="G188" s="30" t="str" cm="1">
        <f t="array" ref="G188">Common_InputFunctions.Utility_DisplayArrayInTable(Common_SourceData.Common_SourceData_EFN2O_Data(), Table_SourceData_Common_EFN2O[[#Headers],[Production system j]], 0)</f>
        <v>Any</v>
      </c>
      <c r="H188" s="30" t="str" cm="1">
        <f t="array" ref="H188">Common_InputFunctions.Utility_DisplayArrayInTable(Common_SourceData.Common_SourceData_EFN2O_Data(), Table_SourceData_Common_EFN2O[[#Headers],[Production system j]], 0)</f>
        <v>Any</v>
      </c>
    </row>
    <row r="189" spans="4:68" ht="20.100000000000001" customHeight="1" x14ac:dyDescent="0.25">
      <c r="D189" s="30" t="str" cm="1">
        <f t="array" ref="D189">Common_InputFunctions.Utility_DisplayArrayInTable(Common_SourceData.Common_SourceData_EFN2O_Data(), Table_SourceData_Common_EFN2O[[#Headers],[Production system j]], 0)</f>
        <v>Non-irrigated pasture</v>
      </c>
      <c r="E189" s="30" cm="1">
        <f t="array" ref="E189">Common_InputFunctions.Utility_DisplayArrayInTable(Common_SourceData.Common_SourceData_EFN2O_Data(), Table_SourceData_Common_EFN2O[[#Headers],[Production system j]], 0)</f>
        <v>1.8E-3</v>
      </c>
      <c r="F189" s="30" t="str" cm="1">
        <f t="array" ref="F189">Common_InputFunctions.Utility_DisplayArrayInTable(Common_SourceData.Common_SourceData_EFN2O_Data(), Table_SourceData_Common_EFN2O[[#Headers],[Production system j]], 0)</f>
        <v>Pasture</v>
      </c>
      <c r="G189" s="30" t="str" cm="1">
        <f t="array" ref="G189">Common_InputFunctions.Utility_DisplayArrayInTable(Common_SourceData.Common_SourceData_EFN2O_Data(), Table_SourceData_Common_EFN2O[[#Headers],[Production system j]], 0)</f>
        <v>Not irrigated</v>
      </c>
      <c r="H189" s="3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0" t="str" cm="1">
        <f t="array" ref="D190">Common_InputFunctions.Utility_DisplayArrayInTable(Common_SourceData.Common_SourceData_EFN2O_Data(), Table_SourceData_Common_EFN2O[[#Headers],[Production system j]], 0)</f>
        <v>Non-irrigated pasture</v>
      </c>
      <c r="E190" s="30" cm="1">
        <f t="array" ref="E190">Common_InputFunctions.Utility_DisplayArrayInTable(Common_SourceData.Common_SourceData_EFN2O_Data(), Table_SourceData_Common_EFN2O[[#Headers],[Production system j]], 0)</f>
        <v>1.8E-3</v>
      </c>
      <c r="F190" s="30" t="str" cm="1">
        <f t="array" ref="F190">Common_InputFunctions.Utility_DisplayArrayInTable(Common_SourceData.Common_SourceData_EFN2O_Data(), Table_SourceData_Common_EFN2O[[#Headers],[Production system j]], 0)</f>
        <v>Pasture</v>
      </c>
      <c r="G190" s="30" t="str" cm="1">
        <f t="array" ref="G190">Common_InputFunctions.Utility_DisplayArrayInTable(Common_SourceData.Common_SourceData_EFN2O_Data(), Table_SourceData_Common_EFN2O[[#Headers],[Production system j]], 0)</f>
        <v>Not irrigated</v>
      </c>
      <c r="H190" s="3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0" t="str" cm="1">
        <f t="array" ref="D191">Common_InputFunctions.Utility_DisplayArrayInTable(Common_SourceData.Common_SourceData_EFN2O_Data(), Table_SourceData_Common_EFN2O[[#Headers],[Production system j]], 0)</f>
        <v>Non-irrigated crop (low rainfall)</v>
      </c>
      <c r="E191" s="30" cm="1">
        <f t="array" ref="E191">Common_InputFunctions.Utility_DisplayArrayInTable(Common_SourceData.Common_SourceData_EFN2O_Data(), Table_SourceData_Common_EFN2O[[#Headers],[Production system j]], 0)</f>
        <v>2.8999999999999998E-3</v>
      </c>
      <c r="F191" s="30" t="str" cm="1">
        <f t="array" ref="F191">Common_InputFunctions.Utility_DisplayArrayInTable(Common_SourceData.Common_SourceData_EFN2O_Data(), Table_SourceData_Common_EFN2O[[#Headers],[Production system j]], 0)</f>
        <v>Crop</v>
      </c>
      <c r="G191" s="30" t="str" cm="1">
        <f t="array" ref="G191">Common_InputFunctions.Utility_DisplayArrayInTable(Common_SourceData.Common_SourceData_EFN2O_Data(), Table_SourceData_Common_EFN2O[[#Headers],[Production system j]], 0)</f>
        <v>Not irrigated</v>
      </c>
      <c r="H191" s="3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0" t="str" cm="1">
        <f t="array" ref="D192">Common_InputFunctions.Utility_DisplayArrayInTable(Common_SourceData.Common_SourceData_EFN2O_Data(), Table_SourceData_Common_EFN2O[[#Headers],[Production system j]], 0)</f>
        <v>Non-irrigated crop (high rainfall)</v>
      </c>
      <c r="E192" s="30" cm="1">
        <f t="array" ref="E192">Common_InputFunctions.Utility_DisplayArrayInTable(Common_SourceData.Common_SourceData_EFN2O_Data(), Table_SourceData_Common_EFN2O[[#Headers],[Production system j]], 0)</f>
        <v>8.0000000000000002E-3</v>
      </c>
      <c r="F192" s="30" t="str" cm="1">
        <f t="array" ref="F192">Common_InputFunctions.Utility_DisplayArrayInTable(Common_SourceData.Common_SourceData_EFN2O_Data(), Table_SourceData_Common_EFN2O[[#Headers],[Production system j]], 0)</f>
        <v>Crop</v>
      </c>
      <c r="G192" s="30" t="str" cm="1">
        <f t="array" ref="G192">Common_InputFunctions.Utility_DisplayArrayInTable(Common_SourceData.Common_SourceData_EFN2O_Data(), Table_SourceData_Common_EFN2O[[#Headers],[Production system j]], 0)</f>
        <v>Not irrigated</v>
      </c>
      <c r="H192" s="3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0" t="str" cm="1">
        <f t="array" ref="D193">Common_InputFunctions.Utility_DisplayArrayInTable(Common_SourceData.Common_SourceData_EFN2O_Data(), Table_SourceData_Common_EFN2O[[#Headers],[Production system j]], 0)</f>
        <v>Sugar</v>
      </c>
      <c r="E193" s="30" cm="1">
        <f t="array" ref="E193">Common_InputFunctions.Utility_DisplayArrayInTable(Common_SourceData.Common_SourceData_EFN2O_Data(), Table_SourceData_Common_EFN2O[[#Headers],[Production system j]], 0)</f>
        <v>1.9900000000000001E-2</v>
      </c>
      <c r="F193" s="30" t="str" cm="1">
        <f t="array" ref="F193">Common_InputFunctions.Utility_DisplayArrayInTable(Common_SourceData.Common_SourceData_EFN2O_Data(), Table_SourceData_Common_EFN2O[[#Headers],[Production system j]], 0)</f>
        <v>Sugar</v>
      </c>
      <c r="G193" s="30" t="str" cm="1">
        <f t="array" ref="G193">Common_InputFunctions.Utility_DisplayArrayInTable(Common_SourceData.Common_SourceData_EFN2O_Data(), Table_SourceData_Common_EFN2O[[#Headers],[Production system j]], 0)</f>
        <v>Any</v>
      </c>
      <c r="H193" s="30" t="str" cm="1">
        <f t="array" ref="H193">Common_InputFunctions.Utility_DisplayArrayInTable(Common_SourceData.Common_SourceData_EFN2O_Data(), Table_SourceData_Common_EFN2O[[#Headers],[Production system j]], 0)</f>
        <v>Any</v>
      </c>
    </row>
    <row r="194" spans="4:8" ht="20.100000000000001" customHeight="1" x14ac:dyDescent="0.25">
      <c r="D194" s="30" t="str" cm="1">
        <f t="array" ref="D194">Common_InputFunctions.Utility_DisplayArrayInTable(Common_SourceData.Common_SourceData_EFN2O_Data(), Table_SourceData_Common_EFN2O[[#Headers],[Production system j]], 0)</f>
        <v>Cotton</v>
      </c>
      <c r="E194" s="30" cm="1">
        <f t="array" ref="E194">Common_InputFunctions.Utility_DisplayArrayInTable(Common_SourceData.Common_SourceData_EFN2O_Data(), Table_SourceData_Common_EFN2O[[#Headers],[Production system j]], 0)</f>
        <v>5.3E-3</v>
      </c>
      <c r="F194" s="30" t="str" cm="1">
        <f t="array" ref="F194">Common_InputFunctions.Utility_DisplayArrayInTable(Common_SourceData.Common_SourceData_EFN2O_Data(), Table_SourceData_Common_EFN2O[[#Headers],[Production system j]], 0)</f>
        <v>Cotton</v>
      </c>
      <c r="G194" s="30" t="str" cm="1">
        <f t="array" ref="G194">Common_InputFunctions.Utility_DisplayArrayInTable(Common_SourceData.Common_SourceData_EFN2O_Data(), Table_SourceData_Common_EFN2O[[#Headers],[Production system j]], 0)</f>
        <v>Any</v>
      </c>
      <c r="H194" s="30" t="str" cm="1">
        <f t="array" ref="H194">Common_InputFunctions.Utility_DisplayArrayInTable(Common_SourceData.Common_SourceData_EFN2O_Data(), Table_SourceData_Common_EFN2O[[#Headers],[Production system j]], 0)</f>
        <v>Any</v>
      </c>
    </row>
    <row r="195" spans="4:8" ht="20.100000000000001" customHeight="1" x14ac:dyDescent="0.25">
      <c r="D195" s="30" t="str" cm="1">
        <f t="array" ref="D195">Common_InputFunctions.Utility_DisplayArrayInTable(Common_SourceData.Common_SourceData_EFN2O_Data(), Table_SourceData_Common_EFN2O[[#Headers],[Production system j]], 0)</f>
        <v>Horticultural crops</v>
      </c>
      <c r="E195" s="30" cm="1">
        <f t="array" ref="E195">Common_InputFunctions.Utility_DisplayArrayInTable(Common_SourceData.Common_SourceData_EFN2O_Data(), Table_SourceData_Common_EFN2O[[#Headers],[Production system j]], 0)</f>
        <v>6.4000000000000003E-3</v>
      </c>
      <c r="F195" s="30" t="str" cm="1">
        <f t="array" ref="F195">Common_InputFunctions.Utility_DisplayArrayInTable(Common_SourceData.Common_SourceData_EFN2O_Data(), Table_SourceData_Common_EFN2O[[#Headers],[Production system j]], 0)</f>
        <v>Horticultural crops</v>
      </c>
      <c r="G195" s="30" t="str" cm="1">
        <f t="array" ref="G195">Common_InputFunctions.Utility_DisplayArrayInTable(Common_SourceData.Common_SourceData_EFN2O_Data(), Table_SourceData_Common_EFN2O[[#Headers],[Production system j]], 0)</f>
        <v>Any</v>
      </c>
      <c r="H195" s="30" t="str" cm="1">
        <f t="array" ref="H195">Common_InputFunctions.Utility_DisplayArrayInTable(Common_SourceData.Common_SourceData_EFN2O_Data(), Table_SourceData_Common_EFN2O[[#Headers],[Production system j]], 0)</f>
        <v>Any</v>
      </c>
    </row>
    <row r="196" spans="4:8" ht="20.100000000000001" customHeight="1" x14ac:dyDescent="0.25">
      <c r="D196" s="30" t="str" cm="1">
        <f t="array" ref="D196">Common_InputFunctions.Utility_DisplayArrayInTable(Common_SourceData.Common_SourceData_EFN2O_Data(), Table_SourceData_Common_EFN2O[[#Headers],[Production system j]], 0)</f>
        <v>Rice (continuous flooding)</v>
      </c>
      <c r="E196" s="30" cm="1">
        <f t="array" ref="E196">Common_InputFunctions.Utility_DisplayArrayInTable(Common_SourceData.Common_SourceData_EFN2O_Data(), Table_SourceData_Common_EFN2O[[#Headers],[Production system j]], 0)</f>
        <v>3.0000000000000001E-3</v>
      </c>
      <c r="F196" s="30" t="str" cm="1">
        <f t="array" ref="F196">Common_InputFunctions.Utility_DisplayArrayInTable(Common_SourceData.Common_SourceData_EFN2O_Data(), Table_SourceData_Common_EFN2O[[#Headers],[Production system j]], 0)</f>
        <v>Rice</v>
      </c>
      <c r="G196" s="30" t="str" cm="1">
        <f t="array" ref="G196">Common_InputFunctions.Utility_DisplayArrayInTable(Common_SourceData.Common_SourceData_EFN2O_Data(), Table_SourceData_Common_EFN2O[[#Headers],[Production system j]], 0)</f>
        <v>Continuous flooding</v>
      </c>
      <c r="H196" s="30" t="str" cm="1">
        <f t="array" ref="H196">Common_InputFunctions.Utility_DisplayArrayInTable(Common_SourceData.Common_SourceData_EFN2O_Data(), Table_SourceData_Common_EFN2O[[#Headers],[Production system j]], 0)</f>
        <v>Any</v>
      </c>
    </row>
    <row r="197" spans="4:8" x14ac:dyDescent="0.25">
      <c r="D197" s="30" t="str" cm="1">
        <f t="array" ref="D197">Common_InputFunctions.Utility_DisplayArrayInTable(Common_SourceData.Common_SourceData_EFN2O_Data(), Table_SourceData_Common_EFN2O[[#Headers],[Production system j]], 0)</f>
        <v>Rice (single and multiple drainage, or alternate wetting and drying)</v>
      </c>
      <c r="E197" s="30" cm="1">
        <f t="array" ref="E197">Common_InputFunctions.Utility_DisplayArrayInTable(Common_SourceData.Common_SourceData_EFN2O_Data(), Table_SourceData_Common_EFN2O[[#Headers],[Production system j]], 0)</f>
        <v>5.0000000000000001E-3</v>
      </c>
      <c r="F197" s="30" t="str" cm="1">
        <f t="array" ref="F197">Common_InputFunctions.Utility_DisplayArrayInTable(Common_SourceData.Common_SourceData_EFN2O_Data(), Table_SourceData_Common_EFN2O[[#Headers],[Production system j]], 0)</f>
        <v>Rice</v>
      </c>
      <c r="G197" s="30" t="str" cm="1">
        <f t="array" ref="G197">Common_InputFunctions.Utility_DisplayArrayInTable(Common_SourceData.Common_SourceData_EFN2O_Data(), Table_SourceData_Common_EFN2O[[#Headers],[Production system j]], 0)</f>
        <v>Single and multiple drainage, or alternate wetting and drying</v>
      </c>
      <c r="H197" s="30" t="str" cm="1">
        <f t="array" ref="H197">Common_InputFunctions.Utility_DisplayArrayInTable(Common_SourceData.Common_SourceData_EFN2O_Data(), Table_SourceData_Common_EFN2O[[#Headers],[Production system j]], 0)</f>
        <v>Any</v>
      </c>
    </row>
    <row r="198" spans="4:8" x14ac:dyDescent="0.25">
      <c r="D198" s="30" t="str" cm="1">
        <f t="array" ref="D198">Common_InputFunctions.Utility_DisplayArrayInTable(Common_SourceData.Common_SourceData_EFN2O_Data(), Table_SourceData_Common_EFN2O[[#Headers],[Production system j]], 0)</f>
        <v>Aquaculture</v>
      </c>
      <c r="E198" s="30" cm="1">
        <f t="array" ref="E198">Common_InputFunctions.Utility_DisplayArrayInTable(Common_SourceData.Common_SourceData_EFN2O_Data(), Table_SourceData_Common_EFN2O[[#Headers],[Production system j]], 0)</f>
        <v>2.5999999999999999E-3</v>
      </c>
      <c r="F198" s="30" t="str" cm="1">
        <f t="array" ref="F198">Common_InputFunctions.Utility_DisplayArrayInTable(Common_SourceData.Common_SourceData_EFN2O_Data(), Table_SourceData_Common_EFN2O[[#Headers],[Production system j]], 0)</f>
        <v>Aquaculture</v>
      </c>
      <c r="G198" s="30" t="str" cm="1">
        <f t="array" ref="G198">Common_InputFunctions.Utility_DisplayArrayInTable(Common_SourceData.Common_SourceData_EFN2O_Data(), Table_SourceData_Common_EFN2O[[#Headers],[Production system j]], 0)</f>
        <v>Any</v>
      </c>
      <c r="H198" s="30" t="str" cm="1">
        <f t="array" ref="H198">Common_InputFunctions.Utility_DisplayArrayInTable(Common_SourceData.Common_SourceData_EFN2O_Data(), Table_SourceData_Common_EFN2O[[#Headers],[Production system j]], 0)</f>
        <v>Any</v>
      </c>
    </row>
    <row r="199" spans="4:8" x14ac:dyDescent="0.25">
      <c r="D199" s="30" t="str" cm="1">
        <f t="array" ref="D199">Common_InputFunctions.Utility_DisplayArrayInTable(Common_SourceData.Common_SourceData_EFN2O_Data(), Table_SourceData_Common_EFN2O[[#Headers],[Production system j]], 0)</f>
        <v>Forestry</v>
      </c>
      <c r="E199" s="30" cm="1">
        <f t="array" ref="E199">Common_InputFunctions.Utility_DisplayArrayInTable(Common_SourceData.Common_SourceData_EFN2O_Data(), Table_SourceData_Common_EFN2O[[#Headers],[Production system j]], 0)</f>
        <v>1.8E-3</v>
      </c>
      <c r="F199" s="30" t="str" cm="1">
        <f t="array" ref="F199">Common_InputFunctions.Utility_DisplayArrayInTable(Common_SourceData.Common_SourceData_EFN2O_Data(), Table_SourceData_Common_EFN2O[[#Headers],[Production system j]], 0)</f>
        <v>Forestry</v>
      </c>
      <c r="G199" s="30" t="str" cm="1">
        <f t="array" ref="G199">Common_InputFunctions.Utility_DisplayArrayInTable(Common_SourceData.Common_SourceData_EFN2O_Data(), Table_SourceData_Common_EFN2O[[#Headers],[Production system j]], 0)</f>
        <v>Any</v>
      </c>
      <c r="H199" s="30"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7" t="str" cm="1">
        <f t="array" ref="D203">Common_SourceData.Common_SourceData_EFPastureRangeAndPaddock_Source()</f>
        <v>VEERG 2026: Table A.2.2.2</v>
      </c>
    </row>
    <row r="204" spans="4:8" x14ac:dyDescent="0.25">
      <c r="D204" s="36" t="str" cm="1">
        <f t="array" ref="D204">Common_SourceData.Common_SourceData_EFPastureRangeAndPaddock_Variation()</f>
        <v>VARIATION FROM SOURCE DATA: Changed 'Dry climate zones' to singular 'Dry climate zone' to aid lookup.</v>
      </c>
    </row>
    <row r="205" spans="4:8" x14ac:dyDescent="0.25">
      <c r="D205" s="15" t="str" cm="1">
        <f t="array" ref="D205">Common_SourceData.Common_SourceData_EFPastureRangeAndPaddock_Unit()</f>
        <v>kg N2O - N / kg N</v>
      </c>
    </row>
    <row r="206" spans="4:8" x14ac:dyDescent="0.25">
      <c r="D206" s="30" t="s">
        <v>31</v>
      </c>
      <c r="E206" s="30" t="s">
        <v>65</v>
      </c>
    </row>
    <row r="207" spans="4:8" x14ac:dyDescent="0.25">
      <c r="D207" s="30" t="str" cm="1">
        <f t="array" ref="D207">Common_InputFunctions.Utility_DisplayArrayInTable(Common_SourceData.Common_SourceData_EFPastureRangeAndPaddock_Data(), Table_SourceData_EFPastureRangeAndPaddock[[#Headers],[Climate zone]], 0)</f>
        <v>Wet climate zone</v>
      </c>
      <c r="E207" s="30"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0"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0" t="s">
        <v>66</v>
      </c>
      <c r="E212" s="30" t="s">
        <v>67</v>
      </c>
    </row>
    <row r="213" spans="4:5" x14ac:dyDescent="0.25">
      <c r="D213" s="30" t="str" cm="1">
        <f t="array" ref="D213">Common_InputFunctions.Utility_DisplayArrayInTable(Common_SourceData.Common_SourceData_MonthsToSeasons_Data(), Table_SourceData_Common_MonthToSeason[[#Headers],[Month]], 0)</f>
        <v>January</v>
      </c>
      <c r="E213" s="30"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0"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0"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0"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0"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0"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0"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0"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0"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0"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0"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0"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7" t="str" cm="1">
        <f t="array" ref="D228">Common_SourceData.Common_SourceData_MCFTemperatureZone_Source()</f>
        <v>VEERG 2026: Table A.1.8.1</v>
      </c>
    </row>
    <row r="229" spans="4:19" x14ac:dyDescent="0.25">
      <c r="D229" s="3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0" t="s">
        <v>68</v>
      </c>
      <c r="E231" s="30" t="s">
        <v>69</v>
      </c>
      <c r="F231" s="37" t="s">
        <v>70</v>
      </c>
      <c r="G231" s="30" t="s">
        <v>71</v>
      </c>
      <c r="H231" s="30" t="s">
        <v>72</v>
      </c>
      <c r="I231" s="30" t="s">
        <v>73</v>
      </c>
      <c r="J231" s="30" t="s">
        <v>74</v>
      </c>
      <c r="K231" s="30" t="s">
        <v>75</v>
      </c>
      <c r="L231" s="30" t="s">
        <v>76</v>
      </c>
      <c r="M231" s="30" t="s">
        <v>77</v>
      </c>
      <c r="N231" s="30" t="s">
        <v>78</v>
      </c>
      <c r="O231" s="30" t="s">
        <v>79</v>
      </c>
      <c r="P231" s="30" t="s">
        <v>80</v>
      </c>
      <c r="Q231" s="30" t="s">
        <v>81</v>
      </c>
      <c r="R231" s="30" t="s">
        <v>82</v>
      </c>
      <c r="S231" s="30" t="s">
        <v>83</v>
      </c>
    </row>
    <row r="232" spans="4:19" x14ac:dyDescent="0.25">
      <c r="D232" s="30" t="str" cm="1">
        <f t="array" ref="D232">Common_InputFunctions.Utility_DisplayArrayInTable(Common_SourceData.Common_SourceData_MCFTemperatureZone_Data(),Table_SourceData_Common_MCFTemperatureZone[[#Headers],[Temperature zone]],0)</f>
        <v>Cool</v>
      </c>
      <c r="E232" s="30" t="str" cm="1">
        <f t="array" ref="E232">Common_InputFunctions.Utility_DisplayArrayInTable(Common_SourceData.Common_SourceData_MCFTemperatureZone_Data(),Table_SourceData_Common_MCFTemperatureZone[[#Headers],[Temperature zone]],0)</f>
        <v>≤10</v>
      </c>
      <c r="F232" s="30" cm="1">
        <f t="array" ref="F232">Common_InputFunctions.Utility_DisplayArrayInTable(Common_SourceData.Common_SourceData_MCFTemperatureZone_Data(),Table_SourceData_Common_MCFTemperatureZone[[#Headers],[Temperature zone]],0)</f>
        <v>0.66</v>
      </c>
      <c r="G232" s="30" cm="1">
        <f t="array" ref="G232">Common_InputFunctions.Utility_DisplayArrayInTable(Common_SourceData.Common_SourceData_MCFTemperatureZone_Data(),Table_SourceData_Common_MCFTemperatureZone[[#Headers],[Temperature zone]],0)</f>
        <v>0.1</v>
      </c>
      <c r="H232" s="30" cm="1">
        <f t="array" ref="H232">Common_InputFunctions.Utility_DisplayArrayInTable(Common_SourceData.Common_SourceData_MCFTemperatureZone_Data(),Table_SourceData_Common_MCFTemperatureZone[[#Headers],[Temperature zone]],0)</f>
        <v>0.1</v>
      </c>
      <c r="I232" s="30" cm="1">
        <f t="array" ref="I232">Common_InputFunctions.Utility_DisplayArrayInTable(Common_SourceData.Common_SourceData_MCFTemperatureZone_Data(),Table_SourceData_Common_MCFTemperatureZone[[#Headers],[Temperature zone]],0)</f>
        <v>1E-3</v>
      </c>
      <c r="J232" s="30" cm="1">
        <f t="array" ref="J232">Common_InputFunctions.Utility_DisplayArrayInTable(Common_SourceData.Common_SourceData_MCFTemperatureZone_Data(),Table_SourceData_Common_MCFTemperatureZone[[#Headers],[Temperature zone]],0)</f>
        <v>5.0000000000000001E-3</v>
      </c>
      <c r="K232" s="30" cm="1">
        <f t="array" ref="K232">Common_InputFunctions.Utility_DisplayArrayInTable(Common_SourceData.Common_SourceData_MCFTemperatureZone_Data(),Table_SourceData_Common_MCFTemperatureZone[[#Headers],[Temperature zone]],0)</f>
        <v>0.02</v>
      </c>
      <c r="L232" s="30" cm="1">
        <f t="array" ref="L232">Common_InputFunctions.Utility_DisplayArrayInTable(Common_SourceData.Common_SourceData_MCFTemperatureZone_Data(),Table_SourceData_Common_MCFTemperatureZone[[#Headers],[Temperature zone]],0)</f>
        <v>0.03</v>
      </c>
      <c r="M232" s="30" cm="1">
        <f t="array" ref="M232">Common_InputFunctions.Utility_DisplayArrayInTable(Common_SourceData.Common_SourceData_MCFTemperatureZone_Data(),Table_SourceData_Common_MCFTemperatureZone[[#Headers],[Temperature zone]],0)</f>
        <v>0.04</v>
      </c>
      <c r="N232" s="30" cm="1">
        <f t="array" ref="N232">Common_InputFunctions.Utility_DisplayArrayInTable(Common_SourceData.Common_SourceData_MCFTemperatureZone_Data(),Table_SourceData_Common_MCFTemperatureZone[[#Headers],[Temperature zone]],0)</f>
        <v>1.4999999999999999E-2</v>
      </c>
      <c r="O232" s="30" cm="1">
        <f t="array" ref="O232">Common_InputFunctions.Utility_DisplayArrayInTable(Common_SourceData.Common_SourceData_MCFTemperatureZone_Data(),Table_SourceData_Common_MCFTemperatureZone[[#Headers],[Temperature zone]],0)</f>
        <v>1.4999999999999999E-2</v>
      </c>
      <c r="P232" s="30" cm="1">
        <f t="array" ref="P232">Common_InputFunctions.Utility_DisplayArrayInTable(Common_SourceData.Common_SourceData_MCFTemperatureZone_Data(),Table_SourceData_Common_MCFTemperatureZone[[#Headers],[Temperature zone]],0)</f>
        <v>0</v>
      </c>
      <c r="Q232" s="30" cm="1">
        <f t="array" ref="Q232">Common_InputFunctions.Utility_DisplayArrayInTable(Common_SourceData.Common_SourceData_MCFTemperatureZone_Data(),Table_SourceData_Common_MCFTemperatureZone[[#Headers],[Temperature zone]],0)</f>
        <v>0</v>
      </c>
      <c r="R232" s="30" cm="1">
        <f t="array" ref="R232">Common_InputFunctions.Utility_DisplayArrayInTable(Common_SourceData.Common_SourceData_MCFTemperatureZone_Data(),Table_SourceData_Common_MCFTemperatureZone[[#Headers],[Temperature zone]],0)</f>
        <v>4.7000000000000002E-3</v>
      </c>
      <c r="S232" s="30"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0" cm="1">
        <f t="array" ref="E233">Common_InputFunctions.Utility_DisplayArrayInTable(Common_SourceData.Common_SourceData_MCFTemperatureZone_Data(),Table_SourceData_Common_MCFTemperatureZone[[#Headers],[Temperature zone]],0)</f>
        <v>11</v>
      </c>
      <c r="F233" s="30" cm="1">
        <f t="array" ref="F233">Common_InputFunctions.Utility_DisplayArrayInTable(Common_SourceData.Common_SourceData_MCFTemperatureZone_Data(),Table_SourceData_Common_MCFTemperatureZone[[#Headers],[Temperature zone]],0)</f>
        <v>0.68</v>
      </c>
      <c r="G233" s="30" cm="1">
        <f t="array" ref="G233">Common_InputFunctions.Utility_DisplayArrayInTable(Common_SourceData.Common_SourceData_MCFTemperatureZone_Data(),Table_SourceData_Common_MCFTemperatureZone[[#Headers],[Temperature zone]],0)</f>
        <v>0.1</v>
      </c>
      <c r="H233" s="30" cm="1">
        <f t="array" ref="H233">Common_InputFunctions.Utility_DisplayArrayInTable(Common_SourceData.Common_SourceData_MCFTemperatureZone_Data(),Table_SourceData_Common_MCFTemperatureZone[[#Headers],[Temperature zone]],0)</f>
        <v>0.11</v>
      </c>
      <c r="I233" s="30" cm="1">
        <f t="array" ref="I233">Common_InputFunctions.Utility_DisplayArrayInTable(Common_SourceData.Common_SourceData_MCFTemperatureZone_Data(),Table_SourceData_Common_MCFTemperatureZone[[#Headers],[Temperature zone]],0)</f>
        <v>1E-3</v>
      </c>
      <c r="J233" s="30" cm="1">
        <f t="array" ref="J233">Common_InputFunctions.Utility_DisplayArrayInTable(Common_SourceData.Common_SourceData_MCFTemperatureZone_Data(),Table_SourceData_Common_MCFTemperatureZone[[#Headers],[Temperature zone]],0)</f>
        <v>5.0000000000000001E-3</v>
      </c>
      <c r="K233" s="30" cm="1">
        <f t="array" ref="K233">Common_InputFunctions.Utility_DisplayArrayInTable(Common_SourceData.Common_SourceData_MCFTemperatureZone_Data(),Table_SourceData_Common_MCFTemperatureZone[[#Headers],[Temperature zone]],0)</f>
        <v>0.02</v>
      </c>
      <c r="L233" s="30" cm="1">
        <f t="array" ref="L233">Common_InputFunctions.Utility_DisplayArrayInTable(Common_SourceData.Common_SourceData_MCFTemperatureZone_Data(),Table_SourceData_Common_MCFTemperatureZone[[#Headers],[Temperature zone]],0)</f>
        <v>0.03</v>
      </c>
      <c r="M233" s="30" cm="1">
        <f t="array" ref="M233">Common_InputFunctions.Utility_DisplayArrayInTable(Common_SourceData.Common_SourceData_MCFTemperatureZone_Data(),Table_SourceData_Common_MCFTemperatureZone[[#Headers],[Temperature zone]],0)</f>
        <v>0.04</v>
      </c>
      <c r="N233" s="30" cm="1">
        <f t="array" ref="N233">Common_InputFunctions.Utility_DisplayArrayInTable(Common_SourceData.Common_SourceData_MCFTemperatureZone_Data(),Table_SourceData_Common_MCFTemperatureZone[[#Headers],[Temperature zone]],0)</f>
        <v>1.4999999999999999E-2</v>
      </c>
      <c r="O233" s="30" cm="1">
        <f t="array" ref="O233">Common_InputFunctions.Utility_DisplayArrayInTable(Common_SourceData.Common_SourceData_MCFTemperatureZone_Data(),Table_SourceData_Common_MCFTemperatureZone[[#Headers],[Temperature zone]],0)</f>
        <v>1.4999999999999999E-2</v>
      </c>
      <c r="P233" s="30" cm="1">
        <f t="array" ref="P233">Common_InputFunctions.Utility_DisplayArrayInTable(Common_SourceData.Common_SourceData_MCFTemperatureZone_Data(),Table_SourceData_Common_MCFTemperatureZone[[#Headers],[Temperature zone]],0)</f>
        <v>0</v>
      </c>
      <c r="Q233" s="30" cm="1">
        <f t="array" ref="Q233">Common_InputFunctions.Utility_DisplayArrayInTable(Common_SourceData.Common_SourceData_MCFTemperatureZone_Data(),Table_SourceData_Common_MCFTemperatureZone[[#Headers],[Temperature zone]],0)</f>
        <v>0</v>
      </c>
      <c r="R233" s="30" cm="1">
        <f t="array" ref="R233">Common_InputFunctions.Utility_DisplayArrayInTable(Common_SourceData.Common_SourceData_MCFTemperatureZone_Data(),Table_SourceData_Common_MCFTemperatureZone[[#Headers],[Temperature zone]],0)</f>
        <v>4.7000000000000002E-3</v>
      </c>
      <c r="S233" s="30"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0" cm="1">
        <f t="array" ref="E234">Common_InputFunctions.Utility_DisplayArrayInTable(Common_SourceData.Common_SourceData_MCFTemperatureZone_Data(),Table_SourceData_Common_MCFTemperatureZone[[#Headers],[Temperature zone]],0)</f>
        <v>12</v>
      </c>
      <c r="F234" s="30" cm="1">
        <f t="array" ref="F234">Common_InputFunctions.Utility_DisplayArrayInTable(Common_SourceData.Common_SourceData_MCFTemperatureZone_Data(),Table_SourceData_Common_MCFTemperatureZone[[#Headers],[Temperature zone]],0)</f>
        <v>0.7</v>
      </c>
      <c r="G234" s="30" cm="1">
        <f t="array" ref="G234">Common_InputFunctions.Utility_DisplayArrayInTable(Common_SourceData.Common_SourceData_MCFTemperatureZone_Data(),Table_SourceData_Common_MCFTemperatureZone[[#Headers],[Temperature zone]],0)</f>
        <v>0.1</v>
      </c>
      <c r="H234" s="30" cm="1">
        <f t="array" ref="H234">Common_InputFunctions.Utility_DisplayArrayInTable(Common_SourceData.Common_SourceData_MCFTemperatureZone_Data(),Table_SourceData_Common_MCFTemperatureZone[[#Headers],[Temperature zone]],0)</f>
        <v>0.13</v>
      </c>
      <c r="I234" s="30" cm="1">
        <f t="array" ref="I234">Common_InputFunctions.Utility_DisplayArrayInTable(Common_SourceData.Common_SourceData_MCFTemperatureZone_Data(),Table_SourceData_Common_MCFTemperatureZone[[#Headers],[Temperature zone]],0)</f>
        <v>1E-3</v>
      </c>
      <c r="J234" s="30" cm="1">
        <f t="array" ref="J234">Common_InputFunctions.Utility_DisplayArrayInTable(Common_SourceData.Common_SourceData_MCFTemperatureZone_Data(),Table_SourceData_Common_MCFTemperatureZone[[#Headers],[Temperature zone]],0)</f>
        <v>5.0000000000000001E-3</v>
      </c>
      <c r="K234" s="30" cm="1">
        <f t="array" ref="K234">Common_InputFunctions.Utility_DisplayArrayInTable(Common_SourceData.Common_SourceData_MCFTemperatureZone_Data(),Table_SourceData_Common_MCFTemperatureZone[[#Headers],[Temperature zone]],0)</f>
        <v>0.02</v>
      </c>
      <c r="L234" s="30" cm="1">
        <f t="array" ref="L234">Common_InputFunctions.Utility_DisplayArrayInTable(Common_SourceData.Common_SourceData_MCFTemperatureZone_Data(),Table_SourceData_Common_MCFTemperatureZone[[#Headers],[Temperature zone]],0)</f>
        <v>0.03</v>
      </c>
      <c r="M234" s="30" cm="1">
        <f t="array" ref="M234">Common_InputFunctions.Utility_DisplayArrayInTable(Common_SourceData.Common_SourceData_MCFTemperatureZone_Data(),Table_SourceData_Common_MCFTemperatureZone[[#Headers],[Temperature zone]],0)</f>
        <v>0.04</v>
      </c>
      <c r="N234" s="30" cm="1">
        <f t="array" ref="N234">Common_InputFunctions.Utility_DisplayArrayInTable(Common_SourceData.Common_SourceData_MCFTemperatureZone_Data(),Table_SourceData_Common_MCFTemperatureZone[[#Headers],[Temperature zone]],0)</f>
        <v>1.4999999999999999E-2</v>
      </c>
      <c r="O234" s="30" cm="1">
        <f t="array" ref="O234">Common_InputFunctions.Utility_DisplayArrayInTable(Common_SourceData.Common_SourceData_MCFTemperatureZone_Data(),Table_SourceData_Common_MCFTemperatureZone[[#Headers],[Temperature zone]],0)</f>
        <v>1.4999999999999999E-2</v>
      </c>
      <c r="P234" s="30" cm="1">
        <f t="array" ref="P234">Common_InputFunctions.Utility_DisplayArrayInTable(Common_SourceData.Common_SourceData_MCFTemperatureZone_Data(),Table_SourceData_Common_MCFTemperatureZone[[#Headers],[Temperature zone]],0)</f>
        <v>0</v>
      </c>
      <c r="Q234" s="30" cm="1">
        <f t="array" ref="Q234">Common_InputFunctions.Utility_DisplayArrayInTable(Common_SourceData.Common_SourceData_MCFTemperatureZone_Data(),Table_SourceData_Common_MCFTemperatureZone[[#Headers],[Temperature zone]],0)</f>
        <v>0</v>
      </c>
      <c r="R234" s="30" cm="1">
        <f t="array" ref="R234">Common_InputFunctions.Utility_DisplayArrayInTable(Common_SourceData.Common_SourceData_MCFTemperatureZone_Data(),Table_SourceData_Common_MCFTemperatureZone[[#Headers],[Temperature zone]],0)</f>
        <v>4.7000000000000002E-3</v>
      </c>
      <c r="S234" s="30"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0" cm="1">
        <f t="array" ref="E235">Common_InputFunctions.Utility_DisplayArrayInTable(Common_SourceData.Common_SourceData_MCFTemperatureZone_Data(),Table_SourceData_Common_MCFTemperatureZone[[#Headers],[Temperature zone]],0)</f>
        <v>13</v>
      </c>
      <c r="F235" s="30" cm="1">
        <f t="array" ref="F235">Common_InputFunctions.Utility_DisplayArrayInTable(Common_SourceData.Common_SourceData_MCFTemperatureZone_Data(),Table_SourceData_Common_MCFTemperatureZone[[#Headers],[Temperature zone]],0)</f>
        <v>0.71</v>
      </c>
      <c r="G235" s="30" cm="1">
        <f t="array" ref="G235">Common_InputFunctions.Utility_DisplayArrayInTable(Common_SourceData.Common_SourceData_MCFTemperatureZone_Data(),Table_SourceData_Common_MCFTemperatureZone[[#Headers],[Temperature zone]],0)</f>
        <v>0.1</v>
      </c>
      <c r="H235" s="30" cm="1">
        <f t="array" ref="H235">Common_InputFunctions.Utility_DisplayArrayInTable(Common_SourceData.Common_SourceData_MCFTemperatureZone_Data(),Table_SourceData_Common_MCFTemperatureZone[[#Headers],[Temperature zone]],0)</f>
        <v>0.14000000000000001</v>
      </c>
      <c r="I235" s="30" cm="1">
        <f t="array" ref="I235">Common_InputFunctions.Utility_DisplayArrayInTable(Common_SourceData.Common_SourceData_MCFTemperatureZone_Data(),Table_SourceData_Common_MCFTemperatureZone[[#Headers],[Temperature zone]],0)</f>
        <v>1E-3</v>
      </c>
      <c r="J235" s="30" cm="1">
        <f t="array" ref="J235">Common_InputFunctions.Utility_DisplayArrayInTable(Common_SourceData.Common_SourceData_MCFTemperatureZone_Data(),Table_SourceData_Common_MCFTemperatureZone[[#Headers],[Temperature zone]],0)</f>
        <v>5.0000000000000001E-3</v>
      </c>
      <c r="K235" s="30" cm="1">
        <f t="array" ref="K235">Common_InputFunctions.Utility_DisplayArrayInTable(Common_SourceData.Common_SourceData_MCFTemperatureZone_Data(),Table_SourceData_Common_MCFTemperatureZone[[#Headers],[Temperature zone]],0)</f>
        <v>0.02</v>
      </c>
      <c r="L235" s="30" cm="1">
        <f t="array" ref="L235">Common_InputFunctions.Utility_DisplayArrayInTable(Common_SourceData.Common_SourceData_MCFTemperatureZone_Data(),Table_SourceData_Common_MCFTemperatureZone[[#Headers],[Temperature zone]],0)</f>
        <v>0.03</v>
      </c>
      <c r="M235" s="30" cm="1">
        <f t="array" ref="M235">Common_InputFunctions.Utility_DisplayArrayInTable(Common_SourceData.Common_SourceData_MCFTemperatureZone_Data(),Table_SourceData_Common_MCFTemperatureZone[[#Headers],[Temperature zone]],0)</f>
        <v>0.04</v>
      </c>
      <c r="N235" s="30" cm="1">
        <f t="array" ref="N235">Common_InputFunctions.Utility_DisplayArrayInTable(Common_SourceData.Common_SourceData_MCFTemperatureZone_Data(),Table_SourceData_Common_MCFTemperatureZone[[#Headers],[Temperature zone]],0)</f>
        <v>1.4999999999999999E-2</v>
      </c>
      <c r="O235" s="30" cm="1">
        <f t="array" ref="O235">Common_InputFunctions.Utility_DisplayArrayInTable(Common_SourceData.Common_SourceData_MCFTemperatureZone_Data(),Table_SourceData_Common_MCFTemperatureZone[[#Headers],[Temperature zone]],0)</f>
        <v>1.4999999999999999E-2</v>
      </c>
      <c r="P235" s="30" cm="1">
        <f t="array" ref="P235">Common_InputFunctions.Utility_DisplayArrayInTable(Common_SourceData.Common_SourceData_MCFTemperatureZone_Data(),Table_SourceData_Common_MCFTemperatureZone[[#Headers],[Temperature zone]],0)</f>
        <v>0</v>
      </c>
      <c r="Q235" s="30" cm="1">
        <f t="array" ref="Q235">Common_InputFunctions.Utility_DisplayArrayInTable(Common_SourceData.Common_SourceData_MCFTemperatureZone_Data(),Table_SourceData_Common_MCFTemperatureZone[[#Headers],[Temperature zone]],0)</f>
        <v>0</v>
      </c>
      <c r="R235" s="30" cm="1">
        <f t="array" ref="R235">Common_InputFunctions.Utility_DisplayArrayInTable(Common_SourceData.Common_SourceData_MCFTemperatureZone_Data(),Table_SourceData_Common_MCFTemperatureZone[[#Headers],[Temperature zone]],0)</f>
        <v>4.7000000000000002E-3</v>
      </c>
      <c r="S235" s="30"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0" cm="1">
        <f t="array" ref="E236">Common_InputFunctions.Utility_DisplayArrayInTable(Common_SourceData.Common_SourceData_MCFTemperatureZone_Data(),Table_SourceData_Common_MCFTemperatureZone[[#Headers],[Temperature zone]],0)</f>
        <v>14</v>
      </c>
      <c r="F236" s="30" cm="1">
        <f t="array" ref="F236">Common_InputFunctions.Utility_DisplayArrayInTable(Common_SourceData.Common_SourceData_MCFTemperatureZone_Data(),Table_SourceData_Common_MCFTemperatureZone[[#Headers],[Temperature zone]],0)</f>
        <v>0.73</v>
      </c>
      <c r="G236" s="30" cm="1">
        <f t="array" ref="G236">Common_InputFunctions.Utility_DisplayArrayInTable(Common_SourceData.Common_SourceData_MCFTemperatureZone_Data(),Table_SourceData_Common_MCFTemperatureZone[[#Headers],[Temperature zone]],0)</f>
        <v>0.1</v>
      </c>
      <c r="H236" s="30" cm="1">
        <f t="array" ref="H236">Common_InputFunctions.Utility_DisplayArrayInTable(Common_SourceData.Common_SourceData_MCFTemperatureZone_Data(),Table_SourceData_Common_MCFTemperatureZone[[#Headers],[Temperature zone]],0)</f>
        <v>0.15</v>
      </c>
      <c r="I236" s="30" cm="1">
        <f t="array" ref="I236">Common_InputFunctions.Utility_DisplayArrayInTable(Common_SourceData.Common_SourceData_MCFTemperatureZone_Data(),Table_SourceData_Common_MCFTemperatureZone[[#Headers],[Temperature zone]],0)</f>
        <v>1E-3</v>
      </c>
      <c r="J236" s="30" cm="1">
        <f t="array" ref="J236">Common_InputFunctions.Utility_DisplayArrayInTable(Common_SourceData.Common_SourceData_MCFTemperatureZone_Data(),Table_SourceData_Common_MCFTemperatureZone[[#Headers],[Temperature zone]],0)</f>
        <v>5.0000000000000001E-3</v>
      </c>
      <c r="K236" s="30" cm="1">
        <f t="array" ref="K236">Common_InputFunctions.Utility_DisplayArrayInTable(Common_SourceData.Common_SourceData_MCFTemperatureZone_Data(),Table_SourceData_Common_MCFTemperatureZone[[#Headers],[Temperature zone]],0)</f>
        <v>0.02</v>
      </c>
      <c r="L236" s="30" cm="1">
        <f t="array" ref="L236">Common_InputFunctions.Utility_DisplayArrayInTable(Common_SourceData.Common_SourceData_MCFTemperatureZone_Data(),Table_SourceData_Common_MCFTemperatureZone[[#Headers],[Temperature zone]],0)</f>
        <v>0.03</v>
      </c>
      <c r="M236" s="30" cm="1">
        <f t="array" ref="M236">Common_InputFunctions.Utility_DisplayArrayInTable(Common_SourceData.Common_SourceData_MCFTemperatureZone_Data(),Table_SourceData_Common_MCFTemperatureZone[[#Headers],[Temperature zone]],0)</f>
        <v>0.04</v>
      </c>
      <c r="N236" s="30" cm="1">
        <f t="array" ref="N236">Common_InputFunctions.Utility_DisplayArrayInTable(Common_SourceData.Common_SourceData_MCFTemperatureZone_Data(),Table_SourceData_Common_MCFTemperatureZone[[#Headers],[Temperature zone]],0)</f>
        <v>1.4999999999999999E-2</v>
      </c>
      <c r="O236" s="30" cm="1">
        <f t="array" ref="O236">Common_InputFunctions.Utility_DisplayArrayInTable(Common_SourceData.Common_SourceData_MCFTemperatureZone_Data(),Table_SourceData_Common_MCFTemperatureZone[[#Headers],[Temperature zone]],0)</f>
        <v>1.4999999999999999E-2</v>
      </c>
      <c r="P236" s="30" cm="1">
        <f t="array" ref="P236">Common_InputFunctions.Utility_DisplayArrayInTable(Common_SourceData.Common_SourceData_MCFTemperatureZone_Data(),Table_SourceData_Common_MCFTemperatureZone[[#Headers],[Temperature zone]],0)</f>
        <v>0</v>
      </c>
      <c r="Q236" s="30" cm="1">
        <f t="array" ref="Q236">Common_InputFunctions.Utility_DisplayArrayInTable(Common_SourceData.Common_SourceData_MCFTemperatureZone_Data(),Table_SourceData_Common_MCFTemperatureZone[[#Headers],[Temperature zone]],0)</f>
        <v>0</v>
      </c>
      <c r="R236" s="30" cm="1">
        <f t="array" ref="R236">Common_InputFunctions.Utility_DisplayArrayInTable(Common_SourceData.Common_SourceData_MCFTemperatureZone_Data(),Table_SourceData_Common_MCFTemperatureZone[[#Headers],[Temperature zone]],0)</f>
        <v>4.7000000000000002E-3</v>
      </c>
      <c r="S236" s="30"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0" cm="1">
        <f t="array" ref="E237">Common_InputFunctions.Utility_DisplayArrayInTable(Common_SourceData.Common_SourceData_MCFTemperatureZone_Data(),Table_SourceData_Common_MCFTemperatureZone[[#Headers],[Temperature zone]],0)</f>
        <v>15</v>
      </c>
      <c r="F237" s="30" cm="1">
        <f t="array" ref="F237">Common_InputFunctions.Utility_DisplayArrayInTable(Common_SourceData.Common_SourceData_MCFTemperatureZone_Data(),Table_SourceData_Common_MCFTemperatureZone[[#Headers],[Temperature zone]],0)</f>
        <v>0.74</v>
      </c>
      <c r="G237" s="30" cm="1">
        <f t="array" ref="G237">Common_InputFunctions.Utility_DisplayArrayInTable(Common_SourceData.Common_SourceData_MCFTemperatureZone_Data(),Table_SourceData_Common_MCFTemperatureZone[[#Headers],[Temperature zone]],0)</f>
        <v>0.1</v>
      </c>
      <c r="H237" s="30" cm="1">
        <f t="array" ref="H237">Common_InputFunctions.Utility_DisplayArrayInTable(Common_SourceData.Common_SourceData_MCFTemperatureZone_Data(),Table_SourceData_Common_MCFTemperatureZone[[#Headers],[Temperature zone]],0)</f>
        <v>0.17</v>
      </c>
      <c r="I237" s="30" cm="1">
        <f t="array" ref="I237">Common_InputFunctions.Utility_DisplayArrayInTable(Common_SourceData.Common_SourceData_MCFTemperatureZone_Data(),Table_SourceData_Common_MCFTemperatureZone[[#Headers],[Temperature zone]],0)</f>
        <v>5.0000000000000001E-3</v>
      </c>
      <c r="J237" s="30" cm="1">
        <f t="array" ref="J237">Common_InputFunctions.Utility_DisplayArrayInTable(Common_SourceData.Common_SourceData_MCFTemperatureZone_Data(),Table_SourceData_Common_MCFTemperatureZone[[#Headers],[Temperature zone]],0)</f>
        <v>0.01</v>
      </c>
      <c r="K237" s="30" cm="1">
        <f t="array" ref="K237">Common_InputFunctions.Utility_DisplayArrayInTable(Common_SourceData.Common_SourceData_MCFTemperatureZone_Data(),Table_SourceData_Common_MCFTemperatureZone[[#Headers],[Temperature zone]],0)</f>
        <v>0.02</v>
      </c>
      <c r="L237" s="30" cm="1">
        <f t="array" ref="L237">Common_InputFunctions.Utility_DisplayArrayInTable(Common_SourceData.Common_SourceData_MCFTemperatureZone_Data(),Table_SourceData_Common_MCFTemperatureZone[[#Headers],[Temperature zone]],0)</f>
        <v>0.03</v>
      </c>
      <c r="M237" s="30" cm="1">
        <f t="array" ref="M237">Common_InputFunctions.Utility_DisplayArrayInTable(Common_SourceData.Common_SourceData_MCFTemperatureZone_Data(),Table_SourceData_Common_MCFTemperatureZone[[#Headers],[Temperature zone]],0)</f>
        <v>0.04</v>
      </c>
      <c r="N237" s="30" cm="1">
        <f t="array" ref="N237">Common_InputFunctions.Utility_DisplayArrayInTable(Common_SourceData.Common_SourceData_MCFTemperatureZone_Data(),Table_SourceData_Common_MCFTemperatureZone[[#Headers],[Temperature zone]],0)</f>
        <v>1.4999999999999999E-2</v>
      </c>
      <c r="O237" s="30" cm="1">
        <f t="array" ref="O237">Common_InputFunctions.Utility_DisplayArrayInTable(Common_SourceData.Common_SourceData_MCFTemperatureZone_Data(),Table_SourceData_Common_MCFTemperatureZone[[#Headers],[Temperature zone]],0)</f>
        <v>1.4999999999999999E-2</v>
      </c>
      <c r="P237" s="30" cm="1">
        <f t="array" ref="P237">Common_InputFunctions.Utility_DisplayArrayInTable(Common_SourceData.Common_SourceData_MCFTemperatureZone_Data(),Table_SourceData_Common_MCFTemperatureZone[[#Headers],[Temperature zone]],0)</f>
        <v>0</v>
      </c>
      <c r="Q237" s="30" cm="1">
        <f t="array" ref="Q237">Common_InputFunctions.Utility_DisplayArrayInTable(Common_SourceData.Common_SourceData_MCFTemperatureZone_Data(),Table_SourceData_Common_MCFTemperatureZone[[#Headers],[Temperature zone]],0)</f>
        <v>0</v>
      </c>
      <c r="R237" s="30" cm="1">
        <f t="array" ref="R237">Common_InputFunctions.Utility_DisplayArrayInTable(Common_SourceData.Common_SourceData_MCFTemperatureZone_Data(),Table_SourceData_Common_MCFTemperatureZone[[#Headers],[Temperature zone]],0)</f>
        <v>4.7000000000000002E-3</v>
      </c>
      <c r="S237" s="30"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0" cm="1">
        <f t="array" ref="E238">Common_InputFunctions.Utility_DisplayArrayInTable(Common_SourceData.Common_SourceData_MCFTemperatureZone_Data(),Table_SourceData_Common_MCFTemperatureZone[[#Headers],[Temperature zone]],0)</f>
        <v>16</v>
      </c>
      <c r="F238" s="30" cm="1">
        <f t="array" ref="F238">Common_InputFunctions.Utility_DisplayArrayInTable(Common_SourceData.Common_SourceData_MCFTemperatureZone_Data(),Table_SourceData_Common_MCFTemperatureZone[[#Headers],[Temperature zone]],0)</f>
        <v>0.75</v>
      </c>
      <c r="G238" s="30" cm="1">
        <f t="array" ref="G238">Common_InputFunctions.Utility_DisplayArrayInTable(Common_SourceData.Common_SourceData_MCFTemperatureZone_Data(),Table_SourceData_Common_MCFTemperatureZone[[#Headers],[Temperature zone]],0)</f>
        <v>0.1</v>
      </c>
      <c r="H238" s="30" cm="1">
        <f t="array" ref="H238">Common_InputFunctions.Utility_DisplayArrayInTable(Common_SourceData.Common_SourceData_MCFTemperatureZone_Data(),Table_SourceData_Common_MCFTemperatureZone[[#Headers],[Temperature zone]],0)</f>
        <v>0.18</v>
      </c>
      <c r="I238" s="30" cm="1">
        <f t="array" ref="I238">Common_InputFunctions.Utility_DisplayArrayInTable(Common_SourceData.Common_SourceData_MCFTemperatureZone_Data(),Table_SourceData_Common_MCFTemperatureZone[[#Headers],[Temperature zone]],0)</f>
        <v>5.0000000000000001E-3</v>
      </c>
      <c r="J238" s="30" cm="1">
        <f t="array" ref="J238">Common_InputFunctions.Utility_DisplayArrayInTable(Common_SourceData.Common_SourceData_MCFTemperatureZone_Data(),Table_SourceData_Common_MCFTemperatureZone[[#Headers],[Temperature zone]],0)</f>
        <v>0.01</v>
      </c>
      <c r="K238" s="30" cm="1">
        <f t="array" ref="K238">Common_InputFunctions.Utility_DisplayArrayInTable(Common_SourceData.Common_SourceData_MCFTemperatureZone_Data(),Table_SourceData_Common_MCFTemperatureZone[[#Headers],[Temperature zone]],0)</f>
        <v>0.02</v>
      </c>
      <c r="L238" s="30" cm="1">
        <f t="array" ref="L238">Common_InputFunctions.Utility_DisplayArrayInTable(Common_SourceData.Common_SourceData_MCFTemperatureZone_Data(),Table_SourceData_Common_MCFTemperatureZone[[#Headers],[Temperature zone]],0)</f>
        <v>0.03</v>
      </c>
      <c r="M238" s="30" cm="1">
        <f t="array" ref="M238">Common_InputFunctions.Utility_DisplayArrayInTable(Common_SourceData.Common_SourceData_MCFTemperatureZone_Data(),Table_SourceData_Common_MCFTemperatureZone[[#Headers],[Temperature zone]],0)</f>
        <v>0.04</v>
      </c>
      <c r="N238" s="30" cm="1">
        <f t="array" ref="N238">Common_InputFunctions.Utility_DisplayArrayInTable(Common_SourceData.Common_SourceData_MCFTemperatureZone_Data(),Table_SourceData_Common_MCFTemperatureZone[[#Headers],[Temperature zone]],0)</f>
        <v>1.4999999999999999E-2</v>
      </c>
      <c r="O238" s="30" cm="1">
        <f t="array" ref="O238">Common_InputFunctions.Utility_DisplayArrayInTable(Common_SourceData.Common_SourceData_MCFTemperatureZone_Data(),Table_SourceData_Common_MCFTemperatureZone[[#Headers],[Temperature zone]],0)</f>
        <v>1.4999999999999999E-2</v>
      </c>
      <c r="P238" s="30" cm="1">
        <f t="array" ref="P238">Common_InputFunctions.Utility_DisplayArrayInTable(Common_SourceData.Common_SourceData_MCFTemperatureZone_Data(),Table_SourceData_Common_MCFTemperatureZone[[#Headers],[Temperature zone]],0)</f>
        <v>0</v>
      </c>
      <c r="Q238" s="30" cm="1">
        <f t="array" ref="Q238">Common_InputFunctions.Utility_DisplayArrayInTable(Common_SourceData.Common_SourceData_MCFTemperatureZone_Data(),Table_SourceData_Common_MCFTemperatureZone[[#Headers],[Temperature zone]],0)</f>
        <v>0</v>
      </c>
      <c r="R238" s="30" cm="1">
        <f t="array" ref="R238">Common_InputFunctions.Utility_DisplayArrayInTable(Common_SourceData.Common_SourceData_MCFTemperatureZone_Data(),Table_SourceData_Common_MCFTemperatureZone[[#Headers],[Temperature zone]],0)</f>
        <v>4.7000000000000002E-3</v>
      </c>
      <c r="S238" s="30"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0" cm="1">
        <f t="array" ref="E239">Common_InputFunctions.Utility_DisplayArrayInTable(Common_SourceData.Common_SourceData_MCFTemperatureZone_Data(),Table_SourceData_Common_MCFTemperatureZone[[#Headers],[Temperature zone]],0)</f>
        <v>17</v>
      </c>
      <c r="F239" s="30" cm="1">
        <f t="array" ref="F239">Common_InputFunctions.Utility_DisplayArrayInTable(Common_SourceData.Common_SourceData_MCFTemperatureZone_Data(),Table_SourceData_Common_MCFTemperatureZone[[#Headers],[Temperature zone]],0)</f>
        <v>0.76</v>
      </c>
      <c r="G239" s="30" cm="1">
        <f t="array" ref="G239">Common_InputFunctions.Utility_DisplayArrayInTable(Common_SourceData.Common_SourceData_MCFTemperatureZone_Data(),Table_SourceData_Common_MCFTemperatureZone[[#Headers],[Temperature zone]],0)</f>
        <v>0.1</v>
      </c>
      <c r="H239" s="30" cm="1">
        <f t="array" ref="H239">Common_InputFunctions.Utility_DisplayArrayInTable(Common_SourceData.Common_SourceData_MCFTemperatureZone_Data(),Table_SourceData_Common_MCFTemperatureZone[[#Headers],[Temperature zone]],0)</f>
        <v>0.2</v>
      </c>
      <c r="I239" s="30" cm="1">
        <f t="array" ref="I239">Common_InputFunctions.Utility_DisplayArrayInTable(Common_SourceData.Common_SourceData_MCFTemperatureZone_Data(),Table_SourceData_Common_MCFTemperatureZone[[#Headers],[Temperature zone]],0)</f>
        <v>5.0000000000000001E-3</v>
      </c>
      <c r="J239" s="30" cm="1">
        <f t="array" ref="J239">Common_InputFunctions.Utility_DisplayArrayInTable(Common_SourceData.Common_SourceData_MCFTemperatureZone_Data(),Table_SourceData_Common_MCFTemperatureZone[[#Headers],[Temperature zone]],0)</f>
        <v>0.01</v>
      </c>
      <c r="K239" s="30" cm="1">
        <f t="array" ref="K239">Common_InputFunctions.Utility_DisplayArrayInTable(Common_SourceData.Common_SourceData_MCFTemperatureZone_Data(),Table_SourceData_Common_MCFTemperatureZone[[#Headers],[Temperature zone]],0)</f>
        <v>0.02</v>
      </c>
      <c r="L239" s="30" cm="1">
        <f t="array" ref="L239">Common_InputFunctions.Utility_DisplayArrayInTable(Common_SourceData.Common_SourceData_MCFTemperatureZone_Data(),Table_SourceData_Common_MCFTemperatureZone[[#Headers],[Temperature zone]],0)</f>
        <v>0.03</v>
      </c>
      <c r="M239" s="30" cm="1">
        <f t="array" ref="M239">Common_InputFunctions.Utility_DisplayArrayInTable(Common_SourceData.Common_SourceData_MCFTemperatureZone_Data(),Table_SourceData_Common_MCFTemperatureZone[[#Headers],[Temperature zone]],0)</f>
        <v>0.04</v>
      </c>
      <c r="N239" s="30" cm="1">
        <f t="array" ref="N239">Common_InputFunctions.Utility_DisplayArrayInTable(Common_SourceData.Common_SourceData_MCFTemperatureZone_Data(),Table_SourceData_Common_MCFTemperatureZone[[#Headers],[Temperature zone]],0)</f>
        <v>1.4999999999999999E-2</v>
      </c>
      <c r="O239" s="30" cm="1">
        <f t="array" ref="O239">Common_InputFunctions.Utility_DisplayArrayInTable(Common_SourceData.Common_SourceData_MCFTemperatureZone_Data(),Table_SourceData_Common_MCFTemperatureZone[[#Headers],[Temperature zone]],0)</f>
        <v>1.4999999999999999E-2</v>
      </c>
      <c r="P239" s="30" cm="1">
        <f t="array" ref="P239">Common_InputFunctions.Utility_DisplayArrayInTable(Common_SourceData.Common_SourceData_MCFTemperatureZone_Data(),Table_SourceData_Common_MCFTemperatureZone[[#Headers],[Temperature zone]],0)</f>
        <v>0</v>
      </c>
      <c r="Q239" s="30" cm="1">
        <f t="array" ref="Q239">Common_InputFunctions.Utility_DisplayArrayInTable(Common_SourceData.Common_SourceData_MCFTemperatureZone_Data(),Table_SourceData_Common_MCFTemperatureZone[[#Headers],[Temperature zone]],0)</f>
        <v>0</v>
      </c>
      <c r="R239" s="30" cm="1">
        <f t="array" ref="R239">Common_InputFunctions.Utility_DisplayArrayInTable(Common_SourceData.Common_SourceData_MCFTemperatureZone_Data(),Table_SourceData_Common_MCFTemperatureZone[[#Headers],[Temperature zone]],0)</f>
        <v>4.7000000000000002E-3</v>
      </c>
      <c r="S239" s="30"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0" cm="1">
        <f t="array" ref="E240">Common_InputFunctions.Utility_DisplayArrayInTable(Common_SourceData.Common_SourceData_MCFTemperatureZone_Data(),Table_SourceData_Common_MCFTemperatureZone[[#Headers],[Temperature zone]],0)</f>
        <v>18</v>
      </c>
      <c r="F240" s="30" cm="1">
        <f t="array" ref="F240">Common_InputFunctions.Utility_DisplayArrayInTable(Common_SourceData.Common_SourceData_MCFTemperatureZone_Data(),Table_SourceData_Common_MCFTemperatureZone[[#Headers],[Temperature zone]],0)</f>
        <v>0.77</v>
      </c>
      <c r="G240" s="30" cm="1">
        <f t="array" ref="G240">Common_InputFunctions.Utility_DisplayArrayInTable(Common_SourceData.Common_SourceData_MCFTemperatureZone_Data(),Table_SourceData_Common_MCFTemperatureZone[[#Headers],[Temperature zone]],0)</f>
        <v>0.1</v>
      </c>
      <c r="H240" s="30" cm="1">
        <f t="array" ref="H240">Common_InputFunctions.Utility_DisplayArrayInTable(Common_SourceData.Common_SourceData_MCFTemperatureZone_Data(),Table_SourceData_Common_MCFTemperatureZone[[#Headers],[Temperature zone]],0)</f>
        <v>0.22</v>
      </c>
      <c r="I240" s="30" cm="1">
        <f t="array" ref="I240">Common_InputFunctions.Utility_DisplayArrayInTable(Common_SourceData.Common_SourceData_MCFTemperatureZone_Data(),Table_SourceData_Common_MCFTemperatureZone[[#Headers],[Temperature zone]],0)</f>
        <v>5.0000000000000001E-3</v>
      </c>
      <c r="J240" s="30" cm="1">
        <f t="array" ref="J240">Common_InputFunctions.Utility_DisplayArrayInTable(Common_SourceData.Common_SourceData_MCFTemperatureZone_Data(),Table_SourceData_Common_MCFTemperatureZone[[#Headers],[Temperature zone]],0)</f>
        <v>0.01</v>
      </c>
      <c r="K240" s="30" cm="1">
        <f t="array" ref="K240">Common_InputFunctions.Utility_DisplayArrayInTable(Common_SourceData.Common_SourceData_MCFTemperatureZone_Data(),Table_SourceData_Common_MCFTemperatureZone[[#Headers],[Temperature zone]],0)</f>
        <v>0.02</v>
      </c>
      <c r="L240" s="30" cm="1">
        <f t="array" ref="L240">Common_InputFunctions.Utility_DisplayArrayInTable(Common_SourceData.Common_SourceData_MCFTemperatureZone_Data(),Table_SourceData_Common_MCFTemperatureZone[[#Headers],[Temperature zone]],0)</f>
        <v>0.03</v>
      </c>
      <c r="M240" s="30" cm="1">
        <f t="array" ref="M240">Common_InputFunctions.Utility_DisplayArrayInTable(Common_SourceData.Common_SourceData_MCFTemperatureZone_Data(),Table_SourceData_Common_MCFTemperatureZone[[#Headers],[Temperature zone]],0)</f>
        <v>0.04</v>
      </c>
      <c r="N240" s="30" cm="1">
        <f t="array" ref="N240">Common_InputFunctions.Utility_DisplayArrayInTable(Common_SourceData.Common_SourceData_MCFTemperatureZone_Data(),Table_SourceData_Common_MCFTemperatureZone[[#Headers],[Temperature zone]],0)</f>
        <v>1.4999999999999999E-2</v>
      </c>
      <c r="O240" s="30" cm="1">
        <f t="array" ref="O240">Common_InputFunctions.Utility_DisplayArrayInTable(Common_SourceData.Common_SourceData_MCFTemperatureZone_Data(),Table_SourceData_Common_MCFTemperatureZone[[#Headers],[Temperature zone]],0)</f>
        <v>1.4999999999999999E-2</v>
      </c>
      <c r="P240" s="30" cm="1">
        <f t="array" ref="P240">Common_InputFunctions.Utility_DisplayArrayInTable(Common_SourceData.Common_SourceData_MCFTemperatureZone_Data(),Table_SourceData_Common_MCFTemperatureZone[[#Headers],[Temperature zone]],0)</f>
        <v>0</v>
      </c>
      <c r="Q240" s="30" cm="1">
        <f t="array" ref="Q240">Common_InputFunctions.Utility_DisplayArrayInTable(Common_SourceData.Common_SourceData_MCFTemperatureZone_Data(),Table_SourceData_Common_MCFTemperatureZone[[#Headers],[Temperature zone]],0)</f>
        <v>0</v>
      </c>
      <c r="R240" s="30" cm="1">
        <f t="array" ref="R240">Common_InputFunctions.Utility_DisplayArrayInTable(Common_SourceData.Common_SourceData_MCFTemperatureZone_Data(),Table_SourceData_Common_MCFTemperatureZone[[#Headers],[Temperature zone]],0)</f>
        <v>4.7000000000000002E-3</v>
      </c>
      <c r="S240" s="30"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0" cm="1">
        <f t="array" ref="E241">Common_InputFunctions.Utility_DisplayArrayInTable(Common_SourceData.Common_SourceData_MCFTemperatureZone_Data(),Table_SourceData_Common_MCFTemperatureZone[[#Headers],[Temperature zone]],0)</f>
        <v>19</v>
      </c>
      <c r="F241" s="30" cm="1">
        <f t="array" ref="F241">Common_InputFunctions.Utility_DisplayArrayInTable(Common_SourceData.Common_SourceData_MCFTemperatureZone_Data(),Table_SourceData_Common_MCFTemperatureZone[[#Headers],[Temperature zone]],0)</f>
        <v>0.77</v>
      </c>
      <c r="G241" s="30" cm="1">
        <f t="array" ref="G241">Common_InputFunctions.Utility_DisplayArrayInTable(Common_SourceData.Common_SourceData_MCFTemperatureZone_Data(),Table_SourceData_Common_MCFTemperatureZone[[#Headers],[Temperature zone]],0)</f>
        <v>0.1</v>
      </c>
      <c r="H241" s="30" cm="1">
        <f t="array" ref="H241">Common_InputFunctions.Utility_DisplayArrayInTable(Common_SourceData.Common_SourceData_MCFTemperatureZone_Data(),Table_SourceData_Common_MCFTemperatureZone[[#Headers],[Temperature zone]],0)</f>
        <v>0.24</v>
      </c>
      <c r="I241" s="30" cm="1">
        <f t="array" ref="I241">Common_InputFunctions.Utility_DisplayArrayInTable(Common_SourceData.Common_SourceData_MCFTemperatureZone_Data(),Table_SourceData_Common_MCFTemperatureZone[[#Headers],[Temperature zone]],0)</f>
        <v>5.0000000000000001E-3</v>
      </c>
      <c r="J241" s="30" cm="1">
        <f t="array" ref="J241">Common_InputFunctions.Utility_DisplayArrayInTable(Common_SourceData.Common_SourceData_MCFTemperatureZone_Data(),Table_SourceData_Common_MCFTemperatureZone[[#Headers],[Temperature zone]],0)</f>
        <v>0.01</v>
      </c>
      <c r="K241" s="30" cm="1">
        <f t="array" ref="K241">Common_InputFunctions.Utility_DisplayArrayInTable(Common_SourceData.Common_SourceData_MCFTemperatureZone_Data(),Table_SourceData_Common_MCFTemperatureZone[[#Headers],[Temperature zone]],0)</f>
        <v>0.02</v>
      </c>
      <c r="L241" s="30" cm="1">
        <f t="array" ref="L241">Common_InputFunctions.Utility_DisplayArrayInTable(Common_SourceData.Common_SourceData_MCFTemperatureZone_Data(),Table_SourceData_Common_MCFTemperatureZone[[#Headers],[Temperature zone]],0)</f>
        <v>0.03</v>
      </c>
      <c r="M241" s="30" cm="1">
        <f t="array" ref="M241">Common_InputFunctions.Utility_DisplayArrayInTable(Common_SourceData.Common_SourceData_MCFTemperatureZone_Data(),Table_SourceData_Common_MCFTemperatureZone[[#Headers],[Temperature zone]],0)</f>
        <v>0.04</v>
      </c>
      <c r="N241" s="30" cm="1">
        <f t="array" ref="N241">Common_InputFunctions.Utility_DisplayArrayInTable(Common_SourceData.Common_SourceData_MCFTemperatureZone_Data(),Table_SourceData_Common_MCFTemperatureZone[[#Headers],[Temperature zone]],0)</f>
        <v>1.4999999999999999E-2</v>
      </c>
      <c r="O241" s="30" cm="1">
        <f t="array" ref="O241">Common_InputFunctions.Utility_DisplayArrayInTable(Common_SourceData.Common_SourceData_MCFTemperatureZone_Data(),Table_SourceData_Common_MCFTemperatureZone[[#Headers],[Temperature zone]],0)</f>
        <v>1.4999999999999999E-2</v>
      </c>
      <c r="P241" s="30" cm="1">
        <f t="array" ref="P241">Common_InputFunctions.Utility_DisplayArrayInTable(Common_SourceData.Common_SourceData_MCFTemperatureZone_Data(),Table_SourceData_Common_MCFTemperatureZone[[#Headers],[Temperature zone]],0)</f>
        <v>0</v>
      </c>
      <c r="Q241" s="30" cm="1">
        <f t="array" ref="Q241">Common_InputFunctions.Utility_DisplayArrayInTable(Common_SourceData.Common_SourceData_MCFTemperatureZone_Data(),Table_SourceData_Common_MCFTemperatureZone[[#Headers],[Temperature zone]],0)</f>
        <v>0</v>
      </c>
      <c r="R241" s="30" cm="1">
        <f t="array" ref="R241">Common_InputFunctions.Utility_DisplayArrayInTable(Common_SourceData.Common_SourceData_MCFTemperatureZone_Data(),Table_SourceData_Common_MCFTemperatureZone[[#Headers],[Temperature zone]],0)</f>
        <v>4.7000000000000002E-3</v>
      </c>
      <c r="S241" s="30"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0" cm="1">
        <f t="array" ref="E242">Common_InputFunctions.Utility_DisplayArrayInTable(Common_SourceData.Common_SourceData_MCFTemperatureZone_Data(),Table_SourceData_Common_MCFTemperatureZone[[#Headers],[Temperature zone]],0)</f>
        <v>20</v>
      </c>
      <c r="F242" s="30" cm="1">
        <f t="array" ref="F242">Common_InputFunctions.Utility_DisplayArrayInTable(Common_SourceData.Common_SourceData_MCFTemperatureZone_Data(),Table_SourceData_Common_MCFTemperatureZone[[#Headers],[Temperature zone]],0)</f>
        <v>0.78</v>
      </c>
      <c r="G242" s="30" cm="1">
        <f t="array" ref="G242">Common_InputFunctions.Utility_DisplayArrayInTable(Common_SourceData.Common_SourceData_MCFTemperatureZone_Data(),Table_SourceData_Common_MCFTemperatureZone[[#Headers],[Temperature zone]],0)</f>
        <v>0.1</v>
      </c>
      <c r="H242" s="30" cm="1">
        <f t="array" ref="H242">Common_InputFunctions.Utility_DisplayArrayInTable(Common_SourceData.Common_SourceData_MCFTemperatureZone_Data(),Table_SourceData_Common_MCFTemperatureZone[[#Headers],[Temperature zone]],0)</f>
        <v>0.26</v>
      </c>
      <c r="I242" s="30" cm="1">
        <f t="array" ref="I242">Common_InputFunctions.Utility_DisplayArrayInTable(Common_SourceData.Common_SourceData_MCFTemperatureZone_Data(),Table_SourceData_Common_MCFTemperatureZone[[#Headers],[Temperature zone]],0)</f>
        <v>5.0000000000000001E-3</v>
      </c>
      <c r="J242" s="30" cm="1">
        <f t="array" ref="J242">Common_InputFunctions.Utility_DisplayArrayInTable(Common_SourceData.Common_SourceData_MCFTemperatureZone_Data(),Table_SourceData_Common_MCFTemperatureZone[[#Headers],[Temperature zone]],0)</f>
        <v>0.01</v>
      </c>
      <c r="K242" s="30" cm="1">
        <f t="array" ref="K242">Common_InputFunctions.Utility_DisplayArrayInTable(Common_SourceData.Common_SourceData_MCFTemperatureZone_Data(),Table_SourceData_Common_MCFTemperatureZone[[#Headers],[Temperature zone]],0)</f>
        <v>0.02</v>
      </c>
      <c r="L242" s="30" cm="1">
        <f t="array" ref="L242">Common_InputFunctions.Utility_DisplayArrayInTable(Common_SourceData.Common_SourceData_MCFTemperatureZone_Data(),Table_SourceData_Common_MCFTemperatureZone[[#Headers],[Temperature zone]],0)</f>
        <v>0.03</v>
      </c>
      <c r="M242" s="30" cm="1">
        <f t="array" ref="M242">Common_InputFunctions.Utility_DisplayArrayInTable(Common_SourceData.Common_SourceData_MCFTemperatureZone_Data(),Table_SourceData_Common_MCFTemperatureZone[[#Headers],[Temperature zone]],0)</f>
        <v>0.04</v>
      </c>
      <c r="N242" s="30" cm="1">
        <f t="array" ref="N242">Common_InputFunctions.Utility_DisplayArrayInTable(Common_SourceData.Common_SourceData_MCFTemperatureZone_Data(),Table_SourceData_Common_MCFTemperatureZone[[#Headers],[Temperature zone]],0)</f>
        <v>1.4999999999999999E-2</v>
      </c>
      <c r="O242" s="30" cm="1">
        <f t="array" ref="O242">Common_InputFunctions.Utility_DisplayArrayInTable(Common_SourceData.Common_SourceData_MCFTemperatureZone_Data(),Table_SourceData_Common_MCFTemperatureZone[[#Headers],[Temperature zone]],0)</f>
        <v>1.4999999999999999E-2</v>
      </c>
      <c r="P242" s="30" cm="1">
        <f t="array" ref="P242">Common_InputFunctions.Utility_DisplayArrayInTable(Common_SourceData.Common_SourceData_MCFTemperatureZone_Data(),Table_SourceData_Common_MCFTemperatureZone[[#Headers],[Temperature zone]],0)</f>
        <v>0</v>
      </c>
      <c r="Q242" s="30" cm="1">
        <f t="array" ref="Q242">Common_InputFunctions.Utility_DisplayArrayInTable(Common_SourceData.Common_SourceData_MCFTemperatureZone_Data(),Table_SourceData_Common_MCFTemperatureZone[[#Headers],[Temperature zone]],0)</f>
        <v>0</v>
      </c>
      <c r="R242" s="30" cm="1">
        <f t="array" ref="R242">Common_InputFunctions.Utility_DisplayArrayInTable(Common_SourceData.Common_SourceData_MCFTemperatureZone_Data(),Table_SourceData_Common_MCFTemperatureZone[[#Headers],[Temperature zone]],0)</f>
        <v>4.7000000000000002E-3</v>
      </c>
      <c r="S242" s="30"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0" cm="1">
        <f t="array" ref="E243">Common_InputFunctions.Utility_DisplayArrayInTable(Common_SourceData.Common_SourceData_MCFTemperatureZone_Data(),Table_SourceData_Common_MCFTemperatureZone[[#Headers],[Temperature zone]],0)</f>
        <v>21</v>
      </c>
      <c r="F243" s="30" cm="1">
        <f t="array" ref="F243">Common_InputFunctions.Utility_DisplayArrayInTable(Common_SourceData.Common_SourceData_MCFTemperatureZone_Data(),Table_SourceData_Common_MCFTemperatureZone[[#Headers],[Temperature zone]],0)</f>
        <v>0.78</v>
      </c>
      <c r="G243" s="30" cm="1">
        <f t="array" ref="G243">Common_InputFunctions.Utility_DisplayArrayInTable(Common_SourceData.Common_SourceData_MCFTemperatureZone_Data(),Table_SourceData_Common_MCFTemperatureZone[[#Headers],[Temperature zone]],0)</f>
        <v>0.1</v>
      </c>
      <c r="H243" s="30" cm="1">
        <f t="array" ref="H243">Common_InputFunctions.Utility_DisplayArrayInTable(Common_SourceData.Common_SourceData_MCFTemperatureZone_Data(),Table_SourceData_Common_MCFTemperatureZone[[#Headers],[Temperature zone]],0)</f>
        <v>0.28999999999999998</v>
      </c>
      <c r="I243" s="30" cm="1">
        <f t="array" ref="I243">Common_InputFunctions.Utility_DisplayArrayInTable(Common_SourceData.Common_SourceData_MCFTemperatureZone_Data(),Table_SourceData_Common_MCFTemperatureZone[[#Headers],[Temperature zone]],0)</f>
        <v>5.0000000000000001E-3</v>
      </c>
      <c r="J243" s="30" cm="1">
        <f t="array" ref="J243">Common_InputFunctions.Utility_DisplayArrayInTable(Common_SourceData.Common_SourceData_MCFTemperatureZone_Data(),Table_SourceData_Common_MCFTemperatureZone[[#Headers],[Temperature zone]],0)</f>
        <v>0.01</v>
      </c>
      <c r="K243" s="30" cm="1">
        <f t="array" ref="K243">Common_InputFunctions.Utility_DisplayArrayInTable(Common_SourceData.Common_SourceData_MCFTemperatureZone_Data(),Table_SourceData_Common_MCFTemperatureZone[[#Headers],[Temperature zone]],0)</f>
        <v>0.02</v>
      </c>
      <c r="L243" s="30" cm="1">
        <f t="array" ref="L243">Common_InputFunctions.Utility_DisplayArrayInTable(Common_SourceData.Common_SourceData_MCFTemperatureZone_Data(),Table_SourceData_Common_MCFTemperatureZone[[#Headers],[Temperature zone]],0)</f>
        <v>0.03</v>
      </c>
      <c r="M243" s="30" cm="1">
        <f t="array" ref="M243">Common_InputFunctions.Utility_DisplayArrayInTable(Common_SourceData.Common_SourceData_MCFTemperatureZone_Data(),Table_SourceData_Common_MCFTemperatureZone[[#Headers],[Temperature zone]],0)</f>
        <v>0.04</v>
      </c>
      <c r="N243" s="30" cm="1">
        <f t="array" ref="N243">Common_InputFunctions.Utility_DisplayArrayInTable(Common_SourceData.Common_SourceData_MCFTemperatureZone_Data(),Table_SourceData_Common_MCFTemperatureZone[[#Headers],[Temperature zone]],0)</f>
        <v>1.4999999999999999E-2</v>
      </c>
      <c r="O243" s="30" cm="1">
        <f t="array" ref="O243">Common_InputFunctions.Utility_DisplayArrayInTable(Common_SourceData.Common_SourceData_MCFTemperatureZone_Data(),Table_SourceData_Common_MCFTemperatureZone[[#Headers],[Temperature zone]],0)</f>
        <v>1.4999999999999999E-2</v>
      </c>
      <c r="P243" s="30" cm="1">
        <f t="array" ref="P243">Common_InputFunctions.Utility_DisplayArrayInTable(Common_SourceData.Common_SourceData_MCFTemperatureZone_Data(),Table_SourceData_Common_MCFTemperatureZone[[#Headers],[Temperature zone]],0)</f>
        <v>0</v>
      </c>
      <c r="Q243" s="30" cm="1">
        <f t="array" ref="Q243">Common_InputFunctions.Utility_DisplayArrayInTable(Common_SourceData.Common_SourceData_MCFTemperatureZone_Data(),Table_SourceData_Common_MCFTemperatureZone[[#Headers],[Temperature zone]],0)</f>
        <v>0</v>
      </c>
      <c r="R243" s="30" cm="1">
        <f t="array" ref="R243">Common_InputFunctions.Utility_DisplayArrayInTable(Common_SourceData.Common_SourceData_MCFTemperatureZone_Data(),Table_SourceData_Common_MCFTemperatureZone[[#Headers],[Temperature zone]],0)</f>
        <v>4.7000000000000002E-3</v>
      </c>
      <c r="S243" s="30"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0" cm="1">
        <f t="array" ref="E244">Common_InputFunctions.Utility_DisplayArrayInTable(Common_SourceData.Common_SourceData_MCFTemperatureZone_Data(),Table_SourceData_Common_MCFTemperatureZone[[#Headers],[Temperature zone]],0)</f>
        <v>22</v>
      </c>
      <c r="F244" s="30" cm="1">
        <f t="array" ref="F244">Common_InputFunctions.Utility_DisplayArrayInTable(Common_SourceData.Common_SourceData_MCFTemperatureZone_Data(),Table_SourceData_Common_MCFTemperatureZone[[#Headers],[Temperature zone]],0)</f>
        <v>0.78</v>
      </c>
      <c r="G244" s="30" cm="1">
        <f t="array" ref="G244">Common_InputFunctions.Utility_DisplayArrayInTable(Common_SourceData.Common_SourceData_MCFTemperatureZone_Data(),Table_SourceData_Common_MCFTemperatureZone[[#Headers],[Temperature zone]],0)</f>
        <v>0.1</v>
      </c>
      <c r="H244" s="30" cm="1">
        <f t="array" ref="H244">Common_InputFunctions.Utility_DisplayArrayInTable(Common_SourceData.Common_SourceData_MCFTemperatureZone_Data(),Table_SourceData_Common_MCFTemperatureZone[[#Headers],[Temperature zone]],0)</f>
        <v>0.31</v>
      </c>
      <c r="I244" s="30" cm="1">
        <f t="array" ref="I244">Common_InputFunctions.Utility_DisplayArrayInTable(Common_SourceData.Common_SourceData_MCFTemperatureZone_Data(),Table_SourceData_Common_MCFTemperatureZone[[#Headers],[Temperature zone]],0)</f>
        <v>5.0000000000000001E-3</v>
      </c>
      <c r="J244" s="30" cm="1">
        <f t="array" ref="J244">Common_InputFunctions.Utility_DisplayArrayInTable(Common_SourceData.Common_SourceData_MCFTemperatureZone_Data(),Table_SourceData_Common_MCFTemperatureZone[[#Headers],[Temperature zone]],0)</f>
        <v>0.01</v>
      </c>
      <c r="K244" s="30" cm="1">
        <f t="array" ref="K244">Common_InputFunctions.Utility_DisplayArrayInTable(Common_SourceData.Common_SourceData_MCFTemperatureZone_Data(),Table_SourceData_Common_MCFTemperatureZone[[#Headers],[Temperature zone]],0)</f>
        <v>0.02</v>
      </c>
      <c r="L244" s="30" cm="1">
        <f t="array" ref="L244">Common_InputFunctions.Utility_DisplayArrayInTable(Common_SourceData.Common_SourceData_MCFTemperatureZone_Data(),Table_SourceData_Common_MCFTemperatureZone[[#Headers],[Temperature zone]],0)</f>
        <v>0.03</v>
      </c>
      <c r="M244" s="30" cm="1">
        <f t="array" ref="M244">Common_InputFunctions.Utility_DisplayArrayInTable(Common_SourceData.Common_SourceData_MCFTemperatureZone_Data(),Table_SourceData_Common_MCFTemperatureZone[[#Headers],[Temperature zone]],0)</f>
        <v>0.04</v>
      </c>
      <c r="N244" s="30" cm="1">
        <f t="array" ref="N244">Common_InputFunctions.Utility_DisplayArrayInTable(Common_SourceData.Common_SourceData_MCFTemperatureZone_Data(),Table_SourceData_Common_MCFTemperatureZone[[#Headers],[Temperature zone]],0)</f>
        <v>1.4999999999999999E-2</v>
      </c>
      <c r="O244" s="30" cm="1">
        <f t="array" ref="O244">Common_InputFunctions.Utility_DisplayArrayInTable(Common_SourceData.Common_SourceData_MCFTemperatureZone_Data(),Table_SourceData_Common_MCFTemperatureZone[[#Headers],[Temperature zone]],0)</f>
        <v>1.4999999999999999E-2</v>
      </c>
      <c r="P244" s="30" cm="1">
        <f t="array" ref="P244">Common_InputFunctions.Utility_DisplayArrayInTable(Common_SourceData.Common_SourceData_MCFTemperatureZone_Data(),Table_SourceData_Common_MCFTemperatureZone[[#Headers],[Temperature zone]],0)</f>
        <v>0</v>
      </c>
      <c r="Q244" s="30" cm="1">
        <f t="array" ref="Q244">Common_InputFunctions.Utility_DisplayArrayInTable(Common_SourceData.Common_SourceData_MCFTemperatureZone_Data(),Table_SourceData_Common_MCFTemperatureZone[[#Headers],[Temperature zone]],0)</f>
        <v>0</v>
      </c>
      <c r="R244" s="30" cm="1">
        <f t="array" ref="R244">Common_InputFunctions.Utility_DisplayArrayInTable(Common_SourceData.Common_SourceData_MCFTemperatureZone_Data(),Table_SourceData_Common_MCFTemperatureZone[[#Headers],[Temperature zone]],0)</f>
        <v>4.7000000000000002E-3</v>
      </c>
      <c r="S244" s="30"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0" cm="1">
        <f t="array" ref="E245">Common_InputFunctions.Utility_DisplayArrayInTable(Common_SourceData.Common_SourceData_MCFTemperatureZone_Data(),Table_SourceData_Common_MCFTemperatureZone[[#Headers],[Temperature zone]],0)</f>
        <v>23</v>
      </c>
      <c r="F245" s="30" cm="1">
        <f t="array" ref="F245">Common_InputFunctions.Utility_DisplayArrayInTable(Common_SourceData.Common_SourceData_MCFTemperatureZone_Data(),Table_SourceData_Common_MCFTemperatureZone[[#Headers],[Temperature zone]],0)</f>
        <v>0.79</v>
      </c>
      <c r="G245" s="30" cm="1">
        <f t="array" ref="G245">Common_InputFunctions.Utility_DisplayArrayInTable(Common_SourceData.Common_SourceData_MCFTemperatureZone_Data(),Table_SourceData_Common_MCFTemperatureZone[[#Headers],[Temperature zone]],0)</f>
        <v>0.1</v>
      </c>
      <c r="H245" s="30" cm="1">
        <f t="array" ref="H245">Common_InputFunctions.Utility_DisplayArrayInTable(Common_SourceData.Common_SourceData_MCFTemperatureZone_Data(),Table_SourceData_Common_MCFTemperatureZone[[#Headers],[Temperature zone]],0)</f>
        <v>0.34</v>
      </c>
      <c r="I245" s="30" cm="1">
        <f t="array" ref="I245">Common_InputFunctions.Utility_DisplayArrayInTable(Common_SourceData.Common_SourceData_MCFTemperatureZone_Data(),Table_SourceData_Common_MCFTemperatureZone[[#Headers],[Temperature zone]],0)</f>
        <v>5.0000000000000001E-3</v>
      </c>
      <c r="J245" s="30" cm="1">
        <f t="array" ref="J245">Common_InputFunctions.Utility_DisplayArrayInTable(Common_SourceData.Common_SourceData_MCFTemperatureZone_Data(),Table_SourceData_Common_MCFTemperatureZone[[#Headers],[Temperature zone]],0)</f>
        <v>0.01</v>
      </c>
      <c r="K245" s="30" cm="1">
        <f t="array" ref="K245">Common_InputFunctions.Utility_DisplayArrayInTable(Common_SourceData.Common_SourceData_MCFTemperatureZone_Data(),Table_SourceData_Common_MCFTemperatureZone[[#Headers],[Temperature zone]],0)</f>
        <v>0.02</v>
      </c>
      <c r="L245" s="30" cm="1">
        <f t="array" ref="L245">Common_InputFunctions.Utility_DisplayArrayInTable(Common_SourceData.Common_SourceData_MCFTemperatureZone_Data(),Table_SourceData_Common_MCFTemperatureZone[[#Headers],[Temperature zone]],0)</f>
        <v>0.03</v>
      </c>
      <c r="M245" s="30" cm="1">
        <f t="array" ref="M245">Common_InputFunctions.Utility_DisplayArrayInTable(Common_SourceData.Common_SourceData_MCFTemperatureZone_Data(),Table_SourceData_Common_MCFTemperatureZone[[#Headers],[Temperature zone]],0)</f>
        <v>0.04</v>
      </c>
      <c r="N245" s="30" cm="1">
        <f t="array" ref="N245">Common_InputFunctions.Utility_DisplayArrayInTable(Common_SourceData.Common_SourceData_MCFTemperatureZone_Data(),Table_SourceData_Common_MCFTemperatureZone[[#Headers],[Temperature zone]],0)</f>
        <v>1.4999999999999999E-2</v>
      </c>
      <c r="O245" s="30" cm="1">
        <f t="array" ref="O245">Common_InputFunctions.Utility_DisplayArrayInTable(Common_SourceData.Common_SourceData_MCFTemperatureZone_Data(),Table_SourceData_Common_MCFTemperatureZone[[#Headers],[Temperature zone]],0)</f>
        <v>1.4999999999999999E-2</v>
      </c>
      <c r="P245" s="30" cm="1">
        <f t="array" ref="P245">Common_InputFunctions.Utility_DisplayArrayInTable(Common_SourceData.Common_SourceData_MCFTemperatureZone_Data(),Table_SourceData_Common_MCFTemperatureZone[[#Headers],[Temperature zone]],0)</f>
        <v>0</v>
      </c>
      <c r="Q245" s="30" cm="1">
        <f t="array" ref="Q245">Common_InputFunctions.Utility_DisplayArrayInTable(Common_SourceData.Common_SourceData_MCFTemperatureZone_Data(),Table_SourceData_Common_MCFTemperatureZone[[#Headers],[Temperature zone]],0)</f>
        <v>0</v>
      </c>
      <c r="R245" s="30" cm="1">
        <f t="array" ref="R245">Common_InputFunctions.Utility_DisplayArrayInTable(Common_SourceData.Common_SourceData_MCFTemperatureZone_Data(),Table_SourceData_Common_MCFTemperatureZone[[#Headers],[Temperature zone]],0)</f>
        <v>4.7000000000000002E-3</v>
      </c>
      <c r="S245" s="30"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0" cm="1">
        <f t="array" ref="E246">Common_InputFunctions.Utility_DisplayArrayInTable(Common_SourceData.Common_SourceData_MCFTemperatureZone_Data(),Table_SourceData_Common_MCFTemperatureZone[[#Headers],[Temperature zone]],0)</f>
        <v>24</v>
      </c>
      <c r="F246" s="30" cm="1">
        <f t="array" ref="F246">Common_InputFunctions.Utility_DisplayArrayInTable(Common_SourceData.Common_SourceData_MCFTemperatureZone_Data(),Table_SourceData_Common_MCFTemperatureZone[[#Headers],[Temperature zone]],0)</f>
        <v>0.79</v>
      </c>
      <c r="G246" s="30" cm="1">
        <f t="array" ref="G246">Common_InputFunctions.Utility_DisplayArrayInTable(Common_SourceData.Common_SourceData_MCFTemperatureZone_Data(),Table_SourceData_Common_MCFTemperatureZone[[#Headers],[Temperature zone]],0)</f>
        <v>0.1</v>
      </c>
      <c r="H246" s="30" cm="1">
        <f t="array" ref="H246">Common_InputFunctions.Utility_DisplayArrayInTable(Common_SourceData.Common_SourceData_MCFTemperatureZone_Data(),Table_SourceData_Common_MCFTemperatureZone[[#Headers],[Temperature zone]],0)</f>
        <v>0.37</v>
      </c>
      <c r="I246" s="30" cm="1">
        <f t="array" ref="I246">Common_InputFunctions.Utility_DisplayArrayInTable(Common_SourceData.Common_SourceData_MCFTemperatureZone_Data(),Table_SourceData_Common_MCFTemperatureZone[[#Headers],[Temperature zone]],0)</f>
        <v>5.0000000000000001E-3</v>
      </c>
      <c r="J246" s="30" cm="1">
        <f t="array" ref="J246">Common_InputFunctions.Utility_DisplayArrayInTable(Common_SourceData.Common_SourceData_MCFTemperatureZone_Data(),Table_SourceData_Common_MCFTemperatureZone[[#Headers],[Temperature zone]],0)</f>
        <v>0.01</v>
      </c>
      <c r="K246" s="30" cm="1">
        <f t="array" ref="K246">Common_InputFunctions.Utility_DisplayArrayInTable(Common_SourceData.Common_SourceData_MCFTemperatureZone_Data(),Table_SourceData_Common_MCFTemperatureZone[[#Headers],[Temperature zone]],0)</f>
        <v>0.02</v>
      </c>
      <c r="L246" s="30" cm="1">
        <f t="array" ref="L246">Common_InputFunctions.Utility_DisplayArrayInTable(Common_SourceData.Common_SourceData_MCFTemperatureZone_Data(),Table_SourceData_Common_MCFTemperatureZone[[#Headers],[Temperature zone]],0)</f>
        <v>0.03</v>
      </c>
      <c r="M246" s="30" cm="1">
        <f t="array" ref="M246">Common_InputFunctions.Utility_DisplayArrayInTable(Common_SourceData.Common_SourceData_MCFTemperatureZone_Data(),Table_SourceData_Common_MCFTemperatureZone[[#Headers],[Temperature zone]],0)</f>
        <v>0.04</v>
      </c>
      <c r="N246" s="30" cm="1">
        <f t="array" ref="N246">Common_InputFunctions.Utility_DisplayArrayInTable(Common_SourceData.Common_SourceData_MCFTemperatureZone_Data(),Table_SourceData_Common_MCFTemperatureZone[[#Headers],[Temperature zone]],0)</f>
        <v>1.4999999999999999E-2</v>
      </c>
      <c r="O246" s="30" cm="1">
        <f t="array" ref="O246">Common_InputFunctions.Utility_DisplayArrayInTable(Common_SourceData.Common_SourceData_MCFTemperatureZone_Data(),Table_SourceData_Common_MCFTemperatureZone[[#Headers],[Temperature zone]],0)</f>
        <v>1.4999999999999999E-2</v>
      </c>
      <c r="P246" s="30" cm="1">
        <f t="array" ref="P246">Common_InputFunctions.Utility_DisplayArrayInTable(Common_SourceData.Common_SourceData_MCFTemperatureZone_Data(),Table_SourceData_Common_MCFTemperatureZone[[#Headers],[Temperature zone]],0)</f>
        <v>0</v>
      </c>
      <c r="Q246" s="30" cm="1">
        <f t="array" ref="Q246">Common_InputFunctions.Utility_DisplayArrayInTable(Common_SourceData.Common_SourceData_MCFTemperatureZone_Data(),Table_SourceData_Common_MCFTemperatureZone[[#Headers],[Temperature zone]],0)</f>
        <v>0</v>
      </c>
      <c r="R246" s="30" cm="1">
        <f t="array" ref="R246">Common_InputFunctions.Utility_DisplayArrayInTable(Common_SourceData.Common_SourceData_MCFTemperatureZone_Data(),Table_SourceData_Common_MCFTemperatureZone[[#Headers],[Temperature zone]],0)</f>
        <v>4.7000000000000002E-3</v>
      </c>
      <c r="S246" s="30"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0" cm="1">
        <f t="array" ref="E247">Common_InputFunctions.Utility_DisplayArrayInTable(Common_SourceData.Common_SourceData_MCFTemperatureZone_Data(),Table_SourceData_Common_MCFTemperatureZone[[#Headers],[Temperature zone]],0)</f>
        <v>25</v>
      </c>
      <c r="F247" s="30" cm="1">
        <f t="array" ref="F247">Common_InputFunctions.Utility_DisplayArrayInTable(Common_SourceData.Common_SourceData_MCFTemperatureZone_Data(),Table_SourceData_Common_MCFTemperatureZone[[#Headers],[Temperature zone]],0)</f>
        <v>0.79</v>
      </c>
      <c r="G247" s="30" cm="1">
        <f t="array" ref="G247">Common_InputFunctions.Utility_DisplayArrayInTable(Common_SourceData.Common_SourceData_MCFTemperatureZone_Data(),Table_SourceData_Common_MCFTemperatureZone[[#Headers],[Temperature zone]],0)</f>
        <v>0.1</v>
      </c>
      <c r="H247" s="30" cm="1">
        <f t="array" ref="H247">Common_InputFunctions.Utility_DisplayArrayInTable(Common_SourceData.Common_SourceData_MCFTemperatureZone_Data(),Table_SourceData_Common_MCFTemperatureZone[[#Headers],[Temperature zone]],0)</f>
        <v>0.41</v>
      </c>
      <c r="I247" s="30" cm="1">
        <f t="array" ref="I247">Common_InputFunctions.Utility_DisplayArrayInTable(Common_SourceData.Common_SourceData_MCFTemperatureZone_Data(),Table_SourceData_Common_MCFTemperatureZone[[#Headers],[Temperature zone]],0)</f>
        <v>5.0000000000000001E-3</v>
      </c>
      <c r="J247" s="30" cm="1">
        <f t="array" ref="J247">Common_InputFunctions.Utility_DisplayArrayInTable(Common_SourceData.Common_SourceData_MCFTemperatureZone_Data(),Table_SourceData_Common_MCFTemperatureZone[[#Headers],[Temperature zone]],0)</f>
        <v>0.01</v>
      </c>
      <c r="K247" s="30" cm="1">
        <f t="array" ref="K247">Common_InputFunctions.Utility_DisplayArrayInTable(Common_SourceData.Common_SourceData_MCFTemperatureZone_Data(),Table_SourceData_Common_MCFTemperatureZone[[#Headers],[Temperature zone]],0)</f>
        <v>0.02</v>
      </c>
      <c r="L247" s="30" cm="1">
        <f t="array" ref="L247">Common_InputFunctions.Utility_DisplayArrayInTable(Common_SourceData.Common_SourceData_MCFTemperatureZone_Data(),Table_SourceData_Common_MCFTemperatureZone[[#Headers],[Temperature zone]],0)</f>
        <v>0.03</v>
      </c>
      <c r="M247" s="30" cm="1">
        <f t="array" ref="M247">Common_InputFunctions.Utility_DisplayArrayInTable(Common_SourceData.Common_SourceData_MCFTemperatureZone_Data(),Table_SourceData_Common_MCFTemperatureZone[[#Headers],[Temperature zone]],0)</f>
        <v>0.04</v>
      </c>
      <c r="N247" s="30" cm="1">
        <f t="array" ref="N247">Common_InputFunctions.Utility_DisplayArrayInTable(Common_SourceData.Common_SourceData_MCFTemperatureZone_Data(),Table_SourceData_Common_MCFTemperatureZone[[#Headers],[Temperature zone]],0)</f>
        <v>1.4999999999999999E-2</v>
      </c>
      <c r="O247" s="30" cm="1">
        <f t="array" ref="O247">Common_InputFunctions.Utility_DisplayArrayInTable(Common_SourceData.Common_SourceData_MCFTemperatureZone_Data(),Table_SourceData_Common_MCFTemperatureZone[[#Headers],[Temperature zone]],0)</f>
        <v>1.4999999999999999E-2</v>
      </c>
      <c r="P247" s="30" cm="1">
        <f t="array" ref="P247">Common_InputFunctions.Utility_DisplayArrayInTable(Common_SourceData.Common_SourceData_MCFTemperatureZone_Data(),Table_SourceData_Common_MCFTemperatureZone[[#Headers],[Temperature zone]],0)</f>
        <v>0</v>
      </c>
      <c r="Q247" s="30" cm="1">
        <f t="array" ref="Q247">Common_InputFunctions.Utility_DisplayArrayInTable(Common_SourceData.Common_SourceData_MCFTemperatureZone_Data(),Table_SourceData_Common_MCFTemperatureZone[[#Headers],[Temperature zone]],0)</f>
        <v>0</v>
      </c>
      <c r="R247" s="30" cm="1">
        <f t="array" ref="R247">Common_InputFunctions.Utility_DisplayArrayInTable(Common_SourceData.Common_SourceData_MCFTemperatureZone_Data(),Table_SourceData_Common_MCFTemperatureZone[[#Headers],[Temperature zone]],0)</f>
        <v>4.7000000000000002E-3</v>
      </c>
      <c r="S247" s="30"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0" cm="1">
        <f t="array" ref="E248">Common_InputFunctions.Utility_DisplayArrayInTable(Common_SourceData.Common_SourceData_MCFTemperatureZone_Data(),Table_SourceData_Common_MCFTemperatureZone[[#Headers],[Temperature zone]],0)</f>
        <v>26</v>
      </c>
      <c r="F248" s="30" cm="1">
        <f t="array" ref="F248">Common_InputFunctions.Utility_DisplayArrayInTable(Common_SourceData.Common_SourceData_MCFTemperatureZone_Data(),Table_SourceData_Common_MCFTemperatureZone[[#Headers],[Temperature zone]],0)</f>
        <v>0.79</v>
      </c>
      <c r="G248" s="30" cm="1">
        <f t="array" ref="G248">Common_InputFunctions.Utility_DisplayArrayInTable(Common_SourceData.Common_SourceData_MCFTemperatureZone_Data(),Table_SourceData_Common_MCFTemperatureZone[[#Headers],[Temperature zone]],0)</f>
        <v>0.1</v>
      </c>
      <c r="H248" s="30" cm="1">
        <f t="array" ref="H248">Common_InputFunctions.Utility_DisplayArrayInTable(Common_SourceData.Common_SourceData_MCFTemperatureZone_Data(),Table_SourceData_Common_MCFTemperatureZone[[#Headers],[Temperature zone]],0)</f>
        <v>0.44</v>
      </c>
      <c r="I248" s="30" cm="1">
        <f t="array" ref="I248">Common_InputFunctions.Utility_DisplayArrayInTable(Common_SourceData.Common_SourceData_MCFTemperatureZone_Data(),Table_SourceData_Common_MCFTemperatureZone[[#Headers],[Temperature zone]],0)</f>
        <v>0.01</v>
      </c>
      <c r="J248" s="30" cm="1">
        <f t="array" ref="J248">Common_InputFunctions.Utility_DisplayArrayInTable(Common_SourceData.Common_SourceData_MCFTemperatureZone_Data(),Table_SourceData_Common_MCFTemperatureZone[[#Headers],[Temperature zone]],0)</f>
        <v>1.4999999999999999E-2</v>
      </c>
      <c r="K248" s="30" cm="1">
        <f t="array" ref="K248">Common_InputFunctions.Utility_DisplayArrayInTable(Common_SourceData.Common_SourceData_MCFTemperatureZone_Data(),Table_SourceData_Common_MCFTemperatureZone[[#Headers],[Temperature zone]],0)</f>
        <v>0.02</v>
      </c>
      <c r="L248" s="30" cm="1">
        <f t="array" ref="L248">Common_InputFunctions.Utility_DisplayArrayInTable(Common_SourceData.Common_SourceData_MCFTemperatureZone_Data(),Table_SourceData_Common_MCFTemperatureZone[[#Headers],[Temperature zone]],0)</f>
        <v>0.03</v>
      </c>
      <c r="M248" s="30" cm="1">
        <f t="array" ref="M248">Common_InputFunctions.Utility_DisplayArrayInTable(Common_SourceData.Common_SourceData_MCFTemperatureZone_Data(),Table_SourceData_Common_MCFTemperatureZone[[#Headers],[Temperature zone]],0)</f>
        <v>0.04</v>
      </c>
      <c r="N248" s="30" cm="1">
        <f t="array" ref="N248">Common_InputFunctions.Utility_DisplayArrayInTable(Common_SourceData.Common_SourceData_MCFTemperatureZone_Data(),Table_SourceData_Common_MCFTemperatureZone[[#Headers],[Temperature zone]],0)</f>
        <v>1.4999999999999999E-2</v>
      </c>
      <c r="O248" s="30" cm="1">
        <f t="array" ref="O248">Common_InputFunctions.Utility_DisplayArrayInTable(Common_SourceData.Common_SourceData_MCFTemperatureZone_Data(),Table_SourceData_Common_MCFTemperatureZone[[#Headers],[Temperature zone]],0)</f>
        <v>1.4999999999999999E-2</v>
      </c>
      <c r="P248" s="30" cm="1">
        <f t="array" ref="P248">Common_InputFunctions.Utility_DisplayArrayInTable(Common_SourceData.Common_SourceData_MCFTemperatureZone_Data(),Table_SourceData_Common_MCFTemperatureZone[[#Headers],[Temperature zone]],0)</f>
        <v>0</v>
      </c>
      <c r="Q248" s="30" cm="1">
        <f t="array" ref="Q248">Common_InputFunctions.Utility_DisplayArrayInTable(Common_SourceData.Common_SourceData_MCFTemperatureZone_Data(),Table_SourceData_Common_MCFTemperatureZone[[#Headers],[Temperature zone]],0)</f>
        <v>0</v>
      </c>
      <c r="R248" s="30" cm="1">
        <f t="array" ref="R248">Common_InputFunctions.Utility_DisplayArrayInTable(Common_SourceData.Common_SourceData_MCFTemperatureZone_Data(),Table_SourceData_Common_MCFTemperatureZone[[#Headers],[Temperature zone]],0)</f>
        <v>4.7000000000000002E-3</v>
      </c>
      <c r="S248" s="30"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0" cm="1">
        <f t="array" ref="E249">Common_InputFunctions.Utility_DisplayArrayInTable(Common_SourceData.Common_SourceData_MCFTemperatureZone_Data(),Table_SourceData_Common_MCFTemperatureZone[[#Headers],[Temperature zone]],0)</f>
        <v>27</v>
      </c>
      <c r="F249" s="30" cm="1">
        <f t="array" ref="F249">Common_InputFunctions.Utility_DisplayArrayInTable(Common_SourceData.Common_SourceData_MCFTemperatureZone_Data(),Table_SourceData_Common_MCFTemperatureZone[[#Headers],[Temperature zone]],0)</f>
        <v>0.8</v>
      </c>
      <c r="G249" s="30" cm="1">
        <f t="array" ref="G249">Common_InputFunctions.Utility_DisplayArrayInTable(Common_SourceData.Common_SourceData_MCFTemperatureZone_Data(),Table_SourceData_Common_MCFTemperatureZone[[#Headers],[Temperature zone]],0)</f>
        <v>0.1</v>
      </c>
      <c r="H249" s="30" cm="1">
        <f t="array" ref="H249">Common_InputFunctions.Utility_DisplayArrayInTable(Common_SourceData.Common_SourceData_MCFTemperatureZone_Data(),Table_SourceData_Common_MCFTemperatureZone[[#Headers],[Temperature zone]],0)</f>
        <v>0.48</v>
      </c>
      <c r="I249" s="30" cm="1">
        <f t="array" ref="I249">Common_InputFunctions.Utility_DisplayArrayInTable(Common_SourceData.Common_SourceData_MCFTemperatureZone_Data(),Table_SourceData_Common_MCFTemperatureZone[[#Headers],[Temperature zone]],0)</f>
        <v>0.01</v>
      </c>
      <c r="J249" s="30" cm="1">
        <f t="array" ref="J249">Common_InputFunctions.Utility_DisplayArrayInTable(Common_SourceData.Common_SourceData_MCFTemperatureZone_Data(),Table_SourceData_Common_MCFTemperatureZone[[#Headers],[Temperature zone]],0)</f>
        <v>1.4999999999999999E-2</v>
      </c>
      <c r="K249" s="30" cm="1">
        <f t="array" ref="K249">Common_InputFunctions.Utility_DisplayArrayInTable(Common_SourceData.Common_SourceData_MCFTemperatureZone_Data(),Table_SourceData_Common_MCFTemperatureZone[[#Headers],[Temperature zone]],0)</f>
        <v>0.02</v>
      </c>
      <c r="L249" s="30" cm="1">
        <f t="array" ref="L249">Common_InputFunctions.Utility_DisplayArrayInTable(Common_SourceData.Common_SourceData_MCFTemperatureZone_Data(),Table_SourceData_Common_MCFTemperatureZone[[#Headers],[Temperature zone]],0)</f>
        <v>0.03</v>
      </c>
      <c r="M249" s="30" cm="1">
        <f t="array" ref="M249">Common_InputFunctions.Utility_DisplayArrayInTable(Common_SourceData.Common_SourceData_MCFTemperatureZone_Data(),Table_SourceData_Common_MCFTemperatureZone[[#Headers],[Temperature zone]],0)</f>
        <v>0.04</v>
      </c>
      <c r="N249" s="30" cm="1">
        <f t="array" ref="N249">Common_InputFunctions.Utility_DisplayArrayInTable(Common_SourceData.Common_SourceData_MCFTemperatureZone_Data(),Table_SourceData_Common_MCFTemperatureZone[[#Headers],[Temperature zone]],0)</f>
        <v>1.4999999999999999E-2</v>
      </c>
      <c r="O249" s="30" cm="1">
        <f t="array" ref="O249">Common_InputFunctions.Utility_DisplayArrayInTable(Common_SourceData.Common_SourceData_MCFTemperatureZone_Data(),Table_SourceData_Common_MCFTemperatureZone[[#Headers],[Temperature zone]],0)</f>
        <v>1.4999999999999999E-2</v>
      </c>
      <c r="P249" s="30" cm="1">
        <f t="array" ref="P249">Common_InputFunctions.Utility_DisplayArrayInTable(Common_SourceData.Common_SourceData_MCFTemperatureZone_Data(),Table_SourceData_Common_MCFTemperatureZone[[#Headers],[Temperature zone]],0)</f>
        <v>0</v>
      </c>
      <c r="Q249" s="30" cm="1">
        <f t="array" ref="Q249">Common_InputFunctions.Utility_DisplayArrayInTable(Common_SourceData.Common_SourceData_MCFTemperatureZone_Data(),Table_SourceData_Common_MCFTemperatureZone[[#Headers],[Temperature zone]],0)</f>
        <v>0</v>
      </c>
      <c r="R249" s="30" cm="1">
        <f t="array" ref="R249">Common_InputFunctions.Utility_DisplayArrayInTable(Common_SourceData.Common_SourceData_MCFTemperatureZone_Data(),Table_SourceData_Common_MCFTemperatureZone[[#Headers],[Temperature zone]],0)</f>
        <v>4.7000000000000002E-3</v>
      </c>
      <c r="S249" s="30"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0" t="str" cm="1">
        <f t="array" ref="E250">Common_InputFunctions.Utility_DisplayArrayInTable(Common_SourceData.Common_SourceData_MCFTemperatureZone_Data(),Table_SourceData_Common_MCFTemperatureZone[[#Headers],[Temperature zone]],0)</f>
        <v>≥28</v>
      </c>
      <c r="F250" s="30" cm="1">
        <f t="array" ref="F250">Common_InputFunctions.Utility_DisplayArrayInTable(Common_SourceData.Common_SourceData_MCFTemperatureZone_Data(),Table_SourceData_Common_MCFTemperatureZone[[#Headers],[Temperature zone]],0)</f>
        <v>0.8</v>
      </c>
      <c r="G250" s="30" cm="1">
        <f t="array" ref="G250">Common_InputFunctions.Utility_DisplayArrayInTable(Common_SourceData.Common_SourceData_MCFTemperatureZone_Data(),Table_SourceData_Common_MCFTemperatureZone[[#Headers],[Temperature zone]],0)</f>
        <v>0.1</v>
      </c>
      <c r="H250" s="30" cm="1">
        <f t="array" ref="H250">Common_InputFunctions.Utility_DisplayArrayInTable(Common_SourceData.Common_SourceData_MCFTemperatureZone_Data(),Table_SourceData_Common_MCFTemperatureZone[[#Headers],[Temperature zone]],0)</f>
        <v>0.5</v>
      </c>
      <c r="I250" s="30" cm="1">
        <f t="array" ref="I250">Common_InputFunctions.Utility_DisplayArrayInTable(Common_SourceData.Common_SourceData_MCFTemperatureZone_Data(),Table_SourceData_Common_MCFTemperatureZone[[#Headers],[Temperature zone]],0)</f>
        <v>0.01</v>
      </c>
      <c r="J250" s="30" cm="1">
        <f t="array" ref="J250">Common_InputFunctions.Utility_DisplayArrayInTable(Common_SourceData.Common_SourceData_MCFTemperatureZone_Data(),Table_SourceData_Common_MCFTemperatureZone[[#Headers],[Temperature zone]],0)</f>
        <v>1.4999999999999999E-2</v>
      </c>
      <c r="K250" s="30" cm="1">
        <f t="array" ref="K250">Common_InputFunctions.Utility_DisplayArrayInTable(Common_SourceData.Common_SourceData_MCFTemperatureZone_Data(),Table_SourceData_Common_MCFTemperatureZone[[#Headers],[Temperature zone]],0)</f>
        <v>0.02</v>
      </c>
      <c r="L250" s="30" cm="1">
        <f t="array" ref="L250">Common_InputFunctions.Utility_DisplayArrayInTable(Common_SourceData.Common_SourceData_MCFTemperatureZone_Data(),Table_SourceData_Common_MCFTemperatureZone[[#Headers],[Temperature zone]],0)</f>
        <v>0.03</v>
      </c>
      <c r="M250" s="30" cm="1">
        <f t="array" ref="M250">Common_InputFunctions.Utility_DisplayArrayInTable(Common_SourceData.Common_SourceData_MCFTemperatureZone_Data(),Table_SourceData_Common_MCFTemperatureZone[[#Headers],[Temperature zone]],0)</f>
        <v>0.04</v>
      </c>
      <c r="N250" s="30" cm="1">
        <f t="array" ref="N250">Common_InputFunctions.Utility_DisplayArrayInTable(Common_SourceData.Common_SourceData_MCFTemperatureZone_Data(),Table_SourceData_Common_MCFTemperatureZone[[#Headers],[Temperature zone]],0)</f>
        <v>1.4999999999999999E-2</v>
      </c>
      <c r="O250" s="30" cm="1">
        <f t="array" ref="O250">Common_InputFunctions.Utility_DisplayArrayInTable(Common_SourceData.Common_SourceData_MCFTemperatureZone_Data(),Table_SourceData_Common_MCFTemperatureZone[[#Headers],[Temperature zone]],0)</f>
        <v>1.4999999999999999E-2</v>
      </c>
      <c r="P250" s="30" cm="1">
        <f t="array" ref="P250">Common_InputFunctions.Utility_DisplayArrayInTable(Common_SourceData.Common_SourceData_MCFTemperatureZone_Data(),Table_SourceData_Common_MCFTemperatureZone[[#Headers],[Temperature zone]],0)</f>
        <v>0</v>
      </c>
      <c r="Q250" s="30" cm="1">
        <f t="array" ref="Q250">Common_InputFunctions.Utility_DisplayArrayInTable(Common_SourceData.Common_SourceData_MCFTemperatureZone_Data(),Table_SourceData_Common_MCFTemperatureZone[[#Headers],[Temperature zone]],0)</f>
        <v>0</v>
      </c>
      <c r="R250" s="30" cm="1">
        <f t="array" ref="R250">Common_InputFunctions.Utility_DisplayArrayInTable(Common_SourceData.Common_SourceData_MCFTemperatureZone_Data(),Table_SourceData_Common_MCFTemperatureZone[[#Headers],[Temperature zone]],0)</f>
        <v>4.7000000000000002E-3</v>
      </c>
      <c r="S250" s="30"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7"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5" t="str" cm="1">
        <f t="array" ref="D256">Common_SourceData.Common_SourceData_EFOrganicFertiliserAndCropResidues_Unit()</f>
        <v>kg N2O - N / kg N</v>
      </c>
    </row>
    <row r="257" spans="4:5" x14ac:dyDescent="0.25">
      <c r="D257" s="30" t="s">
        <v>84</v>
      </c>
      <c r="E257" s="30" t="s">
        <v>85</v>
      </c>
    </row>
    <row r="258" spans="4:5" x14ac:dyDescent="0.25">
      <c r="D258" s="30" t="str" cm="1">
        <f t="array" ref="D258">Common_InputFunctions.Utility_DisplayArrayInTable(Common_SourceData.Common_SourceData_EFOrganicFertiliserAndCropResidues_Data(), Table_SourceData_Common_EFOrganicFertCropResidues[[#Headers],[Climate Zone]], 0)</f>
        <v>Wet climate zone</v>
      </c>
      <c r="E258" s="3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5202C7-7283-4825-97F8-E461E3978B98}">
  <sheetPr>
    <tabColor theme="5" tint="-0.249977111117893"/>
  </sheetPr>
  <dimension ref="A1:L385"/>
  <sheetViews>
    <sheetView showGridLines="0" workbookViewId="0" zoomScale="100" zoomScaleNormal="100">
      <selection activeCell="A50" sqref="A50"/>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540</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c r="D5" s="2" t="s">
        <v>541</v>
      </c>
    </row>
    <row r="6" spans="1:10" ht="20.100000000000001" customHeight="1" x14ac:dyDescent="0.25"/>
    <row r="7" spans="1:10" ht="20.100000000000001" customHeight="1" x14ac:dyDescent="0.25">
      <c r="D7" s="46" t="s">
        <v>414</v>
      </c>
      <c r="E7" s="49"/>
    </row>
    <row r="8" spans="1:10" ht="20.100000000000001" customHeight="1" x14ac:dyDescent="0.25">
      <c r="A8" s="7" t="s">
        <v>0</v>
      </c>
    </row>
    <row r="9" spans="1:10" ht="20.100000000000001" customHeight="1" x14ac:dyDescent="0.25">
      <c r="A9" s="5" t="str">
        <f>HYPERLINK("#'Input - Enterprise'!A1", "Enterprise")</f>
        <v>Enterprise</v>
      </c>
      <c r="D9" s="92" t="s">
        <v>415</v>
      </c>
      <c r="E9" s="92" t="s">
        <v>542</v>
      </c>
      <c r="F9" s="92" t="s">
        <v>543</v>
      </c>
      <c r="G9" s="92" t="s">
        <v>544</v>
      </c>
      <c r="H9" s="92" t="s">
        <v>545</v>
      </c>
      <c r="I9" s="92" t="s">
        <v>546</v>
      </c>
    </row>
    <row r="10" spans="1:10" ht="20.100000000000001" customHeight="1" x14ac:dyDescent="0.25">
      <c r="A10" s="5" t="str">
        <f>HYPERLINK("#'Input - Site'!A1", "Site")</f>
        <v>Site</v>
      </c>
      <c r="D10" s="30" t="s">
        <v>547</v>
      </c>
      <c r="E10" s="23" t="s">
        <v>548</v>
      </c>
      <c r="F10" s="23" t="s">
        <v>549</v>
      </c>
      <c r="G10" s="23" t="s">
        <v>550</v>
      </c>
      <c r="H10" s="86">
        <v>50</v>
      </c>
      <c r="I10" s="23" t="s">
        <v>19</v>
      </c>
    </row>
    <row r="11" spans="1:10" ht="20.100000000000001" customHeight="1" x14ac:dyDescent="0.25">
      <c r="A11" s="5" t="str">
        <f>HYPERLINK("#'Input - Crop'!A1", "Crop")</f>
        <v>Crop</v>
      </c>
      <c r="D11" s="30" t="s">
        <v>551</v>
      </c>
      <c r="E11" s="23" t="s">
        <v>548</v>
      </c>
      <c r="F11" s="23" t="s">
        <v>549</v>
      </c>
      <c r="G11" s="23" t="s">
        <v>552</v>
      </c>
      <c r="H11" s="86">
        <v>50</v>
      </c>
      <c r="I11" s="23" t="s">
        <v>553</v>
      </c>
    </row>
    <row r="12" spans="1:10" ht="20.100000000000001" customHeight="1" x14ac:dyDescent="0.25">
      <c r="A12" s="5" t="str">
        <f>HYPERLINK("#'Input - Fert Prod System'!A1", "Fert Prod System")</f>
        <v>Fert Prod System</v>
      </c>
      <c r="D12" s="30" t="s">
        <v>554</v>
      </c>
      <c r="E12" s="23" t="s">
        <v>548</v>
      </c>
      <c r="F12" s="23" t="s">
        <v>555</v>
      </c>
      <c r="G12" s="23" t="s">
        <v>550</v>
      </c>
      <c r="H12" s="86">
        <v>50</v>
      </c>
      <c r="I12" s="23" t="s">
        <v>19</v>
      </c>
    </row>
    <row r="13" spans="1:10" ht="20.100000000000001" customHeight="1" x14ac:dyDescent="0.25">
      <c r="A13" s="5" t="str">
        <f>HYPERLINK("#'Input - Fertiliser'!A1", "Fertiliser")</f>
        <v>Fertiliser</v>
      </c>
      <c r="D13" s="30" t="s">
        <v>556</v>
      </c>
      <c r="E13" s="23" t="s">
        <v>548</v>
      </c>
      <c r="F13" s="23" t="s">
        <v>555</v>
      </c>
      <c r="G13" s="23" t="s">
        <v>552</v>
      </c>
      <c r="H13" s="86">
        <v>50</v>
      </c>
      <c r="I13" s="23" t="s">
        <v>553</v>
      </c>
    </row>
    <row r="14" spans="1:10" ht="20.100000000000001" customHeight="1" x14ac:dyDescent="0.25">
      <c r="A14" s="5" t="str">
        <f>HYPERLINK("#'Input - Fuel'!A1", "Fuel")</f>
        <v>Fuel</v>
      </c>
      <c r="D14" s="30" t="s">
        <v>557</v>
      </c>
      <c r="E14" s="23" t="s">
        <v>558</v>
      </c>
      <c r="F14" s="23" t="s">
        <v>555</v>
      </c>
      <c r="G14" s="23" t="s">
        <v>550</v>
      </c>
      <c r="H14" s="86">
        <v>50</v>
      </c>
      <c r="I14" s="23" t="s">
        <v>19</v>
      </c>
    </row>
    <row r="15" spans="1:10" ht="20.100000000000001" customHeight="1" x14ac:dyDescent="0.25">
      <c r="A15" s="5" t="str">
        <f>HYPERLINK("#'Input - Electricity'!A1", "Electricity")</f>
        <v>Electricity</v>
      </c>
      <c r="D15" s="30" t="s">
        <v>559</v>
      </c>
      <c r="E15" s="23" t="s">
        <v>558</v>
      </c>
      <c r="F15" s="23" t="s">
        <v>555</v>
      </c>
      <c r="G15" s="23" t="s">
        <v>550</v>
      </c>
      <c r="H15" s="86">
        <v>50</v>
      </c>
      <c r="I15" s="23" t="s">
        <v>553</v>
      </c>
    </row>
    <row r="16" spans="1:10" ht="20.100000000000001" customHeight="1" x14ac:dyDescent="0.25">
      <c r="A16" s="5" t="str">
        <f>HYPERLINK("#'Input - Common farm inputs'!A1", "Common farm inputs")</f>
        <v>Common farm inputs</v>
      </c>
      <c r="D16" s="30" t="s">
        <v>560</v>
      </c>
      <c r="E16" s="23" t="s">
        <v>558</v>
      </c>
      <c r="F16" s="23" t="s">
        <v>555</v>
      </c>
      <c r="G16" s="23" t="s">
        <v>552</v>
      </c>
      <c r="H16" s="86">
        <v>50</v>
      </c>
      <c r="I16" s="23" t="s">
        <v>19</v>
      </c>
    </row>
    <row r="17" spans="1:11" ht="20.100000000000001" customHeight="1" x14ac:dyDescent="0.25">
      <c r="A17" s="5" t="str">
        <f>HYPERLINK("#'Input - Crop pasture farm input'!A1", "Crop pasture farm input")</f>
        <v>Crop pasture farm input</v>
      </c>
      <c r="D17" s="30" t="s">
        <v>561</v>
      </c>
      <c r="E17" s="23" t="s">
        <v>558</v>
      </c>
      <c r="F17" s="23" t="s">
        <v>555</v>
      </c>
      <c r="G17" s="23" t="s">
        <v>552</v>
      </c>
      <c r="H17" s="86">
        <v>50</v>
      </c>
      <c r="I17" s="23" t="s">
        <v>553</v>
      </c>
    </row>
    <row r="18" spans="1:11" ht="20.100000000000001" customHeight="1" x14ac:dyDescent="0.25">
      <c r="A18" s="5" t="str">
        <f>HYPERLINK("#'Input - Freight'!A1", "Freight")</f>
        <v>Freight</v>
      </c>
      <c r="D18" s="30" t="s">
        <v>562</v>
      </c>
      <c r="E18" s="23" t="s">
        <v>558</v>
      </c>
      <c r="F18" s="23" t="s">
        <v>549</v>
      </c>
      <c r="G18" s="23" t="s">
        <v>550</v>
      </c>
      <c r="H18" s="86">
        <v>50</v>
      </c>
      <c r="I18" s="23" t="s">
        <v>19</v>
      </c>
    </row>
    <row r="19" spans="1:11" ht="20.100000000000001" customHeight="1" x14ac:dyDescent="0.25">
      <c r="A19" s="5" t="str">
        <f>HYPERLINK("#'Input - Manure sent off-site'!A1", "Manure sent off-site")</f>
        <v>Manure sent off-site</v>
      </c>
      <c r="D19" s="30" t="s">
        <v>563</v>
      </c>
      <c r="E19" s="23" t="s">
        <v>558</v>
      </c>
      <c r="F19" s="23" t="s">
        <v>549</v>
      </c>
      <c r="G19" s="23" t="s">
        <v>550</v>
      </c>
      <c r="H19" s="86">
        <v>50</v>
      </c>
      <c r="I19" s="23" t="s">
        <v>553</v>
      </c>
    </row>
    <row r="20" spans="1:11" ht="20.100000000000001" customHeight="1" x14ac:dyDescent="0.25">
      <c r="A20" s="99" t="str">
        <f>HYPERLINK("#'Input - Solid waste'!A1", "Solid waste")</f>
        <v>Solid waste</v>
      </c>
      <c r="D20" s="30" t="s">
        <v>564</v>
      </c>
      <c r="E20" s="23" t="s">
        <v>558</v>
      </c>
      <c r="F20" s="23" t="s">
        <v>549</v>
      </c>
      <c r="G20" s="23" t="s">
        <v>552</v>
      </c>
      <c r="H20" s="86">
        <v>50</v>
      </c>
      <c r="I20" s="23" t="s">
        <v>19</v>
      </c>
    </row>
    <row r="21" spans="1:11" ht="20.100000000000001" customHeight="1" x14ac:dyDescent="0.25">
      <c r="A21" s="5" t="str">
        <f>HYPERLINK("#'Input - Data quality'!A1", "Data quality")</f>
        <v>Data quality</v>
      </c>
      <c r="D21" s="30" t="s">
        <v>565</v>
      </c>
      <c r="E21" s="23" t="s">
        <v>558</v>
      </c>
      <c r="F21" s="23" t="s">
        <v>549</v>
      </c>
      <c r="G21" s="23" t="s">
        <v>552</v>
      </c>
      <c r="H21" s="86">
        <v>50</v>
      </c>
      <c r="I21" s="23" t="s">
        <v>553</v>
      </c>
    </row>
    <row r="22" spans="1:11" ht="20.100000000000001" customHeight="1" x14ac:dyDescent="0.25">
      <c r="D22" s="30" t="s">
        <v>566</v>
      </c>
      <c r="E22" s="23" t="s">
        <v>558</v>
      </c>
      <c r="F22" s="23" t="s">
        <v>567</v>
      </c>
      <c r="G22" s="23" t="s">
        <v>550</v>
      </c>
      <c r="H22" s="86">
        <v>50</v>
      </c>
      <c r="I22" s="23" t="s">
        <v>19</v>
      </c>
    </row>
    <row r="23" spans="1:11" ht="20.100000000000001" customHeight="1" x14ac:dyDescent="0.25">
      <c r="D23" s="30" t="s">
        <v>568</v>
      </c>
      <c r="E23" s="23" t="s">
        <v>558</v>
      </c>
      <c r="F23" s="23" t="s">
        <v>567</v>
      </c>
      <c r="G23" s="23" t="s">
        <v>550</v>
      </c>
      <c r="H23" s="86">
        <v>50</v>
      </c>
      <c r="I23" s="23" t="s">
        <v>553</v>
      </c>
    </row>
    <row r="24" spans="1:11" ht="20.100000000000001" customHeight="1" x14ac:dyDescent="0.25">
      <c r="A24" s="6" t="s">
        <v>2</v>
      </c>
      <c r="D24" s="30" t="s">
        <v>569</v>
      </c>
      <c r="E24" s="23" t="s">
        <v>558</v>
      </c>
      <c r="F24" s="23" t="s">
        <v>567</v>
      </c>
      <c r="G24" s="23" t="s">
        <v>552</v>
      </c>
      <c r="H24" s="86">
        <v>50</v>
      </c>
      <c r="I24" s="23" t="s">
        <v>19</v>
      </c>
    </row>
    <row r="25" spans="1:11" ht="20.100000000000001" customHeight="1" x14ac:dyDescent="0.25">
      <c r="A25" s="5" t="str">
        <f>HYPERLINK("#'5.1.1.1-2 Inorganic fert N2O'!A1", "5.1.1.1-2 Inorganic fert N2O")</f>
        <v>5.1.1.1-2 Inorganic fert N2O</v>
      </c>
      <c r="D25" s="30" t="s">
        <v>570</v>
      </c>
      <c r="E25" s="23" t="s">
        <v>558</v>
      </c>
      <c r="F25" s="23" t="s">
        <v>567</v>
      </c>
      <c r="G25" s="23" t="s">
        <v>552</v>
      </c>
      <c r="H25" s="86">
        <v>50</v>
      </c>
      <c r="I25" s="23" t="s">
        <v>553</v>
      </c>
    </row>
    <row r="26" spans="1:11" ht="20.100000000000001" customHeight="1" x14ac:dyDescent="0.25">
      <c r="A26" s="5" t="str">
        <f>HYPERLINK("#'5.1.1.3-4 Inorganic fert CO2'!A1", "5.1.1.3-4 Inorganic fert CO2")</f>
        <v>5.1.1.3-4 Inorganic fert CO2</v>
      </c>
      <c r="D26" s="30" t="s">
        <v>571</v>
      </c>
      <c r="E26" s="23" t="s">
        <v>572</v>
      </c>
      <c r="F26" s="23" t="s">
        <v>549</v>
      </c>
      <c r="G26" s="23" t="s">
        <v>552</v>
      </c>
      <c r="H26" s="86">
        <v>50</v>
      </c>
      <c r="I26" s="23" t="s">
        <v>19</v>
      </c>
    </row>
    <row r="27" spans="1:11" ht="20.100000000000001" customHeight="1" x14ac:dyDescent="0.25">
      <c r="A27" s="5" t="str">
        <f>HYPERLINK("#'5.2.1.1-2 Organic Fert N2O'!A1", "5.2.1.1-2 Organic fert N2O")</f>
        <v>5.2.1.1-2 Organic fert N2O</v>
      </c>
      <c r="D27" s="30" t="s">
        <v>573</v>
      </c>
      <c r="E27" s="23" t="s">
        <v>572</v>
      </c>
      <c r="F27" s="23" t="s">
        <v>549</v>
      </c>
      <c r="G27" s="23" t="s">
        <v>552</v>
      </c>
      <c r="H27" s="86">
        <v>50</v>
      </c>
      <c r="I27" s="23" t="s">
        <v>553</v>
      </c>
    </row>
    <row r="28" spans="1:11" ht="20.100000000000001" customHeight="1" x14ac:dyDescent="0.25">
      <c r="A28" s="5" t="str">
        <f>HYPERLINK("#'5.3.1.1-2 Lime CO2'!A1", "5.3.1.1-2 Lime CO2")</f>
        <v>5.3.1.1-2 Lime CO2</v>
      </c>
      <c r="D28" s="30" t="s">
        <v>574</v>
      </c>
      <c r="E28" s="23" t="s">
        <v>572</v>
      </c>
      <c r="F28" s="23" t="s">
        <v>567</v>
      </c>
      <c r="G28" s="23" t="s">
        <v>552</v>
      </c>
      <c r="H28" s="86">
        <v>50</v>
      </c>
      <c r="I28" s="23" t="s">
        <v>19</v>
      </c>
    </row>
    <row r="29" spans="1:11" ht="20.100000000000001" customHeight="1" x14ac:dyDescent="0.25">
      <c r="A29" s="5" t="str">
        <f>HYPERLINK("#'5.4.1.1-4 Atmos deposition'!A1", "5.4.1.1-4 Atmos. deposition")</f>
        <v>5.4.1.1-4 Atmos. deposition</v>
      </c>
      <c r="D29" s="30" t="s">
        <v>575</v>
      </c>
      <c r="E29" s="23" t="s">
        <v>572</v>
      </c>
      <c r="F29" s="23" t="s">
        <v>567</v>
      </c>
      <c r="G29" s="23" t="s">
        <v>552</v>
      </c>
      <c r="H29" s="86">
        <v>50</v>
      </c>
      <c r="I29" s="23" t="s">
        <v>553</v>
      </c>
      <c r="K29" s="126"/>
    </row>
    <row r="30" spans="1:11" ht="20.100000000000001" customHeight="1" x14ac:dyDescent="0.25">
      <c r="A30" s="5" t="str">
        <f>HYPERLINK("#'5.5.1.1-2 Leaching and runoff'!A1", "5.5.1.1-2 Leaching &amp; runoff")</f>
        <v>5.5.1.1-2 Leaching &amp; runoff</v>
      </c>
      <c r="D30" s="30" t="s">
        <v>576</v>
      </c>
      <c r="E30" s="23" t="s">
        <v>572</v>
      </c>
      <c r="F30" s="23" t="s">
        <v>567</v>
      </c>
      <c r="G30" s="23" t="s">
        <v>550</v>
      </c>
      <c r="H30" s="86">
        <v>50</v>
      </c>
      <c r="I30" s="23" t="s">
        <v>19</v>
      </c>
      <c r="K30" s="126"/>
    </row>
    <row r="31" spans="1:11" ht="20.100000000000001" customHeight="1" x14ac:dyDescent="0.25">
      <c r="A31" s="5" t="str">
        <f>HYPERLINK("#'6.1.1.1-2 Crop residue N2O'!A1", "6.1.1.1-2 Crop residue N2O")</f>
        <v>6.1.1.1-2 Crop residue N2O</v>
      </c>
      <c r="D31" s="30" t="s">
        <v>577</v>
      </c>
      <c r="E31" s="23" t="s">
        <v>572</v>
      </c>
      <c r="F31" s="23" t="s">
        <v>567</v>
      </c>
      <c r="G31" s="23" t="s">
        <v>550</v>
      </c>
      <c r="H31" s="86">
        <v>50</v>
      </c>
      <c r="I31" s="23" t="s">
        <v>553</v>
      </c>
      <c r="K31" s="126"/>
    </row>
    <row r="32" spans="1:11" ht="20.100000000000001" customHeight="1" x14ac:dyDescent="0.25">
      <c r="A32" s="5" t="str">
        <f>HYPERLINK("#'6.3.1.1-2 Leach runoff crop'!A1", "6.3.1.1-2 Leach &amp; runoff (crop)")</f>
        <v>6.3.1.1-2 Leach &amp; runoff (crop)</v>
      </c>
      <c r="D32" s="30" t="s">
        <v>575</v>
      </c>
      <c r="E32" s="23" t="s">
        <v>572</v>
      </c>
      <c r="F32" s="23" t="s">
        <v>567</v>
      </c>
      <c r="G32" s="23" t="s">
        <v>552</v>
      </c>
      <c r="H32" s="86">
        <v>50</v>
      </c>
      <c r="I32" s="23" t="s">
        <v>553</v>
      </c>
      <c r="K32" s="126"/>
    </row>
    <row r="33" spans="1:12" ht="20.100000000000001" customHeight="1" x14ac:dyDescent="0.25">
      <c r="A33" s="5" t="str">
        <f>HYPERLINK("#'6.4.1.1-2 Residue burning'!A1", "6.4.1.1-2 Residue burning")</f>
        <v>6.4.1.1-2 Residue burning</v>
      </c>
      <c r="K33" s="126"/>
    </row>
    <row r="34" spans="1:12" ht="20.100000000000001" customHeight="1" x14ac:dyDescent="0.25">
      <c r="A34" s="5" t="str">
        <f>HYPERLINK("#'8.1.1.1-2 Transport fuel'!A1", "8.1.1.1-2 Transport fuel")</f>
        <v>8.1.1.1-2 Transport fuel</v>
      </c>
      <c r="K34" s="126"/>
    </row>
    <row r="35" spans="1:12" ht="20.100000000000001" customHeight="1" x14ac:dyDescent="0.25">
      <c r="A35" s="5" t="str">
        <f>HYPERLINK("#'8.2.1.1-2 Stationary fuel'!A1", "8.2.1.1-2 Stationary fuel")</f>
        <v>8.2.1.1-2 Stationary fuel</v>
      </c>
    </row>
    <row r="36" spans="1:12" ht="20.100000000000001" customHeight="1" x14ac:dyDescent="0.25">
      <c r="A36" s="5" t="str">
        <f>HYPERLINK("#'14.1.1-2 Purchased electricity'!A1", "14.1.1-2 Purchased electricity")</f>
        <v>14.1.1-2 Purchased electricity</v>
      </c>
      <c r="L36" s="126"/>
    </row>
    <row r="37" spans="1:12" ht="20.100000000000001" customHeight="1" x14ac:dyDescent="0.25">
      <c r="A37" s="5" t="str">
        <f>HYPERLINK("#'15 Scope 3'!A1", "15 Scope 3")</f>
        <v>15 Scope 3</v>
      </c>
      <c r="L37" s="126"/>
    </row>
    <row r="38" spans="1:12" ht="20.100000000000001" customHeight="1" x14ac:dyDescent="0.25">
      <c r="A38" s="5" t="str">
        <f>HYPERLINK("#'Calcs - Manure sent off-site'!A1", "Calcs - Manure sent off-site")</f>
        <v>Calcs - Manure sent off-site</v>
      </c>
      <c r="C38" s="114"/>
    </row>
    <row r="39" spans="1:12" ht="20.100000000000001" customHeight="1" x14ac:dyDescent="0.25">
      <c r="A39" s="5" t="str">
        <f>HYPERLINK("#'10.1.1-2 Solid waste treatment'!A1", "10.1.1-2 Solid waste treatment")</f>
        <v>10.1.1-2 Solid waste treatment</v>
      </c>
      <c r="C39" s="114"/>
      <c r="J39" s="114"/>
    </row>
    <row r="40" spans="1:12" s="126" customFormat="1" ht="20.100000000000001" customHeight="1" x14ac:dyDescent="0.25">
      <c r="A40"/>
      <c r="C40" s="1"/>
      <c r="D40" s="1"/>
      <c r="E40" s="1"/>
      <c r="F40" s="1"/>
      <c r="G40" s="1"/>
      <c r="H40" s="1"/>
      <c r="I40" s="1"/>
      <c r="J40" s="1"/>
    </row>
    <row r="41" spans="1:12" s="126" customFormat="1" ht="20.100000000000001" customHeight="1" x14ac:dyDescent="0.25">
      <c r="A41"/>
      <c r="C41" s="1"/>
      <c r="D41" s="1"/>
      <c r="E41" s="1"/>
      <c r="F41" s="1"/>
      <c r="G41" s="1"/>
      <c r="H41" s="1"/>
      <c r="I41" s="1"/>
      <c r="J41" s="1"/>
      <c r="L41" s="126" t="s">
        <v>427</v>
      </c>
    </row>
    <row r="42" spans="1:12" ht="20.100000000000001" customHeight="1" x14ac:dyDescent="0.25">
      <c r="A42" s="108" t="s">
        <v>1</v>
      </c>
    </row>
    <row r="43" spans="1:12" ht="20.100000000000001" customHeight="1" x14ac:dyDescent="0.25">
      <c r="A43" s="5" t="str">
        <f>HYPERLINK("#'Constants - Ag Residue'!A1", "Constants - Ag residue")</f>
        <v>Constants - Ag residue</v>
      </c>
    </row>
    <row r="44" spans="1:12" ht="20.100000000000001" customHeight="1" x14ac:dyDescent="0.25">
      <c r="A44" s="5" t="str">
        <f>HYPERLINK("#'Constants - Common Livestock'!A1", "Constants - Common Livestock")</f>
        <v>Constants - Common Livestock</v>
      </c>
    </row>
    <row r="45" spans="1:12" ht="20.100000000000001" customHeight="1" x14ac:dyDescent="0.25">
      <c r="A45" s="5" t="str">
        <f>HYPERLINK("#'Constants - Electricity'!A1", "Constants - Electricity")</f>
        <v>Constants - Electricity</v>
      </c>
    </row>
    <row r="46" spans="1:12" ht="20.100000000000001" customHeight="1" x14ac:dyDescent="0.25">
      <c r="A46" s="5" t="str">
        <f>HYPERLINK("#'Constants - Fertiliser'!A1", "Constants - Fertiliser")</f>
        <v>Constants - Fertiliser</v>
      </c>
    </row>
    <row r="47" spans="1:12" ht="20.100000000000001" customHeight="1" x14ac:dyDescent="0.25">
      <c r="A47" s="5" t="str">
        <f>HYPERLINK("#'Constants - Fuel'!A1", "Constants - Fuel")</f>
        <v>Constants - Fuel</v>
      </c>
    </row>
    <row r="48" spans="1:12" ht="20.100000000000001" customHeight="1" x14ac:dyDescent="0.25">
      <c r="A48" s="5" t="str">
        <f>HYPERLINK("#'Constants - Scope 3'!A1", "Constants - Scope 3")</f>
        <v>Constants - Scope 3</v>
      </c>
    </row>
    <row r="49" spans="1:1" ht="20.100000000000001" customHeight="1" x14ac:dyDescent="0.25">
      <c r="A49" s="5" t="str">
        <f>HYPERLINK("#'Constants - Common'!A1", "Constants - Common")</f>
        <v>Constants - Common</v>
      </c>
    </row>
    <row r="50" spans="1:1" ht="20.100000000000001" customHeight="1" x14ac:dyDescent="0.25">
      <c r="A50" s="5" t="str">
        <f>HYPERLINK("#'Constants - Solid Waste'!A1", "Constants - Solid Waste")</f>
        <v>Constants - Solid Waste</v>
      </c>
    </row>
    <row r="51" spans="1:1" ht="20.100000000000001" customHeight="1" x14ac:dyDescent="0.25"/>
    <row r="52" spans="1:1" ht="20.100000000000001" customHeight="1" x14ac:dyDescent="0.25"/>
    <row r="53" spans="1:1" ht="20.100000000000001" customHeight="1" x14ac:dyDescent="0.25"/>
    <row r="54" spans="1:1" ht="20.100000000000001" customHeight="1" x14ac:dyDescent="0.25"/>
    <row r="55" spans="1:1" ht="20.100000000000001" customHeight="1" x14ac:dyDescent="0.25"/>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spans="4:4" ht="20.100000000000001" customHeight="1" x14ac:dyDescent="0.25"/>
    <row r="66" spans="4:4" ht="20.100000000000001" customHeight="1" x14ac:dyDescent="0.25"/>
    <row r="67" spans="4:4" ht="20.100000000000001" customHeight="1" x14ac:dyDescent="0.25"/>
    <row r="68" spans="4:4" ht="20.100000000000001" customHeight="1" x14ac:dyDescent="0.25"/>
    <row r="69" spans="4:4" ht="20.100000000000001" customHeight="1" x14ac:dyDescent="0.25"/>
    <row r="70" spans="4:4" ht="20.100000000000001" customHeight="1" x14ac:dyDescent="0.25"/>
    <row r="71" spans="4:4" ht="20.100000000000001" customHeight="1" x14ac:dyDescent="0.25"/>
    <row r="72" spans="4:4" ht="20.100000000000001" customHeight="1" x14ac:dyDescent="0.25"/>
    <row r="73" spans="4:4" ht="20.100000000000001" customHeight="1" x14ac:dyDescent="0.25">
      <c r="D73" s="180"/>
    </row>
    <row r="74" spans="4:4" ht="20.100000000000001" customHeight="1" x14ac:dyDescent="0.25"/>
    <row r="75" spans="4:4" ht="20.100000000000001" customHeight="1" x14ac:dyDescent="0.25">
      <c r="D75" s="180"/>
    </row>
    <row r="76" spans="4:4" ht="20.100000000000001" customHeight="1" x14ac:dyDescent="0.25">
      <c r="D76" s="180"/>
    </row>
    <row r="77" spans="4:4" ht="20.100000000000001" customHeight="1" x14ac:dyDescent="0.25"/>
    <row r="78" spans="4:4" ht="20.100000000000001" customHeight="1" x14ac:dyDescent="0.25"/>
    <row r="79" spans="4:4" ht="20.100000000000001" customHeight="1" x14ac:dyDescent="0.25"/>
    <row r="80" spans="4: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127"/>
    </row>
  </sheetData>
  <conditionalFormatting sqref="F162:F163">
    <cfRule type="cellIs" dxfId="16" priority="7" operator="lessThan">
      <formula>0</formula>
    </cfRule>
  </conditionalFormatting>
  <conditionalFormatting sqref="F174:F175">
    <cfRule type="cellIs" dxfId="15" priority="6" operator="lessThan">
      <formula>0</formula>
    </cfRule>
  </conditionalFormatting>
  <conditionalFormatting sqref="F186:F187">
    <cfRule type="cellIs" dxfId="14" priority="5" operator="lessThan">
      <formula>0</formula>
    </cfRule>
  </conditionalFormatting>
  <conditionalFormatting sqref="F274:F275">
    <cfRule type="cellIs" dxfId="13" priority="17" operator="lessThan">
      <formula>0</formula>
    </cfRule>
  </conditionalFormatting>
  <conditionalFormatting sqref="F279:F280">
    <cfRule type="cellIs" dxfId="12" priority="16" operator="lessThan">
      <formula>0</formula>
    </cfRule>
  </conditionalFormatting>
  <conditionalFormatting sqref="F284:F285">
    <cfRule type="cellIs" dxfId="11" priority="15" operator="lessThan">
      <formula>0</formula>
    </cfRule>
  </conditionalFormatting>
  <conditionalFormatting sqref="F308:F309">
    <cfRule type="cellIs" dxfId="10" priority="14" operator="lessThan">
      <formula>0</formula>
    </cfRule>
  </conditionalFormatting>
  <conditionalFormatting sqref="F313:F314">
    <cfRule type="cellIs" dxfId="9" priority="13" operator="lessThan">
      <formula>0</formula>
    </cfRule>
  </conditionalFormatting>
  <conditionalFormatting sqref="F318:F319">
    <cfRule type="cellIs" dxfId="8" priority="12" operator="lessThan">
      <formula>0</formula>
    </cfRule>
  </conditionalFormatting>
  <conditionalFormatting sqref="I33 F71">
    <cfRule type="cellIs" dxfId="7" priority="9" operator="lessThan">
      <formula>0</formula>
    </cfRule>
  </conditionalFormatting>
  <conditionalFormatting sqref="I79:I83">
    <cfRule type="cellIs" dxfId="6" priority="4" operator="lessThan">
      <formula>0</formula>
    </cfRule>
  </conditionalFormatting>
  <conditionalFormatting sqref="I87 I146">
    <cfRule type="cellIs" dxfId="5" priority="10" operator="lessThan">
      <formula>0</formula>
    </cfRule>
  </conditionalFormatting>
  <conditionalFormatting sqref="I98:I100">
    <cfRule type="cellIs" dxfId="4" priority="3" operator="lessThan">
      <formula>0</formula>
    </cfRule>
  </conditionalFormatting>
  <conditionalFormatting sqref="I104:I107">
    <cfRule type="cellIs" dxfId="3" priority="2" operator="lessThan">
      <formula>0</formula>
    </cfRule>
  </conditionalFormatting>
  <conditionalFormatting sqref="I111:I115">
    <cfRule type="cellIs" dxfId="2" priority="1" operator="lessThan">
      <formula>0</formula>
    </cfRule>
  </conditionalFormatting>
  <conditionalFormatting sqref="J8 I65:I66 H67:H69 I68 I70:I72 I74:I75 I226 I232 E234:G234">
    <cfRule type="cellIs" dxfId="1" priority="11" operator="lessThan">
      <formula>0</formula>
    </cfRule>
  </conditionalFormatting>
  <conditionalFormatting sqref="J37 I59 F150:F151">
    <cfRule type="cellIs" dxfId="0" priority="8" operator="lessThan">
      <formula>0</formula>
    </cfRule>
  </conditionalFormatting>
  <dataValidations count="9">
    <dataValidation type="list" allowBlank="1" showInputMessage="1" showErrorMessage="1" sqref="F10:F32" xr:uid="{2593F8D3-400A-4769-8706-287446824C3D}">
      <formula1>INDIRECT("Table_WasteTypes_" &amp; SUBSTITUTE(E10, " ", "") &amp; "[Waste type w]")</formula1>
    </dataValidation>
    <dataValidation type="list" allowBlank="1" showInputMessage="1" showErrorMessage="1" sqref="I10:I32" xr:uid="{D9B4D219-1A1A-4E8C-BEFB-B7401075EFE7}">
      <formula1>"tonnes, cubic metres m3"</formula1>
    </dataValidation>
    <dataValidation type="list" allowBlank="1" showInputMessage="1" showErrorMessage="1" sqref="G10:G32" xr:uid="{05A00AED-12BD-4AF2-880A-3ABFF52F537A}">
      <formula1>"Treated on-site, Removed and treated off-site"</formula1>
    </dataValidation>
    <dataValidation type="list" allowBlank="1" showInputMessage="1" showErrorMessage="1" sqref="E10:E32" xr:uid="{04515323-AAD2-4B63-AA94-A61E951E4DE8}">
      <formula1>INDIRECT(_xlfn.UNIQUE("Table_SourceData_WasteSolid_WasteTreatmentEFs[Treatment type t]"))</formula1>
    </dataValidation>
    <dataValidation type="list" allowBlank="1" showInputMessage="1" showErrorMessage="1" sqref="E35" xr:uid="{DB1281E7-C6DD-41C5-9B6C-D628480987C9}">
      <formula1>INDIRECT("Table_SourceData_ElectricityEFs[State, Territory or grid description]")</formula1>
    </dataValidation>
    <dataValidation type="list" allowBlank="1" showInputMessage="1" showErrorMessage="1" sqref="E89" xr:uid="{FA379F41-EA1F-49B2-9C66-AA6FE15B46DE}">
      <formula1>INDIRECT("Table_SourceData_Swine_IrrigationMethods[Irrigation method]")</formula1>
    </dataValidation>
    <dataValidation type="list" allowBlank="1" showInputMessage="1" showErrorMessage="1" sqref="E273 E278 E283 E317 E312 E307 E185 E173 E149 E161" xr:uid="{1D89B7F4-2731-42A9-AA25-F13377032FE5}">
      <formula1>"Yes, No"</formula1>
    </dataValidation>
    <dataValidation type="list" allowBlank="1" showInputMessage="1" showErrorMessage="1" sqref="E249" xr:uid="{4948C236-4D34-4116-9803-459E07BF2E3E}">
      <formula1>INDIRECT("Table_SourceData_Dairy_ProductionSystemTemplates[Area]")</formula1>
    </dataValidation>
    <dataValidation type="list" allowBlank="1" showInputMessage="1" showErrorMessage="1" sqref="D301" xr:uid="{9D3DA5F9-D0C6-43C9-9680-A8E435840AE7}">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269B1D-C591-4CD3-AF42-C5EEEF269995}">
  <sheetPr>
    <tabColor rgb="FF008000"/>
  </sheetPr>
  <dimension ref="A1:L342"/>
  <sheetViews>
    <sheetView showGridLines="0" topLeftCell="A174" workbookViewId="0" zoomScale="100" zoomScaleNormal="100">
      <selection activeCell="A50" sqref="A50"/>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31" customFormat="1" ht="30" customHeight="1" x14ac:dyDescent="0.35">
      <c r="A1" s="16" t="e" vm="1">
        <v>#VALUE!</v>
      </c>
      <c r="C1" s="31" t="s">
        <v>578</v>
      </c>
    </row>
    <row r="2" spans="1:12" s="3" customFormat="1" ht="20.100000000000001" customHeight="1" x14ac:dyDescent="0.25">
      <c r="A2"/>
    </row>
    <row r="3" spans="1:12" ht="20.100000000000001" customHeight="1" x14ac:dyDescent="0.25">
      <c r="A3" s="5" t="str">
        <f>HYPERLINK("#'Home'!A1", "Home")</f>
        <v>Home</v>
      </c>
      <c r="C3" s="33"/>
      <c r="D3" s="33" t="s">
        <v>135</v>
      </c>
      <c r="E3" s="33"/>
      <c r="F3" s="33"/>
      <c r="G3" s="33"/>
      <c r="H3" s="33"/>
      <c r="I3" s="33"/>
      <c r="J3" s="33"/>
      <c r="K3" s="33"/>
      <c r="L3" s="33"/>
    </row>
    <row r="4" spans="1:12" ht="20.100000000000001" customHeight="1" x14ac:dyDescent="0.25">
      <c r="A4" s="5" t="str">
        <f>HYPERLINK("#'Overview'!A1", "Overview")</f>
        <v>Overview</v>
      </c>
    </row>
    <row r="5" spans="1:12" ht="20.100000000000001" customHeight="1" x14ac:dyDescent="0.25">
      <c r="A5" s="5" t="str">
        <f>HYPERLINK("#'Results'!A1", "Results")</f>
        <v>Results</v>
      </c>
      <c r="D5" s="2" t="str" cm="1">
        <f t="array" ref="D5">WasteSolid_Equations.VEERG_10_1_1_1__2_MassOfWasteFromVolume_Title()</f>
        <v>Mass of waste from waste volume</v>
      </c>
    </row>
    <row r="6" spans="1:12" ht="20.100000000000001" customHeight="1" x14ac:dyDescent="0.25">
      <c r="D6" s="27" t="str" cm="1">
        <f t="array" ref="D6">WasteSolid_Equations.VEERG_10_1_1_1__2_MassOfWasteFromVolume_Source()</f>
        <v>VEERG 2026: 10.1.1.1, Equation (2)</v>
      </c>
    </row>
    <row r="7" spans="1:12" ht="20.100000000000001" customHeight="1" x14ac:dyDescent="0.25">
      <c r="D7" s="133" t="s">
        <v>267</v>
      </c>
      <c r="E7" s="133" t="str" cm="1">
        <f t="array" aca="1" ref="E7" ca="1">Common_InputFunctions.Utility_DisplayFunctionName(I21)</f>
        <v>=WasteSolid_Equations.VEERG_10_1_1_1__2_MassOfWasteFromVolume</v>
      </c>
    </row>
    <row r="8" spans="1:12" ht="20.100000000000001" customHeight="1" x14ac:dyDescent="0.25">
      <c r="A8" s="7" t="s">
        <v>0</v>
      </c>
    </row>
    <row r="9" spans="1:12" ht="20.100000000000001" customHeight="1" x14ac:dyDescent="0.25">
      <c r="A9" s="5" t="str">
        <f>HYPERLINK("#'Input - Enterprise'!A1", "Enterprise")</f>
        <v>Enterprise</v>
      </c>
    </row>
    <row r="10" spans="1:12" ht="20.100000000000001" customHeight="1" x14ac:dyDescent="0.25">
      <c r="A10" s="5" t="str">
        <f>HYPERLINK("#'Input - Site'!A1", "Site")</f>
        <v>Site</v>
      </c>
      <c r="D10" s="88" t="s">
        <v>268</v>
      </c>
      <c r="E10" s="1" t="str" cm="1">
        <f t="array" ref="E10">WasteSolid_Equations.VEERG_10_1_1_1__2_MassOfWasteFromVolume_Variable()</f>
        <v>Q_wt</v>
      </c>
    </row>
    <row r="11" spans="1:12" ht="20.100000000000001" customHeight="1" x14ac:dyDescent="0.25">
      <c r="A11" s="5" t="str">
        <f>HYPERLINK("#'Input - Crop'!A1", "Crop")</f>
        <v>Crop</v>
      </c>
      <c r="D11" s="88" t="s">
        <v>121</v>
      </c>
      <c r="E11" s="15" t="str" cm="1">
        <f t="array" ref="E11">WasteSolid_Equations.VEERG_10_1_1_1__2_MassOfWasteFromVolume_Unit()</f>
        <v>t</v>
      </c>
    </row>
    <row r="12" spans="1:12" ht="20.100000000000001" customHeight="1" x14ac:dyDescent="0.25">
      <c r="A12" s="5" t="str">
        <f>HYPERLINK("#'Input - Fert Prod System'!A1", "Fert Prod System")</f>
        <v>Fert Prod System</v>
      </c>
    </row>
    <row r="13" spans="1:12" ht="20.100000000000001" customHeight="1" x14ac:dyDescent="0.25">
      <c r="A13" s="5" t="str">
        <f>HYPERLINK("#'Input - Fertiliser'!A1", "Fertiliser")</f>
        <v>Fertiliser</v>
      </c>
      <c r="D13" s="155" t="str" cm="1">
        <f t="array" ref="D13:E16">_xlfn.CHOOSECOLS(WasteSolid_Equations.VEERG_10_1_1_1__2_MassOfWasteFromVolume_Arguments(),1,2)</f>
        <v>V_wt</v>
      </c>
      <c r="E13" s="163" t="str">
        <v>volume of solid waste type w being sent to treatment facility t</v>
      </c>
      <c r="F13" s="165"/>
      <c r="G13" s="155" t="str" cm="1">
        <f t="array" ref="G13:H16">_xlfn.CHOOSECOLS(WasteSolid_Equations.VEERG_10_1_1_1__2_MassOfWasteFromVolume_Arguments(),3,4)</f>
        <v>m3</v>
      </c>
      <c r="H13" s="137" t="str">
        <v>Input</v>
      </c>
      <c r="I13" s="141" t="str" cm="1">
        <f t="array" aca="1" ref="I13" ca="1">HYPERLINK(Common_InputFunctions.Utility_SourceHyperlink($D$18),$D$18)</f>
        <v>Table_V_w_t_onsite</v>
      </c>
      <c r="J13" s="141" t="str" cm="1">
        <f t="array" aca="1" ref="J13" ca="1">HYPERLINK(Common_InputFunctions.Utility_SourceHyperlink($D$56),$D$56)</f>
        <v>Table_V_w_t_offsite</v>
      </c>
    </row>
    <row r="14" spans="1:12" ht="20.100000000000001" customHeight="1" x14ac:dyDescent="0.25">
      <c r="A14" s="5" t="str">
        <f>HYPERLINK("#'Input - Fuel'!A1", "Fuel")</f>
        <v>Fuel</v>
      </c>
      <c r="D14" s="155" t="str">
        <v>VTM_w</v>
      </c>
      <c r="E14" s="163" t="str">
        <v>conversion factor of volume to mass for waste type w</v>
      </c>
      <c r="F14" s="165"/>
      <c r="G14" s="155" t="str">
        <v>t/m3</v>
      </c>
      <c r="H14" s="138" t="str">
        <v>Constant</v>
      </c>
      <c r="I14" s="141" t="str" cm="1">
        <f t="array" aca="1" ref="I14" ca="1">HYPERLINK(Common_InputFunctions.Utility_SourceHyperlink($D$18),$D$18)</f>
        <v>Table_V_w_t_onsite</v>
      </c>
      <c r="J14" s="141" t="str" cm="1">
        <f t="array" aca="1" ref="J14" ca="1">HYPERLINK(Common_InputFunctions.Utility_SourceHyperlink($D$56),$D$56)</f>
        <v>Table_V_w_t_offsite</v>
      </c>
    </row>
    <row r="15" spans="1:12" ht="20.100000000000001" customHeight="1" x14ac:dyDescent="0.25">
      <c r="A15" s="5" t="str">
        <f>HYPERLINK("#'Input - Electricity'!A1", "Electricity")</f>
        <v>Electricity</v>
      </c>
      <c r="D15" s="155" t="str">
        <v>w</v>
      </c>
      <c r="E15" s="163" t="str">
        <v>waste type</v>
      </c>
      <c r="F15" s="165"/>
      <c r="G15" s="155" t="str">
        <v/>
      </c>
      <c r="H15" s="137" t="str">
        <v>Input</v>
      </c>
      <c r="I15" s="141" t="str" cm="1">
        <f t="array" aca="1" ref="I15" ca="1">HYPERLINK(Common_InputFunctions.Utility_SourceHyperlink($D$18),$D$18)</f>
        <v>Table_V_w_t_onsite</v>
      </c>
      <c r="J15" s="141" t="str" cm="1">
        <f t="array" aca="1" ref="J15" ca="1">HYPERLINK(Common_InputFunctions.Utility_SourceHyperlink($D$56),$D$56)</f>
        <v>Table_V_w_t_offsite</v>
      </c>
    </row>
    <row r="16" spans="1:12" ht="20.100000000000001" customHeight="1" x14ac:dyDescent="0.25">
      <c r="A16" s="5" t="str">
        <f>HYPERLINK("#'Input - Common farm inputs'!A1", "Common farm inputs")</f>
        <v>Common farm inputs</v>
      </c>
      <c r="D16" s="155" t="str">
        <v>t</v>
      </c>
      <c r="E16" s="163" t="str">
        <v>treatment facility</v>
      </c>
      <c r="F16" s="165"/>
      <c r="G16" s="155" t="str">
        <v/>
      </c>
      <c r="H16" s="137" t="str">
        <v>Input</v>
      </c>
      <c r="I16" s="141" t="str" cm="1">
        <f t="array" aca="1" ref="I16" ca="1">HYPERLINK(Common_InputFunctions.Utility_SourceHyperlink($D$18),$D$18)</f>
        <v>Table_V_w_t_onsite</v>
      </c>
      <c r="J16" s="141" t="str" cm="1">
        <f t="array" aca="1" ref="J16" ca="1">HYPERLINK(Common_InputFunctions.Utility_SourceHyperlink($D$56),$D$56)</f>
        <v>Table_V_w_t_offsite</v>
      </c>
    </row>
    <row r="17" spans="1:9" ht="20.100000000000001" customHeight="1" x14ac:dyDescent="0.25">
      <c r="A17" s="5" t="str">
        <f>HYPERLINK("#'Input - Crop pasture farm input'!A1", "Crop pasture farm input")</f>
        <v>Crop pasture farm input</v>
      </c>
    </row>
    <row r="18" spans="1:9" ht="20.100000000000001" customHeight="1" x14ac:dyDescent="0.25">
      <c r="A18" s="5" t="str">
        <f>HYPERLINK("#'Input - Freight'!A1", "Freight")</f>
        <v>Freight</v>
      </c>
      <c r="D18" s="144" t="s">
        <v>579</v>
      </c>
    </row>
    <row r="19" spans="1:9" ht="20.100000000000001" customHeight="1" x14ac:dyDescent="0.25">
      <c r="A19" s="5" t="str">
        <f>HYPERLINK("#'Input - Manure sent off-site'!A1", "Manure sent off-site")</f>
        <v>Manure sent off-site</v>
      </c>
      <c r="D19" s="145" t="s">
        <v>580</v>
      </c>
    </row>
    <row r="20" spans="1:9" ht="20.100000000000001" customHeight="1" x14ac:dyDescent="0.25">
      <c r="A20" s="5" t="str">
        <f>HYPERLINK("#'Input - Solid waste'!A1", "Solid waste")</f>
        <v>Solid waste</v>
      </c>
      <c r="D20" s="92" t="s">
        <v>581</v>
      </c>
      <c r="E20" s="92" t="s">
        <v>582</v>
      </c>
      <c r="F20" s="92"/>
      <c r="G20" s="92" t="s">
        <v>583</v>
      </c>
      <c r="H20" s="146" t="s">
        <v>584</v>
      </c>
      <c r="I20" s="146" t="s">
        <v>585</v>
      </c>
    </row>
    <row r="21" spans="1:9" ht="20.100000000000001" customHeight="1" x14ac:dyDescent="0.25">
      <c r="A21" s="5" t="str">
        <f>HYPERLINK("#'Input - Data quality'!A1", "Data quality")</f>
        <v>Data quality</v>
      </c>
      <c r="D21" s="155" t="str" cm="1">
        <f t="array" ref="D21:D54">Table_SourceData_WasteSolid_WasteTreatmentEFs[Treatment type t]</f>
        <v>Landfill</v>
      </c>
      <c r="E21" s="163" t="str" cm="1">
        <f t="array" ref="E21:E54">Table_SourceData_WasteSolid_WasteTreatmentEFs[Waste type w]</f>
        <v>Food waste (including animal carcasses, spoiled animal feed or crop)</v>
      </c>
      <c r="F21" s="140"/>
      <c r="G21" s="2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25" cm="1">
        <f t="array" ref="H21">Common_InputFunctions.Utility_LookupValueInTableNumber(E21,Table_SourceData_WasteSolid_VolumeToMassConversion[Waste type w],Table_SourceData_WasteSolid_VolumeToMassConversion[VTMw])</f>
        <v>0.5</v>
      </c>
      <c r="I21" s="25" cm="1">
        <f t="array" ref="I21">WasteSolid_Equations.VEERG_10_1_1_1__2_MassOfWasteFromVolume(G21,H21)</f>
        <v>25</v>
      </c>
    </row>
    <row r="22" spans="1:9" ht="20.100000000000001" customHeight="1" x14ac:dyDescent="0.25">
      <c r="D22" s="155" t="str">
        <v>Landfill</v>
      </c>
      <c r="E22" s="163" t="str">
        <v>Paper and cardboard</v>
      </c>
      <c r="F22" s="140"/>
      <c r="G22" s="2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25" cm="1">
        <f t="array" ref="H22">Common_InputFunctions.Utility_LookupValueInTableNumber(E22,Table_SourceData_WasteSolid_VolumeToMassConversion[Waste type w],Table_SourceData_WasteSolid_VolumeToMassConversion[VTMw])</f>
        <v>0.09</v>
      </c>
      <c r="I22" s="25" cm="1">
        <f t="array" ref="I22">WasteSolid_Equations.VEERG_10_1_1_1__2_MassOfWasteFromVolume(G22,H22)</f>
        <v>4.5</v>
      </c>
    </row>
    <row r="23" spans="1:9" ht="20.100000000000001" customHeight="1" x14ac:dyDescent="0.25">
      <c r="D23" s="155" t="str">
        <v>Landfill</v>
      </c>
      <c r="E23" s="163" t="str">
        <v>Green waste (including crop residues or prunings)</v>
      </c>
      <c r="F23" s="140"/>
      <c r="G23" s="2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25" cm="1">
        <f t="array" ref="H23">Common_InputFunctions.Utility_LookupValueInTableNumber(E23,Table_SourceData_WasteSolid_VolumeToMassConversion[Waste type w],Table_SourceData_WasteSolid_VolumeToMassConversion[VTMw])</f>
        <v>0.24</v>
      </c>
      <c r="I23" s="25" cm="1">
        <f t="array" ref="I23">WasteSolid_Equations.VEERG_10_1_1_1__2_MassOfWasteFromVolume(G23,H23)</f>
        <v>12</v>
      </c>
    </row>
    <row r="24" spans="1:9" ht="20.100000000000001" customHeight="1" x14ac:dyDescent="0.25">
      <c r="A24" s="6" t="s">
        <v>2</v>
      </c>
      <c r="D24" s="155" t="str">
        <v>Landfill</v>
      </c>
      <c r="E24" s="163" t="str">
        <v>Wood</v>
      </c>
      <c r="F24" s="140"/>
      <c r="G24" s="2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25" cm="1">
        <f t="array" ref="H24">Common_InputFunctions.Utility_LookupValueInTableNumber(E24,Table_SourceData_WasteSolid_VolumeToMassConversion[Waste type w],Table_SourceData_WasteSolid_VolumeToMassConversion[VTMw])</f>
        <v>0.15</v>
      </c>
      <c r="I24" s="25" cm="1">
        <f t="array" ref="I24">WasteSolid_Equations.VEERG_10_1_1_1__2_MassOfWasteFromVolume(G24,H24)</f>
        <v>0</v>
      </c>
    </row>
    <row r="25" spans="1:9" ht="20.100000000000001" customHeight="1" x14ac:dyDescent="0.25">
      <c r="A25" s="5" t="str">
        <f>HYPERLINK("#'5.1.1.1-2 Inorganic fert N2O'!A1", "5.1.1.1-2 Inorganic fert N2O")</f>
        <v>5.1.1.1-2 Inorganic fert N2O</v>
      </c>
      <c r="D25" s="155" t="str">
        <v>Landfill</v>
      </c>
      <c r="E25" s="163" t="str">
        <v>Textiles</v>
      </c>
      <c r="F25" s="140"/>
      <c r="G25" s="2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25" cm="1">
        <f t="array" ref="H25">Common_InputFunctions.Utility_LookupValueInTableNumber(E25,Table_SourceData_WasteSolid_VolumeToMassConversion[Waste type w],Table_SourceData_WasteSolid_VolumeToMassConversion[VTMw])</f>
        <v>0.14000000000000001</v>
      </c>
      <c r="I25" s="25" cm="1">
        <f t="array" ref="I25">WasteSolid_Equations.VEERG_10_1_1_1__2_MassOfWasteFromVolume(G25,H25)</f>
        <v>0</v>
      </c>
    </row>
    <row r="26" spans="1:9" ht="20.100000000000001" customHeight="1" x14ac:dyDescent="0.25">
      <c r="A26" s="5" t="str">
        <f>HYPERLINK("#'5.1.1.3-4 Inorganic fert CO2'!A1", "5.1.1.3-4 Inorganic fert CO2")</f>
        <v>5.1.1.3-4 Inorganic fert CO2</v>
      </c>
      <c r="D26" s="155" t="str">
        <v>Landfill</v>
      </c>
      <c r="E26" s="163" t="str">
        <v>Sludge</v>
      </c>
      <c r="F26" s="140"/>
      <c r="G26" s="2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25" cm="1">
        <f t="array" ref="H26">Common_InputFunctions.Utility_LookupValueInTableNumber(E26,Table_SourceData_WasteSolid_VolumeToMassConversion[Waste type w],Table_SourceData_WasteSolid_VolumeToMassConversion[VTMw])</f>
        <v>0.72</v>
      </c>
      <c r="I26" s="25" cm="1">
        <f t="array" ref="I26">WasteSolid_Equations.VEERG_10_1_1_1__2_MassOfWasteFromVolume(G26,H26)</f>
        <v>0</v>
      </c>
    </row>
    <row r="27" spans="1:9" ht="20.100000000000001" customHeight="1" x14ac:dyDescent="0.25">
      <c r="A27" s="5" t="str">
        <f>HYPERLINK("#'5.2.1.1-2 Organic Fert N2O'!A1", "5.2.1.1-2 Organic fert N2O")</f>
        <v>5.2.1.1-2 Organic fert N2O</v>
      </c>
      <c r="D27" s="155" t="str">
        <v>Landfill</v>
      </c>
      <c r="E27" s="163" t="str">
        <v>Rubber and leather</v>
      </c>
      <c r="F27" s="140"/>
      <c r="G27" s="2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25" cm="1">
        <f t="array" ref="H27">Common_InputFunctions.Utility_LookupValueInTableNumber(E27,Table_SourceData_WasteSolid_VolumeToMassConversion[Waste type w],Table_SourceData_WasteSolid_VolumeToMassConversion[VTMw])</f>
        <v>0.14000000000000001</v>
      </c>
      <c r="I27" s="25" cm="1">
        <f t="array" ref="I27">WasteSolid_Equations.VEERG_10_1_1_1__2_MassOfWasteFromVolume(G27,H27)</f>
        <v>0</v>
      </c>
    </row>
    <row r="28" spans="1:9" ht="20.100000000000001" customHeight="1" x14ac:dyDescent="0.25">
      <c r="A28" s="5" t="str">
        <f>HYPERLINK("#'5.3.1.1-2 Lime CO2'!A1", "5.3.1.1-2 Lime CO2")</f>
        <v>5.3.1.1-2 Lime CO2</v>
      </c>
      <c r="D28" s="155" t="str">
        <v>Landfill</v>
      </c>
      <c r="E28" s="163" t="str">
        <v>Inert waste (including concrete, metal, plastic or glass)</v>
      </c>
      <c r="F28" s="140"/>
      <c r="G28" s="2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25" cm="1">
        <f t="array" ref="H28">Common_InputFunctions.Utility_LookupValueInTableNumber(E28,Table_SourceData_WasteSolid_VolumeToMassConversion[Waste type w],Table_SourceData_WasteSolid_VolumeToMassConversion[VTMw])</f>
        <v>0.42</v>
      </c>
      <c r="I28" s="25" cm="1">
        <f t="array" ref="I28">WasteSolid_Equations.VEERG_10_1_1_1__2_MassOfWasteFromVolume(G28,H28)</f>
        <v>0</v>
      </c>
    </row>
    <row r="29" spans="1:9" ht="20.100000000000001" customHeight="1" x14ac:dyDescent="0.25">
      <c r="A29" s="5" t="str">
        <f>HYPERLINK("#'5.4.1.1-4 Atmos deposition'!A1", "5.4.1.1-4 Atmos. deposition")</f>
        <v>5.4.1.1-4 Atmos. deposition</v>
      </c>
      <c r="D29" s="155" t="str">
        <v>Landfill</v>
      </c>
      <c r="E29" s="163" t="str">
        <v>Municipal solid waste</v>
      </c>
      <c r="F29" s="140"/>
      <c r="G29" s="2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25" cm="1">
        <f t="array" ref="H29">Common_InputFunctions.Utility_LookupValueInTableNumber(E29,Table_SourceData_WasteSolid_VolumeToMassConversion[Waste type w],Table_SourceData_WasteSolid_VolumeToMassConversion[VTMw])</f>
        <v>0.36</v>
      </c>
      <c r="I29" s="25" cm="1">
        <f t="array" ref="I29">WasteSolid_Equations.VEERG_10_1_1_1__2_MassOfWasteFromVolume(G29,H29)</f>
        <v>0</v>
      </c>
    </row>
    <row r="30" spans="1:9" ht="20.100000000000001" customHeight="1" x14ac:dyDescent="0.25">
      <c r="A30" s="5" t="str">
        <f>HYPERLINK("#'5.5.1.1-2 Leaching and runoff'!A1", "5.5.1.1-2 Leaching &amp; runoff")</f>
        <v>5.5.1.1-2 Leaching &amp; runoff</v>
      </c>
      <c r="D30" s="155" t="str">
        <v>Landfill</v>
      </c>
      <c r="E30" s="163" t="str">
        <v>Commercial and industrial waste</v>
      </c>
      <c r="F30" s="140"/>
      <c r="G30" s="2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25" cm="1">
        <f t="array" ref="H30">Common_InputFunctions.Utility_LookupValueInTableNumber(E30,Table_SourceData_WasteSolid_VolumeToMassConversion[Waste type w],Table_SourceData_WasteSolid_VolumeToMassConversion[VTMw])</f>
        <v>0.33</v>
      </c>
      <c r="I30" s="25" cm="1">
        <f t="array" ref="I30">WasteSolid_Equations.VEERG_10_1_1_1__2_MassOfWasteFromVolume(G30,H30)</f>
        <v>0</v>
      </c>
    </row>
    <row r="31" spans="1:9" ht="20.100000000000001" customHeight="1" x14ac:dyDescent="0.25">
      <c r="A31" s="5" t="str">
        <f>HYPERLINK("#'6.1.1.1-2 Crop residue N2O'!A1", "6.1.1.1-2 Crop residue N2O")</f>
        <v>6.1.1.1-2 Crop residue N2O</v>
      </c>
      <c r="D31" s="155" t="str">
        <v>Landfill</v>
      </c>
      <c r="E31" s="163" t="str">
        <v>Construction and demolition waste</v>
      </c>
      <c r="F31" s="140"/>
      <c r="G31" s="2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25" cm="1">
        <f t="array" ref="H31">Common_InputFunctions.Utility_LookupValueInTableNumber(E31,Table_SourceData_WasteSolid_VolumeToMassConversion[Waste type w],Table_SourceData_WasteSolid_VolumeToMassConversion[VTMw])</f>
        <v>0.39</v>
      </c>
      <c r="I31" s="25" cm="1">
        <f t="array" ref="I31">WasteSolid_Equations.VEERG_10_1_1_1__2_MassOfWasteFromVolume(G31,H31)</f>
        <v>0</v>
      </c>
    </row>
    <row r="32" spans="1:9" ht="20.100000000000001" customHeight="1" x14ac:dyDescent="0.25">
      <c r="A32" s="5" t="str">
        <f>HYPERLINK("#'6.3.1.1-2 Leach runoff crop'!A1", "6.3.1.1-2 Leach &amp; runoff (crop)")</f>
        <v>6.3.1.1-2 Leach &amp; runoff (crop)</v>
      </c>
      <c r="D32" s="155" t="str">
        <v>Incineration</v>
      </c>
      <c r="E32" s="163" t="str">
        <v>Food waste, green waste, wood, sludge</v>
      </c>
      <c r="F32" s="140"/>
      <c r="G32" s="25" t="s">
        <v>298</v>
      </c>
      <c r="H32" s="25" t="s">
        <v>298</v>
      </c>
      <c r="I32" s="25" t="s">
        <v>298</v>
      </c>
    </row>
    <row r="33" spans="1:9" ht="20.100000000000001" customHeight="1" x14ac:dyDescent="0.25">
      <c r="A33" s="5" t="str">
        <f>HYPERLINK("#'6.4.1.1-2 Residue burning'!A1", "6.4.1.1-2 Residue burning")</f>
        <v>6.4.1.1-2 Residue burning</v>
      </c>
      <c r="D33" s="155" t="str">
        <v>Incineration</v>
      </c>
      <c r="E33" s="163" t="str">
        <v>Food waste (including animal carcasses, spoiled animal feed or crop)</v>
      </c>
      <c r="F33" s="140"/>
      <c r="G33" s="2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25" cm="1">
        <f t="array" ref="H33">Common_InputFunctions.Utility_LookupValueInTableNumber(E33,Table_SourceData_WasteSolid_VolumeToMassConversion[Waste type w],Table_SourceData_WasteSolid_VolumeToMassConversion[VTMw])</f>
        <v>0.5</v>
      </c>
      <c r="I33" s="25" cm="1">
        <f t="array" ref="I33">WasteSolid_Equations.VEERG_10_1_1_1__2_MassOfWasteFromVolume(G33,H33)</f>
        <v>0</v>
      </c>
    </row>
    <row r="34" spans="1:9" ht="20.100000000000001" customHeight="1" x14ac:dyDescent="0.25">
      <c r="A34" s="5" t="str">
        <f>HYPERLINK("#'8.1.1.1-2 Transport fuel'!A1", "8.1.1.1-2 Transport fuel")</f>
        <v>8.1.1.1-2 Transport fuel</v>
      </c>
      <c r="D34" s="155" t="str">
        <v>Incineration</v>
      </c>
      <c r="E34" s="163" t="str">
        <v>Green waste (including crop residues or prunings)</v>
      </c>
      <c r="F34" s="140"/>
      <c r="G34" s="2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25" cm="1">
        <f t="array" ref="H34">Common_InputFunctions.Utility_LookupValueInTableNumber(E34,Table_SourceData_WasteSolid_VolumeToMassConversion[Waste type w],Table_SourceData_WasteSolid_VolumeToMassConversion[VTMw])</f>
        <v>0.24</v>
      </c>
      <c r="I34" s="25" cm="1">
        <f t="array" ref="I34">WasteSolid_Equations.VEERG_10_1_1_1__2_MassOfWasteFromVolume(G34,H34)</f>
        <v>24</v>
      </c>
    </row>
    <row r="35" spans="1:9" ht="20.100000000000001" customHeight="1" x14ac:dyDescent="0.25">
      <c r="A35" s="5" t="str">
        <f>HYPERLINK("#'8.2.1.1-2 Stationary fuel'!A1", "8.2.1.1-2 Stationary fuel")</f>
        <v>8.2.1.1-2 Stationary fuel</v>
      </c>
      <c r="D35" s="155" t="str">
        <v>Incineration</v>
      </c>
      <c r="E35" s="163" t="str">
        <v>Wood</v>
      </c>
      <c r="F35" s="140"/>
      <c r="G35" s="2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25" cm="1">
        <f t="array" ref="H35">Common_InputFunctions.Utility_LookupValueInTableNumber(E35,Table_SourceData_WasteSolid_VolumeToMassConversion[Waste type w],Table_SourceData_WasteSolid_VolumeToMassConversion[VTMw])</f>
        <v>0.15</v>
      </c>
      <c r="I35" s="25" cm="1">
        <f t="array" ref="I35">WasteSolid_Equations.VEERG_10_1_1_1__2_MassOfWasteFromVolume(G35,H35)</f>
        <v>0</v>
      </c>
    </row>
    <row r="36" spans="1:9" ht="20.100000000000001" customHeight="1" x14ac:dyDescent="0.25">
      <c r="A36" s="5" t="str">
        <f>HYPERLINK("#'14.1.1-2 Purchased electricity'!A1", "14.1.1-2 Purchased electricity")</f>
        <v>14.1.1-2 Purchased electricity</v>
      </c>
      <c r="D36" s="155" t="str">
        <v>Incineration</v>
      </c>
      <c r="E36" s="163" t="str">
        <v>Sludge</v>
      </c>
      <c r="F36" s="140"/>
      <c r="G36" s="2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25" cm="1">
        <f t="array" ref="H36">Common_InputFunctions.Utility_LookupValueInTableNumber(E36,Table_SourceData_WasteSolid_VolumeToMassConversion[Waste type w],Table_SourceData_WasteSolid_VolumeToMassConversion[VTMw])</f>
        <v>0.72</v>
      </c>
      <c r="I36" s="25" cm="1">
        <f t="array" ref="I36">WasteSolid_Equations.VEERG_10_1_1_1__2_MassOfWasteFromVolume(G36,H36)</f>
        <v>0</v>
      </c>
    </row>
    <row r="37" spans="1:9" ht="20.100000000000001" customHeight="1" x14ac:dyDescent="0.25">
      <c r="A37" s="5" t="str">
        <f>HYPERLINK("#'15 Scope 3'!A1", "15 Scope 3")</f>
        <v>15 Scope 3</v>
      </c>
      <c r="D37" s="155" t="str">
        <v>Incineration</v>
      </c>
      <c r="E37" s="163" t="str">
        <v>Paper and cardboard</v>
      </c>
      <c r="F37" s="140"/>
      <c r="G37" s="2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25" cm="1">
        <f t="array" ref="H37">Common_InputFunctions.Utility_LookupValueInTableNumber(E37,Table_SourceData_WasteSolid_VolumeToMassConversion[Waste type w],Table_SourceData_WasteSolid_VolumeToMassConversion[VTMw])</f>
        <v>0.09</v>
      </c>
      <c r="I37" s="25" cm="1">
        <f t="array" ref="I37">WasteSolid_Equations.VEERG_10_1_1_1__2_MassOfWasteFromVolume(G37,H37)</f>
        <v>4.5</v>
      </c>
    </row>
    <row r="38" spans="1:9" ht="20.100000000000001" customHeight="1" x14ac:dyDescent="0.25">
      <c r="A38" s="5" t="str">
        <f>HYPERLINK("#'Calcs - Manure sent off-site'!A1", "Calcs - Manure sent off-site")</f>
        <v>Calcs - Manure sent off-site</v>
      </c>
      <c r="D38" s="155" t="str">
        <v>Incineration</v>
      </c>
      <c r="E38" s="163" t="str">
        <v>Textiles</v>
      </c>
      <c r="F38" s="140"/>
      <c r="G38" s="2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25" cm="1">
        <f t="array" ref="H38">Common_InputFunctions.Utility_LookupValueInTableNumber(E38,Table_SourceData_WasteSolid_VolumeToMassConversion[Waste type w],Table_SourceData_WasteSolid_VolumeToMassConversion[VTMw])</f>
        <v>0.14000000000000001</v>
      </c>
      <c r="I38" s="25" cm="1">
        <f t="array" ref="I38">WasteSolid_Equations.VEERG_10_1_1_1__2_MassOfWasteFromVolume(G38,H38)</f>
        <v>0</v>
      </c>
    </row>
    <row r="39" spans="1:9" ht="20.100000000000001" customHeight="1" x14ac:dyDescent="0.25">
      <c r="A39" s="142" t="str">
        <f>HYPERLINK("#'10.1.1-2 Solid waste treatment'!A1", "10.1.1-2 Solid waste treatment")</f>
        <v>10.1.1-2 Solid waste treatment</v>
      </c>
      <c r="D39" s="155" t="str">
        <v>Incineration</v>
      </c>
      <c r="E39" s="163" t="str">
        <v>Rubber and leather</v>
      </c>
      <c r="F39" s="140"/>
      <c r="G39" s="2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25" cm="1">
        <f t="array" ref="H39">Common_InputFunctions.Utility_LookupValueInTableNumber(E39,Table_SourceData_WasteSolid_VolumeToMassConversion[Waste type w],Table_SourceData_WasteSolid_VolumeToMassConversion[VTMw])</f>
        <v>0.14000000000000001</v>
      </c>
      <c r="I39" s="25" cm="1">
        <f t="array" ref="I39">WasteSolid_Equations.VEERG_10_1_1_1__2_MassOfWasteFromVolume(G39,H39)</f>
        <v>0</v>
      </c>
    </row>
    <row r="40" spans="1:9" ht="20.100000000000001" customHeight="1" x14ac:dyDescent="0.25">
      <c r="D40" s="155" t="str">
        <v>Incineration</v>
      </c>
      <c r="E40" s="155" t="str">
        <v>Inert waste (including concrete, metal, plastic or glass)</v>
      </c>
      <c r="F40" s="155"/>
      <c r="G40" s="2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25" cm="1">
        <f t="array" ref="H40">Common_InputFunctions.Utility_LookupValueInTableNumber(E40,Table_SourceData_WasteSolid_VolumeToMassConversion[Waste type w],Table_SourceData_WasteSolid_VolumeToMassConversion[VTMw])</f>
        <v>0.42</v>
      </c>
      <c r="I40" s="25" cm="1">
        <f t="array" ref="I40">WasteSolid_Equations.VEERG_10_1_1_1__2_MassOfWasteFromVolume(G40,H40)</f>
        <v>0</v>
      </c>
    </row>
    <row r="41" spans="1:9" ht="20.100000000000001" customHeight="1" x14ac:dyDescent="0.25">
      <c r="D41" s="155" t="str">
        <v>Incineration</v>
      </c>
      <c r="E41" s="163" t="str">
        <v>Municipal solid waste</v>
      </c>
      <c r="F41" s="165"/>
      <c r="G41" s="2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25" cm="1">
        <f t="array" ref="H41">Common_InputFunctions.Utility_LookupValueInTableNumber(E41,Table_SourceData_WasteSolid_VolumeToMassConversion[Waste type w],Table_SourceData_WasteSolid_VolumeToMassConversion[VTMw])</f>
        <v>0.36</v>
      </c>
      <c r="I41" s="25" cm="1">
        <f t="array" ref="I41">WasteSolid_Equations.VEERG_10_1_1_1__2_MassOfWasteFromVolume(G41,H41)</f>
        <v>0</v>
      </c>
    </row>
    <row r="42" spans="1:9" ht="20.100000000000001" customHeight="1" x14ac:dyDescent="0.25">
      <c r="A42" s="108" t="s">
        <v>1</v>
      </c>
      <c r="D42" s="155" t="str">
        <v>Incineration</v>
      </c>
      <c r="E42" s="163" t="str">
        <v>Commercial and industrial waste</v>
      </c>
      <c r="F42" s="165"/>
      <c r="G42" s="2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25" cm="1">
        <f t="array" ref="H42">Common_InputFunctions.Utility_LookupValueInTableNumber(E42,Table_SourceData_WasteSolid_VolumeToMassConversion[Waste type w],Table_SourceData_WasteSolid_VolumeToMassConversion[VTMw])</f>
        <v>0.33</v>
      </c>
      <c r="I42" s="25" cm="1">
        <f t="array" ref="I42">WasteSolid_Equations.VEERG_10_1_1_1__2_MassOfWasteFromVolume(G42,H42)</f>
        <v>0</v>
      </c>
    </row>
    <row r="43" spans="1:9" ht="20.100000000000001" customHeight="1" x14ac:dyDescent="0.25">
      <c r="A43" s="5" t="str">
        <f>HYPERLINK("#'Constants - Ag Residue'!A1", "Constants - Ag residue")</f>
        <v>Constants - Ag residue</v>
      </c>
      <c r="D43" s="155" t="str">
        <v>Composting</v>
      </c>
      <c r="E43" s="163" t="str">
        <v>All organic waste</v>
      </c>
      <c r="F43" s="165"/>
      <c r="G43" s="25" t="s">
        <v>298</v>
      </c>
      <c r="H43" s="25" t="s">
        <v>298</v>
      </c>
      <c r="I43" s="25" t="s">
        <v>298</v>
      </c>
    </row>
    <row r="44" spans="1:9" ht="20.100000000000001" customHeight="1" x14ac:dyDescent="0.25">
      <c r="A44" s="5" t="str">
        <f>HYPERLINK("#'Constants - Common Livestock'!A1", "Constants - Common Livestock")</f>
        <v>Constants - Common Livestock</v>
      </c>
      <c r="D44" s="155" t="str">
        <v>Composting</v>
      </c>
      <c r="E44" s="163" t="str">
        <v>Food waste (including animal carcasses, spoiled animal feed or crop)</v>
      </c>
      <c r="F44" s="165"/>
      <c r="G44" s="2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25" cm="1">
        <f t="array" ref="H44">Common_InputFunctions.Utility_LookupValueInTableNumber(E44,Table_SourceData_WasteSolid_VolumeToMassConversion[Waste type w],Table_SourceData_WasteSolid_VolumeToMassConversion[VTMw])</f>
        <v>0.5</v>
      </c>
      <c r="I44" s="25" cm="1">
        <f t="array" ref="I44">WasteSolid_Equations.VEERG_10_1_1_1__2_MassOfWasteFromVolume(G44,H44)</f>
        <v>25</v>
      </c>
    </row>
    <row r="45" spans="1:9" ht="20.100000000000001" customHeight="1" x14ac:dyDescent="0.25">
      <c r="A45" s="5" t="str">
        <f>HYPERLINK("#'Constants - Electricity'!A1", "Constants - Electricity")</f>
        <v>Constants - Electricity</v>
      </c>
      <c r="D45" s="155" t="str">
        <v>Composting</v>
      </c>
      <c r="E45" s="163" t="str">
        <v>Green waste (including crop residues or prunings)</v>
      </c>
      <c r="F45" s="165"/>
      <c r="G45" s="2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25" cm="1">
        <f t="array" ref="H45">Common_InputFunctions.Utility_LookupValueInTableNumber(E45,Table_SourceData_WasteSolid_VolumeToMassConversion[Waste type w],Table_SourceData_WasteSolid_VolumeToMassConversion[VTMw])</f>
        <v>0.24</v>
      </c>
      <c r="I45" s="25" cm="1">
        <f t="array" ref="I45">WasteSolid_Equations.VEERG_10_1_1_1__2_MassOfWasteFromVolume(G45,H45)</f>
        <v>0</v>
      </c>
    </row>
    <row r="46" spans="1:9" ht="20.100000000000001" customHeight="1" x14ac:dyDescent="0.25">
      <c r="A46" s="5" t="str">
        <f>HYPERLINK("#'Constants - Fertiliser'!A1", "Constants - Fertiliser")</f>
        <v>Constants - Fertiliser</v>
      </c>
      <c r="D46" s="155" t="str">
        <v>Composting</v>
      </c>
      <c r="E46" s="163" t="str">
        <v>Wood</v>
      </c>
      <c r="F46" s="165"/>
      <c r="G46" s="2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25" cm="1">
        <f t="array" ref="H46">Common_InputFunctions.Utility_LookupValueInTableNumber(E46,Table_SourceData_WasteSolid_VolumeToMassConversion[Waste type w],Table_SourceData_WasteSolid_VolumeToMassConversion[VTMw])</f>
        <v>0.15</v>
      </c>
      <c r="I46" s="25" cm="1">
        <f t="array" ref="I46">WasteSolid_Equations.VEERG_10_1_1_1__2_MassOfWasteFromVolume(G46,H46)</f>
        <v>0</v>
      </c>
    </row>
    <row r="47" spans="1:9" ht="20.100000000000001" customHeight="1" x14ac:dyDescent="0.25">
      <c r="A47" s="5" t="str">
        <f>HYPERLINK("#'Constants - Fuel'!A1", "Constants - Fuel")</f>
        <v>Constants - Fuel</v>
      </c>
      <c r="D47" s="155" t="str">
        <v>Composting</v>
      </c>
      <c r="E47" s="163" t="str">
        <v>Sludge</v>
      </c>
      <c r="F47" s="165"/>
      <c r="G47" s="2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25" cm="1">
        <f t="array" ref="H47">Common_InputFunctions.Utility_LookupValueInTableNumber(E47,Table_SourceData_WasteSolid_VolumeToMassConversion[Waste type w],Table_SourceData_WasteSolid_VolumeToMassConversion[VTMw])</f>
        <v>0.72</v>
      </c>
      <c r="I47" s="25" cm="1">
        <f t="array" ref="I47">WasteSolid_Equations.VEERG_10_1_1_1__2_MassOfWasteFromVolume(G47,H47)</f>
        <v>0</v>
      </c>
    </row>
    <row r="48" spans="1:9" ht="20.100000000000001" customHeight="1" x14ac:dyDescent="0.25">
      <c r="A48" s="5" t="str">
        <f>HYPERLINK("#'Constants - Scope 3'!A1", "Constants - Scope 3")</f>
        <v>Constants - Scope 3</v>
      </c>
      <c r="D48" s="155" t="str">
        <v>Composting</v>
      </c>
      <c r="E48" s="163" t="str">
        <v>Paper and cardboard</v>
      </c>
      <c r="F48" s="165"/>
      <c r="G48" s="2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25" cm="1">
        <f t="array" ref="H48">Common_InputFunctions.Utility_LookupValueInTableNumber(E48,Table_SourceData_WasteSolid_VolumeToMassConversion[Waste type w],Table_SourceData_WasteSolid_VolumeToMassConversion[VTMw])</f>
        <v>0.09</v>
      </c>
      <c r="I48" s="25" cm="1">
        <f t="array" ref="I48">WasteSolid_Equations.VEERG_10_1_1_1__2_MassOfWasteFromVolume(G48,H48)</f>
        <v>4.5</v>
      </c>
    </row>
    <row r="49" spans="1:9" ht="20.100000000000001" customHeight="1" x14ac:dyDescent="0.25">
      <c r="A49" s="5" t="str">
        <f>HYPERLINK("#'Constants - Common'!A1", "Constants - Common")</f>
        <v>Constants - Common</v>
      </c>
      <c r="D49" s="155" t="str">
        <v>Anaerobic digestion</v>
      </c>
      <c r="E49" s="163" t="str">
        <v>All organic waste</v>
      </c>
      <c r="F49" s="165"/>
      <c r="G49" s="25" t="s">
        <v>298</v>
      </c>
      <c r="H49" s="25" t="s">
        <v>298</v>
      </c>
      <c r="I49" s="25" t="s">
        <v>298</v>
      </c>
    </row>
    <row r="50" spans="1:9" ht="20.100000000000001" customHeight="1" x14ac:dyDescent="0.25">
      <c r="A50" s="5" t="str">
        <f>HYPERLINK("#'Constants - Solid Waste'!A1", "Constants - Solid Waste")</f>
        <v>Constants - Solid Waste</v>
      </c>
      <c r="D50" s="155" t="str">
        <v>Anaerobic digestion</v>
      </c>
      <c r="E50" s="163" t="str">
        <v>Food waste (including animal carcasses, spoiled animal feed or crop)</v>
      </c>
      <c r="F50" s="165"/>
      <c r="G50" s="2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25" cm="1">
        <f t="array" ref="H50">Common_InputFunctions.Utility_LookupValueInTableNumber(E50,Table_SourceData_WasteSolid_VolumeToMassConversion[Waste type w],Table_SourceData_WasteSolid_VolumeToMassConversion[VTMw])</f>
        <v>0.5</v>
      </c>
      <c r="I50" s="25" cm="1">
        <f t="array" ref="I50">WasteSolid_Equations.VEERG_10_1_1_1__2_MassOfWasteFromVolume(G50,H50)</f>
        <v>0</v>
      </c>
    </row>
    <row r="51" spans="1:9" ht="20.100000000000001" customHeight="1" x14ac:dyDescent="0.25">
      <c r="D51" s="155" t="str">
        <v>Anaerobic digestion</v>
      </c>
      <c r="E51" s="163" t="str">
        <v>Green waste (including crop residues or prunings)</v>
      </c>
      <c r="F51" s="165"/>
      <c r="G51" s="2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25" cm="1">
        <f t="array" ref="H51">Common_InputFunctions.Utility_LookupValueInTableNumber(E51,Table_SourceData_WasteSolid_VolumeToMassConversion[Waste type w],Table_SourceData_WasteSolid_VolumeToMassConversion[VTMw])</f>
        <v>0.24</v>
      </c>
      <c r="I51" s="25" cm="1">
        <f t="array" ref="I51">WasteSolid_Equations.VEERG_10_1_1_1__2_MassOfWasteFromVolume(G51,H51)</f>
        <v>0</v>
      </c>
    </row>
    <row r="52" spans="1:9" ht="20.100000000000001" customHeight="1" x14ac:dyDescent="0.25">
      <c r="D52" s="155" t="str">
        <v>Anaerobic digestion</v>
      </c>
      <c r="E52" s="163" t="str">
        <v>Wood</v>
      </c>
      <c r="F52" s="165"/>
      <c r="G52" s="2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25" cm="1">
        <f t="array" ref="H52">Common_InputFunctions.Utility_LookupValueInTableNumber(E52,Table_SourceData_WasteSolid_VolumeToMassConversion[Waste type w],Table_SourceData_WasteSolid_VolumeToMassConversion[VTMw])</f>
        <v>0.15</v>
      </c>
      <c r="I52" s="25" cm="1">
        <f t="array" ref="I52">WasteSolid_Equations.VEERG_10_1_1_1__2_MassOfWasteFromVolume(G52,H52)</f>
        <v>0</v>
      </c>
    </row>
    <row r="53" spans="1:9" ht="20.100000000000001" customHeight="1" x14ac:dyDescent="0.25">
      <c r="D53" s="155" t="str">
        <v>Anaerobic digestion</v>
      </c>
      <c r="E53" s="163" t="str">
        <v>Sludge</v>
      </c>
      <c r="F53" s="165"/>
      <c r="G53" s="2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25" cm="1">
        <f t="array" ref="H53">Common_InputFunctions.Utility_LookupValueInTableNumber(E53,Table_SourceData_WasteSolid_VolumeToMassConversion[Waste type w],Table_SourceData_WasteSolid_VolumeToMassConversion[VTMw])</f>
        <v>0.72</v>
      </c>
      <c r="I53" s="25" cm="1">
        <f t="array" ref="I53">WasteSolid_Equations.VEERG_10_1_1_1__2_MassOfWasteFromVolume(G53,H53)</f>
        <v>0</v>
      </c>
    </row>
    <row r="54" spans="1:9" ht="20.100000000000001" customHeight="1" x14ac:dyDescent="0.25">
      <c r="D54" s="155" t="str">
        <v>Anaerobic digestion</v>
      </c>
      <c r="E54" s="163" t="str">
        <v>Paper and cardboard</v>
      </c>
      <c r="F54" s="165"/>
      <c r="G54" s="2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25" cm="1">
        <f t="array" ref="H54">Common_InputFunctions.Utility_LookupValueInTableNumber(E54,Table_SourceData_WasteSolid_VolumeToMassConversion[Waste type w],Table_SourceData_WasteSolid_VolumeToMassConversion[VTMw])</f>
        <v>0.09</v>
      </c>
      <c r="I54" s="25" cm="1">
        <f t="array" ref="I54">WasteSolid_Equations.VEERG_10_1_1_1__2_MassOfWasteFromVolume(G54,H54)</f>
        <v>0</v>
      </c>
    </row>
    <row r="55" spans="1:9" ht="20.100000000000001" customHeight="1" x14ac:dyDescent="0.25"/>
    <row r="56" spans="1:9" ht="20.100000000000001" customHeight="1" x14ac:dyDescent="0.25">
      <c r="D56" s="144" t="s">
        <v>586</v>
      </c>
    </row>
    <row r="57" spans="1:9" ht="20.100000000000001" customHeight="1" x14ac:dyDescent="0.25">
      <c r="D57" s="145" t="s">
        <v>587</v>
      </c>
    </row>
    <row r="58" spans="1:9" ht="20.100000000000001" customHeight="1" x14ac:dyDescent="0.25">
      <c r="D58" s="92" t="s">
        <v>581</v>
      </c>
      <c r="E58" s="92" t="s">
        <v>582</v>
      </c>
      <c r="F58" s="92"/>
      <c r="G58" s="92" t="s">
        <v>583</v>
      </c>
      <c r="H58" s="146" t="s">
        <v>584</v>
      </c>
      <c r="I58" s="146" t="s">
        <v>585</v>
      </c>
    </row>
    <row r="59" spans="1:9" ht="20.100000000000001" customHeight="1" x14ac:dyDescent="0.25">
      <c r="D59" s="155" t="str" cm="1">
        <f t="array" ref="D59:D92">Table_SourceData_WasteSolid_WasteTreatmentEFs[Treatment type t]</f>
        <v>Landfill</v>
      </c>
      <c r="E59" s="163" t="str" cm="1">
        <f t="array" ref="E59:E92">Table_SourceData_WasteSolid_WasteTreatmentEFs[Waste type w]</f>
        <v>Food waste (including animal carcasses, spoiled animal feed or crop)</v>
      </c>
      <c r="F59" s="140"/>
      <c r="G59" s="2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25" cm="1">
        <f t="array" ref="H59">Common_InputFunctions.Utility_LookupValueInTableNumber(E59,Table_SourceData_WasteSolid_VolumeToMassConversion[Waste type w],Table_SourceData_WasteSolid_VolumeToMassConversion[VTMw])</f>
        <v>0.5</v>
      </c>
      <c r="I59" s="25" cm="1">
        <f t="array" ref="I59">WasteSolid_Equations.VEERG_10_1_1_1__2_MassOfWasteFromVolume(G59,H59)</f>
        <v>25</v>
      </c>
    </row>
    <row r="60" spans="1:9" ht="20.100000000000001" customHeight="1" x14ac:dyDescent="0.25">
      <c r="D60" s="155" t="str">
        <v>Landfill</v>
      </c>
      <c r="E60" s="163" t="str">
        <v>Paper and cardboard</v>
      </c>
      <c r="F60" s="140"/>
      <c r="G60" s="2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25" cm="1">
        <f t="array" ref="H60">Common_InputFunctions.Utility_LookupValueInTableNumber(E60,Table_SourceData_WasteSolid_VolumeToMassConversion[Waste type w],Table_SourceData_WasteSolid_VolumeToMassConversion[VTMw])</f>
        <v>0.09</v>
      </c>
      <c r="I60" s="25" cm="1">
        <f t="array" ref="I60">WasteSolid_Equations.VEERG_10_1_1_1__2_MassOfWasteFromVolume(G60,H60)</f>
        <v>4.5</v>
      </c>
    </row>
    <row r="61" spans="1:9" ht="20.100000000000001" customHeight="1" x14ac:dyDescent="0.25">
      <c r="D61" s="155" t="str">
        <v>Landfill</v>
      </c>
      <c r="E61" s="163" t="str">
        <v>Green waste (including crop residues or prunings)</v>
      </c>
      <c r="F61" s="140"/>
      <c r="G61" s="2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25" cm="1">
        <f t="array" ref="H61">Common_InputFunctions.Utility_LookupValueInTableNumber(E61,Table_SourceData_WasteSolid_VolumeToMassConversion[Waste type w],Table_SourceData_WasteSolid_VolumeToMassConversion[VTMw])</f>
        <v>0.24</v>
      </c>
      <c r="I61" s="25" cm="1">
        <f t="array" ref="I61">WasteSolid_Equations.VEERG_10_1_1_1__2_MassOfWasteFromVolume(G61,H61)</f>
        <v>12</v>
      </c>
    </row>
    <row r="62" spans="1:9" ht="20.100000000000001" customHeight="1" x14ac:dyDescent="0.25">
      <c r="D62" s="155" t="str">
        <v>Landfill</v>
      </c>
      <c r="E62" s="163" t="str">
        <v>Wood</v>
      </c>
      <c r="F62" s="140"/>
      <c r="G62" s="2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25" cm="1">
        <f t="array" ref="H62">Common_InputFunctions.Utility_LookupValueInTableNumber(E62,Table_SourceData_WasteSolid_VolumeToMassConversion[Waste type w],Table_SourceData_WasteSolid_VolumeToMassConversion[VTMw])</f>
        <v>0.15</v>
      </c>
      <c r="I62" s="25" cm="1">
        <f t="array" ref="I62">WasteSolid_Equations.VEERG_10_1_1_1__2_MassOfWasteFromVolume(G62,H62)</f>
        <v>0</v>
      </c>
    </row>
    <row r="63" spans="1:9" ht="20.100000000000001" customHeight="1" x14ac:dyDescent="0.25">
      <c r="D63" s="155" t="str">
        <v>Landfill</v>
      </c>
      <c r="E63" s="163" t="str">
        <v>Textiles</v>
      </c>
      <c r="F63" s="140"/>
      <c r="G63" s="2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25" cm="1">
        <f t="array" ref="H63">Common_InputFunctions.Utility_LookupValueInTableNumber(E63,Table_SourceData_WasteSolid_VolumeToMassConversion[Waste type w],Table_SourceData_WasteSolid_VolumeToMassConversion[VTMw])</f>
        <v>0.14000000000000001</v>
      </c>
      <c r="I63" s="25" cm="1">
        <f t="array" ref="I63">WasteSolid_Equations.VEERG_10_1_1_1__2_MassOfWasteFromVolume(G63,H63)</f>
        <v>0</v>
      </c>
    </row>
    <row r="64" spans="1:9" ht="20.100000000000001" customHeight="1" x14ac:dyDescent="0.25">
      <c r="D64" s="155" t="str">
        <v>Landfill</v>
      </c>
      <c r="E64" s="163" t="str">
        <v>Sludge</v>
      </c>
      <c r="F64" s="140"/>
      <c r="G64" s="2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25" cm="1">
        <f t="array" ref="H64">Common_InputFunctions.Utility_LookupValueInTableNumber(E64,Table_SourceData_WasteSolid_VolumeToMassConversion[Waste type w],Table_SourceData_WasteSolid_VolumeToMassConversion[VTMw])</f>
        <v>0.72</v>
      </c>
      <c r="I64" s="25" cm="1">
        <f t="array" ref="I64">WasteSolid_Equations.VEERG_10_1_1_1__2_MassOfWasteFromVolume(G64,H64)</f>
        <v>0</v>
      </c>
    </row>
    <row r="65" spans="4:9" ht="20.100000000000001" customHeight="1" x14ac:dyDescent="0.25">
      <c r="D65" s="155" t="str">
        <v>Landfill</v>
      </c>
      <c r="E65" s="163" t="str">
        <v>Rubber and leather</v>
      </c>
      <c r="F65" s="140"/>
      <c r="G65" s="2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25" cm="1">
        <f t="array" ref="H65">Common_InputFunctions.Utility_LookupValueInTableNumber(E65,Table_SourceData_WasteSolid_VolumeToMassConversion[Waste type w],Table_SourceData_WasteSolid_VolumeToMassConversion[VTMw])</f>
        <v>0.14000000000000001</v>
      </c>
      <c r="I65" s="25" cm="1">
        <f t="array" ref="I65">WasteSolid_Equations.VEERG_10_1_1_1__2_MassOfWasteFromVolume(G65,H65)</f>
        <v>0</v>
      </c>
    </row>
    <row r="66" spans="4:9" ht="20.100000000000001" customHeight="1" x14ac:dyDescent="0.25">
      <c r="D66" s="155" t="str">
        <v>Landfill</v>
      </c>
      <c r="E66" s="163" t="str">
        <v>Inert waste (including concrete, metal, plastic or glass)</v>
      </c>
      <c r="F66" s="140"/>
      <c r="G66" s="2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25" cm="1">
        <f t="array" ref="H66">Common_InputFunctions.Utility_LookupValueInTableNumber(E66,Table_SourceData_WasteSolid_VolumeToMassConversion[Waste type w],Table_SourceData_WasteSolid_VolumeToMassConversion[VTMw])</f>
        <v>0.42</v>
      </c>
      <c r="I66" s="25" cm="1">
        <f t="array" ref="I66">WasteSolid_Equations.VEERG_10_1_1_1__2_MassOfWasteFromVolume(G66,H66)</f>
        <v>0</v>
      </c>
    </row>
    <row r="67" spans="4:9" ht="20.100000000000001" customHeight="1" x14ac:dyDescent="0.25">
      <c r="D67" s="155" t="str">
        <v>Landfill</v>
      </c>
      <c r="E67" s="163" t="str">
        <v>Municipal solid waste</v>
      </c>
      <c r="F67" s="140"/>
      <c r="G67" s="2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25" cm="1">
        <f t="array" ref="H67">Common_InputFunctions.Utility_LookupValueInTableNumber(E67,Table_SourceData_WasteSolid_VolumeToMassConversion[Waste type w],Table_SourceData_WasteSolid_VolumeToMassConversion[VTMw])</f>
        <v>0.36</v>
      </c>
      <c r="I67" s="25" cm="1">
        <f t="array" ref="I67">WasteSolid_Equations.VEERG_10_1_1_1__2_MassOfWasteFromVolume(G67,H67)</f>
        <v>0</v>
      </c>
    </row>
    <row r="68" spans="4:9" ht="20.100000000000001" customHeight="1" x14ac:dyDescent="0.25">
      <c r="D68" s="155" t="str">
        <v>Landfill</v>
      </c>
      <c r="E68" s="163" t="str">
        <v>Commercial and industrial waste</v>
      </c>
      <c r="F68" s="140"/>
      <c r="G68" s="2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25" cm="1">
        <f t="array" ref="H68">Common_InputFunctions.Utility_LookupValueInTableNumber(E68,Table_SourceData_WasteSolid_VolumeToMassConversion[Waste type w],Table_SourceData_WasteSolid_VolumeToMassConversion[VTMw])</f>
        <v>0.33</v>
      </c>
      <c r="I68" s="25" cm="1">
        <f t="array" ref="I68">WasteSolid_Equations.VEERG_10_1_1_1__2_MassOfWasteFromVolume(G68,H68)</f>
        <v>0</v>
      </c>
    </row>
    <row r="69" spans="4:9" ht="20.100000000000001" customHeight="1" x14ac:dyDescent="0.25">
      <c r="D69" s="155" t="str">
        <v>Landfill</v>
      </c>
      <c r="E69" s="163" t="str">
        <v>Construction and demolition waste</v>
      </c>
      <c r="F69" s="140"/>
      <c r="G69" s="2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25" cm="1">
        <f t="array" ref="H69">Common_InputFunctions.Utility_LookupValueInTableNumber(E69,Table_SourceData_WasteSolid_VolumeToMassConversion[Waste type w],Table_SourceData_WasteSolid_VolumeToMassConversion[VTMw])</f>
        <v>0.39</v>
      </c>
      <c r="I69" s="25" cm="1">
        <f t="array" ref="I69">WasteSolid_Equations.VEERG_10_1_1_1__2_MassOfWasteFromVolume(G69,H69)</f>
        <v>0</v>
      </c>
    </row>
    <row r="70" spans="4:9" ht="20.100000000000001" customHeight="1" x14ac:dyDescent="0.25">
      <c r="D70" s="155" t="str">
        <v>Incineration</v>
      </c>
      <c r="E70" s="163" t="str">
        <v>Food waste, green waste, wood, sludge</v>
      </c>
      <c r="F70" s="140"/>
      <c r="G70" s="25" t="s">
        <v>298</v>
      </c>
      <c r="H70" s="25" t="s">
        <v>298</v>
      </c>
      <c r="I70" s="25" t="s">
        <v>298</v>
      </c>
    </row>
    <row r="71" spans="4:9" ht="20.100000000000001" customHeight="1" x14ac:dyDescent="0.25">
      <c r="D71" s="155" t="str">
        <v>Incineration</v>
      </c>
      <c r="E71" s="163" t="str">
        <v>Food waste (including animal carcasses, spoiled animal feed or crop)</v>
      </c>
      <c r="F71" s="140"/>
      <c r="G71" s="2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25" cm="1">
        <f t="array" ref="H71">Common_InputFunctions.Utility_LookupValueInTableNumber(E71,Table_SourceData_WasteSolid_VolumeToMassConversion[Waste type w],Table_SourceData_WasteSolid_VolumeToMassConversion[VTMw])</f>
        <v>0.5</v>
      </c>
      <c r="I71" s="25" cm="1">
        <f t="array" ref="I71">WasteSolid_Equations.VEERG_10_1_1_1__2_MassOfWasteFromVolume(G71,H71)</f>
        <v>0</v>
      </c>
    </row>
    <row r="72" spans="4:9" ht="20.100000000000001" customHeight="1" x14ac:dyDescent="0.25">
      <c r="D72" s="155" t="str">
        <v>Incineration</v>
      </c>
      <c r="E72" s="163" t="str">
        <v>Green waste (including crop residues or prunings)</v>
      </c>
      <c r="F72" s="140"/>
      <c r="G72" s="2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25" cm="1">
        <f t="array" ref="H72">Common_InputFunctions.Utility_LookupValueInTableNumber(E72,Table_SourceData_WasteSolid_VolumeToMassConversion[Waste type w],Table_SourceData_WasteSolid_VolumeToMassConversion[VTMw])</f>
        <v>0.24</v>
      </c>
      <c r="I72" s="25" cm="1">
        <f t="array" ref="I72">WasteSolid_Equations.VEERG_10_1_1_1__2_MassOfWasteFromVolume(G72,H72)</f>
        <v>12</v>
      </c>
    </row>
    <row r="73" spans="4:9" ht="20.100000000000001" customHeight="1" x14ac:dyDescent="0.25">
      <c r="D73" s="155" t="str">
        <v>Incineration</v>
      </c>
      <c r="E73" s="163" t="str">
        <v>Wood</v>
      </c>
      <c r="F73" s="140"/>
      <c r="G73" s="2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25" cm="1">
        <f t="array" ref="H73">Common_InputFunctions.Utility_LookupValueInTableNumber(E73,Table_SourceData_WasteSolid_VolumeToMassConversion[Waste type w],Table_SourceData_WasteSolid_VolumeToMassConversion[VTMw])</f>
        <v>0.15</v>
      </c>
      <c r="I73" s="25" cm="1">
        <f t="array" ref="I73">WasteSolid_Equations.VEERG_10_1_1_1__2_MassOfWasteFromVolume(G73,H73)</f>
        <v>0</v>
      </c>
    </row>
    <row r="74" spans="4:9" ht="20.100000000000001" customHeight="1" x14ac:dyDescent="0.25">
      <c r="D74" s="155" t="str">
        <v>Incineration</v>
      </c>
      <c r="E74" s="163" t="str">
        <v>Sludge</v>
      </c>
      <c r="F74" s="140"/>
      <c r="G74" s="2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25" cm="1">
        <f t="array" ref="H74">Common_InputFunctions.Utility_LookupValueInTableNumber(E74,Table_SourceData_WasteSolid_VolumeToMassConversion[Waste type w],Table_SourceData_WasteSolid_VolumeToMassConversion[VTMw])</f>
        <v>0.72</v>
      </c>
      <c r="I74" s="25" cm="1">
        <f t="array" ref="I74">WasteSolid_Equations.VEERG_10_1_1_1__2_MassOfWasteFromVolume(G74,H74)</f>
        <v>0</v>
      </c>
    </row>
    <row r="75" spans="4:9" ht="20.100000000000001" customHeight="1" x14ac:dyDescent="0.25">
      <c r="D75" s="155" t="str">
        <v>Incineration</v>
      </c>
      <c r="E75" s="163" t="str">
        <v>Paper and cardboard</v>
      </c>
      <c r="F75" s="140"/>
      <c r="G75" s="2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25" cm="1">
        <f t="array" ref="H75">Common_InputFunctions.Utility_LookupValueInTableNumber(E75,Table_SourceData_WasteSolid_VolumeToMassConversion[Waste type w],Table_SourceData_WasteSolid_VolumeToMassConversion[VTMw])</f>
        <v>0.09</v>
      </c>
      <c r="I75" s="25" cm="1">
        <f t="array" ref="I75">WasteSolid_Equations.VEERG_10_1_1_1__2_MassOfWasteFromVolume(G75,H75)</f>
        <v>0</v>
      </c>
    </row>
    <row r="76" spans="4:9" ht="20.100000000000001" customHeight="1" x14ac:dyDescent="0.25">
      <c r="D76" s="155" t="str">
        <v>Incineration</v>
      </c>
      <c r="E76" s="163" t="str">
        <v>Textiles</v>
      </c>
      <c r="F76" s="140"/>
      <c r="G76" s="2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25" cm="1">
        <f t="array" ref="H76">Common_InputFunctions.Utility_LookupValueInTableNumber(E76,Table_SourceData_WasteSolid_VolumeToMassConversion[Waste type w],Table_SourceData_WasteSolid_VolumeToMassConversion[VTMw])</f>
        <v>0.14000000000000001</v>
      </c>
      <c r="I76" s="25" cm="1">
        <f t="array" ref="I76">WasteSolid_Equations.VEERG_10_1_1_1__2_MassOfWasteFromVolume(G76,H76)</f>
        <v>0</v>
      </c>
    </row>
    <row r="77" spans="4:9" ht="20.100000000000001" customHeight="1" x14ac:dyDescent="0.25">
      <c r="D77" s="155" t="str">
        <v>Incineration</v>
      </c>
      <c r="E77" s="163" t="str">
        <v>Rubber and leather</v>
      </c>
      <c r="F77" s="140"/>
      <c r="G77" s="2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25" cm="1">
        <f t="array" ref="H77">Common_InputFunctions.Utility_LookupValueInTableNumber(E77,Table_SourceData_WasteSolid_VolumeToMassConversion[Waste type w],Table_SourceData_WasteSolid_VolumeToMassConversion[VTMw])</f>
        <v>0.14000000000000001</v>
      </c>
      <c r="I77" s="25" cm="1">
        <f t="array" ref="I77">WasteSolid_Equations.VEERG_10_1_1_1__2_MassOfWasteFromVolume(G77,H77)</f>
        <v>0</v>
      </c>
    </row>
    <row r="78" spans="4:9" ht="20.100000000000001" customHeight="1" x14ac:dyDescent="0.25">
      <c r="D78" s="155" t="str">
        <v>Incineration</v>
      </c>
      <c r="E78" s="163" t="str">
        <v>Inert waste (including concrete, metal, plastic or glass)</v>
      </c>
      <c r="F78" s="140"/>
      <c r="G78" s="2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25" cm="1">
        <f t="array" ref="H78">Common_InputFunctions.Utility_LookupValueInTableNumber(E78,Table_SourceData_WasteSolid_VolumeToMassConversion[Waste type w],Table_SourceData_WasteSolid_VolumeToMassConversion[VTMw])</f>
        <v>0.42</v>
      </c>
      <c r="I78" s="25" cm="1">
        <f t="array" ref="I78">WasteSolid_Equations.VEERG_10_1_1_1__2_MassOfWasteFromVolume(G78,H78)</f>
        <v>0</v>
      </c>
    </row>
    <row r="79" spans="4:9" ht="20.100000000000001" customHeight="1" x14ac:dyDescent="0.25">
      <c r="D79" s="155" t="str">
        <v>Incineration</v>
      </c>
      <c r="E79" s="163" t="str">
        <v>Municipal solid waste</v>
      </c>
      <c r="F79" s="165"/>
      <c r="G79" s="2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25" cm="1">
        <f t="array" ref="H79">Common_InputFunctions.Utility_LookupValueInTableNumber(E79,Table_SourceData_WasteSolid_VolumeToMassConversion[Waste type w],Table_SourceData_WasteSolid_VolumeToMassConversion[VTMw])</f>
        <v>0.36</v>
      </c>
      <c r="I79" s="25" cm="1">
        <f t="array" ref="I79">WasteSolid_Equations.VEERG_10_1_1_1__2_MassOfWasteFromVolume(G79,H79)</f>
        <v>0</v>
      </c>
    </row>
    <row r="80" spans="4:9" ht="20.100000000000001" customHeight="1" x14ac:dyDescent="0.25">
      <c r="D80" s="155" t="str">
        <v>Incineration</v>
      </c>
      <c r="E80" s="163" t="str">
        <v>Commercial and industrial waste</v>
      </c>
      <c r="F80" s="165"/>
      <c r="G80" s="2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25" cm="1">
        <f t="array" ref="H80">Common_InputFunctions.Utility_LookupValueInTableNumber(E80,Table_SourceData_WasteSolid_VolumeToMassConversion[Waste type w],Table_SourceData_WasteSolid_VolumeToMassConversion[VTMw])</f>
        <v>0.33</v>
      </c>
      <c r="I80" s="25" cm="1">
        <f t="array" ref="I80">WasteSolid_Equations.VEERG_10_1_1_1__2_MassOfWasteFromVolume(G80,H80)</f>
        <v>0</v>
      </c>
    </row>
    <row r="81" spans="3:12" ht="20.100000000000001" customHeight="1" x14ac:dyDescent="0.25">
      <c r="D81" s="155" t="str">
        <v>Composting</v>
      </c>
      <c r="E81" s="163" t="str">
        <v>All organic waste</v>
      </c>
      <c r="F81" s="165"/>
      <c r="G81" s="25" t="s">
        <v>298</v>
      </c>
      <c r="H81" s="25" t="s">
        <v>298</v>
      </c>
      <c r="I81" s="25" t="s">
        <v>298</v>
      </c>
    </row>
    <row r="82" spans="3:12" ht="20.100000000000001" customHeight="1" x14ac:dyDescent="0.25">
      <c r="D82" s="155" t="str">
        <v>Composting</v>
      </c>
      <c r="E82" s="163" t="str">
        <v>Food waste (including animal carcasses, spoiled animal feed or crop)</v>
      </c>
      <c r="F82" s="165"/>
      <c r="G82" s="2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25" cm="1">
        <f t="array" ref="H82">Common_InputFunctions.Utility_LookupValueInTableNumber(E82,Table_SourceData_WasteSolid_VolumeToMassConversion[Waste type w],Table_SourceData_WasteSolid_VolumeToMassConversion[VTMw])</f>
        <v>0.5</v>
      </c>
      <c r="I82" s="25" cm="1">
        <f t="array" ref="I82">WasteSolid_Equations.VEERG_10_1_1_1__2_MassOfWasteFromVolume(G82,H82)</f>
        <v>0</v>
      </c>
    </row>
    <row r="83" spans="3:12" ht="20.100000000000001" customHeight="1" x14ac:dyDescent="0.25">
      <c r="D83" s="155" t="str">
        <v>Composting</v>
      </c>
      <c r="E83" s="163" t="str">
        <v>Green waste (including crop residues or prunings)</v>
      </c>
      <c r="F83" s="165"/>
      <c r="G83" s="2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25" cm="1">
        <f t="array" ref="H83">Common_InputFunctions.Utility_LookupValueInTableNumber(E83,Table_SourceData_WasteSolid_VolumeToMassConversion[Waste type w],Table_SourceData_WasteSolid_VolumeToMassConversion[VTMw])</f>
        <v>0.24</v>
      </c>
      <c r="I83" s="25" cm="1">
        <f t="array" ref="I83">WasteSolid_Equations.VEERG_10_1_1_1__2_MassOfWasteFromVolume(G83,H83)</f>
        <v>0</v>
      </c>
    </row>
    <row r="84" spans="3:12" ht="20.100000000000001" customHeight="1" x14ac:dyDescent="0.25">
      <c r="D84" s="155" t="str">
        <v>Composting</v>
      </c>
      <c r="E84" s="163" t="str">
        <v>Wood</v>
      </c>
      <c r="F84" s="165"/>
      <c r="G84" s="2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25" cm="1">
        <f t="array" ref="H84">Common_InputFunctions.Utility_LookupValueInTableNumber(E84,Table_SourceData_WasteSolid_VolumeToMassConversion[Waste type w],Table_SourceData_WasteSolid_VolumeToMassConversion[VTMw])</f>
        <v>0.15</v>
      </c>
      <c r="I84" s="25" cm="1">
        <f t="array" ref="I84">WasteSolid_Equations.VEERG_10_1_1_1__2_MassOfWasteFromVolume(G84,H84)</f>
        <v>0</v>
      </c>
    </row>
    <row r="85" spans="3:12" ht="20.100000000000001" customHeight="1" x14ac:dyDescent="0.25">
      <c r="D85" s="155" t="str">
        <v>Composting</v>
      </c>
      <c r="E85" s="163" t="str">
        <v>Sludge</v>
      </c>
      <c r="F85" s="165"/>
      <c r="G85" s="2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25" cm="1">
        <f t="array" ref="H85">Common_InputFunctions.Utility_LookupValueInTableNumber(E85,Table_SourceData_WasteSolid_VolumeToMassConversion[Waste type w],Table_SourceData_WasteSolid_VolumeToMassConversion[VTMw])</f>
        <v>0.72</v>
      </c>
      <c r="I85" s="25" cm="1">
        <f t="array" ref="I85">WasteSolid_Equations.VEERG_10_1_1_1__2_MassOfWasteFromVolume(G85,H85)</f>
        <v>0</v>
      </c>
    </row>
    <row r="86" spans="3:12" ht="20.100000000000001" customHeight="1" x14ac:dyDescent="0.25">
      <c r="D86" s="155" t="str">
        <v>Composting</v>
      </c>
      <c r="E86" s="163" t="str">
        <v>Paper and cardboard</v>
      </c>
      <c r="F86" s="165"/>
      <c r="G86" s="2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25" cm="1">
        <f t="array" ref="H86">Common_InputFunctions.Utility_LookupValueInTableNumber(E86,Table_SourceData_WasteSolid_VolumeToMassConversion[Waste type w],Table_SourceData_WasteSolid_VolumeToMassConversion[VTMw])</f>
        <v>0.09</v>
      </c>
      <c r="I86" s="25" cm="1">
        <f t="array" ref="I86">WasteSolid_Equations.VEERG_10_1_1_1__2_MassOfWasteFromVolume(G86,H86)</f>
        <v>0</v>
      </c>
    </row>
    <row r="87" spans="3:12" ht="20.100000000000001" customHeight="1" x14ac:dyDescent="0.25">
      <c r="D87" s="155" t="str">
        <v>Anaerobic digestion</v>
      </c>
      <c r="E87" s="163" t="str">
        <v>All organic waste</v>
      </c>
      <c r="F87" s="165"/>
      <c r="G87" s="25" t="s">
        <v>298</v>
      </c>
      <c r="H87" s="25" t="s">
        <v>298</v>
      </c>
      <c r="I87" s="25" t="s">
        <v>298</v>
      </c>
    </row>
    <row r="88" spans="3:12" ht="20.100000000000001" customHeight="1" x14ac:dyDescent="0.25">
      <c r="D88" s="155" t="str">
        <v>Anaerobic digestion</v>
      </c>
      <c r="E88" s="163" t="str">
        <v>Food waste (including animal carcasses, spoiled animal feed or crop)</v>
      </c>
      <c r="F88" s="165"/>
      <c r="G88" s="2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25" cm="1">
        <f t="array" ref="H88">Common_InputFunctions.Utility_LookupValueInTableNumber(E88,Table_SourceData_WasteSolid_VolumeToMassConversion[Waste type w],Table_SourceData_WasteSolid_VolumeToMassConversion[VTMw])</f>
        <v>0.5</v>
      </c>
      <c r="I88" s="25" cm="1">
        <f t="array" ref="I88">WasteSolid_Equations.VEERG_10_1_1_1__2_MassOfWasteFromVolume(G88,H88)</f>
        <v>0</v>
      </c>
    </row>
    <row r="89" spans="3:12" ht="20.100000000000001" customHeight="1" x14ac:dyDescent="0.25">
      <c r="D89" s="155" t="str">
        <v>Anaerobic digestion</v>
      </c>
      <c r="E89" s="163" t="str">
        <v>Green waste (including crop residues or prunings)</v>
      </c>
      <c r="F89" s="165"/>
      <c r="G89" s="2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25" cm="1">
        <f t="array" ref="H89">Common_InputFunctions.Utility_LookupValueInTableNumber(E89,Table_SourceData_WasteSolid_VolumeToMassConversion[Waste type w],Table_SourceData_WasteSolid_VolumeToMassConversion[VTMw])</f>
        <v>0.24</v>
      </c>
      <c r="I89" s="25" cm="1">
        <f t="array" ref="I89">WasteSolid_Equations.VEERG_10_1_1_1__2_MassOfWasteFromVolume(G89,H89)</f>
        <v>0</v>
      </c>
    </row>
    <row r="90" spans="3:12" ht="20.100000000000001" customHeight="1" x14ac:dyDescent="0.25">
      <c r="D90" s="155" t="str">
        <v>Anaerobic digestion</v>
      </c>
      <c r="E90" s="163" t="str">
        <v>Wood</v>
      </c>
      <c r="F90" s="165"/>
      <c r="G90" s="2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25" cm="1">
        <f t="array" ref="H90">Common_InputFunctions.Utility_LookupValueInTableNumber(E90,Table_SourceData_WasteSolid_VolumeToMassConversion[Waste type w],Table_SourceData_WasteSolid_VolumeToMassConversion[VTMw])</f>
        <v>0.15</v>
      </c>
      <c r="I90" s="25" cm="1">
        <f t="array" ref="I90">WasteSolid_Equations.VEERG_10_1_1_1__2_MassOfWasteFromVolume(G90,H90)</f>
        <v>0</v>
      </c>
    </row>
    <row r="91" spans="3:12" ht="20.100000000000001" customHeight="1" x14ac:dyDescent="0.25">
      <c r="D91" s="155" t="str">
        <v>Anaerobic digestion</v>
      </c>
      <c r="E91" s="163" t="str">
        <v>Sludge</v>
      </c>
      <c r="F91" s="165"/>
      <c r="G91" s="2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25" cm="1">
        <f t="array" ref="H91">Common_InputFunctions.Utility_LookupValueInTableNumber(E91,Table_SourceData_WasteSolid_VolumeToMassConversion[Waste type w],Table_SourceData_WasteSolid_VolumeToMassConversion[VTMw])</f>
        <v>0.72</v>
      </c>
      <c r="I91" s="25" cm="1">
        <f t="array" ref="I91">WasteSolid_Equations.VEERG_10_1_1_1__2_MassOfWasteFromVolume(G91,H91)</f>
        <v>0</v>
      </c>
    </row>
    <row r="92" spans="3:12" ht="20.100000000000001" customHeight="1" x14ac:dyDescent="0.25">
      <c r="D92" s="155" t="str">
        <v>Anaerobic digestion</v>
      </c>
      <c r="E92" s="163" t="str">
        <v>Paper and cardboard</v>
      </c>
      <c r="F92" s="165"/>
      <c r="G92" s="2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25" cm="1">
        <f t="array" ref="H92">Common_InputFunctions.Utility_LookupValueInTableNumber(E92,Table_SourceData_WasteSolid_VolumeToMassConversion[Waste type w],Table_SourceData_WasteSolid_VolumeToMassConversion[VTMw])</f>
        <v>0.09</v>
      </c>
      <c r="I92" s="25"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147"/>
      <c r="D95" s="147"/>
      <c r="E95" s="147"/>
      <c r="F95" s="147"/>
      <c r="G95" s="147"/>
      <c r="H95" s="147"/>
      <c r="I95" s="147"/>
      <c r="J95" s="147"/>
      <c r="K95" s="147"/>
      <c r="L95" s="147"/>
    </row>
    <row r="96" spans="3:12" ht="20.100000000000001" customHeight="1" x14ac:dyDescent="0.25">
      <c r="D96" s="2" t="str" cm="1">
        <f t="array" ref="D96">WasteSolid_Equations.VEERG_10_1_1_1__1_EmissionsFromWasteManagement_Title()</f>
        <v>Emissions from waste management by greenhouse gas</v>
      </c>
    </row>
    <row r="97" spans="4:9" ht="20.100000000000001" customHeight="1" x14ac:dyDescent="0.25">
      <c r="D97" s="27" t="str" cm="1">
        <f t="array" ref="D97">WasteSolid_Equations.VEERG_10_1_1_1__1_EmissionsFromWasteManagement_Source()</f>
        <v>VEERG 2026: 10.1.1.1, Equation (1)</v>
      </c>
    </row>
    <row r="98" spans="4:9" ht="20.100000000000001" customHeight="1" x14ac:dyDescent="0.25">
      <c r="D98" s="36"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33" t="s">
        <v>267</v>
      </c>
      <c r="E99" s="133"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88" t="s">
        <v>268</v>
      </c>
      <c r="E102" s="1" t="str" cm="1">
        <f t="array" ref="E102">WasteSolid_Equations.VEERG_10_1_1_1__1_EmissionsFromWasteManagement_Variable()</f>
        <v>E_g</v>
      </c>
    </row>
    <row r="103" spans="4:9" ht="20.100000000000001" customHeight="1" x14ac:dyDescent="0.25">
      <c r="D103" s="88" t="s">
        <v>121</v>
      </c>
      <c r="E103" s="15" t="str" cm="1">
        <f t="array" ref="E103">WasteSolid_Equations.VEERG_10_1_1_1__1_EmissionsFromWasteManagement_Unit()</f>
        <v>t CO2e</v>
      </c>
    </row>
    <row r="104" spans="4:9" ht="20.100000000000001" customHeight="1" x14ac:dyDescent="0.25"/>
    <row r="105" spans="4:9" ht="20.100000000000001" customHeight="1" x14ac:dyDescent="0.25">
      <c r="D105" s="155" t="str" cm="1">
        <f t="array" ref="D105:E111">_xlfn.CHOOSECOLS(WasteSolid_Equations.VEERG_10_1_1_1__1_EmissionsFromWasteManagement_Arguments(),1,2)</f>
        <v>Q_wt</v>
      </c>
      <c r="E105" s="163" t="str">
        <v>quantity of solid waste of type w being sent to treatment facility t, on a wet weight basis</v>
      </c>
      <c r="F105" s="164"/>
      <c r="G105" s="165"/>
      <c r="H105" s="155" t="str" cm="1">
        <f t="array" ref="H105:I111">_xlfn.CHOOSECOLS(WasteSolid_Equations.VEERG_10_1_1_1__1_EmissionsFromWasteManagement_Arguments(),3,4)</f>
        <v>t</v>
      </c>
      <c r="I105" s="138" t="str">
        <v>Sum of Q_volwt and Q_masswt</v>
      </c>
    </row>
    <row r="106" spans="4:9" ht="20.100000000000001" customHeight="1" x14ac:dyDescent="0.25">
      <c r="D106" s="155" t="str">
        <v>EF_wtg</v>
      </c>
      <c r="E106" s="163" t="str">
        <v>emission factor for greenhouse gas g for the management of waste at treatment facility t</v>
      </c>
      <c r="F106" s="164"/>
      <c r="G106" s="165"/>
      <c r="H106" s="155" t="str">
        <v>t CO2e/t</v>
      </c>
      <c r="I106" s="138" t="str">
        <v>Constant</v>
      </c>
    </row>
    <row r="107" spans="4:9" ht="20.100000000000001" customHeight="1" x14ac:dyDescent="0.25">
      <c r="D107" s="155" t="str">
        <v>w</v>
      </c>
      <c r="E107" s="163" t="str">
        <v>waste type</v>
      </c>
      <c r="F107" s="164"/>
      <c r="G107" s="165"/>
      <c r="H107" s="155" t="str">
        <v/>
      </c>
      <c r="I107" s="137" t="str">
        <v>Input</v>
      </c>
    </row>
    <row r="108" spans="4:9" ht="20.100000000000001" customHeight="1" x14ac:dyDescent="0.25">
      <c r="D108" s="155" t="str">
        <v>t</v>
      </c>
      <c r="E108" s="163" t="str">
        <v>treatment facility</v>
      </c>
      <c r="F108" s="164"/>
      <c r="G108" s="165"/>
      <c r="H108" s="155" t="str">
        <v/>
      </c>
      <c r="I108" s="137" t="str">
        <v>Input</v>
      </c>
    </row>
    <row r="109" spans="4:9" ht="20.100000000000001" customHeight="1" x14ac:dyDescent="0.25">
      <c r="D109" s="155" t="str">
        <v>g</v>
      </c>
      <c r="E109" s="163" t="str">
        <v>greenhouse gas</v>
      </c>
      <c r="F109" s="164"/>
      <c r="G109" s="165"/>
      <c r="H109" s="155" t="str">
        <v/>
      </c>
      <c r="I109" s="137" t="str">
        <v>Input</v>
      </c>
    </row>
    <row r="110" spans="4:9" ht="20.100000000000001" customHeight="1" x14ac:dyDescent="0.25">
      <c r="D110" s="155" t="str">
        <v>Q_volwt</v>
      </c>
      <c r="E110" s="163" t="str">
        <v>quantity of sold waste input as volume and converted to tonnes</v>
      </c>
      <c r="F110" s="164"/>
      <c r="G110" s="165"/>
      <c r="H110" s="155" t="str">
        <v>tonnes</v>
      </c>
      <c r="I110" s="138" t="str">
        <v>Calculated from 10.1.1.1 (2)</v>
      </c>
    </row>
    <row r="111" spans="4:9" ht="20.100000000000001" customHeight="1" x14ac:dyDescent="0.25">
      <c r="D111" s="155" t="str">
        <v>Q_masswt</v>
      </c>
      <c r="E111" s="163" t="str">
        <v>quantity of solid waste input as mass</v>
      </c>
      <c r="F111" s="164"/>
      <c r="G111" s="165"/>
      <c r="H111" s="155" t="str">
        <v>tonnes</v>
      </c>
      <c r="I111" s="137" t="str">
        <v>Input</v>
      </c>
    </row>
    <row r="112" spans="4:9" ht="20.100000000000001" customHeight="1" x14ac:dyDescent="0.25"/>
    <row r="113" spans="4:11" ht="20.100000000000001" customHeight="1" x14ac:dyDescent="0.25">
      <c r="D113" s="144" t="s">
        <v>588</v>
      </c>
    </row>
    <row r="114" spans="4:11" ht="20.100000000000001" customHeight="1" x14ac:dyDescent="0.25">
      <c r="D114" s="145" t="s">
        <v>589</v>
      </c>
    </row>
    <row r="115" spans="4:11" ht="20.100000000000001" customHeight="1" x14ac:dyDescent="0.25">
      <c r="D115" s="92" t="s">
        <v>581</v>
      </c>
      <c r="E115" s="92" t="s">
        <v>582</v>
      </c>
      <c r="F115" s="92"/>
      <c r="G115" s="92" t="s">
        <v>590</v>
      </c>
      <c r="H115" s="146" t="s">
        <v>591</v>
      </c>
      <c r="I115" s="146" t="s">
        <v>585</v>
      </c>
      <c r="J115" s="146" t="s">
        <v>592</v>
      </c>
      <c r="K115" s="146" t="s">
        <v>593</v>
      </c>
    </row>
    <row r="116" spans="4:11" ht="20.100000000000001" customHeight="1" x14ac:dyDescent="0.25">
      <c r="D116" s="155" t="str" cm="1">
        <f t="array" ref="D116:D149">Table_SourceData_WasteSolid_WasteTreatmentEFs[Treatment type t]</f>
        <v>Landfill</v>
      </c>
      <c r="E116" s="163" t="str" cm="1">
        <f t="array" ref="E116:E149">Table_SourceData_WasteSolid_WasteTreatmentEFs[Waste type w]</f>
        <v>Food waste (including animal carcasses, spoiled animal feed or crop)</v>
      </c>
      <c r="F116" s="140"/>
      <c r="G116" s="2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25">
        <f t="shared" ref="H116:H149" si="0">I21</f>
        <v>25</v>
      </c>
      <c r="I116" s="25">
        <f>G116+H116</f>
        <v>75</v>
      </c>
      <c r="J116" s="25" cm="1">
        <f t="array" ref="J116">Common_InputFunctions.Utility_LookupValueInTableTwoColumns(D116,E116,Table_SourceData_WasteSolid_WasteTreatmentEFs[Treatment type t],Table_SourceData_WasteSolid_WasteTreatmentEFs[Waste type w],Table_SourceData_WasteSolid_WasteTreatmentEFs[EFwt])</f>
        <v>2.1</v>
      </c>
      <c r="K116" s="25" cm="1">
        <f t="array" ref="K116">WasteSolid_Equations.VEERG_10_1_1_1__1_EmissionsFromWasteManagement(I116, J116)</f>
        <v>157.5</v>
      </c>
    </row>
    <row r="117" spans="4:11" ht="20.100000000000001" customHeight="1" x14ac:dyDescent="0.25">
      <c r="D117" s="155" t="str">
        <v>Landfill</v>
      </c>
      <c r="E117" s="163" t="str">
        <v>Paper and cardboard</v>
      </c>
      <c r="F117" s="140"/>
      <c r="G117" s="2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25">
        <f t="shared" si="0"/>
        <v>4.5</v>
      </c>
      <c r="I117" s="25">
        <f t="shared" ref="I117:I126" si="1">G117+H117</f>
        <v>54.5</v>
      </c>
      <c r="J117" s="25" cm="1">
        <f t="array" ref="J117">Common_InputFunctions.Utility_LookupValueInTableTwoColumns(D117,E117,Table_SourceData_WasteSolid_WasteTreatmentEFs[Treatment type t],Table_SourceData_WasteSolid_WasteTreatmentEFs[Waste type w],Table_SourceData_WasteSolid_WasteTreatmentEFs[EFwt])</f>
        <v>3.3</v>
      </c>
      <c r="K117" s="25" cm="1">
        <f t="array" ref="K117">WasteSolid_Equations.VEERG_10_1_1_1__1_EmissionsFromWasteManagement(I117, J117)</f>
        <v>179.85</v>
      </c>
    </row>
    <row r="118" spans="4:11" ht="20.100000000000001" customHeight="1" x14ac:dyDescent="0.25">
      <c r="D118" s="155" t="str">
        <v>Landfill</v>
      </c>
      <c r="E118" s="163" t="str">
        <v>Green waste (including crop residues or prunings)</v>
      </c>
      <c r="F118" s="140"/>
      <c r="G118" s="2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25">
        <f t="shared" si="0"/>
        <v>12</v>
      </c>
      <c r="I118" s="25">
        <f t="shared" si="1"/>
        <v>62</v>
      </c>
      <c r="J118" s="25" cm="1">
        <f t="array" ref="J118">Common_InputFunctions.Utility_LookupValueInTableTwoColumns(D118,E118,Table_SourceData_WasteSolid_WasteTreatmentEFs[Treatment type t],Table_SourceData_WasteSolid_WasteTreatmentEFs[Waste type w],Table_SourceData_WasteSolid_WasteTreatmentEFs[EFwt])</f>
        <v>1.6</v>
      </c>
      <c r="K118" s="25" cm="1">
        <f t="array" ref="K118">WasteSolid_Equations.VEERG_10_1_1_1__1_EmissionsFromWasteManagement(I118, J118)</f>
        <v>99.2</v>
      </c>
    </row>
    <row r="119" spans="4:11" ht="20.100000000000001" customHeight="1" x14ac:dyDescent="0.25">
      <c r="D119" s="155" t="str">
        <v>Landfill</v>
      </c>
      <c r="E119" s="163" t="str">
        <v>Wood</v>
      </c>
      <c r="F119" s="140"/>
      <c r="G119" s="2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25">
        <f t="shared" si="0"/>
        <v>0</v>
      </c>
      <c r="I119" s="25">
        <f t="shared" si="1"/>
        <v>0</v>
      </c>
      <c r="J119" s="25" cm="1">
        <f t="array" ref="J119">Common_InputFunctions.Utility_LookupValueInTableTwoColumns(D119,E119,Table_SourceData_WasteSolid_WasteTreatmentEFs[Treatment type t],Table_SourceData_WasteSolid_WasteTreatmentEFs[Waste type w],Table_SourceData_WasteSolid_WasteTreatmentEFs[EFwt])</f>
        <v>0.7</v>
      </c>
      <c r="K119" s="25" cm="1">
        <f t="array" ref="K119">WasteSolid_Equations.VEERG_10_1_1_1__1_EmissionsFromWasteManagement(I119, J119)</f>
        <v>0</v>
      </c>
    </row>
    <row r="120" spans="4:11" ht="20.100000000000001" customHeight="1" x14ac:dyDescent="0.25">
      <c r="D120" s="155" t="str">
        <v>Landfill</v>
      </c>
      <c r="E120" s="163" t="str">
        <v>Textiles</v>
      </c>
      <c r="F120" s="140"/>
      <c r="G120" s="2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25">
        <f t="shared" si="0"/>
        <v>0</v>
      </c>
      <c r="I120" s="25">
        <f t="shared" si="1"/>
        <v>0</v>
      </c>
      <c r="J120" s="25" cm="1">
        <f t="array" ref="J120">Common_InputFunctions.Utility_LookupValueInTableTwoColumns(D120,E120,Table_SourceData_WasteSolid_WasteTreatmentEFs[Treatment type t],Table_SourceData_WasteSolid_WasteTreatmentEFs[Waste type w],Table_SourceData_WasteSolid_WasteTreatmentEFs[EFwt])</f>
        <v>2</v>
      </c>
      <c r="K120" s="25" cm="1">
        <f t="array" ref="K120">WasteSolid_Equations.VEERG_10_1_1_1__1_EmissionsFromWasteManagement(I120, J120)</f>
        <v>0</v>
      </c>
    </row>
    <row r="121" spans="4:11" ht="20.100000000000001" customHeight="1" x14ac:dyDescent="0.25">
      <c r="D121" s="155" t="str">
        <v>Landfill</v>
      </c>
      <c r="E121" s="163" t="str">
        <v>Sludge</v>
      </c>
      <c r="F121" s="140"/>
      <c r="G121" s="2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25">
        <f t="shared" si="0"/>
        <v>0</v>
      </c>
      <c r="I121" s="25">
        <f t="shared" si="1"/>
        <v>0</v>
      </c>
      <c r="J121" s="25" cm="1">
        <f t="array" ref="J121">Common_InputFunctions.Utility_LookupValueInTableTwoColumns(D121,E121,Table_SourceData_WasteSolid_WasteTreatmentEFs[Treatment type t],Table_SourceData_WasteSolid_WasteTreatmentEFs[Waste type w],Table_SourceData_WasteSolid_WasteTreatmentEFs[EFwt])</f>
        <v>0.4</v>
      </c>
      <c r="K121" s="25" cm="1">
        <f t="array" ref="K121">WasteSolid_Equations.VEERG_10_1_1_1__1_EmissionsFromWasteManagement(I121, J121)</f>
        <v>0</v>
      </c>
    </row>
    <row r="122" spans="4:11" ht="20.100000000000001" customHeight="1" x14ac:dyDescent="0.25">
      <c r="D122" s="155" t="str">
        <v>Landfill</v>
      </c>
      <c r="E122" s="163" t="str">
        <v>Rubber and leather</v>
      </c>
      <c r="F122" s="140"/>
      <c r="G122" s="2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25">
        <f t="shared" si="0"/>
        <v>0</v>
      </c>
      <c r="I122" s="25">
        <f t="shared" si="1"/>
        <v>0</v>
      </c>
      <c r="J122" s="25" cm="1">
        <f t="array" ref="J122">Common_InputFunctions.Utility_LookupValueInTableTwoColumns(D122,E122,Table_SourceData_WasteSolid_WasteTreatmentEFs[Treatment type t],Table_SourceData_WasteSolid_WasteTreatmentEFs[Waste type w],Table_SourceData_WasteSolid_WasteTreatmentEFs[EFwt])</f>
        <v>3.3</v>
      </c>
      <c r="K122" s="25" cm="1">
        <f t="array" ref="K122">WasteSolid_Equations.VEERG_10_1_1_1__1_EmissionsFromWasteManagement(I122, J122)</f>
        <v>0</v>
      </c>
    </row>
    <row r="123" spans="4:11" ht="20.100000000000001" customHeight="1" x14ac:dyDescent="0.25">
      <c r="D123" s="155" t="str">
        <v>Landfill</v>
      </c>
      <c r="E123" s="163" t="str">
        <v>Inert waste (including concrete, metal, plastic or glass)</v>
      </c>
      <c r="F123" s="140"/>
      <c r="G123" s="2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25">
        <f t="shared" si="0"/>
        <v>0</v>
      </c>
      <c r="I123" s="25">
        <f t="shared" si="1"/>
        <v>0</v>
      </c>
      <c r="J123" s="25" cm="1">
        <f t="array" ref="J123">Common_InputFunctions.Utility_LookupValueInTableTwoColumns(D123,E123,Table_SourceData_WasteSolid_WasteTreatmentEFs[Treatment type t],Table_SourceData_WasteSolid_WasteTreatmentEFs[Waste type w],Table_SourceData_WasteSolid_WasteTreatmentEFs[EFwt])</f>
        <v>0</v>
      </c>
      <c r="K123" s="25" cm="1">
        <f t="array" ref="K123">WasteSolid_Equations.VEERG_10_1_1_1__1_EmissionsFromWasteManagement(I123, J123)</f>
        <v>0</v>
      </c>
    </row>
    <row r="124" spans="4:11" ht="20.100000000000001" customHeight="1" x14ac:dyDescent="0.25">
      <c r="D124" s="155" t="str">
        <v>Landfill</v>
      </c>
      <c r="E124" s="163" t="str">
        <v>Municipal solid waste</v>
      </c>
      <c r="F124" s="140"/>
      <c r="G124" s="2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25">
        <f t="shared" si="0"/>
        <v>0</v>
      </c>
      <c r="I124" s="25">
        <f t="shared" si="1"/>
        <v>0</v>
      </c>
      <c r="J124" s="25" cm="1">
        <f t="array" ref="J124">Common_InputFunctions.Utility_LookupValueInTableTwoColumns(D124,E124,Table_SourceData_WasteSolid_WasteTreatmentEFs[Treatment type t],Table_SourceData_WasteSolid_WasteTreatmentEFs[Waste type w],Table_SourceData_WasteSolid_WasteTreatmentEFs[EFwt])</f>
        <v>1.6</v>
      </c>
      <c r="K124" s="25" cm="1">
        <f t="array" ref="K124">WasteSolid_Equations.VEERG_10_1_1_1__1_EmissionsFromWasteManagement(I124, J124)</f>
        <v>0</v>
      </c>
    </row>
    <row r="125" spans="4:11" ht="20.100000000000001" customHeight="1" x14ac:dyDescent="0.25">
      <c r="D125" s="155" t="str">
        <v>Landfill</v>
      </c>
      <c r="E125" s="163" t="str">
        <v>Commercial and industrial waste</v>
      </c>
      <c r="F125" s="140"/>
      <c r="G125" s="2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25">
        <f t="shared" si="0"/>
        <v>0</v>
      </c>
      <c r="I125" s="25">
        <f t="shared" si="1"/>
        <v>0</v>
      </c>
      <c r="J125" s="25" cm="1">
        <f t="array" ref="J125">Common_InputFunctions.Utility_LookupValueInTableTwoColumns(D125,E125,Table_SourceData_WasteSolid_WasteTreatmentEFs[Treatment type t],Table_SourceData_WasteSolid_WasteTreatmentEFs[Waste type w],Table_SourceData_WasteSolid_WasteTreatmentEFs[EFwt])</f>
        <v>1.3</v>
      </c>
      <c r="K125" s="25" cm="1">
        <f t="array" ref="K125">WasteSolid_Equations.VEERG_10_1_1_1__1_EmissionsFromWasteManagement(I125, J125)</f>
        <v>0</v>
      </c>
    </row>
    <row r="126" spans="4:11" ht="20.100000000000001" customHeight="1" x14ac:dyDescent="0.25">
      <c r="D126" s="155" t="str">
        <v>Landfill</v>
      </c>
      <c r="E126" s="163" t="str">
        <v>Construction and demolition waste</v>
      </c>
      <c r="F126" s="140"/>
      <c r="G126" s="2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25">
        <f t="shared" si="0"/>
        <v>0</v>
      </c>
      <c r="I126" s="25">
        <f t="shared" si="1"/>
        <v>0</v>
      </c>
      <c r="J126" s="25" cm="1">
        <f t="array" ref="J126">Common_InputFunctions.Utility_LookupValueInTableTwoColumns(D126,E126,Table_SourceData_WasteSolid_WasteTreatmentEFs[Treatment type t],Table_SourceData_WasteSolid_WasteTreatmentEFs[Waste type w],Table_SourceData_WasteSolid_WasteTreatmentEFs[EFwt])</f>
        <v>0.2</v>
      </c>
      <c r="K126" s="25" cm="1">
        <f t="array" ref="K126">WasteSolid_Equations.VEERG_10_1_1_1__1_EmissionsFromWasteManagement(I126, J126)</f>
        <v>0</v>
      </c>
    </row>
    <row r="127" spans="4:11" ht="20.100000000000001" customHeight="1" x14ac:dyDescent="0.25">
      <c r="D127" s="155" t="str">
        <v>Incineration</v>
      </c>
      <c r="E127" s="163" t="str">
        <v>Food waste, green waste, wood, sludge</v>
      </c>
      <c r="F127" s="140"/>
      <c r="G127" s="25" t="s">
        <v>298</v>
      </c>
      <c r="H127" s="25" t="str">
        <f t="shared" si="0"/>
        <v>Not used</v>
      </c>
      <c r="I127" s="25">
        <f>SUM(G128:G131)+SUM(H128:H131)+N("Partial sum")</f>
        <v>74</v>
      </c>
      <c r="J127" s="25" cm="1">
        <f t="array" ref="J127">Common_InputFunctions.Utility_LookupValueInTableTwoColumns(D127,E127,Table_SourceData_WasteSolid_WasteTreatmentEFs[Treatment type t],Table_SourceData_WasteSolid_WasteTreatmentEFs[Waste type w],Table_SourceData_WasteSolid_WasteTreatmentEFs[EFwt])</f>
        <v>0</v>
      </c>
      <c r="K127" s="25" cm="1">
        <f t="array" ref="K127">WasteSolid_Equations.VEERG_10_1_1_1__1_EmissionsFromWasteManagement(I127, J127)</f>
        <v>0</v>
      </c>
    </row>
    <row r="128" spans="4:11" ht="20.100000000000001" customHeight="1" x14ac:dyDescent="0.25">
      <c r="D128" s="155" t="str">
        <v>Incineration</v>
      </c>
      <c r="E128" s="163" t="str">
        <v>Food waste (including animal carcasses, spoiled animal feed or crop)</v>
      </c>
      <c r="F128" s="140"/>
      <c r="G128" s="2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25">
        <f t="shared" si="0"/>
        <v>0</v>
      </c>
      <c r="I128" s="25" t="s">
        <v>594</v>
      </c>
      <c r="J128" s="25" t="s">
        <v>298</v>
      </c>
      <c r="K128" s="25" t="s">
        <v>298</v>
      </c>
    </row>
    <row r="129" spans="4:11" ht="20.100000000000001" customHeight="1" x14ac:dyDescent="0.25">
      <c r="D129" s="155" t="str">
        <v>Incineration</v>
      </c>
      <c r="E129" s="163" t="str">
        <v>Green waste (including crop residues or prunings)</v>
      </c>
      <c r="F129" s="140"/>
      <c r="G129" s="2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25">
        <f t="shared" si="0"/>
        <v>24</v>
      </c>
      <c r="I129" s="25" t="s">
        <v>594</v>
      </c>
      <c r="J129" s="25" t="s">
        <v>298</v>
      </c>
      <c r="K129" s="25" t="s">
        <v>298</v>
      </c>
    </row>
    <row r="130" spans="4:11" ht="20.100000000000001" customHeight="1" x14ac:dyDescent="0.25">
      <c r="D130" s="155" t="str">
        <v>Incineration</v>
      </c>
      <c r="E130" s="163" t="str">
        <v>Wood</v>
      </c>
      <c r="F130" s="140"/>
      <c r="G130" s="2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25">
        <f t="shared" si="0"/>
        <v>0</v>
      </c>
      <c r="I130" s="25" t="s">
        <v>594</v>
      </c>
      <c r="J130" s="25" t="s">
        <v>298</v>
      </c>
      <c r="K130" s="25" t="s">
        <v>298</v>
      </c>
    </row>
    <row r="131" spans="4:11" ht="20.100000000000001" customHeight="1" x14ac:dyDescent="0.25">
      <c r="D131" s="155" t="str">
        <v>Incineration</v>
      </c>
      <c r="E131" s="163" t="str">
        <v>Sludge</v>
      </c>
      <c r="F131" s="140"/>
      <c r="G131" s="2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25">
        <f t="shared" si="0"/>
        <v>0</v>
      </c>
      <c r="I131" s="25" t="s">
        <v>594</v>
      </c>
      <c r="J131" s="25" t="s">
        <v>298</v>
      </c>
      <c r="K131" s="25" t="s">
        <v>298</v>
      </c>
    </row>
    <row r="132" spans="4:11" ht="20.100000000000001" customHeight="1" x14ac:dyDescent="0.25">
      <c r="D132" s="155" t="str">
        <v>Incineration</v>
      </c>
      <c r="E132" s="163" t="str">
        <v>Paper and cardboard</v>
      </c>
      <c r="F132" s="140"/>
      <c r="G132" s="2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25">
        <f t="shared" si="0"/>
        <v>4.5</v>
      </c>
      <c r="I132" s="25">
        <f>G132+H132+N("Partial sum")</f>
        <v>54.5</v>
      </c>
      <c r="J132" s="2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25" cm="1">
        <f t="array" ref="K132">WasteSolid_Equations.VEERG_10_1_1_1__1_EmissionsFromWasteManagement(I132, J132)</f>
        <v>0.92104999999999992</v>
      </c>
    </row>
    <row r="133" spans="4:11" ht="20.100000000000001" customHeight="1" x14ac:dyDescent="0.25">
      <c r="D133" s="155" t="str">
        <v>Incineration</v>
      </c>
      <c r="E133" s="163" t="str">
        <v>Textiles</v>
      </c>
      <c r="F133" s="140"/>
      <c r="G133" s="2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25">
        <f t="shared" si="0"/>
        <v>0</v>
      </c>
      <c r="I133" s="25">
        <f t="shared" ref="I133:I137" si="2">G133+H133</f>
        <v>0</v>
      </c>
      <c r="J133" s="2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25" cm="1">
        <f t="array" ref="K133">WasteSolid_Equations.VEERG_10_1_1_1__1_EmissionsFromWasteManagement(I133, J133)</f>
        <v>0</v>
      </c>
    </row>
    <row r="134" spans="4:11" ht="20.100000000000001" customHeight="1" x14ac:dyDescent="0.25">
      <c r="D134" s="155" t="str">
        <v>Incineration</v>
      </c>
      <c r="E134" s="163" t="str">
        <v>Rubber and leather</v>
      </c>
      <c r="F134" s="140"/>
      <c r="G134" s="2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25">
        <f t="shared" si="0"/>
        <v>0</v>
      </c>
      <c r="I134" s="25">
        <f t="shared" si="2"/>
        <v>0</v>
      </c>
      <c r="J134" s="25" cm="1">
        <f t="array" ref="J134">Common_InputFunctions.Utility_LookupValueInTableTwoColumns(D134,E134,Table_SourceData_WasteSolid_WasteTreatmentEFs[Treatment type t],Table_SourceData_WasteSolid_WasteTreatmentEFs[Waste type w],Table_SourceData_WasteSolid_WasteTreatmentEFs[EFwt])</f>
        <v>0.4919</v>
      </c>
      <c r="K134" s="25" cm="1">
        <f t="array" ref="K134">WasteSolid_Equations.VEERG_10_1_1_1__1_EmissionsFromWasteManagement(I134, J134)</f>
        <v>0</v>
      </c>
    </row>
    <row r="135" spans="4:11" ht="20.100000000000001" customHeight="1" x14ac:dyDescent="0.25">
      <c r="D135" s="155" t="str">
        <v>Incineration</v>
      </c>
      <c r="E135" s="163" t="str">
        <v>Inert waste (including concrete, metal, plastic or glass)</v>
      </c>
      <c r="F135" s="140"/>
      <c r="G135" s="2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25">
        <f t="shared" si="0"/>
        <v>0</v>
      </c>
      <c r="I135" s="25">
        <f t="shared" si="2"/>
        <v>0</v>
      </c>
      <c r="J135" s="25" cm="1">
        <f t="array" ref="J135">Common_InputFunctions.Utility_LookupValueInTableTwoColumns(D135,E135,Table_SourceData_WasteSolid_WasteTreatmentEFs[Treatment type t],Table_SourceData_WasteSolid_WasteTreatmentEFs[Waste type w],Table_SourceData_WasteSolid_WasteTreatmentEFs[EFwt])</f>
        <v>0.11</v>
      </c>
      <c r="K135" s="25" cm="1">
        <f t="array" ref="K135">WasteSolid_Equations.VEERG_10_1_1_1__1_EmissionsFromWasteManagement(I135, J135)</f>
        <v>0</v>
      </c>
    </row>
    <row r="136" spans="4:11" ht="20.100000000000001" customHeight="1" x14ac:dyDescent="0.25">
      <c r="D136" s="155" t="str">
        <v>Incineration</v>
      </c>
      <c r="E136" s="163" t="str">
        <v>Municipal solid waste</v>
      </c>
      <c r="F136" s="165"/>
      <c r="G136" s="2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25">
        <f t="shared" si="0"/>
        <v>0</v>
      </c>
      <c r="I136" s="25">
        <f t="shared" si="2"/>
        <v>0</v>
      </c>
      <c r="J136" s="2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25" cm="1">
        <f t="array" ref="K136">WasteSolid_Equations.VEERG_10_1_1_1__1_EmissionsFromWasteManagement(I136, J136)</f>
        <v>0</v>
      </c>
    </row>
    <row r="137" spans="4:11" ht="20.100000000000001" customHeight="1" x14ac:dyDescent="0.25">
      <c r="D137" s="155" t="str">
        <v>Incineration</v>
      </c>
      <c r="E137" s="163" t="str">
        <v>Commercial and industrial waste</v>
      </c>
      <c r="F137" s="165"/>
      <c r="G137" s="2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25">
        <f t="shared" si="0"/>
        <v>0</v>
      </c>
      <c r="I137" s="25">
        <f t="shared" si="2"/>
        <v>0</v>
      </c>
      <c r="J137" s="25" cm="1">
        <f t="array" ref="J137">Common_InputFunctions.Utility_LookupValueInTableTwoColumns(D137,E137,Table_SourceData_WasteSolid_WasteTreatmentEFs[Treatment type t],Table_SourceData_WasteSolid_WasteTreatmentEFs[Waste type w],Table_SourceData_WasteSolid_WasteTreatmentEFs[EFwt])</f>
        <v>1.649</v>
      </c>
      <c r="K137" s="25" cm="1">
        <f t="array" ref="K137">WasteSolid_Equations.VEERG_10_1_1_1__1_EmissionsFromWasteManagement(I137, J137)</f>
        <v>0</v>
      </c>
    </row>
    <row r="138" spans="4:11" ht="20.100000000000001" customHeight="1" x14ac:dyDescent="0.25">
      <c r="D138" s="155" t="str">
        <v>Composting</v>
      </c>
      <c r="E138" s="163" t="str">
        <v>All organic waste</v>
      </c>
      <c r="F138" s="165"/>
      <c r="G138" s="25" t="s">
        <v>298</v>
      </c>
      <c r="H138" s="25" t="str">
        <f t="shared" si="0"/>
        <v>Not used</v>
      </c>
      <c r="I138" s="25">
        <f>SUM(G139:G143)+SUM(H139:H143)+N("Partial sum")</f>
        <v>29.5</v>
      </c>
      <c r="J138" s="2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25" cm="1">
        <f t="array" ref="K138">WasteSolid_Equations.VEERG_10_1_1_1__1_EmissionsFromWasteManagement(I138, J138)</f>
        <v>1.357</v>
      </c>
    </row>
    <row r="139" spans="4:11" ht="20.100000000000001" customHeight="1" x14ac:dyDescent="0.25">
      <c r="D139" s="155" t="str">
        <v>Composting</v>
      </c>
      <c r="E139" s="163" t="str">
        <v>Food waste (including animal carcasses, spoiled animal feed or crop)</v>
      </c>
      <c r="F139" s="165"/>
      <c r="G139" s="2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25">
        <f t="shared" si="0"/>
        <v>25</v>
      </c>
      <c r="I139" s="25" t="s">
        <v>594</v>
      </c>
      <c r="J139" s="25" t="s">
        <v>298</v>
      </c>
      <c r="K139" s="25" t="s">
        <v>298</v>
      </c>
    </row>
    <row r="140" spans="4:11" ht="20.100000000000001" customHeight="1" x14ac:dyDescent="0.25">
      <c r="D140" s="155" t="str">
        <v>Composting</v>
      </c>
      <c r="E140" s="163" t="str">
        <v>Green waste (including crop residues or prunings)</v>
      </c>
      <c r="F140" s="165"/>
      <c r="G140" s="2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25">
        <f t="shared" si="0"/>
        <v>0</v>
      </c>
      <c r="I140" s="25" t="s">
        <v>594</v>
      </c>
      <c r="J140" s="25" t="s">
        <v>298</v>
      </c>
      <c r="K140" s="25" t="s">
        <v>298</v>
      </c>
    </row>
    <row r="141" spans="4:11" ht="20.100000000000001" customHeight="1" x14ac:dyDescent="0.25">
      <c r="D141" s="155" t="str">
        <v>Composting</v>
      </c>
      <c r="E141" s="163" t="str">
        <v>Wood</v>
      </c>
      <c r="F141" s="165"/>
      <c r="G141" s="2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25">
        <f t="shared" si="0"/>
        <v>0</v>
      </c>
      <c r="I141" s="25" t="s">
        <v>594</v>
      </c>
      <c r="J141" s="25" t="s">
        <v>298</v>
      </c>
      <c r="K141" s="25" t="s">
        <v>298</v>
      </c>
    </row>
    <row r="142" spans="4:11" ht="20.100000000000001" customHeight="1" x14ac:dyDescent="0.25">
      <c r="D142" s="155" t="str">
        <v>Composting</v>
      </c>
      <c r="E142" s="163" t="str">
        <v>Sludge</v>
      </c>
      <c r="F142" s="165"/>
      <c r="G142" s="2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25">
        <f t="shared" si="0"/>
        <v>0</v>
      </c>
      <c r="I142" s="25" t="s">
        <v>594</v>
      </c>
      <c r="J142" s="25" t="s">
        <v>298</v>
      </c>
      <c r="K142" s="25" t="s">
        <v>298</v>
      </c>
    </row>
    <row r="143" spans="4:11" ht="20.100000000000001" customHeight="1" x14ac:dyDescent="0.25">
      <c r="D143" s="155" t="str">
        <v>Composting</v>
      </c>
      <c r="E143" s="163" t="str">
        <v>Paper and cardboard</v>
      </c>
      <c r="F143" s="165"/>
      <c r="G143" s="2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25">
        <f t="shared" si="0"/>
        <v>4.5</v>
      </c>
      <c r="I143" s="25" t="s">
        <v>594</v>
      </c>
      <c r="J143" s="25" t="s">
        <v>298</v>
      </c>
      <c r="K143" s="25" t="s">
        <v>298</v>
      </c>
    </row>
    <row r="144" spans="4:11" ht="20.100000000000001" customHeight="1" x14ac:dyDescent="0.25">
      <c r="D144" s="155" t="str">
        <v>Anaerobic digestion</v>
      </c>
      <c r="E144" s="163" t="str">
        <v>All organic waste</v>
      </c>
      <c r="F144" s="165"/>
      <c r="G144" s="25" t="s">
        <v>298</v>
      </c>
      <c r="H144" s="25" t="str">
        <f t="shared" si="0"/>
        <v>Not used</v>
      </c>
      <c r="I144" s="25">
        <f>SUM(G145:G149)+SUM(H145:H149)+N("Partial sum")</f>
        <v>0</v>
      </c>
      <c r="J144" s="2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25" cm="1">
        <f t="array" ref="K144">WasteSolid_Equations.VEERG_10_1_1_1__1_EmissionsFromWasteManagement(I144, J144)</f>
        <v>0</v>
      </c>
    </row>
    <row r="145" spans="4:11" ht="20.100000000000001" customHeight="1" x14ac:dyDescent="0.25">
      <c r="D145" s="155" t="str">
        <v>Anaerobic digestion</v>
      </c>
      <c r="E145" s="163" t="str">
        <v>Food waste (including animal carcasses, spoiled animal feed or crop)</v>
      </c>
      <c r="F145" s="165"/>
      <c r="G145" s="2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25">
        <f t="shared" si="0"/>
        <v>0</v>
      </c>
      <c r="I145" s="25" t="s">
        <v>594</v>
      </c>
      <c r="J145" s="25" t="s">
        <v>298</v>
      </c>
      <c r="K145" s="25" t="s">
        <v>298</v>
      </c>
    </row>
    <row r="146" spans="4:11" ht="20.100000000000001" customHeight="1" x14ac:dyDescent="0.25">
      <c r="D146" s="155" t="str">
        <v>Anaerobic digestion</v>
      </c>
      <c r="E146" s="163" t="str">
        <v>Green waste (including crop residues or prunings)</v>
      </c>
      <c r="F146" s="165"/>
      <c r="G146" s="2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25">
        <f t="shared" si="0"/>
        <v>0</v>
      </c>
      <c r="I146" s="25" t="s">
        <v>594</v>
      </c>
      <c r="J146" s="25" t="s">
        <v>298</v>
      </c>
      <c r="K146" s="25" t="s">
        <v>298</v>
      </c>
    </row>
    <row r="147" spans="4:11" ht="20.100000000000001" customHeight="1" x14ac:dyDescent="0.25">
      <c r="D147" s="155" t="str">
        <v>Anaerobic digestion</v>
      </c>
      <c r="E147" s="163" t="str">
        <v>Wood</v>
      </c>
      <c r="F147" s="165"/>
      <c r="G147" s="2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25">
        <f t="shared" si="0"/>
        <v>0</v>
      </c>
      <c r="I147" s="25" t="s">
        <v>594</v>
      </c>
      <c r="J147" s="25" t="s">
        <v>298</v>
      </c>
      <c r="K147" s="25" t="s">
        <v>298</v>
      </c>
    </row>
    <row r="148" spans="4:11" ht="20.100000000000001" customHeight="1" x14ac:dyDescent="0.25">
      <c r="D148" s="155" t="str">
        <v>Anaerobic digestion</v>
      </c>
      <c r="E148" s="163" t="str">
        <v>Sludge</v>
      </c>
      <c r="F148" s="165"/>
      <c r="G148" s="2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25">
        <f t="shared" si="0"/>
        <v>0</v>
      </c>
      <c r="I148" s="25" t="s">
        <v>594</v>
      </c>
      <c r="J148" s="25" t="s">
        <v>298</v>
      </c>
      <c r="K148" s="25" t="s">
        <v>298</v>
      </c>
    </row>
    <row r="149" spans="4:11" ht="20.100000000000001" customHeight="1" x14ac:dyDescent="0.25">
      <c r="D149" s="155" t="str">
        <v>Anaerobic digestion</v>
      </c>
      <c r="E149" s="163" t="str">
        <v>Paper and cardboard</v>
      </c>
      <c r="F149" s="165"/>
      <c r="G149" s="2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25">
        <f t="shared" si="0"/>
        <v>0</v>
      </c>
      <c r="I149" s="25" t="s">
        <v>594</v>
      </c>
      <c r="J149" s="25" t="s">
        <v>298</v>
      </c>
      <c r="K149" s="25" t="s">
        <v>298</v>
      </c>
    </row>
    <row r="150" spans="4:11" ht="20.100000000000001" customHeight="1" x14ac:dyDescent="0.25"/>
    <row r="151" spans="4:11" ht="20.100000000000001" customHeight="1" x14ac:dyDescent="0.25">
      <c r="D151" s="150" t="s">
        <v>595</v>
      </c>
      <c r="E151" s="151">
        <f>SUM(K116:K149)</f>
        <v>438.82805000000002</v>
      </c>
      <c r="F151" s="152" t="str">
        <f>$E$103</f>
        <v>t CO2e</v>
      </c>
    </row>
    <row r="152" spans="4:11" ht="20.100000000000001" customHeight="1" x14ac:dyDescent="0.25"/>
    <row r="153" spans="4:11" ht="20.100000000000001" customHeight="1" x14ac:dyDescent="0.25"/>
    <row r="154" spans="4:11" ht="20.100000000000001" customHeight="1" x14ac:dyDescent="0.25">
      <c r="D154" s="144" t="s">
        <v>596</v>
      </c>
    </row>
    <row r="155" spans="4:11" ht="20.100000000000001" customHeight="1" x14ac:dyDescent="0.25">
      <c r="D155" s="145" t="s">
        <v>597</v>
      </c>
    </row>
    <row r="156" spans="4:11" ht="20.100000000000001" customHeight="1" x14ac:dyDescent="0.25">
      <c r="D156" s="92" t="s">
        <v>581</v>
      </c>
      <c r="E156" s="92" t="s">
        <v>582</v>
      </c>
      <c r="F156" s="92"/>
      <c r="G156" s="92" t="s">
        <v>590</v>
      </c>
      <c r="H156" s="146" t="s">
        <v>591</v>
      </c>
      <c r="I156" s="146" t="s">
        <v>585</v>
      </c>
      <c r="J156" s="146" t="s">
        <v>592</v>
      </c>
      <c r="K156" s="146" t="s">
        <v>593</v>
      </c>
    </row>
    <row r="157" spans="4:11" ht="20.100000000000001" customHeight="1" x14ac:dyDescent="0.25">
      <c r="D157" s="155" t="str" cm="1">
        <f t="array" ref="D157:D190">Table_SourceData_WasteSolid_WasteTreatmentEFs[Treatment type t]</f>
        <v>Landfill</v>
      </c>
      <c r="E157" s="163" t="str" cm="1">
        <f t="array" ref="E157:E190">Table_SourceData_WasteSolid_WasteTreatmentEFs[Waste type w]</f>
        <v>Food waste (including animal carcasses, spoiled animal feed or crop)</v>
      </c>
      <c r="F157" s="140"/>
      <c r="G157" s="2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25">
        <f t="shared" ref="H157:H190" si="3">I59</f>
        <v>25</v>
      </c>
      <c r="I157" s="25">
        <f>G157+H157</f>
        <v>75</v>
      </c>
      <c r="J157" s="25" cm="1">
        <f t="array" ref="J157">Common_InputFunctions.Utility_LookupValueInTableTwoColumns(D157,E157,Table_SourceData_WasteSolid_WasteTreatmentEFs[Treatment type t],Table_SourceData_WasteSolid_WasteTreatmentEFs[Waste type w],Table_SourceData_WasteSolid_WasteTreatmentEFs[EFwt])</f>
        <v>2.1</v>
      </c>
      <c r="K157" s="25" cm="1">
        <f t="array" ref="K157">WasteSolid_Equations.VEERG_10_1_1_1__1_EmissionsFromWasteManagement(I157, J157)</f>
        <v>157.5</v>
      </c>
    </row>
    <row r="158" spans="4:11" ht="20.100000000000001" customHeight="1" x14ac:dyDescent="0.25">
      <c r="D158" s="155" t="str">
        <v>Landfill</v>
      </c>
      <c r="E158" s="163" t="str">
        <v>Paper and cardboard</v>
      </c>
      <c r="F158" s="140"/>
      <c r="G158" s="2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25">
        <f t="shared" si="3"/>
        <v>4.5</v>
      </c>
      <c r="I158" s="25">
        <f t="shared" ref="I158:I167" si="4">G158+H158</f>
        <v>54.5</v>
      </c>
      <c r="J158" s="25" cm="1">
        <f t="array" ref="J158">Common_InputFunctions.Utility_LookupValueInTableTwoColumns(D158,E158,Table_SourceData_WasteSolid_WasteTreatmentEFs[Treatment type t],Table_SourceData_WasteSolid_WasteTreatmentEFs[Waste type w],Table_SourceData_WasteSolid_WasteTreatmentEFs[EFwt])</f>
        <v>3.3</v>
      </c>
      <c r="K158" s="25" cm="1">
        <f t="array" ref="K158">WasteSolid_Equations.VEERG_10_1_1_1__1_EmissionsFromWasteManagement(I158, J158)</f>
        <v>179.85</v>
      </c>
    </row>
    <row r="159" spans="4:11" ht="20.100000000000001" customHeight="1" x14ac:dyDescent="0.25">
      <c r="D159" s="155" t="str">
        <v>Landfill</v>
      </c>
      <c r="E159" s="163" t="str">
        <v>Green waste (including crop residues or prunings)</v>
      </c>
      <c r="F159" s="140"/>
      <c r="G159" s="2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25">
        <f t="shared" si="3"/>
        <v>12</v>
      </c>
      <c r="I159" s="25">
        <f t="shared" si="4"/>
        <v>62</v>
      </c>
      <c r="J159" s="25" cm="1">
        <f t="array" ref="J159">Common_InputFunctions.Utility_LookupValueInTableTwoColumns(D159,E159,Table_SourceData_WasteSolid_WasteTreatmentEFs[Treatment type t],Table_SourceData_WasteSolid_WasteTreatmentEFs[Waste type w],Table_SourceData_WasteSolid_WasteTreatmentEFs[EFwt])</f>
        <v>1.6</v>
      </c>
      <c r="K159" s="25" cm="1">
        <f t="array" ref="K159">WasteSolid_Equations.VEERG_10_1_1_1__1_EmissionsFromWasteManagement(I159, J159)</f>
        <v>99.2</v>
      </c>
    </row>
    <row r="160" spans="4:11" ht="20.100000000000001" customHeight="1" x14ac:dyDescent="0.25">
      <c r="D160" s="155" t="str">
        <v>Landfill</v>
      </c>
      <c r="E160" s="163" t="str">
        <v>Wood</v>
      </c>
      <c r="F160" s="140"/>
      <c r="G160" s="2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25">
        <f t="shared" si="3"/>
        <v>0</v>
      </c>
      <c r="I160" s="25">
        <f t="shared" si="4"/>
        <v>0</v>
      </c>
      <c r="J160" s="25" cm="1">
        <f t="array" ref="J160">Common_InputFunctions.Utility_LookupValueInTableTwoColumns(D160,E160,Table_SourceData_WasteSolid_WasteTreatmentEFs[Treatment type t],Table_SourceData_WasteSolid_WasteTreatmentEFs[Waste type w],Table_SourceData_WasteSolid_WasteTreatmentEFs[EFwt])</f>
        <v>0.7</v>
      </c>
      <c r="K160" s="25" cm="1">
        <f t="array" ref="K160">WasteSolid_Equations.VEERG_10_1_1_1__1_EmissionsFromWasteManagement(I160, J160)</f>
        <v>0</v>
      </c>
    </row>
    <row r="161" spans="4:11" ht="20.100000000000001" customHeight="1" x14ac:dyDescent="0.25">
      <c r="D161" s="155" t="str">
        <v>Landfill</v>
      </c>
      <c r="E161" s="163" t="str">
        <v>Textiles</v>
      </c>
      <c r="F161" s="140"/>
      <c r="G161" s="2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25">
        <f t="shared" si="3"/>
        <v>0</v>
      </c>
      <c r="I161" s="25">
        <f t="shared" si="4"/>
        <v>0</v>
      </c>
      <c r="J161" s="25" cm="1">
        <f t="array" ref="J161">Common_InputFunctions.Utility_LookupValueInTableTwoColumns(D161,E161,Table_SourceData_WasteSolid_WasteTreatmentEFs[Treatment type t],Table_SourceData_WasteSolid_WasteTreatmentEFs[Waste type w],Table_SourceData_WasteSolid_WasteTreatmentEFs[EFwt])</f>
        <v>2</v>
      </c>
      <c r="K161" s="25" cm="1">
        <f t="array" ref="K161">WasteSolid_Equations.VEERG_10_1_1_1__1_EmissionsFromWasteManagement(I161, J161)</f>
        <v>0</v>
      </c>
    </row>
    <row r="162" spans="4:11" ht="20.100000000000001" customHeight="1" x14ac:dyDescent="0.25">
      <c r="D162" s="155" t="str">
        <v>Landfill</v>
      </c>
      <c r="E162" s="163" t="str">
        <v>Sludge</v>
      </c>
      <c r="F162" s="140"/>
      <c r="G162" s="2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25">
        <f t="shared" si="3"/>
        <v>0</v>
      </c>
      <c r="I162" s="25">
        <f t="shared" si="4"/>
        <v>0</v>
      </c>
      <c r="J162" s="25" cm="1">
        <f t="array" ref="J162">Common_InputFunctions.Utility_LookupValueInTableTwoColumns(D162,E162,Table_SourceData_WasteSolid_WasteTreatmentEFs[Treatment type t],Table_SourceData_WasteSolid_WasteTreatmentEFs[Waste type w],Table_SourceData_WasteSolid_WasteTreatmentEFs[EFwt])</f>
        <v>0.4</v>
      </c>
      <c r="K162" s="25" cm="1">
        <f t="array" ref="K162">WasteSolid_Equations.VEERG_10_1_1_1__1_EmissionsFromWasteManagement(I162, J162)</f>
        <v>0</v>
      </c>
    </row>
    <row r="163" spans="4:11" ht="20.100000000000001" customHeight="1" x14ac:dyDescent="0.25">
      <c r="D163" s="155" t="str">
        <v>Landfill</v>
      </c>
      <c r="E163" s="163" t="str">
        <v>Rubber and leather</v>
      </c>
      <c r="F163" s="140"/>
      <c r="G163" s="2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25">
        <f t="shared" si="3"/>
        <v>0</v>
      </c>
      <c r="I163" s="25">
        <f t="shared" si="4"/>
        <v>0</v>
      </c>
      <c r="J163" s="25" cm="1">
        <f t="array" ref="J163">Common_InputFunctions.Utility_LookupValueInTableTwoColumns(D163,E163,Table_SourceData_WasteSolid_WasteTreatmentEFs[Treatment type t],Table_SourceData_WasteSolid_WasteTreatmentEFs[Waste type w],Table_SourceData_WasteSolid_WasteTreatmentEFs[EFwt])</f>
        <v>3.3</v>
      </c>
      <c r="K163" s="25" cm="1">
        <f t="array" ref="K163">WasteSolid_Equations.VEERG_10_1_1_1__1_EmissionsFromWasteManagement(I163, J163)</f>
        <v>0</v>
      </c>
    </row>
    <row r="164" spans="4:11" ht="20.100000000000001" customHeight="1" x14ac:dyDescent="0.25">
      <c r="D164" s="155" t="str">
        <v>Landfill</v>
      </c>
      <c r="E164" s="163" t="str">
        <v>Inert waste (including concrete, metal, plastic or glass)</v>
      </c>
      <c r="F164" s="140"/>
      <c r="G164" s="2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25">
        <f t="shared" si="3"/>
        <v>0</v>
      </c>
      <c r="I164" s="25">
        <f t="shared" si="4"/>
        <v>0</v>
      </c>
      <c r="J164" s="25" cm="1">
        <f t="array" ref="J164">Common_InputFunctions.Utility_LookupValueInTableTwoColumns(D164,E164,Table_SourceData_WasteSolid_WasteTreatmentEFs[Treatment type t],Table_SourceData_WasteSolid_WasteTreatmentEFs[Waste type w],Table_SourceData_WasteSolid_WasteTreatmentEFs[EFwt])</f>
        <v>0</v>
      </c>
      <c r="K164" s="25" cm="1">
        <f t="array" ref="K164">WasteSolid_Equations.VEERG_10_1_1_1__1_EmissionsFromWasteManagement(I164, J164)</f>
        <v>0</v>
      </c>
    </row>
    <row r="165" spans="4:11" ht="20.100000000000001" customHeight="1" x14ac:dyDescent="0.25">
      <c r="D165" s="155" t="str">
        <v>Landfill</v>
      </c>
      <c r="E165" s="163" t="str">
        <v>Municipal solid waste</v>
      </c>
      <c r="F165" s="140"/>
      <c r="G165" s="2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25">
        <f t="shared" si="3"/>
        <v>0</v>
      </c>
      <c r="I165" s="25">
        <f t="shared" si="4"/>
        <v>0</v>
      </c>
      <c r="J165" s="25" cm="1">
        <f t="array" ref="J165">Common_InputFunctions.Utility_LookupValueInTableTwoColumns(D165,E165,Table_SourceData_WasteSolid_WasteTreatmentEFs[Treatment type t],Table_SourceData_WasteSolid_WasteTreatmentEFs[Waste type w],Table_SourceData_WasteSolid_WasteTreatmentEFs[EFwt])</f>
        <v>1.6</v>
      </c>
      <c r="K165" s="25" cm="1">
        <f t="array" ref="K165">WasteSolid_Equations.VEERG_10_1_1_1__1_EmissionsFromWasteManagement(I165, J165)</f>
        <v>0</v>
      </c>
    </row>
    <row r="166" spans="4:11" ht="20.100000000000001" customHeight="1" x14ac:dyDescent="0.25">
      <c r="D166" s="155" t="str">
        <v>Landfill</v>
      </c>
      <c r="E166" s="163" t="str">
        <v>Commercial and industrial waste</v>
      </c>
      <c r="F166" s="140"/>
      <c r="G166" s="2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25">
        <f t="shared" si="3"/>
        <v>0</v>
      </c>
      <c r="I166" s="25">
        <f t="shared" si="4"/>
        <v>0</v>
      </c>
      <c r="J166" s="25" cm="1">
        <f t="array" ref="J166">Common_InputFunctions.Utility_LookupValueInTableTwoColumns(D166,E166,Table_SourceData_WasteSolid_WasteTreatmentEFs[Treatment type t],Table_SourceData_WasteSolid_WasteTreatmentEFs[Waste type w],Table_SourceData_WasteSolid_WasteTreatmentEFs[EFwt])</f>
        <v>1.3</v>
      </c>
      <c r="K166" s="25" cm="1">
        <f t="array" ref="K166">WasteSolid_Equations.VEERG_10_1_1_1__1_EmissionsFromWasteManagement(I166, J166)</f>
        <v>0</v>
      </c>
    </row>
    <row r="167" spans="4:11" ht="20.100000000000001" customHeight="1" x14ac:dyDescent="0.25">
      <c r="D167" s="155" t="str">
        <v>Landfill</v>
      </c>
      <c r="E167" s="163" t="str">
        <v>Construction and demolition waste</v>
      </c>
      <c r="F167" s="140"/>
      <c r="G167" s="2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25">
        <f t="shared" si="3"/>
        <v>0</v>
      </c>
      <c r="I167" s="25">
        <f t="shared" si="4"/>
        <v>0</v>
      </c>
      <c r="J167" s="25" cm="1">
        <f t="array" ref="J167">Common_InputFunctions.Utility_LookupValueInTableTwoColumns(D167,E167,Table_SourceData_WasteSolid_WasteTreatmentEFs[Treatment type t],Table_SourceData_WasteSolid_WasteTreatmentEFs[Waste type w],Table_SourceData_WasteSolid_WasteTreatmentEFs[EFwt])</f>
        <v>0.2</v>
      </c>
      <c r="K167" s="25" cm="1">
        <f t="array" ref="K167">WasteSolid_Equations.VEERG_10_1_1_1__1_EmissionsFromWasteManagement(I167, J167)</f>
        <v>0</v>
      </c>
    </row>
    <row r="168" spans="4:11" ht="20.100000000000001" customHeight="1" x14ac:dyDescent="0.25">
      <c r="D168" s="155" t="str">
        <v>Incineration</v>
      </c>
      <c r="E168" s="163" t="str">
        <v>Food waste, green waste, wood, sludge</v>
      </c>
      <c r="F168" s="140"/>
      <c r="G168" s="25" t="s">
        <v>298</v>
      </c>
      <c r="H168" s="25" t="str">
        <f t="shared" si="3"/>
        <v>Not used</v>
      </c>
      <c r="I168" s="25">
        <f>SUM(G169:G172)+SUM(H169:H172)+N("Partial sum")</f>
        <v>62</v>
      </c>
      <c r="J168" s="25" cm="1">
        <f t="array" ref="J168">Common_InputFunctions.Utility_LookupValueInTableTwoColumns(D168,E168,Table_SourceData_WasteSolid_WasteTreatmentEFs[Treatment type t],Table_SourceData_WasteSolid_WasteTreatmentEFs[Waste type w],Table_SourceData_WasteSolid_WasteTreatmentEFs[EFwt])</f>
        <v>0</v>
      </c>
      <c r="K168" s="25" cm="1">
        <f t="array" ref="K168">WasteSolid_Equations.VEERG_10_1_1_1__1_EmissionsFromWasteManagement(I168, J168)</f>
        <v>0</v>
      </c>
    </row>
    <row r="169" spans="4:11" ht="20.100000000000001" customHeight="1" x14ac:dyDescent="0.25">
      <c r="D169" s="155" t="str">
        <v>Incineration</v>
      </c>
      <c r="E169" s="163" t="str">
        <v>Food waste (including animal carcasses, spoiled animal feed or crop)</v>
      </c>
      <c r="F169" s="140"/>
      <c r="G169" s="2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25">
        <f t="shared" si="3"/>
        <v>0</v>
      </c>
      <c r="I169" s="25" t="s">
        <v>594</v>
      </c>
      <c r="J169" s="25" t="s">
        <v>298</v>
      </c>
      <c r="K169" s="25" t="s">
        <v>298</v>
      </c>
    </row>
    <row r="170" spans="4:11" ht="20.100000000000001" customHeight="1" x14ac:dyDescent="0.25">
      <c r="D170" s="155" t="str">
        <v>Incineration</v>
      </c>
      <c r="E170" s="163" t="str">
        <v>Green waste (including crop residues or prunings)</v>
      </c>
      <c r="F170" s="140"/>
      <c r="G170" s="2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25">
        <f t="shared" si="3"/>
        <v>12</v>
      </c>
      <c r="I170" s="25" t="s">
        <v>594</v>
      </c>
      <c r="J170" s="25" t="s">
        <v>298</v>
      </c>
      <c r="K170" s="25" t="s">
        <v>298</v>
      </c>
    </row>
    <row r="171" spans="4:11" ht="20.100000000000001" customHeight="1" x14ac:dyDescent="0.25">
      <c r="D171" s="155" t="str">
        <v>Incineration</v>
      </c>
      <c r="E171" s="163" t="str">
        <v>Wood</v>
      </c>
      <c r="F171" s="140"/>
      <c r="G171" s="2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25">
        <f t="shared" si="3"/>
        <v>0</v>
      </c>
      <c r="I171" s="25" t="s">
        <v>594</v>
      </c>
      <c r="J171" s="25" t="s">
        <v>298</v>
      </c>
      <c r="K171" s="25" t="s">
        <v>298</v>
      </c>
    </row>
    <row r="172" spans="4:11" ht="20.100000000000001" customHeight="1" x14ac:dyDescent="0.25">
      <c r="D172" s="155" t="str">
        <v>Incineration</v>
      </c>
      <c r="E172" s="163" t="str">
        <v>Sludge</v>
      </c>
      <c r="F172" s="140"/>
      <c r="G172" s="2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25">
        <f t="shared" si="3"/>
        <v>0</v>
      </c>
      <c r="I172" s="25" t="s">
        <v>594</v>
      </c>
      <c r="J172" s="25" t="s">
        <v>298</v>
      </c>
      <c r="K172" s="25" t="s">
        <v>298</v>
      </c>
    </row>
    <row r="173" spans="4:11" ht="20.100000000000001" customHeight="1" x14ac:dyDescent="0.25">
      <c r="D173" s="155" t="str">
        <v>Incineration</v>
      </c>
      <c r="E173" s="163" t="str">
        <v>Paper and cardboard</v>
      </c>
      <c r="F173" s="140"/>
      <c r="G173" s="2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25">
        <f t="shared" si="3"/>
        <v>0</v>
      </c>
      <c r="I173" s="25">
        <f t="shared" ref="I173:I178" si="5">G173+H173</f>
        <v>0</v>
      </c>
      <c r="J173" s="2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25" cm="1">
        <f t="array" ref="K173">WasteSolid_Equations.VEERG_10_1_1_1__1_EmissionsFromWasteManagement(I173, J173)</f>
        <v>0</v>
      </c>
    </row>
    <row r="174" spans="4:11" ht="20.100000000000001" customHeight="1" x14ac:dyDescent="0.25">
      <c r="D174" s="155" t="str">
        <v>Incineration</v>
      </c>
      <c r="E174" s="163" t="str">
        <v>Textiles</v>
      </c>
      <c r="F174" s="140"/>
      <c r="G174" s="2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25">
        <f t="shared" si="3"/>
        <v>0</v>
      </c>
      <c r="I174" s="25">
        <f t="shared" si="5"/>
        <v>0</v>
      </c>
      <c r="J174" s="2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25" cm="1">
        <f t="array" ref="K174">WasteSolid_Equations.VEERG_10_1_1_1__1_EmissionsFromWasteManagement(I174, J174)</f>
        <v>0</v>
      </c>
    </row>
    <row r="175" spans="4:11" ht="20.100000000000001" customHeight="1" x14ac:dyDescent="0.25">
      <c r="D175" s="155" t="str">
        <v>Incineration</v>
      </c>
      <c r="E175" s="163" t="str">
        <v>Rubber and leather</v>
      </c>
      <c r="F175" s="140"/>
      <c r="G175" s="2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25">
        <f t="shared" si="3"/>
        <v>0</v>
      </c>
      <c r="I175" s="25">
        <f t="shared" si="5"/>
        <v>0</v>
      </c>
      <c r="J175" s="25" cm="1">
        <f t="array" ref="J175">Common_InputFunctions.Utility_LookupValueInTableTwoColumns(D175,E175,Table_SourceData_WasteSolid_WasteTreatmentEFs[Treatment type t],Table_SourceData_WasteSolid_WasteTreatmentEFs[Waste type w],Table_SourceData_WasteSolid_WasteTreatmentEFs[EFwt])</f>
        <v>0.4919</v>
      </c>
      <c r="K175" s="25" cm="1">
        <f t="array" ref="K175">WasteSolid_Equations.VEERG_10_1_1_1__1_EmissionsFromWasteManagement(I175, J175)</f>
        <v>0</v>
      </c>
    </row>
    <row r="176" spans="4:11" ht="20.100000000000001" customHeight="1" x14ac:dyDescent="0.25">
      <c r="D176" s="155" t="str">
        <v>Incineration</v>
      </c>
      <c r="E176" s="163" t="str">
        <v>Inert waste (including concrete, metal, plastic or glass)</v>
      </c>
      <c r="F176" s="140"/>
      <c r="G176" s="2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25">
        <f t="shared" si="3"/>
        <v>0</v>
      </c>
      <c r="I176" s="25">
        <f t="shared" si="5"/>
        <v>0</v>
      </c>
      <c r="J176" s="25" cm="1">
        <f t="array" ref="J176">Common_InputFunctions.Utility_LookupValueInTableTwoColumns(D176,E176,Table_SourceData_WasteSolid_WasteTreatmentEFs[Treatment type t],Table_SourceData_WasteSolid_WasteTreatmentEFs[Waste type w],Table_SourceData_WasteSolid_WasteTreatmentEFs[EFwt])</f>
        <v>0.11</v>
      </c>
      <c r="K176" s="25" cm="1">
        <f t="array" ref="K176">WasteSolid_Equations.VEERG_10_1_1_1__1_EmissionsFromWasteManagement(I176, J176)</f>
        <v>0</v>
      </c>
    </row>
    <row r="177" spans="4:11" ht="20.100000000000001" customHeight="1" x14ac:dyDescent="0.25">
      <c r="D177" s="155" t="str">
        <v>Incineration</v>
      </c>
      <c r="E177" s="163" t="str">
        <v>Municipal solid waste</v>
      </c>
      <c r="F177" s="165"/>
      <c r="G177" s="2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25">
        <f t="shared" si="3"/>
        <v>0</v>
      </c>
      <c r="I177" s="25">
        <f t="shared" si="5"/>
        <v>0</v>
      </c>
      <c r="J177" s="2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25" cm="1">
        <f t="array" ref="K177">WasteSolid_Equations.VEERG_10_1_1_1__1_EmissionsFromWasteManagement(I177, J177)</f>
        <v>0</v>
      </c>
    </row>
    <row r="178" spans="4:11" ht="20.100000000000001" customHeight="1" x14ac:dyDescent="0.25">
      <c r="D178" s="155" t="str">
        <v>Incineration</v>
      </c>
      <c r="E178" s="163" t="str">
        <v>Commercial and industrial waste</v>
      </c>
      <c r="F178" s="165"/>
      <c r="G178" s="2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25">
        <f t="shared" si="3"/>
        <v>0</v>
      </c>
      <c r="I178" s="25">
        <f t="shared" si="5"/>
        <v>0</v>
      </c>
      <c r="J178" s="25" cm="1">
        <f t="array" ref="J178">Common_InputFunctions.Utility_LookupValueInTableTwoColumns(D178,E178,Table_SourceData_WasteSolid_WasteTreatmentEFs[Treatment type t],Table_SourceData_WasteSolid_WasteTreatmentEFs[Waste type w],Table_SourceData_WasteSolid_WasteTreatmentEFs[EFwt])</f>
        <v>1.649</v>
      </c>
      <c r="K178" s="25" cm="1">
        <f t="array" ref="K178">WasteSolid_Equations.VEERG_10_1_1_1__1_EmissionsFromWasteManagement(I178, J178)</f>
        <v>0</v>
      </c>
    </row>
    <row r="179" spans="4:11" ht="20.100000000000001" customHeight="1" x14ac:dyDescent="0.25">
      <c r="D179" s="155" t="str">
        <v>Composting</v>
      </c>
      <c r="E179" s="163" t="str">
        <v>All organic waste</v>
      </c>
      <c r="F179" s="165"/>
      <c r="G179" s="25" t="s">
        <v>298</v>
      </c>
      <c r="H179" s="25" t="str">
        <f t="shared" si="3"/>
        <v>Not used</v>
      </c>
      <c r="I179" s="25">
        <f>SUM(G180:G184)+SUM(H180:H184)+N("Partial sum")</f>
        <v>100</v>
      </c>
      <c r="J179" s="2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25" cm="1">
        <f t="array" ref="K179">WasteSolid_Equations.VEERG_10_1_1_1__1_EmissionsFromWasteManagement(I179, J179)</f>
        <v>4.5999999999999996</v>
      </c>
    </row>
    <row r="180" spans="4:11" ht="20.100000000000001" customHeight="1" x14ac:dyDescent="0.25">
      <c r="D180" s="155" t="str">
        <v>Composting</v>
      </c>
      <c r="E180" s="163" t="str">
        <v>Food waste (including animal carcasses, spoiled animal feed or crop)</v>
      </c>
      <c r="F180" s="165"/>
      <c r="G180" s="2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25">
        <f t="shared" si="3"/>
        <v>0</v>
      </c>
      <c r="I180" s="25" t="s">
        <v>594</v>
      </c>
      <c r="J180" s="25" t="s">
        <v>298</v>
      </c>
      <c r="K180" s="25" t="s">
        <v>298</v>
      </c>
    </row>
    <row r="181" spans="4:11" ht="20.100000000000001" customHeight="1" x14ac:dyDescent="0.25">
      <c r="D181" s="155" t="str">
        <v>Composting</v>
      </c>
      <c r="E181" s="163" t="str">
        <v>Green waste (including crop residues or prunings)</v>
      </c>
      <c r="F181" s="165"/>
      <c r="G181" s="2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25">
        <f t="shared" si="3"/>
        <v>0</v>
      </c>
      <c r="I181" s="25" t="s">
        <v>594</v>
      </c>
      <c r="J181" s="25" t="s">
        <v>298</v>
      </c>
      <c r="K181" s="25" t="s">
        <v>298</v>
      </c>
    </row>
    <row r="182" spans="4:11" ht="20.100000000000001" customHeight="1" x14ac:dyDescent="0.25">
      <c r="D182" s="155" t="str">
        <v>Composting</v>
      </c>
      <c r="E182" s="163" t="str">
        <v>Wood</v>
      </c>
      <c r="F182" s="165"/>
      <c r="G182" s="2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25">
        <f t="shared" si="3"/>
        <v>0</v>
      </c>
      <c r="I182" s="25" t="s">
        <v>594</v>
      </c>
      <c r="J182" s="25" t="s">
        <v>298</v>
      </c>
      <c r="K182" s="25" t="s">
        <v>298</v>
      </c>
    </row>
    <row r="183" spans="4:11" ht="20.100000000000001" customHeight="1" x14ac:dyDescent="0.25">
      <c r="D183" s="155" t="str">
        <v>Composting</v>
      </c>
      <c r="E183" s="163" t="str">
        <v>Sludge</v>
      </c>
      <c r="F183" s="165"/>
      <c r="G183" s="2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25">
        <f t="shared" si="3"/>
        <v>0</v>
      </c>
      <c r="I183" s="25" t="s">
        <v>594</v>
      </c>
      <c r="J183" s="25" t="s">
        <v>298</v>
      </c>
      <c r="K183" s="25" t="s">
        <v>298</v>
      </c>
    </row>
    <row r="184" spans="4:11" ht="20.100000000000001" customHeight="1" x14ac:dyDescent="0.25">
      <c r="D184" s="155" t="str">
        <v>Composting</v>
      </c>
      <c r="E184" s="163" t="str">
        <v>Paper and cardboard</v>
      </c>
      <c r="F184" s="165"/>
      <c r="G184" s="2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25">
        <f t="shared" si="3"/>
        <v>0</v>
      </c>
      <c r="I184" s="25" t="s">
        <v>594</v>
      </c>
      <c r="J184" s="25" t="s">
        <v>298</v>
      </c>
      <c r="K184" s="25" t="s">
        <v>298</v>
      </c>
    </row>
    <row r="185" spans="4:11" ht="20.100000000000001" customHeight="1" x14ac:dyDescent="0.25">
      <c r="D185" s="155" t="str">
        <v>Anaerobic digestion</v>
      </c>
      <c r="E185" s="163" t="str">
        <v>All organic waste</v>
      </c>
      <c r="F185" s="165"/>
      <c r="G185" s="25" t="s">
        <v>298</v>
      </c>
      <c r="H185" s="25" t="str">
        <f t="shared" si="3"/>
        <v>Not used</v>
      </c>
      <c r="I185" s="25">
        <f>SUM(G186:G190)+SUM(H186:H190)+N("Partial sum")</f>
        <v>0</v>
      </c>
      <c r="J185" s="2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25" cm="1">
        <f t="array" ref="K185">WasteSolid_Equations.VEERG_10_1_1_1__1_EmissionsFromWasteManagement(I185, J185)</f>
        <v>0</v>
      </c>
    </row>
    <row r="186" spans="4:11" ht="20.100000000000001" customHeight="1" x14ac:dyDescent="0.25">
      <c r="D186" s="155" t="str">
        <v>Anaerobic digestion</v>
      </c>
      <c r="E186" s="163" t="str">
        <v>Food waste (including animal carcasses, spoiled animal feed or crop)</v>
      </c>
      <c r="F186" s="165"/>
      <c r="G186" s="2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25">
        <f t="shared" si="3"/>
        <v>0</v>
      </c>
      <c r="I186" s="25" t="s">
        <v>594</v>
      </c>
      <c r="J186" s="25" t="s">
        <v>298</v>
      </c>
      <c r="K186" s="25" t="s">
        <v>298</v>
      </c>
    </row>
    <row r="187" spans="4:11" ht="20.100000000000001" customHeight="1" x14ac:dyDescent="0.25">
      <c r="D187" s="155" t="str">
        <v>Anaerobic digestion</v>
      </c>
      <c r="E187" s="163" t="str">
        <v>Green waste (including crop residues or prunings)</v>
      </c>
      <c r="F187" s="165"/>
      <c r="G187" s="2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25">
        <f t="shared" si="3"/>
        <v>0</v>
      </c>
      <c r="I187" s="25" t="s">
        <v>594</v>
      </c>
      <c r="J187" s="25" t="s">
        <v>298</v>
      </c>
      <c r="K187" s="25" t="s">
        <v>298</v>
      </c>
    </row>
    <row r="188" spans="4:11" ht="20.100000000000001" customHeight="1" x14ac:dyDescent="0.25">
      <c r="D188" s="155" t="str">
        <v>Anaerobic digestion</v>
      </c>
      <c r="E188" s="163" t="str">
        <v>Wood</v>
      </c>
      <c r="F188" s="165"/>
      <c r="G188" s="2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25">
        <f t="shared" si="3"/>
        <v>0</v>
      </c>
      <c r="I188" s="25" t="s">
        <v>594</v>
      </c>
      <c r="J188" s="25" t="s">
        <v>298</v>
      </c>
      <c r="K188" s="25" t="s">
        <v>298</v>
      </c>
    </row>
    <row r="189" spans="4:11" ht="20.100000000000001" customHeight="1" x14ac:dyDescent="0.25">
      <c r="D189" s="155" t="str">
        <v>Anaerobic digestion</v>
      </c>
      <c r="E189" s="163" t="str">
        <v>Sludge</v>
      </c>
      <c r="F189" s="165"/>
      <c r="G189" s="2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25">
        <f t="shared" si="3"/>
        <v>0</v>
      </c>
      <c r="I189" s="25" t="s">
        <v>594</v>
      </c>
      <c r="J189" s="25" t="s">
        <v>298</v>
      </c>
      <c r="K189" s="25" t="s">
        <v>298</v>
      </c>
    </row>
    <row r="190" spans="4:11" ht="20.100000000000001" customHeight="1" x14ac:dyDescent="0.25">
      <c r="D190" s="155" t="str">
        <v>Anaerobic digestion</v>
      </c>
      <c r="E190" s="163" t="str">
        <v>Paper and cardboard</v>
      </c>
      <c r="F190" s="165"/>
      <c r="G190" s="2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25">
        <f t="shared" si="3"/>
        <v>0</v>
      </c>
      <c r="I190" s="25" t="s">
        <v>594</v>
      </c>
      <c r="J190" s="25" t="s">
        <v>298</v>
      </c>
      <c r="K190" s="25" t="s">
        <v>298</v>
      </c>
    </row>
    <row r="191" spans="4:11" ht="20.100000000000001" customHeight="1" x14ac:dyDescent="0.25"/>
    <row r="192" spans="4:11" ht="20.100000000000001" customHeight="1" x14ac:dyDescent="0.25">
      <c r="D192" s="150" t="s">
        <v>595</v>
      </c>
      <c r="E192" s="151">
        <f>SUM(K157:K190)</f>
        <v>441.15000000000003</v>
      </c>
      <c r="F192" s="152"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xr:uid="{CCA62184-9E23-44C8-98CA-35DDBC6DF734}"/>
  </dataValidations>
  <pageMargins left="0.7" right="0.7" top="0.75" bottom="0.75" header="0.3" footer="0.3"/>
  <pageSetup paperSize="9" orientation="portrait" r:id="rId1"/>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5E306F-4770-4986-B3DB-37E70BC3E4C9}">
  <sheetPr>
    <tabColor theme="2" tint="-0.499984740745262"/>
  </sheetPr>
  <dimension ref="A1:AI165"/>
  <sheetViews>
    <sheetView showGridLines="0" topLeftCell="A29" workbookViewId="0" zoomScale="100" zoomScaleNormal="100">
      <selection activeCell="A50" sqref="A50"/>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598</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WasteSolid_SourceData.Waste_EmissionFactorsForWasteTreatment_Title()</f>
        <v>Emission factors for wastes disposed of at different treatment facilities</v>
      </c>
    </row>
    <row r="6" spans="1:35" ht="20.100000000000001" customHeight="1" x14ac:dyDescent="0.25">
      <c r="D6" s="27" t="str" cm="1">
        <f t="array" ref="D6">WasteSolid_SourceData.Waste_EmissionFactorsForWasteTreatment_Source()</f>
        <v>VEERG 2026: Table A.4.1.1</v>
      </c>
    </row>
    <row r="7" spans="1:35" ht="20.100000000000001" customHeight="1" x14ac:dyDescent="0.25">
      <c r="D7" s="36" t="str" cm="1">
        <f t="array" ref="D7:D13">WasteSolid_SourceData.Waste_EmissionFactorsForWasteTreatment_Variation()</f>
        <v>VARIATION ON SOURCE:</v>
      </c>
    </row>
    <row r="8" spans="1:35" ht="20.100000000000001" customHeight="1" x14ac:dyDescent="0.25">
      <c r="A8" s="7" t="s">
        <v>0</v>
      </c>
      <c r="D8" s="36" t="str">
        <v>Fixed typo 'paper and carboard' to 'paper and cardboard'</v>
      </c>
    </row>
    <row r="9" spans="1:35" ht="20.100000000000001" customHeight="1" x14ac:dyDescent="0.25">
      <c r="A9" s="5" t="str">
        <f>HYPERLINK("#'Input - Enterprise'!A1", "Enterprise")</f>
        <v>Enterprise</v>
      </c>
      <c r="D9" s="36" t="str">
        <v>Fixed typo 'prunnings' to 'prunings'</v>
      </c>
    </row>
    <row r="10" spans="1:35" ht="20.100000000000001" customHeight="1" x14ac:dyDescent="0.25">
      <c r="A10" s="5" t="str">
        <f>HYPERLINK("#'Input - Site'!A1", "Site")</f>
        <v>Site</v>
      </c>
      <c r="D10" s="36" t="str">
        <v>Added EF source column with specific references</v>
      </c>
    </row>
    <row r="11" spans="1:35" ht="20.100000000000001" customHeight="1" x14ac:dyDescent="0.25">
      <c r="A11" s="5" t="str">
        <f>HYPERLINK("#'Input - Crop'!A1", "Crop")</f>
        <v>Crop</v>
      </c>
      <c r="D11" s="36" t="str">
        <v>Added sub-categories for 'Incineration: Food waste, green waste, wood, sludge' in order to use volume to mass conversion factor values</v>
      </c>
    </row>
    <row r="12" spans="1:35" ht="20.100000000000001" customHeight="1" x14ac:dyDescent="0.25">
      <c r="A12" s="5" t="str">
        <f>HYPERLINK("#'Input - Fert Prod System'!A1", "Fert Prod System")</f>
        <v>Fert Prod System</v>
      </c>
      <c r="D12" s="36" t="str">
        <v>Added sub-categories for 'Composting: All organic waste' in order to use volume to mass conversion factor values</v>
      </c>
    </row>
    <row r="13" spans="1:35" ht="20.100000000000001" customHeight="1" x14ac:dyDescent="0.25">
      <c r="A13" s="5" t="str">
        <f>HYPERLINK("#'Input - Fertiliser'!A1", "Fertiliser")</f>
        <v>Fertiliser</v>
      </c>
      <c r="D13" s="36" t="str">
        <v>Added sub-categories for 'Anaerobic digestion: All organic waste' in order to use volume to mass conversion factor values</v>
      </c>
    </row>
    <row r="14" spans="1:35" ht="20.100000000000001" customHeight="1" x14ac:dyDescent="0.25">
      <c r="A14" s="5" t="str">
        <f>HYPERLINK("#'Input - Fuel'!A1", "Fuel")</f>
        <v>Fuel</v>
      </c>
      <c r="D14" s="1" t="str" cm="1">
        <f t="array" ref="D14">WasteSolid_SourceData.Waste_EmissionFactorsForWasteTreatment_Variable()</f>
        <v>EFwt</v>
      </c>
    </row>
    <row r="15" spans="1:35" ht="20.100000000000001" customHeight="1" x14ac:dyDescent="0.25">
      <c r="A15" s="5" t="str">
        <f>HYPERLINK("#'Input - Electricity'!A1", "Electricity")</f>
        <v>Electricity</v>
      </c>
      <c r="D15" s="15" t="str" cm="1">
        <f t="array" ref="D15">WasteSolid_SourceData.Waste_EmissionFactorsForWasteTreatment_Unit()</f>
        <v>t CO2e / t</v>
      </c>
      <c r="I15" s="1" t="s">
        <v>599</v>
      </c>
      <c r="K15" s="1" t="s">
        <v>600</v>
      </c>
      <c r="M15" s="1" t="s">
        <v>601</v>
      </c>
      <c r="O15" s="1" t="s">
        <v>602</v>
      </c>
    </row>
    <row r="16" spans="1:35" ht="20.100000000000001" customHeight="1" x14ac:dyDescent="0.25">
      <c r="A16" s="5" t="str">
        <f>HYPERLINK("#'Input - Common farm inputs'!A1", "Common farm inputs")</f>
        <v>Common farm inputs</v>
      </c>
      <c r="D16" s="30" t="s">
        <v>603</v>
      </c>
      <c r="E16" s="30" t="s">
        <v>604</v>
      </c>
      <c r="F16" s="30" t="s">
        <v>605</v>
      </c>
      <c r="G16" s="30" t="s">
        <v>606</v>
      </c>
      <c r="I16" s="30" t="s">
        <v>604</v>
      </c>
      <c r="K16" s="227" t="s">
        <v>604</v>
      </c>
      <c r="M16" s="227" t="s">
        <v>604</v>
      </c>
      <c r="O16" s="227" t="s">
        <v>604</v>
      </c>
    </row>
    <row r="17" spans="1:15" ht="20.100000000000001" customHeight="1" x14ac:dyDescent="0.25">
      <c r="A17" s="5" t="str">
        <f>HYPERLINK("#'Input - Crop pasture farm input'!A1", "Crop pasture farm input")</f>
        <v>Crop pasture farm input</v>
      </c>
      <c r="D17" s="30" t="str" cm="1">
        <f t="array" ref="D17">Common_InputFunctions.Utility_DisplayArrayInTable(WasteSolid_SourceData.Waste_EmissionFactorsForWasteTreatment_Data(), Table_SourceData_WasteSolid_WasteTreatmentEFs[[#Headers],[Treatment type t]], 0)</f>
        <v>Landfill</v>
      </c>
      <c r="E17" s="3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30" cm="1">
        <f t="array" ref="F17">Common_InputFunctions.Utility_DisplayArrayInTable(WasteSolid_SourceData.Waste_EmissionFactorsForWasteTreatment_Data(), Table_SourceData_WasteSolid_WasteTreatmentEFs[[#Headers],[Treatment type t]], 0)</f>
        <v>2.1</v>
      </c>
      <c r="G17" s="30" t="str" cm="1">
        <f t="array" ref="G17">Common_InputFunctions.Utility_DisplayArrayInTable(WasteSolid_SourceData.Waste_EmissionFactorsForWasteTreatment_Data(), Table_SourceData_WasteSolid_WasteTreatmentEFs[[#Headers],[Treatment type t]], 0)</f>
        <v>NGAF 2025 table 15</v>
      </c>
      <c r="I17" s="30"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5">
      <c r="A18" s="5" t="str">
        <f>HYPERLINK("#'Input - Freight'!A1", "Freight")</f>
        <v>Freight</v>
      </c>
      <c r="D18" s="1" t="str" cm="1">
        <f t="array" ref="D18">Common_InputFunctions.Utility_DisplayArrayInTable(WasteSolid_SourceData.Waste_EmissionFactorsForWasteTreatment_Data(), Table_SourceData_WasteSolid_WasteTreatmentEFs[[#Headers],[Treatment type t]], 0)</f>
        <v>Landfill</v>
      </c>
      <c r="E18" s="30" t="str" cm="1">
        <f t="array" ref="E18">Common_InputFunctions.Utility_DisplayArrayInTable(WasteSolid_SourceData.Waste_EmissionFactorsForWasteTreatment_Data(), Table_SourceData_WasteSolid_WasteTreatmentEFs[[#Headers],[Treatment type t]], 0)</f>
        <v>Paper and cardboard</v>
      </c>
      <c r="F18" s="30" cm="1">
        <f t="array" ref="F18">Common_InputFunctions.Utility_DisplayArrayInTable(WasteSolid_SourceData.Waste_EmissionFactorsForWasteTreatment_Data(), Table_SourceData_WasteSolid_WasteTreatmentEFs[[#Headers],[Treatment type t]], 0)</f>
        <v>3.3</v>
      </c>
      <c r="G18" s="30" t="str" cm="1">
        <f t="array" ref="G18">Common_InputFunctions.Utility_DisplayArrayInTable(WasteSolid_SourceData.Waste_EmissionFactorsForWasteTreatment_Data(), Table_SourceData_WasteSolid_WasteTreatmentEFs[[#Headers],[Treatment type t]], 0)</f>
        <v>NGAF 2025 table 15</v>
      </c>
      <c r="I18" s="30"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5">
      <c r="A19" s="5" t="str">
        <f>HYPERLINK("#'Input - Manure sent off-site'!A1", "Manure sent off-site")</f>
        <v>Manure sent off-site</v>
      </c>
      <c r="D19" s="1" t="str" cm="1">
        <f t="array" ref="D19">Common_InputFunctions.Utility_DisplayArrayInTable(WasteSolid_SourceData.Waste_EmissionFactorsForWasteTreatment_Data(), Table_SourceData_WasteSolid_WasteTreatmentEFs[[#Headers],[Treatment type t]], 0)</f>
        <v>Landfill</v>
      </c>
      <c r="E19" s="30" t="str" cm="1">
        <f t="array" ref="E19">Common_InputFunctions.Utility_DisplayArrayInTable(WasteSolid_SourceData.Waste_EmissionFactorsForWasteTreatment_Data(), Table_SourceData_WasteSolid_WasteTreatmentEFs[[#Headers],[Treatment type t]], 0)</f>
        <v>Green waste (including crop residues or prunings)</v>
      </c>
      <c r="F19" s="30" cm="1">
        <f t="array" ref="F19">Common_InputFunctions.Utility_DisplayArrayInTable(WasteSolid_SourceData.Waste_EmissionFactorsForWasteTreatment_Data(), Table_SourceData_WasteSolid_WasteTreatmentEFs[[#Headers],[Treatment type t]], 0)</f>
        <v>1.6</v>
      </c>
      <c r="G19" s="30" t="str" cm="1">
        <f t="array" ref="G19">Common_InputFunctions.Utility_DisplayArrayInTable(WasteSolid_SourceData.Waste_EmissionFactorsForWasteTreatment_Data(), Table_SourceData_WasteSolid_WasteTreatmentEFs[[#Headers],[Treatment type t]], 0)</f>
        <v>NGAF 2025 table 15</v>
      </c>
      <c r="I19" s="30"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5">
      <c r="A20" s="5" t="str">
        <f>HYPERLINK("#'Input - Solid waste'!A1", "Solid waste")</f>
        <v>Solid waste</v>
      </c>
      <c r="D20" s="1" t="str" cm="1">
        <f t="array" ref="D20">Common_InputFunctions.Utility_DisplayArrayInTable(WasteSolid_SourceData.Waste_EmissionFactorsForWasteTreatment_Data(), Table_SourceData_WasteSolid_WasteTreatmentEFs[[#Headers],[Treatment type t]], 0)</f>
        <v>Landfill</v>
      </c>
      <c r="E20" s="30" t="str" cm="1">
        <f t="array" ref="E20">Common_InputFunctions.Utility_DisplayArrayInTable(WasteSolid_SourceData.Waste_EmissionFactorsForWasteTreatment_Data(), Table_SourceData_WasteSolid_WasteTreatmentEFs[[#Headers],[Treatment type t]], 0)</f>
        <v>Wood</v>
      </c>
      <c r="F20" s="30" cm="1">
        <f t="array" ref="F20">Common_InputFunctions.Utility_DisplayArrayInTable(WasteSolid_SourceData.Waste_EmissionFactorsForWasteTreatment_Data(), Table_SourceData_WasteSolid_WasteTreatmentEFs[[#Headers],[Treatment type t]], 0)</f>
        <v>0.7</v>
      </c>
      <c r="G20" s="30" t="str" cm="1">
        <f t="array" ref="G20">Common_InputFunctions.Utility_DisplayArrayInTable(WasteSolid_SourceData.Waste_EmissionFactorsForWasteTreatment_Data(), Table_SourceData_WasteSolid_WasteTreatmentEFs[[#Headers],[Treatment type t]], 0)</f>
        <v>NGAF 2025 table 15</v>
      </c>
      <c r="I20" s="30" t="str">
        <f>Table_SourceData_WasteSolid_WasteTreatmentEFs[[#This Row],[Waste type w]]</f>
        <v>Wood</v>
      </c>
      <c r="K20" s="1" t="str">
        <f t="shared" si="0"/>
        <v>Sludge</v>
      </c>
      <c r="M20" s="1" t="str">
        <f>E43</f>
        <v>Sludge</v>
      </c>
      <c r="O20" s="1" t="str">
        <f>E49</f>
        <v>Sludge</v>
      </c>
    </row>
    <row r="21" spans="1:15" ht="20.100000000000001" customHeight="1" x14ac:dyDescent="0.25">
      <c r="A21" s="5" t="str">
        <f>HYPERLINK("#'Input - Data quality'!A1", "Data quality")</f>
        <v>Data quality</v>
      </c>
      <c r="D21" s="1" t="str" cm="1">
        <f t="array" ref="D21">Common_InputFunctions.Utility_DisplayArrayInTable(WasteSolid_SourceData.Waste_EmissionFactorsForWasteTreatment_Data(), Table_SourceData_WasteSolid_WasteTreatmentEFs[[#Headers],[Treatment type t]], 0)</f>
        <v>Landfill</v>
      </c>
      <c r="E21" s="30" t="str" cm="1">
        <f t="array" ref="E21">Common_InputFunctions.Utility_DisplayArrayInTable(WasteSolid_SourceData.Waste_EmissionFactorsForWasteTreatment_Data(), Table_SourceData_WasteSolid_WasteTreatmentEFs[[#Headers],[Treatment type t]], 0)</f>
        <v>Textiles</v>
      </c>
      <c r="F21" s="30" cm="1">
        <f t="array" ref="F21">Common_InputFunctions.Utility_DisplayArrayInTable(WasteSolid_SourceData.Waste_EmissionFactorsForWasteTreatment_Data(), Table_SourceData_WasteSolid_WasteTreatmentEFs[[#Headers],[Treatment type t]], 0)</f>
        <v>2</v>
      </c>
      <c r="G21" s="30" t="str" cm="1">
        <f t="array" ref="G21">Common_InputFunctions.Utility_DisplayArrayInTable(WasteSolid_SourceData.Waste_EmissionFactorsForWasteTreatment_Data(), Table_SourceData_WasteSolid_WasteTreatmentEFs[[#Headers],[Treatment type t]], 0)</f>
        <v>NGAF 2025 table 15</v>
      </c>
      <c r="I21" s="30"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5">
      <c r="D22" s="1" t="str" cm="1">
        <f t="array" ref="D22">Common_InputFunctions.Utility_DisplayArrayInTable(WasteSolid_SourceData.Waste_EmissionFactorsForWasteTreatment_Data(), Table_SourceData_WasteSolid_WasteTreatmentEFs[[#Headers],[Treatment type t]], 0)</f>
        <v>Landfill</v>
      </c>
      <c r="E22" s="30" t="str" cm="1">
        <f t="array" ref="E22">Common_InputFunctions.Utility_DisplayArrayInTable(WasteSolid_SourceData.Waste_EmissionFactorsForWasteTreatment_Data(), Table_SourceData_WasteSolid_WasteTreatmentEFs[[#Headers],[Treatment type t]], 0)</f>
        <v>Sludge</v>
      </c>
      <c r="F22" s="30" cm="1">
        <f t="array" ref="F22">Common_InputFunctions.Utility_DisplayArrayInTable(WasteSolid_SourceData.Waste_EmissionFactorsForWasteTreatment_Data(), Table_SourceData_WasteSolid_WasteTreatmentEFs[[#Headers],[Treatment type t]], 0)</f>
        <v>0.4</v>
      </c>
      <c r="G22" s="30" t="str" cm="1">
        <f t="array" ref="G22">Common_InputFunctions.Utility_DisplayArrayInTable(WasteSolid_SourceData.Waste_EmissionFactorsForWasteTreatment_Data(), Table_SourceData_WasteSolid_WasteTreatmentEFs[[#Headers],[Treatment type t]], 0)</f>
        <v>NGAF 2025 table 15</v>
      </c>
      <c r="I22" s="30" t="str">
        <f>Table_SourceData_WasteSolid_WasteTreatmentEFs[[#This Row],[Waste type w]]</f>
        <v>Sludge</v>
      </c>
      <c r="K22" s="1" t="str">
        <f t="shared" si="0"/>
        <v>Textiles</v>
      </c>
    </row>
    <row r="23" spans="1:15" ht="20.100000000000001" customHeight="1" x14ac:dyDescent="0.25">
      <c r="D23" s="1" t="str" cm="1">
        <f t="array" ref="D23">Common_InputFunctions.Utility_DisplayArrayInTable(WasteSolid_SourceData.Waste_EmissionFactorsForWasteTreatment_Data(), Table_SourceData_WasteSolid_WasteTreatmentEFs[[#Headers],[Treatment type t]], 0)</f>
        <v>Landfill</v>
      </c>
      <c r="E23" s="30" t="str" cm="1">
        <f t="array" ref="E23">Common_InputFunctions.Utility_DisplayArrayInTable(WasteSolid_SourceData.Waste_EmissionFactorsForWasteTreatment_Data(), Table_SourceData_WasteSolid_WasteTreatmentEFs[[#Headers],[Treatment type t]], 0)</f>
        <v>Rubber and leather</v>
      </c>
      <c r="F23" s="30" cm="1">
        <f t="array" ref="F23">Common_InputFunctions.Utility_DisplayArrayInTable(WasteSolid_SourceData.Waste_EmissionFactorsForWasteTreatment_Data(), Table_SourceData_WasteSolid_WasteTreatmentEFs[[#Headers],[Treatment type t]], 0)</f>
        <v>3.3</v>
      </c>
      <c r="G23" s="30" t="str" cm="1">
        <f t="array" ref="G23">Common_InputFunctions.Utility_DisplayArrayInTable(WasteSolid_SourceData.Waste_EmissionFactorsForWasteTreatment_Data(), Table_SourceData_WasteSolid_WasteTreatmentEFs[[#Headers],[Treatment type t]], 0)</f>
        <v>NGAF 2025 table 15</v>
      </c>
      <c r="I23" s="30" t="str">
        <f>Table_SourceData_WasteSolid_WasteTreatmentEFs[[#This Row],[Waste type w]]</f>
        <v>Rubber and leather</v>
      </c>
      <c r="K23" s="1" t="str">
        <f t="shared" si="0"/>
        <v>Rubber and leather</v>
      </c>
    </row>
    <row r="24" spans="1:15" ht="20.100000000000001" customHeight="1" x14ac:dyDescent="0.25">
      <c r="A24" s="6" t="s">
        <v>2</v>
      </c>
      <c r="D24" s="1" t="str" cm="1">
        <f t="array" ref="D24">Common_InputFunctions.Utility_DisplayArrayInTable(WasteSolid_SourceData.Waste_EmissionFactorsForWasteTreatment_Data(), Table_SourceData_WasteSolid_WasteTreatmentEFs[[#Headers],[Treatment type t]], 0)</f>
        <v>Landfill</v>
      </c>
      <c r="E24" s="30" t="str" cm="1">
        <f t="array" ref="E24">Common_InputFunctions.Utility_DisplayArrayInTable(WasteSolid_SourceData.Waste_EmissionFactorsForWasteTreatment_Data(), Table_SourceData_WasteSolid_WasteTreatmentEFs[[#Headers],[Treatment type t]], 0)</f>
        <v>Inert waste (including concrete, metal, plastic or glass)</v>
      </c>
      <c r="F24" s="30" cm="1">
        <f t="array" ref="F24">Common_InputFunctions.Utility_DisplayArrayInTable(WasteSolid_SourceData.Waste_EmissionFactorsForWasteTreatment_Data(), Table_SourceData_WasteSolid_WasteTreatmentEFs[[#Headers],[Treatment type t]], 0)</f>
        <v>0</v>
      </c>
      <c r="G24" s="30" t="str" cm="1">
        <f t="array" ref="G24">Common_InputFunctions.Utility_DisplayArrayInTable(WasteSolid_SourceData.Waste_EmissionFactorsForWasteTreatment_Data(), Table_SourceData_WasteSolid_WasteTreatmentEFs[[#Headers],[Treatment type t]], 0)</f>
        <v>NGAF 2025 table 15</v>
      </c>
      <c r="I24" s="30"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5">
      <c r="A25" s="5" t="str">
        <f>HYPERLINK("#'5.1.1.1-2 Inorganic fert N2O'!A1", "5.1.1.1-2 Inorganic fert N2O")</f>
        <v>5.1.1.1-2 Inorganic fert N2O</v>
      </c>
      <c r="D25" s="1" t="str" cm="1">
        <f t="array" ref="D25">Common_InputFunctions.Utility_DisplayArrayInTable(WasteSolid_SourceData.Waste_EmissionFactorsForWasteTreatment_Data(), Table_SourceData_WasteSolid_WasteTreatmentEFs[[#Headers],[Treatment type t]], 0)</f>
        <v>Landfill</v>
      </c>
      <c r="E25" s="30" t="str" cm="1">
        <f t="array" ref="E25">Common_InputFunctions.Utility_DisplayArrayInTable(WasteSolid_SourceData.Waste_EmissionFactorsForWasteTreatment_Data(), Table_SourceData_WasteSolid_WasteTreatmentEFs[[#Headers],[Treatment type t]], 0)</f>
        <v>Municipal solid waste</v>
      </c>
      <c r="F25" s="30" cm="1">
        <f t="array" ref="F25">Common_InputFunctions.Utility_DisplayArrayInTable(WasteSolid_SourceData.Waste_EmissionFactorsForWasteTreatment_Data(), Table_SourceData_WasteSolid_WasteTreatmentEFs[[#Headers],[Treatment type t]], 0)</f>
        <v>1.6</v>
      </c>
      <c r="G25" s="30" t="str" cm="1">
        <f t="array" ref="G25">Common_InputFunctions.Utility_DisplayArrayInTable(WasteSolid_SourceData.Waste_EmissionFactorsForWasteTreatment_Data(), Table_SourceData_WasteSolid_WasteTreatmentEFs[[#Headers],[Treatment type t]], 0)</f>
        <v>NGAF 2025 table 15</v>
      </c>
      <c r="I25" s="30" t="str">
        <f>Table_SourceData_WasteSolid_WasteTreatmentEFs[[#This Row],[Waste type w]]</f>
        <v>Municipal solid waste</v>
      </c>
      <c r="K25" s="1" t="str">
        <f t="shared" si="0"/>
        <v>Municipal solid waste</v>
      </c>
    </row>
    <row r="26" spans="1:15" ht="20.100000000000001" customHeight="1" x14ac:dyDescent="0.25">
      <c r="A26" s="5" t="str">
        <f>HYPERLINK("#'5.1.1.3-4 Inorganic fert CO2'!A1", "5.1.1.3-4 Inorganic fert CO2")</f>
        <v>5.1.1.3-4 Inorganic fert CO2</v>
      </c>
      <c r="D26" s="1" t="str" cm="1">
        <f t="array" ref="D26">Common_InputFunctions.Utility_DisplayArrayInTable(WasteSolid_SourceData.Waste_EmissionFactorsForWasteTreatment_Data(), Table_SourceData_WasteSolid_WasteTreatmentEFs[[#Headers],[Treatment type t]], 0)</f>
        <v>Landfill</v>
      </c>
      <c r="E26" s="30" t="str" cm="1">
        <f t="array" ref="E26">Common_InputFunctions.Utility_DisplayArrayInTable(WasteSolid_SourceData.Waste_EmissionFactorsForWasteTreatment_Data(), Table_SourceData_WasteSolid_WasteTreatmentEFs[[#Headers],[Treatment type t]], 0)</f>
        <v>Commercial and industrial waste</v>
      </c>
      <c r="F26" s="30" cm="1">
        <f t="array" ref="F26">Common_InputFunctions.Utility_DisplayArrayInTable(WasteSolid_SourceData.Waste_EmissionFactorsForWasteTreatment_Data(), Table_SourceData_WasteSolid_WasteTreatmentEFs[[#Headers],[Treatment type t]], 0)</f>
        <v>1.3</v>
      </c>
      <c r="G26" s="30" t="str" cm="1">
        <f t="array" ref="G26">Common_InputFunctions.Utility_DisplayArrayInTable(WasteSolid_SourceData.Waste_EmissionFactorsForWasteTreatment_Data(), Table_SourceData_WasteSolid_WasteTreatmentEFs[[#Headers],[Treatment type t]], 0)</f>
        <v>NGAF 2025 table 15</v>
      </c>
      <c r="I26" s="30" t="str">
        <f>Table_SourceData_WasteSolid_WasteTreatmentEFs[[#This Row],[Waste type w]]</f>
        <v>Commercial and industrial waste</v>
      </c>
      <c r="K26" s="1" t="str">
        <f t="shared" si="0"/>
        <v>Commercial and industrial waste</v>
      </c>
    </row>
    <row r="27" spans="1:15" ht="20.100000000000001" customHeight="1" x14ac:dyDescent="0.25">
      <c r="A27" s="5" t="str">
        <f>HYPERLINK("#'5.2.1.1-2 Organic Fert N2O'!A1", "5.2.1.1-2 Organic fert N2O")</f>
        <v>5.2.1.1-2 Organic fert N2O</v>
      </c>
      <c r="D27" s="1" t="str" cm="1">
        <f t="array" ref="D27">Common_InputFunctions.Utility_DisplayArrayInTable(WasteSolid_SourceData.Waste_EmissionFactorsForWasteTreatment_Data(), Table_SourceData_WasteSolid_WasteTreatmentEFs[[#Headers],[Treatment type t]], 0)</f>
        <v>Landfill</v>
      </c>
      <c r="E27" s="30" t="str" cm="1">
        <f t="array" ref="E27">Common_InputFunctions.Utility_DisplayArrayInTable(WasteSolid_SourceData.Waste_EmissionFactorsForWasteTreatment_Data(), Table_SourceData_WasteSolid_WasteTreatmentEFs[[#Headers],[Treatment type t]], 0)</f>
        <v>Construction and demolition waste</v>
      </c>
      <c r="F27" s="30" cm="1">
        <f t="array" ref="F27">Common_InputFunctions.Utility_DisplayArrayInTable(WasteSolid_SourceData.Waste_EmissionFactorsForWasteTreatment_Data(), Table_SourceData_WasteSolid_WasteTreatmentEFs[[#Headers],[Treatment type t]], 0)</f>
        <v>0.2</v>
      </c>
      <c r="G27" s="30" t="str" cm="1">
        <f t="array" ref="G27">Common_InputFunctions.Utility_DisplayArrayInTable(WasteSolid_SourceData.Waste_EmissionFactorsForWasteTreatment_Data(), Table_SourceData_WasteSolid_WasteTreatmentEFs[[#Headers],[Treatment type t]], 0)</f>
        <v>NGAF 2025 table 15</v>
      </c>
      <c r="I27" s="30" t="str">
        <f>Table_SourceData_WasteSolid_WasteTreatmentEFs[[#This Row],[Waste type w]]</f>
        <v>Construction and demolition waste</v>
      </c>
    </row>
    <row r="28" spans="1:15" ht="20.100000000000001" customHeight="1" x14ac:dyDescent="0.25">
      <c r="A28" s="5" t="str">
        <f>HYPERLINK("#'5.3.1.1-2 Lime CO2'!A1", "5.3.1.1-2 Lime CO2")</f>
        <v>5.3.1.1-2 Lime CO2</v>
      </c>
      <c r="D28" s="1" t="str" cm="1">
        <f t="array" ref="D28">Common_InputFunctions.Utility_DisplayArrayInTable(WasteSolid_SourceData.Waste_EmissionFactorsForWasteTreatment_Data(), Table_SourceData_WasteSolid_WasteTreatmentEFs[[#Headers],[Treatment type t]], 0)</f>
        <v>Incineration</v>
      </c>
      <c r="E28" s="30" t="str" cm="1">
        <f t="array" ref="E28">Common_InputFunctions.Utility_DisplayArrayInTable(WasteSolid_SourceData.Waste_EmissionFactorsForWasteTreatment_Data(), Table_SourceData_WasteSolid_WasteTreatmentEFs[[#Headers],[Treatment type t]], 0)</f>
        <v>Food waste, green waste, wood, sludge</v>
      </c>
      <c r="F28" s="30" cm="1">
        <f t="array" ref="F28">Common_InputFunctions.Utility_DisplayArrayInTable(WasteSolid_SourceData.Waste_EmissionFactorsForWasteTreatment_Data(), Table_SourceData_WasteSolid_WasteTreatmentEFs[[#Headers],[Treatment type t]], 0)</f>
        <v>0</v>
      </c>
      <c r="G28" s="3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5" t="str">
        <f>HYPERLINK("#'5.4.1.1-4 Atmos deposition'!A1", "5.4.1.1-4 Atmos. deposition")</f>
        <v>5.4.1.1-4 Atmos. deposition</v>
      </c>
      <c r="D29" s="1" t="str" cm="1">
        <f t="array" ref="D29">Common_InputFunctions.Utility_DisplayArrayInTable(WasteSolid_SourceData.Waste_EmissionFactorsForWasteTreatment_Data(), Table_SourceData_WasteSolid_WasteTreatmentEFs[[#Headers],[Treatment type t]], 0)</f>
        <v>Incineration</v>
      </c>
      <c r="E29" s="3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30" cm="1">
        <f t="array" ref="F29">Common_InputFunctions.Utility_DisplayArrayInTable(WasteSolid_SourceData.Waste_EmissionFactorsForWasteTreatment_Data(), Table_SourceData_WasteSolid_WasteTreatmentEFs[[#Headers],[Treatment type t]], 0)</f>
        <v>0</v>
      </c>
      <c r="G29" s="3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5" t="str">
        <f>HYPERLINK("#'5.5.1.1-2 Leaching and runoff'!A1", "5.5.1.1-2 Leaching &amp; runoff")</f>
        <v>5.5.1.1-2 Leaching &amp; runoff</v>
      </c>
      <c r="D30" s="1" t="str" cm="1">
        <f t="array" ref="D30">Common_InputFunctions.Utility_DisplayArrayInTable(WasteSolid_SourceData.Waste_EmissionFactorsForWasteTreatment_Data(), Table_SourceData_WasteSolid_WasteTreatmentEFs[[#Headers],[Treatment type t]], 0)</f>
        <v>Incineration</v>
      </c>
      <c r="E30" s="30" t="str" cm="1">
        <f t="array" ref="E30">Common_InputFunctions.Utility_DisplayArrayInTable(WasteSolid_SourceData.Waste_EmissionFactorsForWasteTreatment_Data(), Table_SourceData_WasteSolid_WasteTreatmentEFs[[#Headers],[Treatment type t]], 0)</f>
        <v>Green waste (including crop residues or prunings)</v>
      </c>
      <c r="F30" s="30" cm="1">
        <f t="array" ref="F30">Common_InputFunctions.Utility_DisplayArrayInTable(WasteSolid_SourceData.Waste_EmissionFactorsForWasteTreatment_Data(), Table_SourceData_WasteSolid_WasteTreatmentEFs[[#Headers],[Treatment type t]], 0)</f>
        <v>0</v>
      </c>
      <c r="G30" s="3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5" t="str">
        <f>HYPERLINK("#'6.1.1.1-2 Crop residue N2O'!A1", "6.1.1.1-2 Crop residue N2O")</f>
        <v>6.1.1.1-2 Crop residue N2O</v>
      </c>
      <c r="D31" s="1" t="str" cm="1">
        <f t="array" ref="D31">Common_InputFunctions.Utility_DisplayArrayInTable(WasteSolid_SourceData.Waste_EmissionFactorsForWasteTreatment_Data(), Table_SourceData_WasteSolid_WasteTreatmentEFs[[#Headers],[Treatment type t]], 0)</f>
        <v>Incineration</v>
      </c>
      <c r="E31" s="30" t="str" cm="1">
        <f t="array" ref="E31">Common_InputFunctions.Utility_DisplayArrayInTable(WasteSolid_SourceData.Waste_EmissionFactorsForWasteTreatment_Data(), Table_SourceData_WasteSolid_WasteTreatmentEFs[[#Headers],[Treatment type t]], 0)</f>
        <v>Wood</v>
      </c>
      <c r="F31" s="30" cm="1">
        <f t="array" ref="F31">Common_InputFunctions.Utility_DisplayArrayInTable(WasteSolid_SourceData.Waste_EmissionFactorsForWasteTreatment_Data(), Table_SourceData_WasteSolid_WasteTreatmentEFs[[#Headers],[Treatment type t]], 0)</f>
        <v>0</v>
      </c>
      <c r="G31" s="3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5" t="str">
        <f>HYPERLINK("#'6.3.1.1-2 Leach runoff crop'!A1", "6.3.1.1-2 Leach &amp; runoff (crop)")</f>
        <v>6.3.1.1-2 Leach &amp; runoff (crop)</v>
      </c>
      <c r="D32" s="1" t="str" cm="1">
        <f t="array" ref="D32">Common_InputFunctions.Utility_DisplayArrayInTable(WasteSolid_SourceData.Waste_EmissionFactorsForWasteTreatment_Data(), Table_SourceData_WasteSolid_WasteTreatmentEFs[[#Headers],[Treatment type t]], 0)</f>
        <v>Incineration</v>
      </c>
      <c r="E32" s="30" t="str" cm="1">
        <f t="array" ref="E32">Common_InputFunctions.Utility_DisplayArrayInTable(WasteSolid_SourceData.Waste_EmissionFactorsForWasteTreatment_Data(), Table_SourceData_WasteSolid_WasteTreatmentEFs[[#Headers],[Treatment type t]], 0)</f>
        <v>Sludge</v>
      </c>
      <c r="F32" s="30" cm="1">
        <f t="array" ref="F32">Common_InputFunctions.Utility_DisplayArrayInTable(WasteSolid_SourceData.Waste_EmissionFactorsForWasteTreatment_Data(), Table_SourceData_WasteSolid_WasteTreatmentEFs[[#Headers],[Treatment type t]], 0)</f>
        <v>0</v>
      </c>
      <c r="G32" s="3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5" t="str">
        <f>HYPERLINK("#'6.4.1.1-2 Residue burning'!A1", "6.4.1.1-2 Residue burning")</f>
        <v>6.4.1.1-2 Residue burning</v>
      </c>
      <c r="D33" s="1" t="str" cm="1">
        <f t="array" ref="D33">Common_InputFunctions.Utility_DisplayArrayInTable(WasteSolid_SourceData.Waste_EmissionFactorsForWasteTreatment_Data(), Table_SourceData_WasteSolid_WasteTreatmentEFs[[#Headers],[Treatment type t]], 0)</f>
        <v>Incineration</v>
      </c>
      <c r="E33" s="30" t="str" cm="1">
        <f t="array" ref="E33">Common_InputFunctions.Utility_DisplayArrayInTable(WasteSolid_SourceData.Waste_EmissionFactorsForWasteTreatment_Data(), Table_SourceData_WasteSolid_WasteTreatmentEFs[[#Headers],[Treatment type t]], 0)</f>
        <v>Paper and cardboard</v>
      </c>
      <c r="F33" s="30" cm="1">
        <f t="array" ref="F33">Common_InputFunctions.Utility_DisplayArrayInTable(WasteSolid_SourceData.Waste_EmissionFactorsForWasteTreatment_Data(), Table_SourceData_WasteSolid_WasteTreatmentEFs[[#Headers],[Treatment type t]], 0)</f>
        <v>1.6899999999999998E-2</v>
      </c>
      <c r="G33" s="3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5" t="str">
        <f>HYPERLINK("#'8.1.1.1-2 Transport fuel'!A1", "8.1.1.1-2 Transport fuel")</f>
        <v>8.1.1.1-2 Transport fuel</v>
      </c>
      <c r="D34" s="1" t="str" cm="1">
        <f t="array" ref="D34">Common_InputFunctions.Utility_DisplayArrayInTable(WasteSolid_SourceData.Waste_EmissionFactorsForWasteTreatment_Data(), Table_SourceData_WasteSolid_WasteTreatmentEFs[[#Headers],[Treatment type t]], 0)</f>
        <v>Incineration</v>
      </c>
      <c r="E34" s="30" t="str" cm="1">
        <f t="array" ref="E34">Common_InputFunctions.Utility_DisplayArrayInTable(WasteSolid_SourceData.Waste_EmissionFactorsForWasteTreatment_Data(), Table_SourceData_WasteSolid_WasteTreatmentEFs[[#Headers],[Treatment type t]], 0)</f>
        <v>Textiles</v>
      </c>
      <c r="F34" s="30" cm="1">
        <f t="array" ref="F34">Common_InputFunctions.Utility_DisplayArrayInTable(WasteSolid_SourceData.Waste_EmissionFactorsForWasteTreatment_Data(), Table_SourceData_WasteSolid_WasteTreatmentEFs[[#Headers],[Treatment type t]], 0)</f>
        <v>0.36670000000000003</v>
      </c>
      <c r="G34" s="3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5" t="str">
        <f>HYPERLINK("#'8.2.1.1-2 Stationary fuel'!A1", "8.2.1.1-2 Stationary fuel")</f>
        <v>8.2.1.1-2 Stationary fuel</v>
      </c>
      <c r="D35" s="1" t="str" cm="1">
        <f t="array" ref="D35">Common_InputFunctions.Utility_DisplayArrayInTable(WasteSolid_SourceData.Waste_EmissionFactorsForWasteTreatment_Data(), Table_SourceData_WasteSolid_WasteTreatmentEFs[[#Headers],[Treatment type t]], 0)</f>
        <v>Incineration</v>
      </c>
      <c r="E35" s="30" t="str" cm="1">
        <f t="array" ref="E35">Common_InputFunctions.Utility_DisplayArrayInTable(WasteSolid_SourceData.Waste_EmissionFactorsForWasteTreatment_Data(), Table_SourceData_WasteSolid_WasteTreatmentEFs[[#Headers],[Treatment type t]], 0)</f>
        <v>Rubber and leather</v>
      </c>
      <c r="F35" s="30" cm="1">
        <f t="array" ref="F35">Common_InputFunctions.Utility_DisplayArrayInTable(WasteSolid_SourceData.Waste_EmissionFactorsForWasteTreatment_Data(), Table_SourceData_WasteSolid_WasteTreatmentEFs[[#Headers],[Treatment type t]], 0)</f>
        <v>0.4919</v>
      </c>
      <c r="G35" s="3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5" t="str">
        <f>HYPERLINK("#'14.1.1-2 Purchased electricity'!A1", "14.1.1-2 Purchased electricity")</f>
        <v>14.1.1-2 Purchased electricity</v>
      </c>
      <c r="D36" s="1" t="str" cm="1">
        <f t="array" ref="D36">Common_InputFunctions.Utility_DisplayArrayInTable(WasteSolid_SourceData.Waste_EmissionFactorsForWasteTreatment_Data(), Table_SourceData_WasteSolid_WasteTreatmentEFs[[#Headers],[Treatment type t]], 0)</f>
        <v>Incineration</v>
      </c>
      <c r="E36" s="30" t="str" cm="1">
        <f t="array" ref="E36">Common_InputFunctions.Utility_DisplayArrayInTable(WasteSolid_SourceData.Waste_EmissionFactorsForWasteTreatment_Data(), Table_SourceData_WasteSolid_WasteTreatmentEFs[[#Headers],[Treatment type t]], 0)</f>
        <v>Inert waste (including concrete, metal, plastic or glass)</v>
      </c>
      <c r="F36" s="30" cm="1">
        <f t="array" ref="F36">Common_InputFunctions.Utility_DisplayArrayInTable(WasteSolid_SourceData.Waste_EmissionFactorsForWasteTreatment_Data(), Table_SourceData_WasteSolid_WasteTreatmentEFs[[#Headers],[Treatment type t]], 0)</f>
        <v>0.11</v>
      </c>
      <c r="G36" s="3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5" t="str">
        <f>HYPERLINK("#'15 Scope 3'!A1", "15 Scope 3")</f>
        <v>15 Scope 3</v>
      </c>
      <c r="D37" s="1" t="str" cm="1">
        <f t="array" ref="D37">Common_InputFunctions.Utility_DisplayArrayInTable(WasteSolid_SourceData.Waste_EmissionFactorsForWasteTreatment_Data(), Table_SourceData_WasteSolid_WasteTreatmentEFs[[#Headers],[Treatment type t]], 0)</f>
        <v>Incineration</v>
      </c>
      <c r="E37" s="30" t="str" cm="1">
        <f t="array" ref="E37">Common_InputFunctions.Utility_DisplayArrayInTable(WasteSolid_SourceData.Waste_EmissionFactorsForWasteTreatment_Data(), Table_SourceData_WasteSolid_WasteTreatmentEFs[[#Headers],[Treatment type t]], 0)</f>
        <v>Municipal solid waste</v>
      </c>
      <c r="F37" s="30" cm="1">
        <f t="array" ref="F37">Common_InputFunctions.Utility_DisplayArrayInTable(WasteSolid_SourceData.Waste_EmissionFactorsForWasteTreatment_Data(), Table_SourceData_WasteSolid_WasteTreatmentEFs[[#Headers],[Treatment type t]], 0)</f>
        <v>5.3699999999999998E-2</v>
      </c>
      <c r="G37" s="228"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5" t="str">
        <f>HYPERLINK("#'Calcs - Manure sent off-site'!A1", "Calcs - Manure sent off-site")</f>
        <v>Calcs - Manure sent off-site</v>
      </c>
      <c r="D38" s="1" t="str" cm="1">
        <f t="array" ref="D38">Common_InputFunctions.Utility_DisplayArrayInTable(WasteSolid_SourceData.Waste_EmissionFactorsForWasteTreatment_Data(), Table_SourceData_WasteSolid_WasteTreatmentEFs[[#Headers],[Treatment type t]], 0)</f>
        <v>Incineration</v>
      </c>
      <c r="E38" s="30" t="str" cm="1">
        <f t="array" ref="E38">Common_InputFunctions.Utility_DisplayArrayInTable(WasteSolid_SourceData.Waste_EmissionFactorsForWasteTreatment_Data(), Table_SourceData_WasteSolid_WasteTreatmentEFs[[#Headers],[Treatment type t]], 0)</f>
        <v>Commercial and industrial waste</v>
      </c>
      <c r="F38" s="30" cm="1">
        <f t="array" ref="F38">Common_InputFunctions.Utility_DisplayArrayInTable(WasteSolid_SourceData.Waste_EmissionFactorsForWasteTreatment_Data(), Table_SourceData_WasteSolid_WasteTreatmentEFs[[#Headers],[Treatment type t]], 0)</f>
        <v>1.649</v>
      </c>
      <c r="G38" s="228"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A39" s="5" t="str">
        <f>HYPERLINK("#'10.1.1-2 Solid waste treatment'!A1", "10.1.1-2 Solid waste treatment")</f>
        <v>10.1.1-2 Solid waste treatment</v>
      </c>
      <c r="D39" s="1" t="str" cm="1">
        <f t="array" ref="D39">Common_InputFunctions.Utility_DisplayArrayInTable(WasteSolid_SourceData.Waste_EmissionFactorsForWasteTreatment_Data(), Table_SourceData_WasteSolid_WasteTreatmentEFs[[#Headers],[Treatment type t]], 0)</f>
        <v>Composting</v>
      </c>
      <c r="E39" s="30" t="str" cm="1">
        <f t="array" ref="E39">Common_InputFunctions.Utility_DisplayArrayInTable(WasteSolid_SourceData.Waste_EmissionFactorsForWasteTreatment_Data(), Table_SourceData_WasteSolid_WasteTreatmentEFs[[#Headers],[Treatment type t]], 0)</f>
        <v>All organic waste</v>
      </c>
      <c r="F39" s="30" cm="1">
        <f t="array" ref="F39">Common_InputFunctions.Utility_DisplayArrayInTable(WasteSolid_SourceData.Waste_EmissionFactorsForWasteTreatment_Data(), Table_SourceData_WasteSolid_WasteTreatmentEFs[[#Headers],[Treatment type t]], 0)</f>
        <v>4.5999999999999999E-2</v>
      </c>
      <c r="G39" s="228"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D40" s="1" t="str" cm="1">
        <f t="array" ref="D40">Common_InputFunctions.Utility_DisplayArrayInTable(WasteSolid_SourceData.Waste_EmissionFactorsForWasteTreatment_Data(), Table_SourceData_WasteSolid_WasteTreatmentEFs[[#Headers],[Treatment type t]], 0)</f>
        <v>Composting</v>
      </c>
      <c r="E40" s="3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30" cm="1">
        <f t="array" ref="F40">Common_InputFunctions.Utility_DisplayArrayInTable(WasteSolid_SourceData.Waste_EmissionFactorsForWasteTreatment_Data(), Table_SourceData_WasteSolid_WasteTreatmentEFs[[#Headers],[Treatment type t]], 0)</f>
        <v>4.5999999999999999E-2</v>
      </c>
      <c r="G40" s="228"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D41" s="1" t="str" cm="1">
        <f t="array" ref="D41">Common_InputFunctions.Utility_DisplayArrayInTable(WasteSolid_SourceData.Waste_EmissionFactorsForWasteTreatment_Data(), Table_SourceData_WasteSolid_WasteTreatmentEFs[[#Headers],[Treatment type t]], 0)</f>
        <v>Composting</v>
      </c>
      <c r="E41" s="30" t="str" cm="1">
        <f t="array" ref="E41">Common_InputFunctions.Utility_DisplayArrayInTable(WasteSolid_SourceData.Waste_EmissionFactorsForWasteTreatment_Data(), Table_SourceData_WasteSolid_WasteTreatmentEFs[[#Headers],[Treatment type t]], 0)</f>
        <v>Green waste (including crop residues or prunings)</v>
      </c>
      <c r="F41" s="30" cm="1">
        <f t="array" ref="F41">Common_InputFunctions.Utility_DisplayArrayInTable(WasteSolid_SourceData.Waste_EmissionFactorsForWasteTreatment_Data(), Table_SourceData_WasteSolid_WasteTreatmentEFs[[#Headers],[Treatment type t]], 0)</f>
        <v>4.5999999999999999E-2</v>
      </c>
      <c r="G41" s="228"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s="108" t="s">
        <v>1</v>
      </c>
      <c r="D42" s="1" t="str" cm="1">
        <f t="array" ref="D42">Common_InputFunctions.Utility_DisplayArrayInTable(WasteSolid_SourceData.Waste_EmissionFactorsForWasteTreatment_Data(), Table_SourceData_WasteSolid_WasteTreatmentEFs[[#Headers],[Treatment type t]], 0)</f>
        <v>Composting</v>
      </c>
      <c r="E42" s="30" t="str" cm="1">
        <f t="array" ref="E42">Common_InputFunctions.Utility_DisplayArrayInTable(WasteSolid_SourceData.Waste_EmissionFactorsForWasteTreatment_Data(), Table_SourceData_WasteSolid_WasteTreatmentEFs[[#Headers],[Treatment type t]], 0)</f>
        <v>Wood</v>
      </c>
      <c r="F42" s="30" cm="1">
        <f t="array" ref="F42">Common_InputFunctions.Utility_DisplayArrayInTable(WasteSolid_SourceData.Waste_EmissionFactorsForWasteTreatment_Data(), Table_SourceData_WasteSolid_WasteTreatmentEFs[[#Headers],[Treatment type t]], 0)</f>
        <v>4.5999999999999999E-2</v>
      </c>
      <c r="G42" s="228"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A43" s="5" t="str">
        <f>HYPERLINK("#'Constants - Ag Residue'!A1", "Constants - Ag residue")</f>
        <v>Constants - Ag residue</v>
      </c>
      <c r="D43" s="1" t="str" cm="1">
        <f t="array" ref="D43">Common_InputFunctions.Utility_DisplayArrayInTable(WasteSolid_SourceData.Waste_EmissionFactorsForWasteTreatment_Data(), Table_SourceData_WasteSolid_WasteTreatmentEFs[[#Headers],[Treatment type t]], 0)</f>
        <v>Composting</v>
      </c>
      <c r="E43" s="30" t="str" cm="1">
        <f t="array" ref="E43">Common_InputFunctions.Utility_DisplayArrayInTable(WasteSolid_SourceData.Waste_EmissionFactorsForWasteTreatment_Data(), Table_SourceData_WasteSolid_WasteTreatmentEFs[[#Headers],[Treatment type t]], 0)</f>
        <v>Sludge</v>
      </c>
      <c r="F43" s="30" cm="1">
        <f t="array" ref="F43">Common_InputFunctions.Utility_DisplayArrayInTable(WasteSolid_SourceData.Waste_EmissionFactorsForWasteTreatment_Data(), Table_SourceData_WasteSolid_WasteTreatmentEFs[[#Headers],[Treatment type t]], 0)</f>
        <v>4.5999999999999999E-2</v>
      </c>
      <c r="G43" s="228"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A44" s="5" t="str">
        <f>HYPERLINK("#'Constants - Common Livestock'!A1", "Constants - Common Livestock")</f>
        <v>Constants - Common Livestock</v>
      </c>
      <c r="D44" s="1" t="str" cm="1">
        <f t="array" ref="D44">Common_InputFunctions.Utility_DisplayArrayInTable(WasteSolid_SourceData.Waste_EmissionFactorsForWasteTreatment_Data(), Table_SourceData_WasteSolid_WasteTreatmentEFs[[#Headers],[Treatment type t]], 0)</f>
        <v>Composting</v>
      </c>
      <c r="E44" s="30" t="str" cm="1">
        <f t="array" ref="E44">Common_InputFunctions.Utility_DisplayArrayInTable(WasteSolid_SourceData.Waste_EmissionFactorsForWasteTreatment_Data(), Table_SourceData_WasteSolid_WasteTreatmentEFs[[#Headers],[Treatment type t]], 0)</f>
        <v>Paper and cardboard</v>
      </c>
      <c r="F44" s="30" cm="1">
        <f t="array" ref="F44">Common_InputFunctions.Utility_DisplayArrayInTable(WasteSolid_SourceData.Waste_EmissionFactorsForWasteTreatment_Data(), Table_SourceData_WasteSolid_WasteTreatmentEFs[[#Headers],[Treatment type t]], 0)</f>
        <v>4.5999999999999999E-2</v>
      </c>
      <c r="G44" s="228"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A45" s="5" t="str">
        <f>HYPERLINK("#'Constants - Electricity'!A1", "Constants - Electricity")</f>
        <v>Constants - Electricity</v>
      </c>
      <c r="D45" s="1" t="str" cm="1">
        <f t="array" ref="D45">Common_InputFunctions.Utility_DisplayArrayInTable(WasteSolid_SourceData.Waste_EmissionFactorsForWasteTreatment_Data(), Table_SourceData_WasteSolid_WasteTreatmentEFs[[#Headers],[Treatment type t]], 0)</f>
        <v>Anaerobic digestion</v>
      </c>
      <c r="E45" s="30" t="str" cm="1">
        <f t="array" ref="E45">Common_InputFunctions.Utility_DisplayArrayInTable(WasteSolid_SourceData.Waste_EmissionFactorsForWasteTreatment_Data(), Table_SourceData_WasteSolid_WasteTreatmentEFs[[#Headers],[Treatment type t]], 0)</f>
        <v>All organic waste</v>
      </c>
      <c r="F45" s="30" cm="1">
        <f t="array" ref="F45">Common_InputFunctions.Utility_DisplayArrayInTable(WasteSolid_SourceData.Waste_EmissionFactorsForWasteTreatment_Data(), Table_SourceData_WasteSolid_WasteTreatmentEFs[[#Headers],[Treatment type t]], 0)</f>
        <v>2.8000000000000001E-2</v>
      </c>
      <c r="G45" s="228"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A46" s="5" t="str">
        <f>HYPERLINK("#'Constants - Fertiliser'!A1", "Constants - Fertiliser")</f>
        <v>Constants - Fertiliser</v>
      </c>
      <c r="D46" s="1" t="str" cm="1">
        <f t="array" ref="D46">Common_InputFunctions.Utility_DisplayArrayInTable(WasteSolid_SourceData.Waste_EmissionFactorsForWasteTreatment_Data(), Table_SourceData_WasteSolid_WasteTreatmentEFs[[#Headers],[Treatment type t]], 0)</f>
        <v>Anaerobic digestion</v>
      </c>
      <c r="E46" s="3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30" cm="1">
        <f t="array" ref="F46">Common_InputFunctions.Utility_DisplayArrayInTable(WasteSolid_SourceData.Waste_EmissionFactorsForWasteTreatment_Data(), Table_SourceData_WasteSolid_WasteTreatmentEFs[[#Headers],[Treatment type t]], 0)</f>
        <v>2.8000000000000001E-2</v>
      </c>
      <c r="G46" s="228"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A47" s="5" t="str">
        <f>HYPERLINK("#'Constants - Fuel'!A1", "Constants - Fuel")</f>
        <v>Constants - Fuel</v>
      </c>
      <c r="D47" s="1" t="str" cm="1">
        <f t="array" ref="D47">Common_InputFunctions.Utility_DisplayArrayInTable(WasteSolid_SourceData.Waste_EmissionFactorsForWasteTreatment_Data(), Table_SourceData_WasteSolid_WasteTreatmentEFs[[#Headers],[Treatment type t]], 0)</f>
        <v>Anaerobic digestion</v>
      </c>
      <c r="E47" s="30" t="str" cm="1">
        <f t="array" ref="E47">Common_InputFunctions.Utility_DisplayArrayInTable(WasteSolid_SourceData.Waste_EmissionFactorsForWasteTreatment_Data(), Table_SourceData_WasteSolid_WasteTreatmentEFs[[#Headers],[Treatment type t]], 0)</f>
        <v>Green waste (including crop residues or prunings)</v>
      </c>
      <c r="F47" s="30" cm="1">
        <f t="array" ref="F47">Common_InputFunctions.Utility_DisplayArrayInTable(WasteSolid_SourceData.Waste_EmissionFactorsForWasteTreatment_Data(), Table_SourceData_WasteSolid_WasteTreatmentEFs[[#Headers],[Treatment type t]], 0)</f>
        <v>2.8000000000000001E-2</v>
      </c>
      <c r="G47" s="228"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A48" s="5" t="str">
        <f>HYPERLINK("#'Constants - Scope 3'!A1", "Constants - Scope 3")</f>
        <v>Constants - Scope 3</v>
      </c>
      <c r="D48" s="1" t="str" cm="1">
        <f t="array" ref="D48">Common_InputFunctions.Utility_DisplayArrayInTable(WasteSolid_SourceData.Waste_EmissionFactorsForWasteTreatment_Data(), Table_SourceData_WasteSolid_WasteTreatmentEFs[[#Headers],[Treatment type t]], 0)</f>
        <v>Anaerobic digestion</v>
      </c>
      <c r="E48" s="30" t="str" cm="1">
        <f t="array" ref="E48">Common_InputFunctions.Utility_DisplayArrayInTable(WasteSolid_SourceData.Waste_EmissionFactorsForWasteTreatment_Data(), Table_SourceData_WasteSolid_WasteTreatmentEFs[[#Headers],[Treatment type t]], 0)</f>
        <v>Wood</v>
      </c>
      <c r="F48" s="30" cm="1">
        <f t="array" ref="F48">Common_InputFunctions.Utility_DisplayArrayInTable(WasteSolid_SourceData.Waste_EmissionFactorsForWasteTreatment_Data(), Table_SourceData_WasteSolid_WasteTreatmentEFs[[#Headers],[Treatment type t]], 0)</f>
        <v>2.8000000000000001E-2</v>
      </c>
      <c r="G48" s="228"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A49" s="5" t="str">
        <f>HYPERLINK("#'Constants - Common'!A1", "Constants - Common")</f>
        <v>Constants - Common</v>
      </c>
      <c r="D49" s="1" t="str" cm="1">
        <f t="array" ref="D49">Common_InputFunctions.Utility_DisplayArrayInTable(WasteSolid_SourceData.Waste_EmissionFactorsForWasteTreatment_Data(), Table_SourceData_WasteSolid_WasteTreatmentEFs[[#Headers],[Treatment type t]], 0)</f>
        <v>Anaerobic digestion</v>
      </c>
      <c r="E49" s="30" t="str" cm="1">
        <f t="array" ref="E49">Common_InputFunctions.Utility_DisplayArrayInTable(WasteSolid_SourceData.Waste_EmissionFactorsForWasteTreatment_Data(), Table_SourceData_WasteSolid_WasteTreatmentEFs[[#Headers],[Treatment type t]], 0)</f>
        <v>Sludge</v>
      </c>
      <c r="F49" s="30" cm="1">
        <f t="array" ref="F49">Common_InputFunctions.Utility_DisplayArrayInTable(WasteSolid_SourceData.Waste_EmissionFactorsForWasteTreatment_Data(), Table_SourceData_WasteSolid_WasteTreatmentEFs[[#Headers],[Treatment type t]], 0)</f>
        <v>2.8000000000000001E-2</v>
      </c>
      <c r="G49" s="228"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A50" s="173" t="str">
        <f>HYPERLINK("#'Constants - Solid Waste'!A1", "Constants - Solid Waste")</f>
        <v>Constants - Solid Waste</v>
      </c>
      <c r="D50" s="1" t="str" cm="1">
        <f t="array" ref="D50">Common_InputFunctions.Utility_DisplayArrayInTable(WasteSolid_SourceData.Waste_EmissionFactorsForWasteTreatment_Data(), Table_SourceData_WasteSolid_WasteTreatmentEFs[[#Headers],[Treatment type t]], 0)</f>
        <v>Anaerobic digestion</v>
      </c>
      <c r="E50" s="30" t="str" cm="1">
        <f t="array" ref="E50">Common_InputFunctions.Utility_DisplayArrayInTable(WasteSolid_SourceData.Waste_EmissionFactorsForWasteTreatment_Data(), Table_SourceData_WasteSolid_WasteTreatmentEFs[[#Headers],[Treatment type t]], 0)</f>
        <v>Paper and cardboard</v>
      </c>
      <c r="F50" s="30" cm="1">
        <f t="array" ref="F50">Common_InputFunctions.Utility_DisplayArrayInTable(WasteSolid_SourceData.Waste_EmissionFactorsForWasteTreatment_Data(), Table_SourceData_WasteSolid_WasteTreatmentEFs[[#Headers],[Treatment type t]], 0)</f>
        <v>2.8000000000000001E-2</v>
      </c>
      <c r="G50" s="228"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row r="52" spans="1:7" ht="20.100000000000001" customHeight="1" x14ac:dyDescent="0.25">
      <c r="D52" s="2" t="str" cm="1">
        <f t="array" ref="D52">WasteSolid_SourceData.Waste_WasteVolumeToMassConversion_Title()</f>
        <v>Volume to mass conversion factor for various waste types</v>
      </c>
    </row>
    <row r="53" spans="1:7" ht="20.100000000000001" customHeight="1" x14ac:dyDescent="0.25">
      <c r="D53" s="27" t="str" cm="1">
        <f t="array" ref="D53">WasteSolid_SourceData.Waste_WasteVolumeToMassConversion_Source()</f>
        <v>VEERG 2026: Table A.4.1.2</v>
      </c>
    </row>
    <row r="54" spans="1:7" ht="20.100000000000001" customHeight="1" x14ac:dyDescent="0.25">
      <c r="D54" s="36" t="str" cm="1">
        <f t="array" ref="D54">WasteSolid_SourceData.Waste_WasteVolumeToMassConversion_Variation()</f>
        <v>VARIATION OF SOURCE: Changed column header CFw to VTMw to match title variable.</v>
      </c>
    </row>
    <row r="55" spans="1:7" ht="20.100000000000001" customHeight="1" x14ac:dyDescent="0.25">
      <c r="D55" s="1" t="str" cm="1">
        <f t="array" ref="D55">WasteSolid_SourceData.Waste_WasteVolumeToMassConversion_Variable()</f>
        <v>VTMw</v>
      </c>
    </row>
    <row r="56" spans="1:7" ht="20.100000000000001" customHeight="1" x14ac:dyDescent="0.25">
      <c r="D56" s="15" t="str" cm="1">
        <f t="array" ref="D56">WasteSolid_SourceData.Waste_WasteVolumeToMassConversion_Unit()</f>
        <v>t/m3</v>
      </c>
    </row>
    <row r="57" spans="1:7" ht="20.100000000000001" customHeight="1" x14ac:dyDescent="0.25">
      <c r="D57" s="30" t="s">
        <v>604</v>
      </c>
      <c r="E57" s="30" t="s">
        <v>607</v>
      </c>
    </row>
    <row r="58" spans="1:7" ht="20.100000000000001" customHeight="1" x14ac:dyDescent="0.25">
      <c r="D58" s="3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30"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D59" s="1" t="str" cm="1">
        <f t="array" ref="D59">Common_InputFunctions.Utility_DisplayArrayInTable(WasteSolid_SourceData.Waste_WasteVolumeToMassConversion_Data(), Table_SourceData_WasteSolid_VolumeToMassConversion[[#Headers],[Waste type w]], 0)</f>
        <v>Paper and cardboard</v>
      </c>
      <c r="E59" s="30"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D60" s="1" t="str" cm="1">
        <f t="array" ref="D60">Common_InputFunctions.Utility_DisplayArrayInTable(WasteSolid_SourceData.Waste_WasteVolumeToMassConversion_Data(), Table_SourceData_WasteSolid_VolumeToMassConversion[[#Headers],[Waste type w]], 0)</f>
        <v>Green waste (including crop residues or prunings)</v>
      </c>
      <c r="E60" s="30"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D61" s="1" t="str" cm="1">
        <f t="array" ref="D61">Common_InputFunctions.Utility_DisplayArrayInTable(WasteSolid_SourceData.Waste_WasteVolumeToMassConversion_Data(), Table_SourceData_WasteSolid_VolumeToMassConversion[[#Headers],[Waste type w]], 0)</f>
        <v>Wood</v>
      </c>
      <c r="E61" s="30"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D62" s="1" t="str" cm="1">
        <f t="array" ref="D62">Common_InputFunctions.Utility_DisplayArrayInTable(WasteSolid_SourceData.Waste_WasteVolumeToMassConversion_Data(), Table_SourceData_WasteSolid_VolumeToMassConversion[[#Headers],[Waste type w]], 0)</f>
        <v>Textiles</v>
      </c>
      <c r="E62" s="30"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D63" s="1" t="str" cm="1">
        <f t="array" ref="D63">Common_InputFunctions.Utility_DisplayArrayInTable(WasteSolid_SourceData.Waste_WasteVolumeToMassConversion_Data(), Table_SourceData_WasteSolid_VolumeToMassConversion[[#Headers],[Waste type w]], 0)</f>
        <v>Sludge</v>
      </c>
      <c r="E63" s="30"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D64" s="1" t="str" cm="1">
        <f t="array" ref="D64">Common_InputFunctions.Utility_DisplayArrayInTable(WasteSolid_SourceData.Waste_WasteVolumeToMassConversion_Data(), Table_SourceData_WasteSolid_VolumeToMassConversion[[#Headers],[Waste type w]], 0)</f>
        <v>Rubber and leather</v>
      </c>
      <c r="E64" s="30"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5">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30" cm="1">
        <f t="array" ref="E65">Common_InputFunctions.Utility_DisplayArrayInTable(WasteSolid_SourceData.Waste_WasteVolumeToMassConversion_Data(), Table_SourceData_WasteSolid_VolumeToMassConversion[[#Headers],[Waste type w]], 0)</f>
        <v>0.42</v>
      </c>
    </row>
    <row r="66" spans="4:5" ht="20.100000000000001"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30" cm="1">
        <f t="array" ref="E66">Common_InputFunctions.Utility_DisplayArrayInTable(WasteSolid_SourceData.Waste_WasteVolumeToMassConversion_Data(), Table_SourceData_WasteSolid_VolumeToMassConversion[[#Headers],[Waste type w]], 0)</f>
        <v>0.36</v>
      </c>
    </row>
    <row r="67" spans="4:5" ht="20.100000000000001"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30" cm="1">
        <f t="array" ref="E67">Common_InputFunctions.Utility_DisplayArrayInTable(WasteSolid_SourceData.Waste_WasteVolumeToMassConversion_Data(), Table_SourceData_WasteSolid_VolumeToMassConversion[[#Headers],[Waste type w]], 0)</f>
        <v>0.33</v>
      </c>
    </row>
    <row r="68" spans="4:5" ht="20.100000000000001"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30" cm="1">
        <f t="array" ref="E68">Common_InputFunctions.Utility_DisplayArrayInTable(WasteSolid_SourceData.Waste_WasteVolumeToMassConversion_Data(), Table_SourceData_WasteSolid_VolumeToMassConversion[[#Headers],[Waste type w]], 0)</f>
        <v>0.39</v>
      </c>
    </row>
    <row r="69" spans="4:5" ht="20.100000000000001" customHeight="1" x14ac:dyDescent="0.25"/>
    <row r="70" spans="4:5" ht="20.100000000000001" customHeight="1" x14ac:dyDescent="0.25"/>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E5273-A670-4985-A5CD-88756B211501}">
  <dimension ref="A1:AV50"/>
  <sheetViews>
    <sheetView showGridLines="0" workbookViewId="0" zoomScale="100" zoomScaleNormal="100">
      <selection activeCell="A50" sqref="A50"/>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16" t="e" vm="1">
        <v>#VALUE!</v>
      </c>
      <c r="C1" s="255" t="s">
        <v>934</v>
      </c>
      <c r="D1" s="256"/>
      <c r="E1" s="256"/>
      <c r="F1" s="256"/>
      <c r="G1" s="256"/>
      <c r="H1" s="256"/>
      <c r="I1" s="256"/>
      <c r="J1" s="256"/>
      <c r="K1" s="256"/>
      <c r="L1" s="256"/>
      <c r="M1" s="256"/>
      <c r="N1" s="256"/>
      <c r="O1" s="256"/>
      <c r="P1" s="256"/>
      <c r="Q1" s="256"/>
      <c r="R1" s="256"/>
      <c r="S1" s="256"/>
      <c r="T1" s="256"/>
      <c r="U1" s="256"/>
      <c r="V1" s="256"/>
      <c r="W1" s="256"/>
      <c r="X1" s="256"/>
      <c r="Y1" s="256"/>
      <c r="Z1" s="256"/>
      <c r="AA1" s="256"/>
      <c r="AB1" s="256"/>
      <c r="AC1" s="256"/>
      <c r="AD1" s="256"/>
      <c r="AE1" s="256"/>
      <c r="AF1" s="256"/>
      <c r="AG1" s="256"/>
      <c r="AH1" s="256"/>
      <c r="AI1" s="256"/>
      <c r="AJ1" s="256"/>
      <c r="AK1" s="256"/>
      <c r="AL1" s="256"/>
      <c r="AM1" s="256"/>
      <c r="AN1" s="256"/>
      <c r="AO1" s="256"/>
    </row>
    <row r="2" spans="1:42" ht="20.100000000000001" customHeight="1" x14ac:dyDescent="0.25">
      <c r="C2" s="256"/>
      <c r="D2" s="256"/>
      <c r="E2" s="256"/>
      <c r="F2" s="256"/>
      <c r="G2" s="256"/>
      <c r="H2" s="256"/>
      <c r="I2" s="256"/>
      <c r="J2" s="256"/>
      <c r="K2" s="256"/>
      <c r="L2" s="256"/>
      <c r="M2" s="256"/>
      <c r="N2" s="256"/>
      <c r="O2" s="256"/>
      <c r="P2" s="256"/>
      <c r="Q2" s="256"/>
      <c r="R2" s="256"/>
      <c r="S2" s="256"/>
      <c r="T2" s="256"/>
      <c r="U2" s="256"/>
      <c r="V2" s="256"/>
      <c r="W2" s="256"/>
      <c r="X2" s="256"/>
      <c r="Y2" s="256"/>
      <c r="Z2" s="256"/>
      <c r="AA2" s="256"/>
      <c r="AB2" s="256"/>
      <c r="AC2" s="256"/>
      <c r="AD2" s="256"/>
      <c r="AE2" s="256"/>
      <c r="AF2" s="256"/>
      <c r="AG2" s="256"/>
      <c r="AH2" s="256"/>
      <c r="AI2" s="256"/>
      <c r="AJ2" s="256"/>
      <c r="AK2" s="256"/>
      <c r="AL2" s="256"/>
      <c r="AM2" s="256"/>
      <c r="AN2" s="256"/>
      <c r="AO2" s="256"/>
      <c r="AP2" s="257"/>
    </row>
    <row r="3" spans="1:42" ht="20.100000000000001" customHeight="1" x14ac:dyDescent="0.25">
      <c r="A3" s="5" t="str">
        <f>HYPERLINK("#'Home'!A1", "Home")</f>
        <v>Home</v>
      </c>
      <c r="C3" s="258"/>
      <c r="D3" s="258"/>
      <c r="E3" s="258"/>
      <c r="F3" s="258"/>
      <c r="G3" s="258"/>
      <c r="H3" s="258"/>
      <c r="I3" s="258"/>
      <c r="J3" s="258"/>
      <c r="K3" s="258"/>
      <c r="L3" s="258"/>
      <c r="M3" s="258"/>
      <c r="N3" s="258"/>
      <c r="O3" s="258"/>
      <c r="P3" s="258"/>
      <c r="Q3" s="258"/>
      <c r="R3" s="258"/>
      <c r="S3" s="258"/>
      <c r="T3" s="258"/>
      <c r="U3" s="258"/>
      <c r="V3" s="258"/>
      <c r="W3" s="258"/>
      <c r="X3" s="258"/>
      <c r="Y3" s="258"/>
      <c r="Z3" s="258"/>
      <c r="AA3" s="258"/>
      <c r="AB3" s="258"/>
      <c r="AC3" s="258"/>
      <c r="AD3" s="258"/>
      <c r="AE3" s="258"/>
      <c r="AF3" s="258"/>
      <c r="AG3" s="258"/>
      <c r="AH3" s="258"/>
      <c r="AI3" s="258"/>
      <c r="AJ3" s="258"/>
      <c r="AK3" s="258"/>
      <c r="AL3" s="258"/>
      <c r="AM3" s="258"/>
      <c r="AN3" s="258"/>
      <c r="AO3" s="258"/>
    </row>
    <row r="4" spans="1:42" ht="20.100000000000001" customHeight="1" x14ac:dyDescent="0.25">
      <c r="A4" s="259" t="str">
        <f>HYPERLINK("#'Overview'!A1", "Overview")</f>
        <v>Overview</v>
      </c>
    </row>
    <row r="5" spans="1:42" ht="20.100000000000001" customHeight="1" x14ac:dyDescent="0.25">
      <c r="A5" s="5" t="str">
        <f>HYPERLINK("#'Results'!A1", "Results")</f>
        <v>Results</v>
      </c>
      <c r="D5" s="94" t="s">
        <v>935</v>
      </c>
      <c r="E5" s="54"/>
      <c r="F5" s="54"/>
      <c r="G5" s="54"/>
      <c r="H5" s="54"/>
      <c r="I5" s="54"/>
      <c r="J5" s="54"/>
      <c r="K5" s="54"/>
      <c r="L5" s="54"/>
      <c r="M5" s="54"/>
      <c r="N5" s="54"/>
      <c r="O5" s="55"/>
    </row>
    <row r="6" spans="1:42" ht="20.100000000000001" customHeight="1" x14ac:dyDescent="0.25">
      <c r="D6" s="260" t="s">
        <v>936</v>
      </c>
      <c r="E6" s="57"/>
      <c r="F6" s="57"/>
      <c r="G6" s="57"/>
      <c r="H6" s="57"/>
      <c r="I6" s="57"/>
      <c r="J6" s="57"/>
      <c r="K6" s="57"/>
      <c r="L6" s="57"/>
      <c r="M6" s="57"/>
      <c r="N6" s="57"/>
      <c r="O6" s="58"/>
    </row>
    <row r="7" spans="1:42" ht="20.100000000000001" customHeight="1" x14ac:dyDescent="0.25"/>
    <row r="8" spans="1:42" ht="20.100000000000001" customHeight="1" x14ac:dyDescent="0.25">
      <c r="A8" s="7" t="s">
        <v>0</v>
      </c>
    </row>
    <row r="9" spans="1:42" ht="20.100000000000001" customHeight="1" x14ac:dyDescent="0.25">
      <c r="A9" s="5" t="str">
        <f>HYPERLINK("#'Input - Enterprise'!A1", "Enterprise")</f>
        <v>Enterprise</v>
      </c>
    </row>
    <row r="10" spans="1:42" ht="20.100000000000001" customHeight="1" x14ac:dyDescent="0.25">
      <c r="A10" s="5" t="str">
        <f>HYPERLINK("#'Input - Site'!A1", "Site")</f>
        <v>Site</v>
      </c>
    </row>
    <row r="11" spans="1:42" ht="20.100000000000001" customHeight="1" x14ac:dyDescent="0.25">
      <c r="A11" s="5" t="str">
        <f>HYPERLINK("#'Input - Crop'!A1", "Crop")</f>
        <v>Crop</v>
      </c>
    </row>
    <row r="12" spans="1:42" ht="20.100000000000001" customHeight="1" x14ac:dyDescent="0.25">
      <c r="A12" s="5" t="str">
        <f>HYPERLINK("#'Input - Fert Prod System'!A1", "Fert Prod System")</f>
        <v>Fert Prod System</v>
      </c>
    </row>
    <row r="13" spans="1:42" ht="20.100000000000001" customHeight="1" x14ac:dyDescent="0.25">
      <c r="A13" s="5" t="str">
        <f>HYPERLINK("#'Input - Fertiliser'!A1", "Fertiliser")</f>
        <v>Fertiliser</v>
      </c>
    </row>
    <row r="14" spans="1:42" ht="20.100000000000001" customHeight="1" x14ac:dyDescent="0.25">
      <c r="A14" s="5" t="str">
        <f>HYPERLINK("#'Input - Fuel'!A1", "Fuel")</f>
        <v>Fuel</v>
      </c>
    </row>
    <row r="15" spans="1:42" ht="20.100000000000001" customHeight="1" x14ac:dyDescent="0.25">
      <c r="A15" s="5" t="str">
        <f>HYPERLINK("#'Input - Electricity'!A1", "Electricity")</f>
        <v>Electricity</v>
      </c>
    </row>
    <row r="16" spans="1:42" ht="20.100000000000001" customHeight="1" x14ac:dyDescent="0.25">
      <c r="A16" s="5" t="str">
        <f>HYPERLINK("#'Input - Common farm inputs'!A1", "Common farm inputs")</f>
        <v>Common farm inputs</v>
      </c>
    </row>
    <row r="17" spans="1:1" ht="20.100000000000001" customHeight="1" x14ac:dyDescent="0.25">
      <c r="A17" s="5" t="str">
        <f>HYPERLINK("#'Input - Crop pasture farm input'!A1", "Crop pasture farm input")</f>
        <v>Crop pasture farm input</v>
      </c>
    </row>
    <row r="18" spans="1:1" ht="20.100000000000001" customHeight="1" x14ac:dyDescent="0.25">
      <c r="A18" s="5" t="str">
        <f>HYPERLINK("#'Input - Freight'!A1", "Freight")</f>
        <v>Freight</v>
      </c>
    </row>
    <row r="19" spans="1:1" ht="20.100000000000001" customHeight="1" x14ac:dyDescent="0.25">
      <c r="A19" s="5" t="str">
        <f>HYPERLINK("#'Input - Manure sent off-site'!A1", "Manure sent off-site")</f>
        <v>Manure sent off-site</v>
      </c>
    </row>
    <row r="20" spans="1:1" ht="20.100000000000001" customHeight="1" x14ac:dyDescent="0.25">
      <c r="A20" s="5" t="str">
        <f>HYPERLINK("#'Input - Solid waste'!A1", "Solid waste")</f>
        <v>Solid waste</v>
      </c>
    </row>
    <row r="21" spans="1:1" ht="20.100000000000001" customHeight="1" x14ac:dyDescent="0.25">
      <c r="A21" s="5" t="str">
        <f>HYPERLINK("#'Input - Data quality'!A1", "Data quality")</f>
        <v>Data quality</v>
      </c>
    </row>
    <row r="22" spans="1:1" ht="20.100000000000001" customHeight="1" x14ac:dyDescent="0.25"/>
    <row r="23" spans="1:1" ht="20.100000000000001" customHeight="1" x14ac:dyDescent="0.25"/>
    <row r="24" spans="1:1" ht="20.100000000000001" customHeight="1" x14ac:dyDescent="0.25">
      <c r="A24" s="6" t="s">
        <v>2</v>
      </c>
    </row>
    <row r="25" spans="1:1" ht="20.100000000000001" customHeight="1" x14ac:dyDescent="0.25">
      <c r="A25" s="5" t="str">
        <f>HYPERLINK("#'5.1.1.1-2 Inorganic fert N2O'!A1", "5.1.1.1-2 Inorganic fert N2O")</f>
        <v>5.1.1.1-2 Inorganic fert N2O</v>
      </c>
    </row>
    <row r="26" spans="1:1" ht="20.100000000000001" customHeight="1" x14ac:dyDescent="0.25">
      <c r="A26" s="5" t="str">
        <f>HYPERLINK("#'5.1.1.3-4 Inorganic fert CO2'!A1", "5.1.1.3-4 Inorganic fert CO2")</f>
        <v>5.1.1.3-4 Inorganic fert CO2</v>
      </c>
    </row>
    <row r="27" spans="1:1" ht="20.100000000000001" customHeight="1" x14ac:dyDescent="0.25">
      <c r="A27" s="5" t="str">
        <f>HYPERLINK("#'5.2.1.1-2 Organic Fert N2O'!A1", "5.2.1.1-2 Organic fert N2O")</f>
        <v>5.2.1.1-2 Organic fert N2O</v>
      </c>
    </row>
    <row r="28" spans="1:1" ht="20.100000000000001" customHeight="1" x14ac:dyDescent="0.25">
      <c r="A28" s="5" t="str">
        <f>HYPERLINK("#'5.3.1.1-2 Lime CO2'!A1", "5.3.1.1-2 Lime CO2")</f>
        <v>5.3.1.1-2 Lime CO2</v>
      </c>
    </row>
    <row r="29" spans="1:1" ht="20.100000000000001" customHeight="1" x14ac:dyDescent="0.25">
      <c r="A29" s="5" t="str">
        <f>HYPERLINK("#'5.4.1.1-4 Atmos deposition'!A1", "5.4.1.1-4 Atmos. deposition")</f>
        <v>5.4.1.1-4 Atmos. deposition</v>
      </c>
    </row>
    <row r="30" spans="1:1" ht="20.100000000000001" customHeight="1" x14ac:dyDescent="0.25">
      <c r="A30" s="5" t="str">
        <f>HYPERLINK("#'5.5.1.1-2 Leaching and runoff'!A1", "5.5.1.1-2 Leaching &amp; runoff")</f>
        <v>5.5.1.1-2 Leaching &amp; runoff</v>
      </c>
    </row>
    <row r="31" spans="1:1" ht="20.100000000000001" customHeight="1" x14ac:dyDescent="0.25">
      <c r="A31" s="5" t="str">
        <f>HYPERLINK("#'6.1.1.1-2 Crop residue N2O'!A1", "6.1.1.1-2 Crop residue N2O")</f>
        <v>6.1.1.1-2 Crop residue N2O</v>
      </c>
    </row>
    <row r="32" spans="1:1" ht="20.100000000000001" customHeight="1" x14ac:dyDescent="0.25">
      <c r="A32" s="5" t="str">
        <f>HYPERLINK("#'6.3.1.1-2 Leach runoff crop'!A1", "6.3.1.1-2 Leach &amp; runoff (crop)")</f>
        <v>6.3.1.1-2 Leach &amp; runoff (crop)</v>
      </c>
    </row>
    <row r="33" spans="1:48" ht="20.100000000000001" customHeight="1" x14ac:dyDescent="0.25">
      <c r="A33" s="5" t="str">
        <f>HYPERLINK("#'6.4.1.1-2 Residue burning'!A1", "6.4.1.1-2 Residue burning")</f>
        <v>6.4.1.1-2 Residue burning</v>
      </c>
    </row>
    <row r="34" spans="1:48" ht="20.100000000000001" customHeight="1" x14ac:dyDescent="0.25">
      <c r="A34" s="5" t="str">
        <f>HYPERLINK("#'8.1.1.1-2 Transport fuel'!A1", "8.1.1.1-2 Transport fuel")</f>
        <v>8.1.1.1-2 Transport fuel</v>
      </c>
    </row>
    <row r="35" spans="1:48" ht="20.100000000000001" customHeight="1" x14ac:dyDescent="0.25">
      <c r="A35" s="5" t="str">
        <f>HYPERLINK("#'8.2.1.1-2 Stationary fuel'!A1", "8.2.1.1-2 Stationary fuel")</f>
        <v>8.2.1.1-2 Stationary fuel</v>
      </c>
    </row>
    <row r="36" spans="1:48" ht="20.100000000000001" customHeight="1" x14ac:dyDescent="0.25">
      <c r="A36" s="5" t="str">
        <f>HYPERLINK("#'14.1.1-2 Purchased electricity'!A1", "14.1.1-2 Purchased electricity")</f>
        <v>14.1.1-2 Purchased electricity</v>
      </c>
    </row>
    <row r="37" spans="1:48" ht="20.100000000000001" customHeight="1" x14ac:dyDescent="0.25">
      <c r="A37" s="5" t="str">
        <f>HYPERLINK("#'15 Scope 3'!A1", "15 Scope 3")</f>
        <v>15 Scope 3</v>
      </c>
      <c r="L37" s="1" t="s">
        <v>937</v>
      </c>
    </row>
    <row r="38" spans="1:48" ht="20.100000000000001" customHeight="1" x14ac:dyDescent="0.25">
      <c r="A38" s="5" t="str">
        <f>HYPERLINK("#'Calcs - Manure sent off-site'!A1", "Calcs - Manure sent off-site")</f>
        <v>Calcs - Manure sent off-site</v>
      </c>
    </row>
    <row r="39" spans="1:48" ht="20.100000000000001" customHeight="1" x14ac:dyDescent="0.25">
      <c r="A39" s="5" t="str">
        <f>HYPERLINK("#'10.1.1-2 Solid waste treatment'!A1", "10.1.1-2 Solid waste treatment")</f>
        <v>10.1.1-2 Solid waste treatment</v>
      </c>
    </row>
    <row r="40" spans="1:48" ht="20.100000000000001" customHeight="1" x14ac:dyDescent="0.25"/>
    <row r="41" spans="1:48" ht="20.100000000000001" customHeight="1" x14ac:dyDescent="0.25"/>
    <row r="42" spans="1:48" ht="20.100000000000001" customHeight="1" x14ac:dyDescent="0.25">
      <c r="A42" s="108" t="s">
        <v>1</v>
      </c>
    </row>
    <row r="43" spans="1:48" x14ac:dyDescent="0.25">
      <c r="A43" s="5" t="str">
        <f>HYPERLINK("#'Constants - Ag Residue'!A1", "Constants - Ag residue")</f>
        <v>Constants - Ag residue</v>
      </c>
    </row>
    <row r="44" spans="1:48" x14ac:dyDescent="0.25">
      <c r="A44" s="5" t="str">
        <f>HYPERLINK("#'Constants - Common Livestock'!A1", "Constants - Common Livestock")</f>
        <v>Constants - Common Livestock</v>
      </c>
    </row>
    <row r="45" spans="1:48" x14ac:dyDescent="0.25">
      <c r="A45" s="5" t="str">
        <f>HYPERLINK("#'Constants - Electricity'!A1", "Constants - Electricity")</f>
        <v>Constants - Electricity</v>
      </c>
      <c r="AV45" t="s">
        <v>938</v>
      </c>
    </row>
    <row r="46" spans="1:48" x14ac:dyDescent="0.25">
      <c r="A46" s="5" t="str">
        <f>HYPERLINK("#'Constants - Fertiliser'!A1", "Constants - Fertiliser")</f>
        <v>Constants - Fertiliser</v>
      </c>
    </row>
    <row r="47" spans="1:48" x14ac:dyDescent="0.25">
      <c r="A47" s="5" t="str">
        <f>HYPERLINK("#'Constants - Fuel'!A1", "Constants - Fuel")</f>
        <v>Constants - Fuel</v>
      </c>
    </row>
    <row r="48" spans="1:48" x14ac:dyDescent="0.25">
      <c r="A48" s="5" t="str">
        <f>HYPERLINK("#'Constants - Scope 3'!A1", "Constants - Scope 3")</f>
        <v>Constants - Scope 3</v>
      </c>
    </row>
    <row r="49" spans="1:1" x14ac:dyDescent="0.25">
      <c r="A49" s="5" t="str">
        <f>HYPERLINK("#'Constants - Common'!A1", "Constants - Common")</f>
        <v>Constants - Common</v>
      </c>
    </row>
    <row r="50" spans="1:1" x14ac:dyDescent="0.25">
      <c r="A50" s="5" t="str">
        <f>HYPERLINK("#'Constants - Solid Waste'!A1", "Constants - Solid Waste")</f>
        <v>Constants - Solid Waste</v>
      </c>
    </row>
  </sheetData>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A6CAE-AEA5-40D0-AB61-E3C60BCDF82A}">
  <sheetPr>
    <tabColor rgb="FFCC6600"/>
  </sheetPr>
  <dimension ref="A1:M50"/>
  <sheetViews>
    <sheetView showGridLines="0" tabSelected="1" workbookViewId="0" zoomScale="100" zoomScaleNormal="100">
      <selection activeCell="A49" sqref="A49"/>
    </sheetView>
  </sheetViews>
  <sheetFormatPr defaultRowHeight="15.75" x14ac:dyDescent="0.25"/>
  <cols>
    <col min="1" max="1" width="30.7109375" customWidth="1"/>
    <col min="2" max="2" width="4.7109375" customWidth="1"/>
    <col min="3" max="3" width="4.7109375" style="1" customWidth="1"/>
    <col min="4" max="4" width="49" style="1" customWidth="1"/>
    <col min="5" max="7" width="30.7109375" style="1" customWidth="1"/>
    <col min="8" max="8" width="101.28515625" style="1" customWidth="1"/>
    <col min="9" max="9" width="74.5703125" style="1" customWidth="1"/>
    <col min="10" max="13" width="30.7109375" style="1" customWidth="1"/>
    <col min="14" max="14" width="30.7109375" customWidth="1"/>
  </cols>
  <sheetData>
    <row r="1" spans="1:13" s="16" customFormat="1" ht="25.5" x14ac:dyDescent="0.35">
      <c r="C1" s="16" t="s">
        <v>188</v>
      </c>
    </row>
    <row r="2" spans="1:13" s="3" customFormat="1" x14ac:dyDescent="0.25">
      <c r="A2"/>
    </row>
    <row r="3" spans="1:13" ht="20.25" x14ac:dyDescent="0.25">
      <c r="A3" s="5" t="str">
        <f>HYPERLINK("#'Home'!A1", "Home")</f>
        <v>Home</v>
      </c>
      <c r="C3" s="39"/>
      <c r="D3" s="39"/>
      <c r="E3" s="39"/>
      <c r="F3" s="39"/>
      <c r="G3" s="39"/>
      <c r="H3" s="39"/>
      <c r="I3" s="39"/>
      <c r="J3" s="39"/>
      <c r="K3" s="39"/>
      <c r="L3" s="39"/>
      <c r="M3" s="39"/>
    </row>
    <row r="4" spans="1:13" x14ac:dyDescent="0.25">
      <c r="A4" s="5" t="str">
        <f>HYPERLINK("#'Overview'!A1", "Overview")</f>
        <v>Overview</v>
      </c>
    </row>
    <row r="5" spans="1:13" x14ac:dyDescent="0.25">
      <c r="A5" s="5" t="str">
        <f>HYPERLINK("#'Results'!A1", "Results")</f>
        <v>Results</v>
      </c>
    </row>
    <row r="6" spans="1:13" x14ac:dyDescent="0.25">
      <c r="D6" s="92" t="s">
        <v>189</v>
      </c>
      <c r="E6" s="92" t="s">
        <v>190</v>
      </c>
      <c r="F6" s="92" t="s">
        <v>191</v>
      </c>
      <c r="G6" s="92" t="s">
        <v>192</v>
      </c>
      <c r="H6" s="92" t="s">
        <v>193</v>
      </c>
      <c r="I6" s="92" t="s">
        <v>194</v>
      </c>
      <c r="J6" s="92" t="s">
        <v>195</v>
      </c>
    </row>
    <row r="7" spans="1:13" x14ac:dyDescent="0.25">
      <c r="D7" s="93" t="s">
        <v>196</v>
      </c>
      <c r="E7" s="23" t="s">
        <v>197</v>
      </c>
      <c r="F7" s="23" t="s">
        <v>198</v>
      </c>
      <c r="G7" s="23" t="s">
        <v>199</v>
      </c>
      <c r="H7" s="93"/>
      <c r="I7" s="93"/>
      <c r="J7" s="25"/>
    </row>
    <row r="8" spans="1:13" x14ac:dyDescent="0.25">
      <c r="A8" s="7" t="s">
        <v>0</v>
      </c>
    </row>
    <row r="9" spans="1:13" x14ac:dyDescent="0.25">
      <c r="A9" s="5" t="str">
        <f>HYPERLINK("#'Input - Enterprise'!A1", "Enterprise")</f>
        <v>Enterprise</v>
      </c>
    </row>
    <row r="10" spans="1:13" x14ac:dyDescent="0.25">
      <c r="A10" s="5" t="str">
        <f>HYPERLINK("#'Input - Site'!A1", "Site")</f>
        <v>Site</v>
      </c>
    </row>
    <row r="11" spans="1:13" x14ac:dyDescent="0.25">
      <c r="A11" s="5" t="str">
        <f>HYPERLINK("#'Input - Crop'!A1", "Crop")</f>
        <v>Crop</v>
      </c>
    </row>
    <row r="12" spans="1:13" x14ac:dyDescent="0.25">
      <c r="A12" s="5" t="str">
        <f>HYPERLINK("#'Input - Fert Prod System'!A1", "Fert Prod System")</f>
        <v>Fert Prod System</v>
      </c>
    </row>
    <row r="13" spans="1:13" x14ac:dyDescent="0.25">
      <c r="A13" s="5" t="str">
        <f>HYPERLINK("#'Input - Fertiliser'!A1", "Fertiliser")</f>
        <v>Fertiliser</v>
      </c>
    </row>
    <row r="14" spans="1:13" x14ac:dyDescent="0.25">
      <c r="A14" s="5" t="str">
        <f>HYPERLINK("#'Input - Fuel'!A1", "Fuel")</f>
        <v>Fuel</v>
      </c>
    </row>
    <row r="15" spans="1:13" x14ac:dyDescent="0.25">
      <c r="A15" s="5" t="str">
        <f>HYPERLINK("#'Input - Electricity'!A1", "Electricity")</f>
        <v>Electricity</v>
      </c>
    </row>
    <row r="16" spans="1:13" x14ac:dyDescent="0.25">
      <c r="A16" s="5" t="str">
        <f>HYPERLINK("#'Input - Common farm inputs'!A1", "Common farm inputs")</f>
        <v>Common farm inputs</v>
      </c>
    </row>
    <row r="17" spans="1:1" x14ac:dyDescent="0.25">
      <c r="A17" s="5" t="str">
        <f>HYPERLINK("#'Input - Crop pasture farm input'!A1", "Crop pasture farm input")</f>
        <v>Crop pasture farm input</v>
      </c>
    </row>
    <row r="18" spans="1:1" x14ac:dyDescent="0.25">
      <c r="A18" s="5" t="str">
        <f>HYPERLINK("#'Input - Freight'!A1", "Freight")</f>
        <v>Freight</v>
      </c>
    </row>
    <row r="19" spans="1:1" x14ac:dyDescent="0.25">
      <c r="A19" s="5" t="str">
        <f>HYPERLINK("#'Input - Manure sent off-site'!A1", "Manure sent off-site")</f>
        <v>Manure sent off-site</v>
      </c>
    </row>
    <row r="20" spans="1:1" x14ac:dyDescent="0.25">
      <c r="A20" s="5" t="str">
        <f>HYPERLINK("#'Input - Solid waste'!A1", "Solid waste")</f>
        <v>Solid waste</v>
      </c>
    </row>
    <row r="21" spans="1:1" x14ac:dyDescent="0.25">
      <c r="A21" s="99" t="str">
        <f>HYPERLINK("#'Input - Data quality'!A1", "Data quality")</f>
        <v>Data quality</v>
      </c>
    </row>
    <row r="24" spans="1:1" x14ac:dyDescent="0.25">
      <c r="A24" s="6" t="s">
        <v>2</v>
      </c>
    </row>
    <row r="25" spans="1:1" x14ac:dyDescent="0.25">
      <c r="A25" s="5" t="str">
        <f>HYPERLINK("#'5.1.1.1-2 Inorganic fert N2O'!A1", "5.1.1.1-2 Inorganic fert N2O")</f>
        <v>5.1.1.1-2 Inorganic fert N2O</v>
      </c>
    </row>
    <row r="26" spans="1:1" x14ac:dyDescent="0.25">
      <c r="A26" s="5" t="str">
        <f>HYPERLINK("#'5.1.1.3-4 Inorganic fert CO2'!A1", "5.1.1.3-4 Inorganic fert CO2")</f>
        <v>5.1.1.3-4 Inorganic fert CO2</v>
      </c>
    </row>
    <row r="27" spans="1:1" x14ac:dyDescent="0.25">
      <c r="A27" s="5" t="str">
        <f>HYPERLINK("#'5.2.1.1-2 Organic Fert N2O'!A1", "5.2.1.1-2 Organic fert N2O")</f>
        <v>5.2.1.1-2 Organic fert N2O</v>
      </c>
    </row>
    <row r="28" spans="1:1" x14ac:dyDescent="0.25">
      <c r="A28" s="5" t="str">
        <f>HYPERLINK("#'5.3.1.1-2 Lime CO2'!A1", "5.3.1.1-2 Lime CO2")</f>
        <v>5.3.1.1-2 Lime CO2</v>
      </c>
    </row>
    <row r="29" spans="1:1" x14ac:dyDescent="0.25">
      <c r="A29" s="5" t="str">
        <f>HYPERLINK("#'5.4.1.1-4 Atmos deposition'!A1", "5.4.1.1-4 Atmos. deposition")</f>
        <v>5.4.1.1-4 Atmos. deposition</v>
      </c>
    </row>
    <row r="30" spans="1:1" x14ac:dyDescent="0.25">
      <c r="A30" s="5" t="str">
        <f>HYPERLINK("#'5.5.1.1-2 Leaching and runoff'!A1", "5.5.1.1-2 Leaching &amp; runoff")</f>
        <v>5.5.1.1-2 Leaching &amp; runoff</v>
      </c>
    </row>
    <row r="31" spans="1:1" x14ac:dyDescent="0.25">
      <c r="A31" s="5" t="str">
        <f>HYPERLINK("#'6.1.1.1-2 Crop residue N2O'!A1", "6.1.1.1-2 Crop residue N2O")</f>
        <v>6.1.1.1-2 Crop residue N2O</v>
      </c>
    </row>
    <row r="32" spans="1:1" x14ac:dyDescent="0.25">
      <c r="A32" s="5" t="str">
        <f>HYPERLINK("#'6.3.1.1-2 Leach runoff crop'!A1", "6.3.1.1-2 Leach &amp; runoff (crop)")</f>
        <v>6.3.1.1-2 Leach &amp; runoff (crop)</v>
      </c>
    </row>
    <row r="33" spans="1:1" x14ac:dyDescent="0.25">
      <c r="A33" s="5" t="str">
        <f>HYPERLINK("#'6.4.1.1-2 Residue burning'!A1", "6.4.1.1-2 Residue burning")</f>
        <v>6.4.1.1-2 Residue burning</v>
      </c>
    </row>
    <row r="34" spans="1:1" x14ac:dyDescent="0.25">
      <c r="A34" s="5" t="str">
        <f>HYPERLINK("#'8.1.1.1-2 Transport fuel'!A1", "8.1.1.1-2 Transport fuel")</f>
        <v>8.1.1.1-2 Transport fuel</v>
      </c>
    </row>
    <row r="35" spans="1:1" x14ac:dyDescent="0.25">
      <c r="A35" s="5" t="str">
        <f>HYPERLINK("#'8.2.1.1-2 Stationary fuel'!A1", "8.2.1.1-2 Stationary fuel")</f>
        <v>8.2.1.1-2 Stationary fuel</v>
      </c>
    </row>
    <row r="36" spans="1:1" x14ac:dyDescent="0.25">
      <c r="A36" s="5" t="str">
        <f>HYPERLINK("#'14.1.1-2 Purchased electricity'!A1", "14.1.1-2 Purchased electricity")</f>
        <v>14.1.1-2 Purchased electricity</v>
      </c>
    </row>
    <row r="37" spans="1:1" x14ac:dyDescent="0.25">
      <c r="A37" s="5" t="str">
        <f>HYPERLINK("#'15 Scope 3'!A1", "15 Scope 3")</f>
        <v>15 Scope 3</v>
      </c>
    </row>
    <row r="38" spans="1:1" x14ac:dyDescent="0.25">
      <c r="A38" s="5" t="str">
        <f>HYPERLINK("#'Calcs - Manure sent off-site'!A1", "Calcs - Manure sent off-site")</f>
        <v>Calcs - Manure sent off-site</v>
      </c>
    </row>
    <row r="39" spans="1:1" x14ac:dyDescent="0.25">
      <c r="A39" s="5" t="str">
        <f>HYPERLINK("#'10.1.1-2 Solid waste treatment'!A1", "10.1.1-2 Solid waste treatment")</f>
        <v>10.1.1-2 Solid waste treatment</v>
      </c>
    </row>
    <row r="42" spans="1:1" x14ac:dyDescent="0.25">
      <c r="A42" s="108" t="s">
        <v>1</v>
      </c>
    </row>
    <row r="43" spans="1:1" x14ac:dyDescent="0.25">
      <c r="A43" s="5" t="str">
        <f>HYPERLINK("#'Constants - Ag Residue'!A1", "Constants - Ag residue")</f>
        <v>Constants - Ag residue</v>
      </c>
    </row>
    <row r="44" spans="1:1" x14ac:dyDescent="0.25">
      <c r="A44" s="5" t="str">
        <f>HYPERLINK("#'Constants - Common Livestock'!A1", "Constants - Common Livestock")</f>
        <v>Constants - Common Livestock</v>
      </c>
    </row>
    <row r="45" spans="1:1" x14ac:dyDescent="0.25">
      <c r="A45" s="5" t="str">
        <f>HYPERLINK("#'Constants - Electricity'!A1", "Constants - Electricity")</f>
        <v>Constants - Electricity</v>
      </c>
    </row>
    <row r="46" spans="1:1" x14ac:dyDescent="0.25">
      <c r="A46" s="5" t="str">
        <f>HYPERLINK("#'Constants - Fertiliser'!A1", "Constants - Fertiliser")</f>
        <v>Constants - Fertiliser</v>
      </c>
    </row>
    <row r="47" spans="1:1" x14ac:dyDescent="0.25">
      <c r="A47" s="5" t="str">
        <f>HYPERLINK("#'Constants - Fuel'!A1", "Constants - Fuel")</f>
        <v>Constants - Fuel</v>
      </c>
    </row>
    <row r="48" spans="1:1" x14ac:dyDescent="0.25">
      <c r="A48" s="5" t="str">
        <f>HYPERLINK("#'Constants - Scope 3'!A1", "Constants - Scope 3")</f>
        <v>Constants - Scope 3</v>
      </c>
    </row>
    <row r="49" spans="1:1" x14ac:dyDescent="0.25">
      <c r="A49" s="5" t="str">
        <f>HYPERLINK("#'Constants - Common'!A1", "Constants - Common")</f>
        <v>Constants - Common</v>
      </c>
    </row>
    <row r="50" spans="1:1" x14ac:dyDescent="0.25">
      <c r="A50" s="5" t="str">
        <f>HYPERLINK("#'Constants - Solid Waste'!A1", "Constants - Solid Waste")</f>
        <v>Constants - Solid Waste</v>
      </c>
    </row>
  </sheetData>
  <dataValidations count="3">
    <dataValidation type="list" allowBlank="1" showInputMessage="1" showErrorMessage="1" sqref="G7" xr:uid="{F5DB6B0E-A4BE-4024-A1FE-2B3644D3D3A1}">
      <formula1>INDIRECT("Table_SourceData_DataQuality_SampleSize[ID]")</formula1>
    </dataValidation>
    <dataValidation type="list" allowBlank="1" showInputMessage="1" showErrorMessage="1" sqref="F7" xr:uid="{4C22B631-2653-4CEE-A32C-4E4557CE416C}">
      <formula1>INDIRECT("Table_SourceData_DataQuality_SpatialRepresentativeness[ID]")</formula1>
    </dataValidation>
    <dataValidation type="list" allowBlank="1" showInputMessage="1" showErrorMessage="1" sqref="E7" xr:uid="{2AEE63C7-12BA-4F45-8758-06C0290C2218}">
      <formula1>INDIRECT("Table_SourceData_DataQuality_TemporalRepresentativeness[ID]")</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Mw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A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E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gBlAHIAdABpAGwAaQBzAGUAcgBfAFMAbwB1AHIAYwBlAEQAYQB0AGEAIgAsACIAdABlAHgAdAAiADoAIgAvACoAXABuAD0APQA9AD0APQA9AD0APQA9AD0APQA9AD0APQA9AD0APQA9AD0APQA9AD0APQA9AD0APQA9AD0APQA9AD0APQA9AD0APQA9AD0APQA9AD0APQA9AD0APQA9AD0APQA9AD0APQA9AD0APQA9AD0APQA9AD0APQA9AD0APQA9AD0APQA9AD0APQA9AD0APQA9AD0APQA9AD0AXABuAEYAZQByAHQAaQBsAGkAcwBlAHIAIABjAGgAZQBtAGkAYwBhAGwAIABjAG8AbQBwAG8AdQBuAGQAcwBcAG4APQA9AD0APQA9AD0APQA9AD0APQA9AD0APQA9AD0APQA9AD0APQA9AD0APQA9AD0APQA9AD0APQA9AD0APQA9AD0APQA9AD0APQA9AD0APQA9AD0APQA9AD0APQA9AD0APQA9AD0APQA9AD0APQA9AD0APQA9AD0APQA9AD0APQA9AD0APQA9AD0APQA9AD0APQA9AD0APQBcAG4AKgAvAFwAbgBcAG4ARgBlAHIAdABpAGwAaQBzAGUAcgBfAEMAaABlAG0AaQBjAGEAbABDAG8AbQBwAG8AdQBuAGQARQBsAGUAbQBlAG4AdABzAF8AVABpAHQAbABlAFwAbgA9AEwAQQBNAEIARABBACgAKABcACIAQwBvAG0AbQBvAG4AIABpAG4AbwByAGcAYQBuAGkAYwAgAGYAZQByAHQAaQBsAGkAcwBlAHIAcwBcACIAKQApADsAXABuAFwAbgBGAGUAcgB0AGkAbABpAHMAZQByAF8AQwBoAGUAbQBpAGMAYQBsAEMAbwBtAHAAbwB1AG4AZABFAGwAZQBtAGUAbgB0AHMAXwBTAG8AdQByAGMAZQBcAG4APQBMAEEATQBCAEQAQQAoACgAXAAiAFQAYQBiAGwAZQAgAEEALgAyAC4AMgAuADMAOgAgAEYAcgBhAGMAdABpAG8AbgAgAG8AZgAgAG4AaQB0AHIAbwBnAGUAbgAgAGkAbgAgAGMAbwBtAG0AbwBuACAAaQBuAG8AcgBnAGEAbgBpAGMAIABmAGUAcgB0AGkAbABpAHMAZQByAHMAIAAoAGsAZwBOAC8AawBnACkAIAAoAEYATgBvAHIAZwBhAG4AaQBjACwAZgApACAAQQBOAEQAIABUAGEAYgBsAGUAIABBAC4AMgAuADIALgA0ADoAIABGAHIAYQBjAHQAaQBvAG4AIABvAGYAIAB1AHIAZQBhACAAaQBuACAAYwBvAG0AbQBvAG4AIABpAG4AbwByAGcAYQBuAGkAYwAgAGYAZQByAHQAaQBsAGkAcwBlAHIAcwAgACgAawBnACAAdQByAGUAYQAvAGsAZwApACAAKABGAFUAZgApAFwAIgApACkAOwBcAG4AXABuAEYAZQByAHQAaQBsAGkAcwBlAHIAXwBDAGgAZQBtAGkAYwBhAGwAQwBvAG0AcABvAHUAbgBkAEUAbABlAG0AZQBuAHQAcwBfAEQAYQB0AGEAXABuAD0ATABBAE0AQgBEAEEAKABcAG4AIABNAEEASwBFAEEAUgBSAEEAWQAoADIAMAAsACAANgAsAFwAbgAgAEwAQQBNAEIARABBACgAcgAsAGMALABcAG4AIAAgAEkATgBEAEUAWAAoAHsAXABuACAAIABcACIARgBlAHIAdABpAGwAaQBzAGUAcgAgAFQAeQBwAGUAIABmAFwAIgAsACAAXAAiAEYATgBpAG4AbwByAGcAYQBuAGkAYwAsAGYAXAAiACwAIABcACIARgBVAGYAXAAiACwAIABcACIAQgBhAHMAaQBzAFwAIgAsACAAXAAiAEwAaQBmAGUAQwB5AGMAbABlAHMAIABTAGMAbwBwAGUAIAAzACAAZABlAGYAaQBuAGkAdABpAG8AbgBcACIALAAgAFwAIgBTAG8AdQByAGMAZQBcACIAOwBcAG4AIAAgAFwAIgBNAG8AbgBvAGEAbQBtAG8AbgBpAHUAbQAgAHAAaABvAHMAcABoAGEAdABlACAAKABNAEEAUAApAFwAIgAsACAAMAAuADEAMAAsACAAMAAsACAAXAAiAEEAbQBtAG8AbgBpAHUAbQAtAGIAYQBzAGUAZAAgAGYAZQByAHQAaQBsAGkAcwBlAHIAcwBcACIALAAgAFwAIgBNAG8AbgBvAGEAbQBtAG8AbgBpAHUAbQAgAHAAaABvAHMAcABoAGEAdABlACAAKABNAEEAUAApAFwAIgAsACAAXAAiAFYARQBFAFIARwBcACIAOwBcAG4AIAAgAFwAIgBEAGkAYQBtAG0AbwBuAGkAdQBtACAAcABoAG8AcwBwAGgAYQB0AGUAIAAoAEQAQQBQACkAXAAiACwAIAAwAC4AMQA4ACwAIAAwACwAIABcACIAQQBtAG0AbwBuAGkAdQBtAC0AYgBhAHMAZQBkACAAZgBlAHIAdABpAGwAaQBzAGUAcgBzAFwAIgAsACAAXAAiAEQAaQBhAG0AbQBvAG4AaQB1AG0AIABwAGgAbwBzAHAAaABhAHQAZQAgACgARABBAFAAKQBcACIALAAgAFwAIgBWAEUARQBSAEcAXAAiADsAXABuACAAIABcACIAVQByAGUAYQBcACIALAAgADAALgA0ADYALAAgADEALAAgAFwAIgBVAHIAZQBhAC0AYgBhAHMAZQBkACAAZgBlAHIAdABpAGwAaQBzAGUAcgBzAFwAIgAsACAAXAAiAFUAcgBlAGEAXAAiACwAIABcACIAVgBFAEUAUgBHAFwAIgA7AFwAbgAgACAAXAAiAFMAdQBsAHAAaABhAHQAZQAgAG8AZgAgAGEAbQBtAG8AbgBpAGEAIAAoAFMATwBBACkAXAAiACwAIAAwAC4AMgAxACwAIAAwACwAIABcACIAQQBtAG0AbwBuAGkAdQBtAC0AYgBhAHMAZQBkACAAZgBlAHIAdABpAGwAaQBzAGUAcgBzAFwAIgAsACAAXAAiAFMAdQBsAHAAaABhAHQAZQAgAG8AZgAgAGEAbQBtAG8AbgBpAGEAIAAoAFMATwBBACkAXAAiACwAIABcACIAVgBFAEUAUgBHAFwAIgA7AFwAbgAgACAAXAAiAFUAcgBlAGEALQBhAG0AbQBvAG4AaQB1AG0AIABuAGkAdAByAGEAdABlACAAKABVAEEATgApAFwAIgAsACAAMAAuADMAMgAsACAAMAAuADMANQAsACAAXAAiAFUAcgBlAGEALQBiAGEAcwBlAGQAIABmAGUAcgB0AGkAbABpAHMAZQByAHMAXAAiACwAIABcACIAVQByAGUAYQAtAGEAbQBtAG8AbgBpAHUAbQAgAG4AaQB0AHIAYQB0AGUAIAAoAFUAQQBOACkAXAAiACwAIABcACIAVgBFAEUAUgBHAFwAIgA7AFwAbgAgACAAXAAiAEEAbQBtAG8AbgBpAHUAbQAgAG4AaQB0AHIAYQB0AGUAIAAoAEEATgApAFwAIgAsACAAMAAuADMAMwA3ACwAIAAwACwAIABcACIAQQBtAG0AbwBuAGkAdQBtAC0AbgBpAHQAcgBhAHQAZQAgAGIAYQBzAGUAZAAgAGYAZQByAHQAaQBsAGkAcwBlAHIAcwBcACIALAAgAFwAIgBBAG0AbQBvAG4AaQB1AG0AIABuAGkAdAByAGEAdABlACAAKABBAE4AKQBcACIALAAgAFwAIgBWAEUARQBSAEcAXAAiADsAXABuACAAIABcACIAQwBhAGwAYwBpAHUAbQAgAGEAbQBtAG8AbgBpAHUAbQAgAG4AaQB0AHIAYQB0AGUAIAAoAEMAQQBOACkAXAAiACwAIAAwAC4AMgA3ACwAIAAwACwAIABcACIAQQBtAG0AbwBuAGkAdQBtAC0AbgBpAHQAcgBhAHQAZQAgAGIAYQBzAGUAZAAgAGYAZQByAHQAaQBsAGkAcwBlAHIAcwBcACIALAAgAFwAIgBDAGEAbABjAGkAdQBtACAAYQBtAG0AbwBuAGkAdQBtACAAbgBpAHQAcgBhAHQAZQAgACgAQwBBAE4AKQBcACIALAAgAFwAIgBWAEUARQBSAEcAXAAiADsAXABuACAAIABcACIATgBpAHQAcgBvAGcAZQBuACAALQAgAEEAbQBtAG8AbgBpAGEAYwBhAGwAXAAiACwAIAAxACwAIAAwACwAIABcACIAQQBtAG0AbwBuAGkAdQBtAC0AYgBhAHMAZQBkACAAZgBlAHIAdABpAGwAaQBzAGUAcgBzAFwAIgAsACAAXAAiAE4AaQB0AHIAbwBnAGUAbgAgAC0AIABBAG0AbQBvAG4AaQBhAGMAYQBsAFwAIgAsACAAXAAiAEwAaQBmAGUAQwB5AGMAbABlAHMAXAAiADsAXABuACAAIABcACIATgBpAHQAcgBvAGcAZQBuACAALQAgAE4AaQB0AHIAYQB0AGUAXAAiACwAIAAxACwAIAAwACwAIABcACIATgBpAHQAcgBhAHQAZQAtAGIAYQBzAGUAZAAgAGYAZQByAHQAaQBsAGkAcwBlAHIAcwBcACIALAAgAFwAIgBOAGkAdAByAG8AZwBlAG4AIABmAHIAbwBtACAATgBpAHQAcgBhAHQAZQBcACIALAAgAFwAIgBMAGkAZgBlAEMAeQBjAGwAZQBzAFwAIgA7AFwAbgAgACAAXAAiAE4AaQB0AHIAbwBnAGUAbgAgAC0AIABHAGUAbgBlAHIAaQBjAFwAIgAsACAAMQAsACAAMAAsACAAXAAiAFUAcgBlAGEALQBiAGEAcwBlAGQAIABmAGUAcgB0AGkAbABpAHMAZQByAHMAXAAiACwAIABcACIATgBpAHQAcgBvAGcAZQBuACAAZgByAG8AbQAgAGYAZQByAHQAaQBsAGkAcwBlAHIAXAAiACwAIABcACIATABpAGYAZQBDAHkAYwBsAGUAcwBcACIAOwBcAG4AIAAgAFwAIgBQAGgAbwBzAHAAaABvAHIAdQBzACAALQAgAEcAZQBuAGUAcgBpAGMAXAAiACwAIAAwACwAIAAwACwAIABcACIATwB0AGgAZQByACAAZgBlAHIAdABpAGwAaQBzAGUAcgBzAFwAIgAsACAAXAAiAFAAaABvAHMAcABoAG8AcgB1AHMAIABmAHIAbwBtACAAZgBlAHIAdABpAGwAaQBzAGUAcgBcACIALAAgAFwAIgBMAGkAZgBlAEMAeQBjAGwAZQBzAFwAIgA7AFwAbgAgACAAXAAiAFAAbwB0AGEAcwBzAGkAdQBtACAALQAgAEcAZQBuAGUAcgBpAGMAXAAiACwAIAAwACwAIAAwACwAIABcACIATwB0AGgAZQByACAAZgBlAHIAdABpAGwAaQBzAGUAcgBzAFwAIgAsACAAXAAiAFAAbwB0AGEAcwBzAGkAdQBtACAAZgByAG8AbQAgAGYAZQByAHQAaQBsAGkAcwBlAHIAXAAiACwAIABcACIATABpAGYAZQBDAHkAYwBsAGUAcwBcACIAOwBcAG4AIAAgAFwAIgBTAHUAbABmAHUAcgAgAC0AIABHAGUAbgBlAHIAaQBjAFwAIgAsACAAMAAsACAAMAAsACAAXAAiAE8AdABoAGUAcgAgAGYAZQByAHQAaQBsAGkAcwBlAHIAcwBcACIALAAgAFwAIgBTAHUAbABmAHUAcgAgAGYAcgBvAG0AIABmAGUAcgB0AGkAbABpAHMAZQByAFwAIgAsACAAXAAiAEwAaQBmAGUAQwB5AGMAbABlAHMAXAAiADsAXABuACAAIABcACIAWgBpAG4AYwAgAC0AIABHAGUAbgBlAHIAaQBjAFwAIgAsACAAMAAsACAAMAAsACAAXAAiAE8AdABoAGUAcgAgAGYAZQByAHQAaQBsAGkAcwBlAHIAcwBcACIALAAgAFwAIgBaAGkAbgBjACAAZgByAG8AbQAgAGYAZQByAHQAaQBsAGkAcwBlAHIAXAAiACwAIABcACIATABpAGYAZQBDAHkAYwBsAGUAcwBcACIAOwBcAG4AIAAgAFwAIgBNAHUAcgBpAGEAdABlACAAbwBmACAAcABvAHQAYQBzAGgAIAAoAE0ATwBQACkAXAAiACwAIAAwACwAIAAwACwAIABcACIATwB0AGgAZQByACAAZgBlAHIAdABpAGwAaQBzAGUAcgBzAFwAIgAsACAAXAAiAE0AdQByAGkAYQB0AGUAIABvAGYAIABwAG8AdABhAHMAaAAgACgATQBPAFAAKQBcACIALAAgAFwAIgBMAGkAZgBlAEMAeQBjAGwAZQBzAFwAIgA7AFwAbgAgACAAXAAiAEQAbwB1AGIAbABlACAAcwB1AHAAZQByAHAAaABvAHMAcABoAGEAdABlAFwAIgAsACAAMAAsACAAMAAsACAAXAAiAE8AdABoAGUAcgAgAGYAZQByAHQAaQBsAGkAcwBlAHIAcwBcACIALAAgAFwAIgBEAG8AdQBiAGwAZQAgAHMAdQBwAGUAcgBwAGgAbwBzAHAAaABhAHQAZQBcACIALAAgAFwAIgBMAGkAZgBlAEMAeQBjAGwAZQBzAFwAIgA7AFwAbgAgACAAXAAiAFMAaQBuAGcAbABlACAAcwB1AHAAZQByAHAAaABvAHMAcABoAGEAdABlACAAKABTAFMAUAApAFwAIgAsACAAMAAsACAAMAAsACAAXAAiAE8AdABoAGUAcgAgAGYAZQByAHQAaQBsAGkAcwBlAHIAcwBcACIALAAgAFwAIgBTAGkAbgBnAGwAZQAgAHMAdQBwAGUAcgBwAGgAbwBzAHAAaABhAHQAZQAgACgAUwBTAFAAKQBcACIALAAgAFwAIgBMAGkAZgBlAEMAeQBjAGwAZQBzAFwAIgA7AFwAbgAgACAAXAAiAEEAbQBtAG8AbgBpAGEAXAAiACwAIAAwAC4AOAAyADMANQAsACAAMAAsACAAXAAiAEEAbQBtAG8AbgBpAHUAbQAtAGIAYQBzAGUAZAAgAGYAZQByAHQAaQBsAGkAcwBlAHIAcwBcACIALAAgAFwAIgBBAG0AbQBvAG4AaQBhAFwAIgAsACAAXAAiAEwAaQBmAGUAQwB5AGMAbABlAHMAXAAiADsAXABuACAAIABcACIAQwBhAGwAYwBpAHUAbQAgAG4AaQB0AHIAYQB0AGUAXAAiACwAIAAwAC4AMQA1ADUALAAgADAALAAgAFwAIgBOAGkAdAByAGEAdABlAC0AYgBhAHMAZQBkACAAZgBlAHIAdABpAGwAaQBzAGUAcgBzAFwAIgAsACAAXAAiAEMAYQBsAGMAaQB1AG0AIABuAGkAdAByAGEAdABlAFwAIgAsACAAXAAiAFYARQBFAFIARwBcACIAXABuACAAIAB9ACwAIAByACwAIABjACkAXABuACkAKQApADsAXABuAFwAbgBGAGUAcgB0AGkAbABpAHMAZQByAF8AQwBoAGUAbQBpAGMAYQBsAEMAbwBtAHAAbwB1AG4AZABFAGwAZQBtAGUAbgB0AHMAXwBWAGEAcgBpAGEAdABpAG8AbgBcAG4APQBMAEEATQBCAEQAQQAoAFwAbgAgAE0AQQBLAEUAQQBSAFIAQQBZACgAMQAyACwAIAAxACwAXABuACAATABBAE0AQgBEAEEAKAByACwAYwAsAFwAbgAgACAASQBOAEQARQBYACgAewBcAG4AIAAgAFwAIgBWAEEAUgBJAEEAVABJAE8ATgAgAE8ATgAgAFMATwBVAFIAQwBFAFwAIgA7AFwAbgAgACAAXAAiAEEAZABkAGUAZAAgAFwAdQAwADAAMgA3AEIAYQBzAGkAcwBcAHUAMAAwADIANwAgAGMAbwBsAHUAbQBuACAAdABvACAAYQBsAGwAbwB3ACAAYwByAG8AcwBzAC0AcgBlAGYAZQByAGUAbgBjAGkAbgBnACAAdwBpAHQAaAAgAHQAYQBiAGwAZQAg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OwBcAG4AIAAgAFwAIgBBAGQAZABlAGQAIABlAHgAdAByAGEAIABmAGUAcgB0AGkAbABpAHMAZQByACAAdAB5AHAAZQBzACAAYQBuAGQAIABnAGUAbgBlAHIAaQBjACAAYwBoAGUAbQBpAGMAYQBsACAAYwBvAG0AcABvAHUAbgBkAHMAIAB0AG8AIABhAGwAbABvAHcAIABmAG8AcgAgAGMAdQBzAHQAbwBtACAATgBQAEsAUwAgAGIAbABlAG4AZABzAFwAIgA7AFwAbgAgACAAXAAiAEEAZABkAGUAZAAgAGUAeAB0AHIAYQAgAFwAdQAwADAAMgA3AFMAYwBvAHAAZQAgADMAIABkAGUAZgBpAG4AaQB0AGkAbwBuAFwAdQAwADAAMgA3ACAAYwBvAGwAdQBtAG4AIAB0AG8AIABhAGwAbABvAHcAIABtAGEAcABwAGkAbgBnACAAdwBpAHQAaAAgAHMAYwBvAHAAZQAgADMAIABkAGEAdABhAFwAIgA7AFwAbgAgACAAXAAiAEEAZABkAGUAZAAgAFwAdQAwADAAMgA3AFMAbwB1AHIAYwBlAFwAdQAwADAAMgA3ACAAYwBvAGwAdQBtAG4AXAAiADsAXABuACAAIABcACIAQwBvAG0AYgBpAG4AZQBkACAAZABhAHQAYQAgAGYAcgBvAG0AIABUAGEAYgBsAGUAIABBAC4AMgAuADIALgAzACAAYQBuAGQAIABUAGEAYgBsAGUAIABBAC4AMgAuADIALgA0ACAAaQBuAHQAbwAgAG8AbgBlACAAdABhAGIAbABlACAAdABvACAAYQBpAGQAIABsAG8AbwBrAHUAcAAuAFwAIgA7AFwAbgAgACAAXAAiAEUAeABjAGwAdQBkAGUAZAAgAFwAdQAwADAAMgA3AFIAZQBmAGUAcgBlAG4AYwBlAHMAXAB1ADAAMAAyADcAIABjAG8AbAB1AG0AbgBcACIAOwBcAG4AIAAgAFwAIgBFAHgAYwBsAHUAZABlAGQAIABcAHUAMAAwADIANwBBAG0AbQBvAG4AaQB1AG0AIABzAHUAbABmAGEAdABlAFwAdQAwADAAMgA3ACAAYQBzACAAaQB0ACAAaQBzACAAYQAgAGQAdQBwAGwAaQBjAGEAdABlACAAbwBmACAAXAB1ADAAMAAyADcAUwB1AGwAcABoAGEAdABlACAAbwBmACAAYQBtAG0AbwBuAGkAYQAgACgAUwBPAEEAKQBcAHUAMAAwADIANwBcACIAOwBcAG4AIAAgAFwAIgBFAHgAYwBsAHUAZABlAGQAIABcAHUAMAAwADIANwBDAGEAbABjAGkAdQBtACAAbgBpAHQAcgBhAHQAZQBcAHUAMAAwADIANwAgAGEAcwAgAG4AbwAgAHMAYwBvAHAAZQAgADMAIAB2AGEAbAB1AGUAIABhAHYAYQBpAGwAYQBiAGwAZQAuAFwAIgA7AFwAbgAgACAAXAAiAFMAZQB0ACAAXAB1ADAAMAAyADcATgBpAHQAcgBvAGcAZQBuACAALQAgAEcAZQBuAGUAcgBpAGMAXAB1ADAAMAAyADcAIABiAGEAcwBpAHMAIABhAHMAIABcAHUAMAAwADIANwBVAHIAZQBhAC0AYgBhAHMAZQBkACAAZgBlAHIAdABpAGwAaQBzAGUAcgBzACwAIABhAHMAIAB1AHIAZQBhACAAaQBzACAAdABoAGUAIABtAG8AcwB0ACAAYwBvAG0AbQBvAG4AbAB5ACAAdQBzAGUAZAAgAGYAbwByAG0AIABvAGYAIABuAGkAdAByAG8AZwBlAG4AIABpAG4AIABBAHUAcwB0AHIAYQBsAGkAYQBuACAAZgBlAHIAdABpAGwAaQBzAGUAcgBzAFwAIgA7AFwAbgAgACAAXAAiAFMAZQB0ACAAXAB1ADAAMAAyADcAVQByAGUAYQAtAGEAbQBtAG8AbgBpAHUAbQAgAG4AaQB0AHIAYQB0AGUAXAB1ADAAMAAyADcAIABiAGEAcwBpAHMAIABhAHMAIABcAHUAMAAwADIANwBVAHIAZQBhAC0AYgBhAHMAZQBkACAAZgBlAHIAdABpAGwAaQBzAGUAcgBcAHUAMAAwADIANwBcACIAOwBcAG4AIAAgAFwAIgBBAG0AbQBvAG4AaQBhACAAaABhAHMAIABhAG4AIABGAE4AIAB2AGEAbAB1AGUAIABvAGYAIAAwAC4AOAAyADMANQAgAGIAYQBzAGUAZAAgAG8AbgAgACgAMQA0AC8AMQA3ACkAeAAxADAAMAAsACAAdwBoAGUAcgBlACAAMQA0ACAAaQBzACAAdABoAGUAIABtAGEAcwBzACAAbwBmACAAbgBpAHQAcgBvAGcAZQBuACAAaQBuACAAYQBtAG0AbwBuAGkAYQAgAGEAbgBkACAAMQA3ACAAaQBzACAAdABoAGUAIABtAG8AbABhAHIAIABtAGEAcwBzACAAbwBmACAAYQBtAG0AbwBuAGkAYQAuAFwAIgBcAG4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cgBhAGMAdABpAG8AbgAgAG8AZgAgAGkAbg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YAXwBUAGkAdABsAGUAXABuAD0ATABBAE0AQgBEAEEAKAAoAFwAIgBGAHIAYQBjAHQAaQBvAG4AIABvAGYAIABpAG4AbwByAGcAYQBuAGkAYwAgAGYAZQByAHQAaQBsAGkAcwBlAHIAIAB0AGgAYQB0ACAAdgBvAGwAYQB0AGkAbABpAHMAZQBzACAAYQBzACAATgBIADMAIABhAG4AZAAgAE4ATwB4AFwAIgApACkAOwBcAG4AXABuAEYAZQByAHQAaQBsAGkAcwBlAHIAXwBGAHIAYQBjAEcAQQBTAEYAXwBTAG8AdQByAGMAZQBcAG4APQBMAEEATQBCAEQAQQAoACgAXAAi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C8AKgBcAG4ARgBlAHIAdABpAGwAaQBzAGUAcgAgAHAAcgBvAGQAdQBjAHQAIABkAGEAdABhACAALQAgAEUAeABjAGUAbAAgAE0AQQBLAEUAQQBSAFIAQQBZACAAZQB4AHAAbwByAHQAXABuAC0ALQAtAC0ALQAtAC0ALQAtAC0ALQAtAC0ALQAtAC0ALQAtAC0ALQAtAC0ALQAtAC0ALQAtAC0ALQAtAC0ALQAtAC0ALQAtAC0ALQAtAC0ALQAtAC0ALQAtAC0ALQAtAC0ALQAtAC0ALQAtAC0ALQAtAC0ALQAtAFwAbgBQAHIAbwBkAHUAYwB0AHMAOgAgADEAMwA0ACAAKABJAG4AYwBsAHUAZABlACAAbwBuAGwAeQA7ACAAYwBvAG0AYgBpAG4AZQBkACAAZgByAG8AbQAgAG0AYQBpAG4AIAArACAAYgBhAHQAYwBoACAAMQAgACsAIABiAGEAdABjAGgAIAAyACAAdwBvAHIAawBiAG8AbwBrAHMAKQBcAG4AQQByAHIAYQB5AHMAOgAgADUAIAB8ACAAUgBvAHcAcwAgAHAAZQByACAAYQByAHIAYQB5ADoAIAAzADAAIAAoAGYAaQBuAGEAbAAgAGEAcgByAGEAeQA6ACAAMQA0ACkAIAB8ACAAQwBvAGwAdQBtAG4AcwA6ACAAMwAxAFwAbgBcAG4ARQB4AGMAbAB1AGQAZQBkACAAYwBvAGwAdQBtAG4AcwA6ACAASQBuAGMAbAB1AGQAZQAgAG8AcgAgAGUAeABjAGwAdQBkAGUALAAgAEEAbgBhAGwAeQBzAGkAcwAgAGIAYQBzAGUALAAgAEEAbgBhAGwAeQBzAGkAcwAgAHMAbwB1AHIAYwBlACwAIABBAG4AYQBsAHkAcwBpAHMAIABmAGwAYQBnACwAIABOAG8AdABlAHMALAAgAEwAaQBuAGsALAAgAEQAYQB0AGEAIABzAG8AdQByAGMAZQAsACAARQBOAEQAIABSAE8AVwAuAFwAbgBJAG4AZwByAGUAZABpAGUAbgB0ACAAcABlAHIAYwBlAG4AdAAgAHYAYQBsAHUAZQBzACAAYQByAGUAIABlAHYAYQBsAHUAYQB0AGUAZAAgAGQAZQBjAGkAbQBhAGwAIABmAHIAYQBjAHQAaQBvAG4AcwAgACgAPQA0ADYALwAxADAAMAAgAC0AXAB1ADAAMAAzAGUAIAAwAC4ANAA2ACkAOwAgAGUAbQBwAHQAeQAgAGMAZQBsAGwAcwAgAGEAcgBlACAAXAAiAFwAIgAuAFwAbgBcAG4AQwBvAGwAdQBtAG4AIABvAHIAZABlAHIAIAAoADMAMQApADoAXABuACAAIAAxAC4AIABDAG8AbQBwAGEAbgB5AFwAbgAgACAAMgAuACAAUAByAG8AZAB1AGMAdAAgAG4AYQBtAGUAXABuACAAIAAzAC4AIABVAG4AaQB0AFwAbgAgACAANAAuACAARABlAG4AcwBpAHQAeQBcAG4AIAAgADUALgAgAEMAbwBuAHQAYQBpAG4AcwAgAGkAbgBoAGkAYgBpAHQAbwByAFwAbgAgACAANgAuACAAVQByAGUAYQAgAHMAbwB1AHIAYwBlAFwAbgAgACAANwAuACAAQQBtAG0AbwBuAGkAYQAgAHMAbwB1AHIAYwBlAFwAbgAgACAAOAAuACAATgAgAGQAZQBjAGwAYQByAGUAZABcAG4AIAAgADkALgAgAFAAIABkAGUAYwBsAGEAcgBlAGQAXABuACAAIAAxADAALgAgAEsAIABkAGUAYwBsAGEAcgBlAGQAXABuACAAIAAxADEALgAgAFMAIABkAGUAYwBsAGEAcgBlAGQAXABuACAAIAAxADIALgAgAEkAbgBnAHIAZQBkAGkAZQBuAHQAIAAxAFwAbgAgACAAMQAzAC4AIABJAG4AZwByAGUAZABpAGUAbgB0ACAAMQAgAHAAZQByAGMAZQBuAHQAXABuACAAIAAxADQALgAgAEkAbgBnAHIAZQBkAGkAZQBuAHQAIAAyAFwAbgAgACAAMQA1AC4AIABJAG4AZwByAGUAZABpAGUAbgB0ACAAMgAgAHAAZQByAGMAZQBuAHQAXABuACAAIAAxADYALgAgAEkAbgBnAHIAZQBkAGkAZQBuAHQAIAAzAFwAbgAgACAAMQA3AC4AIABJAG4AZwByAGUAZABpAGUAbgB0ACAAMwAgAHAAZQByAGMAZQBuAHQAXABuACAAIAAxADgALgAgAEkAbgBnAHIAZQBkAGkAZQBuAHQAIAA0AFwAbgAgACAAMQA5AC4AIABJAG4AZwByAGUAZABpAGUAbgB0ACAANAAgAHAAZQByAGMAZQBuAHQAXABuACAAIAAyADAALgAgAEkAbgBnAHIAZQBkAGkAZQBuAHQAIAA1AFwAbgAgACAAMgAxAC4AIABJAG4AZwByAGUAZABpAGUAbgB0ACAANQAgAHAAZQByAGMAZQBuAHQAXABuACAAIAAyADIALgAgAEkAbgBnAHIAZQBkAGkAZQBuAHQAIAA2AFwAbgAgACAAMgAzAC4AIABJAG4AZwByAGUAZABpAGUAbgB0ACAANgAgAHAAZQByAGMAZQBuAHQAXABuACAAIAAyADQALgAgAEkAbgBnAHIAZQBkAGkAZQBuAHQAIAA3AFwAbgAgACAAMgA1AC4AIABJAG4AZwByAGUAZABpAGUAbgB0ACAANwAgAHAAZQByAGMAZQBuAHQAXABuACAAIAAyADYALgAgAEkAbgBnAHIAZQBkAGkAZQBuAHQAIAA4AFwAbgAgACAAMgA3AC4AIABJAG4AZwByAGUAZABpAGUAbgB0ACAAOAAgAHAAZQByAGMAZQBuAHQAXABuACAAIAAyADgALgAgAEkAbgBnAHIAZQBkAGkAZQBuAHQAIAA5AFwAbgAgACAAMgA5AC4AIABJAG4AZwByAGUAZABpAGUAbgB0ACAAOQAgAHAAZQByAGMAZQBuAHQAXABuACAAIAAzADAALgAgAEkAbgBnAHIAZQBkAGkAZQBuAHQAIAAxADAAXABuACAAIAAzADEALgAgAEkAbgBnAHIAZQBkAGkAZQBuAHQAIAAxADAAIABwAGUAcgBjAGUAbgB0AFwAbgAgACAAXABuAC0ALQAtAC0ALQAtAC0ALQAtAC0ALQAtAC0ALQAtAC0ALQAtAC0ALQAtAC0ALQAtAC0ALQAtAC0ALQAtAC0ALQAtAC0ALQAtAC0ALQAtAC0ALQAtAC0ALQAtAC0ALQAtAC0ALQAtAC0ALQAtAC0ALQAtAC0ALQAtAFwAbgAqAC8AXABuAFwAbgBGAGUAcgB0AGkAbABpAHMAZQByAF8AUAByAG8AZAB1AGMAdABzAF8ARABhAHQAYQAxAFwAbgA9AEwAQQBNAEIARABBACgAXABuACAATQBBAEsARQBBAFIAUgBBAFkAKAAzADAALAAgADMAMQAsAFwAbgAgAEwAQQBNAEIARABBACgAcgAsAGMALABcAG4AIAAgAEkATgBEAEUAWAAoAHsAXABuAFwAIgBDAGEAbQBwAGIAZQBsAGwAcwAgAGYAZQByAHQAaQBsAGkAcwBlAHIAcwAgAEEAdQBzAHQAcgBhAGwAaQBhAFwAIgAsAFwAIgBBAHEAdQBhACAARgBpAG4AaQBzAGgAXAAiACwAXAAiAEwAXAAiACwAMQAuADIANgAsAFwAIgBcACIALABcACIAXAAiACwAXAAiAFwAIgAsADIALgA2ACwANAAsADIAMgAuADU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RwByAG8AdwBcACIALABcACIATABcACIALAAxAC4AMgA2ACwAXAAiAFwAIgAsAFwAIgBcACIALABcACIAXAAiACwAOQAuADYALAA1ACwAMQAwAC4ANQ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IABBAE4AXAAiACwAXAAiAEwAXAAiACwAMQAuADIANAAsAFwAIgBcACIALABcACIAXAAiACwAXAAiAFwAIgAsADIAMgAuADMALABcACIAXAAi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FwAIgAsAFwAIgBMAFwAIgAsADEALgA1ACwAXAAiAFwAIgAsAFwAIgBcACIALABcACIAXAAiACwAMQAzAC4AMgAsAFwAIgBcACIALABcACIAXAAiACwAXAAiAFwAIgAsAFwAIgBDAGEAbABjAGkAdQBtAFwAIgAsADAALgAxADYAMg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CAAKABWAEkAKQBcACIALABcACIATABcACIALAAxAC4ANQAsAFwAIgBcACIALABcACIAXAAiACwAXAAiAFwAIgAsADEAMwAuADIALABcACIAXAAiACwAXAAiAFwAIgAsAFwAIgBcACIALABcACIAQwBhAGwAYwBpAHUAbQBcACIALAAwAC4AMQA4ADc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FUAbAB0AGkAbQBhAHQAZQBcACIALABcACIATABcACIALAAxAC4ANQAsAFwAIgBcACIALABcACIAXAAiACwAXAAiAFwAIgAsADEAMwAuADIALABcACIAXAAiACwAXAAiAFwAIgAsAFwAIgBcACIALABcACIAQwBhAGwAYwBpAHUAbQBcACIALAAwAC4AMQA4ADM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MAdABhAHIAdABcACIALABcACIATABcACIALAAxAC4AMgA1ACwAXAAiAFwAIgAsAFwAIgBcACIALABcACIAXAAiACwAMQAwAC4AMwAsADEAMAAsADMALgA0ACwAXAAiAFwAIgAsAFwAIgBOAGkAdAByAG8AZwBlAG4AIAAtACAARwBlAG4AZQByAGkAYwBcACIALAAwAC4AMQAwADMALABcACIAUABoAG8AcwBwAGgAbwByAHUAcwAgAC0AIABHAGUAbgBlAHIAaQBjAFwAIgAsADAALgAxACwAXAAiAFAAbwB0AGEAcwBzAGkAdQBtACAALQAgAEcAZQBuAGUAcgBpAGMAXAAiACwAMAAuADAAMwA0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QwBvAG0AcABsAGUAdABlAFwAIgAsAFwAIgBMAFwAIgAsADEALgA0ADMALABcACIAXAAiACwAXAAiAFwAIgAsAFwAIgBcACIALAAyAC4ANQAsADMALgA4ACwAMgAyAC4ANQ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FAG0AZQByAGcAZQBcACIALABcACIATABcACIALAAxAC4AMgA5ACwAXAAiAFwAIgAsAFwAIgBcACIALABcACIAXAAiACwAMQAwAC4ANQAsADkALgA0ACwANAAsADM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GAGwAbwB1AHIAaQBzAGgAXAAiACwAXAAiAEwAXAAiACwAMQAuADMAMgAsAFwAIgBcACIALABcACIAXAAiACwAXAAiAFwAIgAsADkALgA1ACwANAAuADcALAAxADAALgA4ACwAOAAuADE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OwBcAG4AXAAiAEMAYQBtAHAAYgBlAGwAbABzACAAZgBlAHIAdABpAGwAaQBzAGUAcgBzACAAQQB1AHMAdAByAGEAbABpAGEAXAAiACwAXAAiAEIAbwBvAHMAdAAtAEkAdABcACIALABcACIAawBnAFwAIgAsADEALABcACIAXAAiACwAXAAiAFwAIgAsAFwAIgBcACIALAAyADQALAA1AC4AMgAsADgALAA1AC4AMwAsAFwAIgBVAHIAZQBhAFwAIgAsADAALgA1ADIAMQA3ADMAOQ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OwBcAG4AXAAiAEMAYQBtAHAAYgBlAGwAbABzACAAZgBlAHIAdABpAGwAaQBzAGUAcgBzACAAQQB1AHMAdAByAGEAbABpAGEAXAAiACwAXAAiAEIAcgBvAG4AegBlAFwAIgAsAFwAIgBrAGcAXAAiACwAMQAsAFwAIgBcACIALABcACIAXAAiACwAXAAiAFwAIgAsADEANwAsADAALgAwADQALAAxADEALgA2ACwAMAAuADUALABcACIATQB1AHIAaQBhAHQAZQAgAG8AZgAgAH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OwBcAG4AXAAiAEMAYQBtAHAAYgBlAGwAbABzACAAZgBlAHIAdABpAGwAaQBzAGUAcgBzACAAQQB1AHMAdAByAGEAbABpAGEAXAAiACwAXAAiAEMAYQBsAGIAaQB0ACAAQwBcACIALABcACIATABcACIALAAxAC4ANAA1ACwAXAAiAFwAIgAsAFwAIgBcACIALABcACIAXAAiACwAXAAiAFwAIgAsAFwAIgBcACIALABcACIAXAAiACwAXAAiAFwAIgAsAFwAIgBDAGEAbABjAGkAdQBtAFwAIgAsADAALgAxADAAN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wBvAG0AcABhAHMAcwBcACIALABcACIAawBnAFwAIgAsADEALABcACIAXAAiACwAXAAiAFwAIgAsAFwAIgBcACIALAAxADUALAA2AC4ANQAsADEAMgAuADUALAA2ACwAXAAiAE4AaQB0AHIAbwBnAGUAbgAgAC0AIABBAG0AbQBvAG4AaQBhAGMAYQBsAFwAIgAsADAALgAwADcANQAsAFwAIgBOAGkAdAByAG8AZwBlAG4AIAAtACAATgBpAHQAcgBhAHQAZQBcACIALAAwAC4AMAA3ADUALABcACIAUABvAHQAYQBzAHMAaQB1AG0AIAAtACAARwBlAG4AZQByAGkAYwBcACIALAAwAC4AMQAyADUALABcACIAUABoAG8AcwBwAGgAbwByAHUAcwAgAC0AIABHAGUAbgBlAHIAaQBjAFwAIgAsADAALgAwADYANQAsAFwAIgBTAHUAbABmAHUAcgAgAC0AIABHAGUAbgBlAHIAaQBjAFwAIgAsADAALgAwADYALABcACIAXAAiACwAXAAiAFwAIgAsAFwAIgBcACIALABcACIAXAAiACwAXAAiAFwAIgAsAFwAIgBcACIALABcACIAXAAiACwAXAAiAFwAIgAsAFwAIgBcACIALABcACIAXAAiADsAXABuAFwAIgBDAGEAbQBwAGIAZQBsAGwAcwAgAGYAZQByAHQAaQBsAGkAcwBlAHIAcwAgAEEAdQBzAHQAcgBhAGwAaQBhAFwAIgAsAFwAIgBDAG8AUgBvAE4AIAAxADIALQAwAC0AMQAwAFwAIgAsAFwAIgBMAFwAIgAsADEALgAyADEANQAsAFwAIgBcACIALABcACIAXAAiACwAXAAiAFwAIgAsADEAMgAsAFwAIgBcACIALAAxADAALABcACIAXAAiACwAXAAiAFUAcgBlAGEAXAAiACwAMAAuADEAOQA1ADYANQAy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CwAXAAiAFwAIgAsAFwAIgBcACIALABcACIAXAAiADsAXABuAFwAIgBDAGEAbQBwAGIAZQBsAGwAcwAgAGYAZQByAHQAaQBsAGkAcwBlAHIAcwAgAEEAdQBzAHQAcgBhAGwAaQBhAFwAIgAsAFwAIgBNAGEAeABpAG0AdQBtACAAUQB1AGkAYwBrAC0ATgBcACIALABcACIAawBnAFwAIgAsADEALABcACIAXAAiACwAXAAiAFwAIgAsAFwAIgBcACIALAAyADEALgA2ADYALABcACIAXAAiACwAXAAiAFwAIgAsADEAMwAuADIALABcACIAUwB1AGwAcABoAGEAdABlACAAbwBmACAAYQBtAG0AbwBuAGkAYQAgACgAUwBPAEEAKQBcACIALAAwAC4ANQA1ACwAXAAiAEEAbQBtAG8AbgBpAHUAbQAgAG4AaQB0AHIAYQB0AGUAIAAoAEEATgApAFwAIgAsADAALgAzACwAXAAiAFwAIgAsAFwAIgBcACIALABcACIAXAAiACwAXAAiAFwAIgAsAFwAIgBcACIALABcACIAXAAiACwAXAAiAFwAIgAsAFwAIgBcACIALABcACIAXAAiACwAXAAiAFwAIgAsAFwAIgBcACIALABcACIAXAAiACwAXAAiAFwAIgAsAFwAIgBcACIALABcACIAXAAiACwAXAAiAFwAIgA7AFwAbgBcACIAUwBMACAAVABlAGMAXAAiACwAXAAiAEMAcgBvAHAAIABCAG8AbwBzAHQAZQByACAAUABMAFUAUwBcACIALABcACIATABcACIALAAxAC4AMwAxADkALABcACIAXAAiACwAXAAiAFwAIgAsAFwAIgBcACIALAA1ACwAMQA1ACwAMgAuADEALABcACIAXAAiACwAXAAiAFAAaABvAHMAcABoAG8AcgB1AHMAIAAtACAARwBlAG4AZQByAGkAYwBcACIALAAwAC4AMQA1ACwAXAAiAEMAYQBsAGMAaQB1AG0AXAAiACwAMAAuADAANAAsAFwAIgBOAGkAdAByAG8AZwBlAG4AIAAtACAAQQBtAG0AbwBuAGkAYQBjAGEAbABcACIALAAwAC4AMAAyADkALABcACIATgBpAHQAcgBvAGcAZQBuACAALQAgAE4AaQB0AHIAYQB0AGUAXAAiACwAMAAuADAAMgAxACwAXAAiAFAAbwB0AGEAcwBzAGkAdQBtACAALQAgAEcAZQBuAGUAcgBpAGMAXAAiACwAMAAuADAAMgAxACwAXAAiAEMAbwBwAHAAZQByAFwAIgAsADAALgAwADAANQAsAFwAIgBaAGkAbgBjAFwAIgAsADAALgAwADAANAAsAFwAIgBNAGEAbgBnAGEAbgBlAHMAZQBcACIALAAwAC4AMAAwADQALABcACIATQBhAGcAbgBlAHMAaQB1AG0AXAAiACwAMAAuADAAMAAyACwAXAAiAFwAIgAsAFwAIgBcACIAOwBcAG4AXAAiAFIAaQBzAHMAbwAtAEMAaABlAG0AaQBjAGEAbABcACIALABcACIAQQBtAG0AbwBuAGkAdQBtACAAQgBpAGMAYQByAGIAbwBuAGEAdABlAFwAIgAsAFwAIgBrAGcAXAAiACwAMQAsAFwAIgBcACIALABcACIAXAAiACwAXAAiAEMAaABpAG4AYQBcACIALAAxADcALgA3ACwAXAAiAFwAIgAsAFwAIgBcACIALABcACIAXAAiACwAXAAiAE4AaQB0AHIAbwBnAGUAbgAgAC0AIABBAG0AbQBvAG4AaQBhAGMAYQBsAFwAIgAsADAALgAxADcANw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BAG0AbQBvAG4AaQB1AG0AIABTAHUAbABmAGEAdABlAFwAIgAsAFwAIgBrAGcAXAAiACwAMQAsAFwAIgBcACIALABcACIAXAAiACwAXAAiAEMAaABpAG4AYQBcACIALAAyADEALABcACIAXAAiACwAXAAiAFwAIgAsADIANAAsAFwAIgBTAHUAbABmAHUAcgAgAC0AIABHAGUAbgBlAHIAaQBjAFwAIgAsADAALgAyADQALABcACIATgBpAHQAcgBvAGcAZQBuACAALQAgAEEAbQBtAG8AbgBpAGEAYwBhAGwAXAAiACwAMAAuADIAMQAsAFwAIgBcACIALABcACIAXAAiACwAXAAiAFwAIgAsAFwAIgBcACIALABcACIAXAAiACwAXAAiAFwAIgAsAFwAIgBcACIALABcACIAXAAiACwAXAAiAFwAIgAsAFwAIgBcACIALABcACIAXAAiACwAXAAiAFwAIgAsAFwAIgBcACIALABcACIAXAAiACwAXAAiAFwAIgAsAFwAIgBcACIAOwBcAG4AXAAiAFIAYQB2AGUAbgBzAGQAbwB3AG4AXAAiACwAXAAiAEEAbQBtAG8AbgBpAHUAbQAgAFMAdQBsAHAAaABhAHQAZQAgAC0AIABHAHIAYQBuAHUAbABhAHI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RABpAC0AQQBtAG0AbwBuAGkAdQBtACAAUABoAG8AcwBwAGgAYQB0AGUAIAAoAEQAQQBQACkAXAAiACwAXAAiAGsAZwBcACIALAAxACwAXAAiAFwAIgAsAFwAIgBcACIALABcACIAXAAiACwAMQA4ACwAMgAwACwAXAAiAFwAIgAsAFwAIgBcACIALABcACIARABpAGEAbQBtAG8AbgBpAHUAbQAgAHAAaABvAHMAcABoAGEAdABlACAAKABEAEE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IAYQBzAGEAbAB0ACAAQgBvAG8AUwBTAHQAYQBcACIALABcACIAawBnAFwAIgAsADEALABcACIAXAAiACwAXAAiAFwAIgAsAFwAIgBcACIALAA4ACwAMQA0ACwAXAAiAFwAIgAsADIANwAuADYALABcACIAUwB1AGwAZgB1AHIAIAAtACAARwBlAG4AZQByAGkAYwBcACIALAAwAC4AMgA3ADYALABcACIAUABoAG8AcwBwAGgAbwByAHUAcwAgAC0AIABHAGUAbgBlAHIAaQBjAFwAIgAsADAALgAxADQALABcACIATgBpAHQAcgBvAGcAZQBuACAALQAgAEcAZQBuAGUAcgBpAGMAXAAiACwAMAAuADAAOAAsAFwAIgBGAGwAdQBvAHIAaQBkAGUAXAAiACwAMAAuADAAMgA0ACwAXAAiAFwAIgAsAFwAIgBcACIALABcACIAXAAiACwAXAAiAFwAIgAsAFwAIgBcACIALABcACIAXAAiACwAXAAiAFwAIgAsAFwAIgBcACIALABcACIAXAAiACwAXAAiAFwAIgAsAFwAIgBcACIALABcACIAXAAiADsAXABuAFwAIgBTAHUAbQBtAGkAdAAgAEYAZQByAHQAaQBsAGkAegBlAHIAcwBcACIALABcACIARABBAFAAUwBaAEMAXAAiACwAXAAiAGsAZwBcACIALAAxACwAXAAiAFwAIgAsAFwAIgBcACIALABcACIAXAAiACwAMQA2AC4AOQAsADEAOAAuADIALABcACIAXAAiACwAOAAsAFwAIgBQAGgAbwBzAHAAaABvAHIAdQBzACAALQAgAEcAZQBuAGUAcgBpAGMAXAAiACwAMAAuADEAOAAyACwAXAAiAE4AaQB0AHIAbwBnAGUAbgAgAC0AIABHAGUAbgBlAHIAaQBjAFwAIgAsADAALgAxADYAOQAsAFwAIgBTAHUAbABmAHUAcgAgAC0AIABHAGUAbgBlAHIAaQBjAFwAIgAsADAALgAwADgALABcACIAWgBpAG4AYwBcACIALAAwAC4AMAAwADIALABcACIAQwBvAHAAcABlAHIAXAAiACwAMAAuADAAMAAxACwAXAAiAFwAIgAsAFwAIgBcACIALABcACIAXAAiACwAXAAiAFwAIgAsAFwAIgBcACIALABcACIAXAAiACwAXAAiAFwAIgAsAFwAIgBcACIALABcACIAXAAiACwAXAAiAFwAIgA7AFwAbgBcACIASQBuAGMAaQB0AGUAYwAgAFAAaQB2AG8AdAAgAEYAZQByAHQAaQBsAGkAcwBlAHIAcwBcACIALABcACIARQBhAHMAeQAgAE4AXAAiACwAXAAiAEwAXAAiACwAMQAuADMAMgAsAFwAIgBcACIALABcACIAXAAiACwAXAAiAFwAIgAsADQAMgAuADUALABcACIAXAAiACwAXAAiAFwAIgAsAFwAIgBcACIALABcACIAVQByAGUAYQBcACIALAAwAC4ANAA2ADcAMwA5ADEALABcACIATgBpAHQAcgBvAGcAZQBuACAALQAgAE4AaQB0AHIAYQB0AGUAXAAiACwAMAAuADEAMAA1ACwAXAAiAE4AaQB0AHIAbwBnAGUAbgAgAC0AIABBAG0AbQBvAG4AaQBhAGMAYQBsAFwAIgAsADAALgAxADAANQAsAFwAIgBCAGkAdQByAGUAdABcACIALAAwAC4AMAAwADYALABcACIAXAAiACwAXAAiAFwAIgAsAFwAIgBcACIALABcACIAXAAiACwAXAAiAFwAIgAsAFwAIgBcACIALABcACIAXAAiACwAXAAiAFwAIgAsAFwAIgBcACIALABcACIAXAAiACwAXAAiAFwAIgAsAFwAIgBcACIAOwBcAG4AXAAiAFIAaQBzAHMAbwAtAEMAaABlAG0AaQBjAGEAbABcACIALABcACIAQwBhAGwAYwBpAHUAbQAgAEEAbQBtAG8AbgBpAHUAbQAgAG4AaQB0AHIAYQB0AGUAXAAiACwAXAAiAGsAZwBcACIALAAxACwAXAAiAFwAIgAsAFwAIgBcACIALABcACIAQwBoAGkAbgBhAFwAIgAsADQAMAAuADUALABcACIAXAAiACwAXAAiAFwAIgAsAFwAIgBcACIALABcACIATgBpAHQAcgBvAGcAZQBuACAALQAgAEEAbQBtAG8AbgBpAGEAYwBhAGwAXAAiACwAMAAuADIANwAsAFwAIgBOAGkAdAByAG8AZwBlAG4AIAAtACAATgBpAHQAcgBhAHQAZQBcACIALAAwAC4AMQAzADUALABcACIAQwBhAGwAYwBpAHUAbQBcACIALAAwAC4AMQAyACwAXAAiAFwAIgAsAFwAIgBcACIALABcACIAXAAiACwAXAAiAFwAIgAsAFwAIgBcACIALABcACIAXAAiACwAXAAiAFwAIgAsAFwAIgBcACIALABcACIAXAAiACwAXAAiAFwAIgAsAFwAIgBcACIALABcACIAXAAiACwAXAAiAFwAIgAsAFwAIgBcACIAOwBcAG4AXAAiAFMATAAgAFQAZQBjAFwAIgAsAFwAIgBDAGUAbABsAEMAQQBMACAAUABsAHUAcwBcACIALABcACIATABcACIALAAxAC4AMQAzADgALABcACIAXAAiACwAXAAiAFwAIgAsAFwAIgBcACIALABcACIAXAAiACwAXAAiAFwAIgAsAFwAIgBcACIALABcACIAXAAiACwAXAAiAEMAYQBsAGMAaQB1AG0AXAAiACwAMAAuADAANQA5ACwAXAAiAEMAbwBwAHAAZQByAFwAIgAsADAALgAwADAAMwAsAFwAIgBCAG8AcgBvAG4AXAAiACwAMAAuADAAMAAx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SwA1ADUAXAAiACwAXAAiAGsAZwBcACIALAAxACwAXAAiAFwAIgAsAFwAIgBcACIALABcACIAXAAiACwAMQAzAC4ANQAsADEANQAsADYALgAyADUALAAxAC4AMgAsAFwAIgBQAGgAbwBzAHAAaABvAHIAdQBzACAALQAgAEcAZQBuAGUAcgBpAGMAXAAiACwAMAAuADEANQAsAFwAIgBOAGkAdAByAG8AZwBlAG4AIAAtACAAQQBtAG0AbwBuAGkAYQBjAGEAbABcACIALAAwAC4AMQAzADUALABcACIATQB1AHIAaQBhAHQAZQAgAG8AZgAgAHAAbwB0AGEAcwBoACAAKABNAE8AUAApAFwAIgAsADAALgAxADIANQAsAFwAIgBGAGwAdQBvAHIAaQBkAGUAXAAiACwAMAAuADAAMgAzACwAXAAiAFMAdQBsAGYAdQByACAALQAgAEcAZQBuAGUAcgBpAGMAXAAiACwAMAAuADAAMQAyACwAXAAiAFwAIgAsAFwAIgBcACIALABcACIAXAAiACwAXAAiAFwAIgAsAFwAIgBcACIALABcACIAXAAiACwAXAAiAFwAIgAsAFwAIgBcACIALABcACIAXAAiACwAXAAiAFwAIgA7AFwAbgBcACIAUwB3AGkAdABjAGgAIABBAGcAXAAiACwAXAAiAEMAcgBvAHAAIABLAFwAIgAsAFwAIgBMAFwAIgAsADEALgAyADUALABcACIAXAAiACwAXAAiAFwAIgAsAFwAIgBcACIALAAzACwAXAAiAFwAIgAsADIAMQAsAFwAIgBcACIALABcACIAUABvAHQAYQBzAHMAaQB1AG0AIAAtACAARwBlAG4AZQByAGkAYwBcACIALAAwAC4AMgAx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TAHcAaQB0AGMAaAAgAEEAZwBcACIALABcACIAQwByAG8AcAAgAFMAdABhAHIAdABlAHIAXAAiACwAXAAiAEwAXAAiACwAMQAuADIALABcACIAXAAiACwAXAAiAFwAIgAsAFwAIgBcACIALAA1ACwAMwAsADgALABcACIAXAAiACwAXAAiAFAAbwB0AGEAcwBzAGkAdQBtACAALQAgAEcAZQBuAGUAcgBpAGMAXAAiACwAMAAuADAAOAAsAFwAIgBOAGkAdAByAG8AZwBlAG4AIAAtACAARwBlAG4AZQByAGkAYwBcACIALAAwAC4AMAA1ACwAXAAiAFAAaABvAHMAcABoAG8AcgB1AHMAIAAtACAARwBlAG4AZQByAGkAYwBcACIALAAwAC4AMAAz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cAcgBhAG4ALQBB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IAXABuAD0ATABBAE0AQgBEAEEAKABcAG4AIABNAEEASwBFAEEAUgBSAEEAWQAoADMAMAAsACAAMwAxACwAXABuACAATABBAE0AQgBEAEEAKAByACwAYwAsAFwAbgAgACAASQBOAEQARQBYACgAewBcAG4AXAAiAEMAYQBtAHAAYgBlAGwAbABzACAAZgBlAHIAdABpAGwAaQBzAGUAcgBzACAAQQB1AHMAdAByAGEAbABpAGEAXAAiACwAXAAiAEUAbgBjAGEAbABcACIALABcACIATABcACIALAAxAC4ANQAsAFwAIgBcACIALABcACIAXAAiACwAXAAiAFwAIgAsADkALABcACIAXAAiACwAXAAiAFwAIgAsADEAMwAuADkANAAsAFwAIgBTAHUAbABwAGgAYQB0AGUAIABvAGYAIABhAG0AbQBvAG4AaQBhACAAKABTAE8AQQApAFwAIgAsADAALgA1ADgAMAA2ADQANQAsAFwAIgBNAGEAZwBuAGUAcwBpAHUAbQBcACIALAAwAC4AMAAxAD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HUAbABvAGMAawAgAFMAUwBcACIALABcACIAawBnAFwAIgAsADEALABcACIAXAAiACwAXAAiAFwAIgAsAFwAIgBcACIALAAxADAALAAxADcALgA1ACwAXAAiAFwAIgAsADEAMgAsAFwAIgBQAGgAbwBzAHAAaABvAHIAdQBzACAALQAgAEcAZQBuAGUAcgBpAGMAXAAiACwAMAAuADEANwA1ACwAXAAiAFMAdQBsAGYAdQByACAALQAgAEcAZQBuAGUAcgBpAGMAXAAiACwAMAAuADEAMgAsAFwAIgBOAGkAdAByAG8AZwBlAG4AIAAtACAAQQBtAG0AbwBuAGkAYQBjAGEAbABcACIALAAwAC4AMQAsAFwAIgBGAGwAdQBvAHIAaQBkAGUAXAAiACwAMAAuADAAMw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aAFwAIgAsAFwAIgBrAGcAXAAiACwAMQAsAFwAIgBcACIALABcACIAXAAiACwAXAAiAFwAIgAsADEAMQAsADIAMQAuADgALABcACIAXAAiACwANAAsAFwAIgBQAGgAbwBzAHAAaABvAHIAdQBzACAALQAgAEcAZQBuAGUAcgBpAGMAXAAiACwAMAAuADIAMQA4ACwAXAAiAE4AaQB0AHIAbwBnAGUAbgAgAC0AIABHAGUAbgBlAHIAaQBjAFwAIgAsADAALgAxADEALABcACIAUwB1AGwAZgB1AHIAIAAtACAARwBlAG4AZQByAGkAYwBcACIALAAwAC4AMAA0ACwAXAAiAEYAbAB1AG8AcgBpAGQAZQBcACIALAAwAC4AMAAzACwAXAAiAFoAaQBuAGMAXAAiACwAMAAuADAAMQAsAFwAIgBcACIALABcACIAXAAiACwAXAAiAFwAIgAsAFwAIgBcACIALABcACIAXAAiACwAXAAiAFwAIgAsAFwAIgBcACIALABcACIAXAAiACwAXAAiAFwAIgAsAFwAIgBcACIAOwBcAG4AXAAiAEkAbgBjAGkAdABlAGMAIABQAGkAdgBvAHQAIABGAGUAcgB0AGkAbABpAHMAZQByAHMAXAAiACwAXAAiAEYAYQByAG0AIABBAGcAIABMAGUAaQBjAGgAaABhAHIAZAB0AFwAIgAsAFwAIgBrAGcAXAAiACwAMQAsAFwAIgBcACIALABcACIAXAAiACwAXAAiAFwAIgAsADMAMgAuADUALAA1AC4ANAAsADYALgAyADUALABcACIAXAAiACwAXAAiAFUAcgBlAGEAXAAiACwAMAAuADYALABcACIATgBpAHQAcgBvAGcAZQBuACAALQAgAEEAbQBtAG8AbgBpAGEAYwBhAGwAXAAiACwAMAAuADAANAA5ACwAXAAiAFAAaABvAHMAcABoAG8AcgB1AHMAIAAtACAARwBlAG4AZQByAGkAYwBcACIALAAwAC4AMAA1ADQALABcACIATQB1AHIAaQBhAHQAZQAgAG8AZgAgAHAAbwB0AGEAcwBoACAAKABNAE8AUAApAFwAIgAsADAALgAxADIANQAsAFwAIgBcACIALABcACIAXAAiACwAXAAiAFwAIgAsAFwAIgBcACIALABcACIAXAAiACwAXAAiAFwAIgAsAFwAIgBcACIALABcACIAXAAiACwAXAAiAFwAIgAsAFwAIgBcACIALABcACIAXAAiACwAXAAiAFwAIgA7AFwAbgBcACIAUgBhAHYAZQBuAHMAZABvAHcAbgBcACIALABcACIARgBsAGUAeABpAC0ATgAgAE4AQgBQAFQAXAAiACwAXAAiAGsAZwBcACIALAAxACwAXAAiAFkAZQBzAFwAIgAsAFwAIgBcACIALABcACIAXAAiACwANAA1AC4ANQA0ACwAXAAiAFwAIgAsAFwAIgBcACIALABcACIAXAAiACwAXAAiAFUAcgBlAGEAXAAiACwAMAAuADkAO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RwBvAGwAZAAgAFAAcgBlAG0AaQB1AG0AXAAiACwAXAAiAGsAZwBcACIALAAxACwAXAAiAFwAIgAsAFwAIgBcACIALABcACIAXAAiACwAMQA0AC4AOAA3ACwAMgAuADIALAAxADYALgA2ACwAOAAsAFwAIgBBAG0AbQBvAG4AaQB1AG0AIABuAGkAdAByAGEAdABlACAAKABBAE4AKQBcACIALAAwAC4ANAA0ADEAMQA3ADYALABcACIAUABvAHQAYQBzAHMAaQB1AG0AIAAtACAARwBlAG4AZQByAGkAYwBcACIALAAwAC4AMQA2ADYALABcACIAUwB1AGwAZgB1AHIAIAAtACAARwBlAG4AZQByAGkAYwBcACIALAAwAC4AMAA4ACwAXAAiAFAAaABvAHMAcABoAG8AcgB1AHMAIAAtACAARwBlAG4AZQByAGkAYwBcACIALAAwAC4AMAAyADIALABcACIATQBhAGcAbgBlAHMAaQB1AG0AXAAiACwAMAAuADAAMQAyACwAXAAiAEIAbwByAG8AbgBcACIALAAwAC4AMAAwADAAMgAsAFwAIgBaAGkAbgBjAFwAIgAsADAALgAwADAAMAAxACwAXAAiAFwAIgAsAFwAIgBcACIALABcACIAXAAiACwAXAAiAFwAIgAsAFwAIgBcACIALABcACIAXAAiADsAXABuAFwAIgBTAEwAIABUAGUAYwBcACIALABcACIASABpAGcAaAAgAE4AUwBcACIALABcACIATABcACIALAAxAC4AMgA5ADkALABcACIAXAAiACwAXAAiAFwAIgAsAFwAIgBcACIALAAzADgALABcACIAXAAiACwAXAAiAFwAIgAsADIALABcACIAVQByAGUAYQBcACIALAAwAC4ANAA2ADAAOAA3ACwAXAAiAE4AaQB0AHIAbwBnAGUAbgAgAC0AIABBAG0AbQBvAG4AaQBhAGMAYQBsAFwAIgAsADAALgAwADkAMgAsAFwAIgBOAGkAdAByAG8AZwBlAG4AIAAtACAATgBpAHQAcgBhAHQAZQBcACIALAAwAC4AMAA3ADYALABcACIAUwB1AGwAZgB1AHIAIAAtACAARwBlAG4AZQByAGkAYwBcACIALAAwAC4AMAAyACwAXAAiAFwAIgAsAFwAIgBcACIALABcACIAXAAiACwAXAAiAFwAIgAsAFwAIgBcACIALABcACIAXAAiACwAXAAiAFwAIgAsAFwAIgBcACIALABcACIAXAAiACwAXAAiAFwAIgAsAFwAIgBcACIALABcACIAXAAiADsAXABuAFwAIgBJAG0AcABhAGMAdAAgAEYAZQByAHQAaQBsAGkAcwBlAHIAcwBcACIALABcACIASQBtAHAAYQBjAHQAIABTAFMAU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FMAdwBpAHQAYwBoACAAQQBnAFwAIgAsAFwAIgBJAG4AIABDAHIAbwBwAFwAIgAsAFwAIgBMAFwAIgAsADEALgAyACwAXAAiAFwAIgAsAFwAIgBcACIALABcACIAXAAiACwAMQAwACwAMQAsADEAMQAsAFwAIgBcACIALABcACIAUABvAHQAYQBzAHMAaQB1AG0AIAAtACAARwBlAG4AZQByAGkAYwBcACIALAAwAC4AMQAxACwAXAAiAE4AaQB0AHIAbwBnAGUAbgAgAC0AIABHAGUAbgBlAHIAaQBjAFwAIgAsADAALgAxACwAXAAiAFAAaABvAHMAcABoAG8AcgB1AHMAIAAtACAARwBlAG4AZQByAGkAYwBcACIALAAwAC4AMAAxACwAXAAiAFwAIgAsAFwAIgBcACIALABcACIAXAAiACwAXAAiAFwAIgAsAFwAIgBcACIALABcACIAXAAiACwAXAAiAFwAIgAsAFwAIgBcACIALABcACIAXAAiACwAXAAiAFwAIgAsAFwAIgBcACIALABcACIAXAAiACwAXAAiAFwAIgAsAFwAIgBcACIAOwBcAG4AXAAiAFMAdwBpAHQAYwBoACAAQQBnAFwAIgAsAFwAIgBLADIAMABcACIALABcACIATABcACIALAAxAC4AMwAsAFwAIgBcACIALABcACIAXAAiACwAXAAiAFwAIgAsADMALABcACIAXAAiACwAMgAyACwAXAAiAFwAIgAsAFwAIgBQAG8AdABhAHMAcwBpAHUAbQAgAC0AIABHAGUAbgBlAHIAaQBjAFwAIgAsADAALgAyADIALABcACIATgBpAHQAcgBvAGcAZQBuACAALQAgAEcAZQBuAGUAcgBpAGMAXAAiACwAMAAuADAAMwAsAFwAIgBcACIALABcACIAXAAiACwAXAAiAFwAIgAsAFwAIgBcACIALABcACIAXAAiACwAXAAiAFwAIgAsAFwAIgBcACIALABcACIAXAAiACwAXAAiAFwAIgAsAFwAIgBcACIALABcACIAXAAiACwAXAAiAFwAIgAsAFwAIgBcACIALABcACIAXAAiACwAXAAiAFwAIgAsAFwAIgBcACIAOwBcAG4AXAAiAEwAbwB2AGUAbABhAG4AZAAgAEEAZwByAGkAcAByAG8AZAB1AGMAdABzAFwAIgAsAFwAIgBNAGEAeABpAG0AdQBtACAATgAtAFAAYQBjAHQAXAAiACwAXAAiAEwAXAAiACwAMQAuADEAOAA1ACwAXAAiAFwAIgAsAFwAIgBcACIALABcACIAXAAiACwAMgAzAC4AOAAsAFwAIgBcACIALABcACIAXAAiACwAXAAiAFwAIgAsAFwAIgBVAHIAZQBhAFwAIgAsADAALgA1ADEANwAzADkAMQAsAFwAIgBcACIALABcACIAXAAiACwAXAAiAFwAIgAsAFwAIgBcACIALABcACIAXAAiACwAXAAiAFwAIgAsAFwAIgBcACIALABcACIAXAAiACwAXAAiAFwAIgAsAFwAIgBcACIALABcACIAXAAiACwAXAAiAFwAIgAsAFwAIgBcACIALABcACIAXAAiACwAXAAiAFwAIgAsAFwAIgBcACIALABcACIAXAAiACwAXAAiAFwAIgA7AFwAbgBcACIAUwBMACAAVABlAGMAXAAiACwAXAAiAE4AaQB0AHIAbwAgAEMAbwBtAGIAaQAgAFQARQBcACIALABcACIATABcACIALAAxAC4AMgA1ADUALABcACIAXAAiACwAXAAiAFwAIgAsAFwAIgBcACIALABcACIAXAAiACwAXAAiAFwAIgAsADAALgAxACwANAAuADQALABcACIAUwB1AGwAZgB1AHIAIAAtACAARwBlAG4AZQByAGkAYwBcACIALAAwAC4AMAA0ADQALABcACIAWgBpAG4AYwBcACIALAAwAC4AMAAyADIALABcACIASQByAG8AbgBcACIALAAwAC4AMAAyADIALABcACIATQBhAG4AZwBhAG4AZQBzAGUAXAAiACwAMAAuADAAMQA2ACwAXAAiAEIAbwByAG8AbgBcACIALAAwAC4AMAAwADgALABcACIATQBhAGcAbgBlAHMAaQB1AG0AXAAiACwAMAAuADAAMAA3ACwAXAAiAEYAdQBsAHYAaQBjACAAYQBjAGkAZAAgACgAbwByAGcAYQBuAGkAYwApAFwAIgAsADAALgAwADAANQAsAFwAIgBDAG8AcABwAGUAcgBcACIALAAwAC4AMAAwADMALABcACIAUABvAHQAYQBzAHMAaQB1AG0AIAAtACAARwBlAG4AZQByAGkAYwBcACIALAAwAC4AMAAwADEALABcACIATQBvAGwAeQBiAGQAZQBuAHUAbQBcACIALAAwAC4AMAAwADAAMwA7AFwAbgBcACIAUwB3AGkAdABjAGgAIABBAGcAXAAiACwAXAAiAFAAYQBzAHQAdQByAGUATQBBAFgAWABcACIALABcACIATABcACIALAAxAC4AMgAzACwAXAAiAFwAIgAsAFwAIgBcACIALABcACIAXAAiACwAOQAuADcAMQAsAFwAIgBcACIALAAzAC4AMgA1ACwAMgAuADEAMQAsAFwAIgBOAGkAdAByAG8AZwBlAG4AIAAtACAARwBlAG4AZQByAGkAYwBcACIALAAwAC4AMAA5ADcAMQAsAFwAIgBQAG8AdABhAHMAcwBpAHUAbQAgAC0AIABHAGUAbgBlAHIAaQBjAFwAIgAsADAALgAwADMAMgA1ACwAXAAiAFMAdQBsAGYAdQByACAALQAgAEcAZQBuAGUAcgBpAGMAXAAiACwAMAAuADAAMgAxADEALABcACIAWgBpAG4AYwBcACIALAAwAC4AMAAxADUALABcACIASQByAG8AbgBcACIALAAwAC4AMAAxADEAMQAsAFwAIgBNAGEAbgBnAGEAbgBlAHMAZQBcACIALAAwAC4AMAAxADEANQAsAFwAIgBNAGEAZwBuAGUAcwBpAHUAbQBcACIALAAwAC4AMAAwADQANQAsAFwAIgBCAG8AcgBvAG4AXAAiACwAMAAuADAAMAAyACwAXAAiAFwAIgAsAFwAIgBcACIALABcACIAXAAiACwAXAAiAFwAIgA7AFwAbgBcACIAQwBhAG0AcABiAGUAbABsAHMAIABmAGUAcgB0AGkAbABpAHMAZQByAHMAIABBAHUAcwB0AHIAYQBsAGkAYQBcACIALABcACIAUABsAGEAdABpAG4AdQBtACAATgBlAHIAZwBlAHQAaQBjAFwAIgAsAFwAIgBrAGcAXAAiACwAMQAsAFwAIgBcACIALABcACIAXAAiACwAXAAiAFwAIgAsADEAMAAsADEAMAAuADkALAAxADAALAA0AC4AMwA0ACwAXAAiAE0AbwBuAG8AYQBtAG0AbwBuAGkAdQBtACAAcABoAG8AcwBwAGgAYQB0AGUAIAAoAE0AQQBQACkAXAAiACwAMAAuADQAMQA3ADgALABcACIAQQBtAG0AbwBuAGkAdQBtACAAbgBpAHQAcgBhAHQAZQAgACgAQQBOACkAXAAiACwAMAAuADEANwAyADgALABcACIAUABvAHQAYQBzAHMAaQB1AG0AIABzAHUAbABwAGgAYQB0AGUAXAAiACwAMAAuADIANAAwADkANgA0ACwAXAAiAEQAbwB1AGIAbABlACAAcwB1AHAAZQByAHAAaABvAHMAcABoAGEAdABlAFwAIgAsADAALgAxACwAXAAiAE0AYQBnAG4AZQBzAGkAdQBtAFwAIgAsADAALgAwADEAMgAsAFwAIgBaAGkAbgBjAFwAIgAsADAALgAwADAAMwA2ACwAXAAiAEIAbwByAG8AbgBcACIALAAwAC4AMAAwADEALABcACIARwBsAGEAegBlACAARQB4AHQAZQBuAGQAIABHADMAIABGAGwAZQB4AGkAXAAiACwAMAAuADAANQAxADkALABcACIAXAAiACwAXAAiAFwAIgAsAFwAIgBcACIALABcACIAXAAiADsAXABuAFwAIgBJAG0AcABhAGMAdAAgAEYAZQByAHQAaQBsAGkAcwBlAHIAcwBcACIALABcACIAUwB1AGwAcABoAGEAdABlACAAbwBmACAAYQBtAG0AbwBuAGkAYQAgACgAUwBPAEEAK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NAG8AbgBvAC0AQQBtAG0AbwBuAGkAdQBtACAAUABoAG8AcwBwAGgAYQB0AGUAIAAoAE0AQQBQACkAXAAiACwAXAAiAGsAZwBcACIALAAxACwAXAAiAFwAIgAsAFwAIgBcACIALABcACIAXAAiACwAMQAwACwAMgAxAC4AOQAsAFwAIgBcACIALAAxAC4ANQ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VAHIAZQBhAFwAIgAsAFwAIgBrAGcAXAAiACwAMQAsAFwAIgBcACIALABcACIAXAAiACwAXAAiAFwAIgAsADQANgAsAFwAIgBcACIALABcACIAXAAiACwAXAAiAFwAIgAsAFwAIgBVAHIAZQBhAFwAIgAsADEALABcACIAXAAiACwAXAAiAFwAIgAsAFwAIgBcACIALABcACIAXAAiACwAXAAiAFwAIgAsAFwAIgBcACIALABcACIAXAAiACwAXAAiAFwAIgAsAFwAIgBcACIALABcACIAXAAiACwAXAAiAFwAIgAsAFwAIgBcACIALABcACIAXAAiACwAXAAiAFwAIgAsAFwAIgBcACIALABcACIAXAAiACwAXAAiAFwAIgAsAFwAIgBcACIAOwBcAG4AXAAiAEsAbwBjAGgAIABGAGUAcgB0AGkAbABpAHMAZQByACAAQQB1AHMAdAByAGEAbABpAGEAXAAiACwAXAAiAE0AdQByAGkAYQB0AGUAIABvAGYAIABwAG8AdABhAHMAaAAgACgATQBPAFAAKQ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VQByAGUAYQAgAEEAbQBtAG8AbgBpAHUAbQAgAG4AaQB0AHIAYQB0AGUAIAAoAFUAQQBOACAAMwAyAC0AMAAtADAAKQBcACIALABcACIATABcACIALAAxAC4AMwAyACwAXAAiAFwAIgAsAFwAIgBDAGgAaQBuAGEAXAAiACwAXAAiAEMAaABpAG4AYQ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QAG8AbAB5AHAAZQBwAHQAaQBkAGUAIABVAHIAZQBhAFwAIgAsAFwAIgBrAGcAXAAiACwAMQAsAFwAIgBcACIALABcACIAQwBoAGkAbgBhAFwAIgAsAFwAIgBcACIALAA0ADYALABcACIAXAAiACwAXAAiAFwAIgAsAFwAIgBcACIALABcACIAVQByAGUAYQBcACIALAAxACwAXAAiAFAAbwBsAHkAcABlAHAAdABpAGQAZQAgACgAYQBtAGkAbgBvACAAYQBjAGkAZABzACkAXAAiACwAMA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QwBBAEwAQwBJAE4ASQBUAFwAIgAsAFwAIgBrAGcAXAAiACwAMQAsAFwAIgBcACIALABcACIAXAAiACwAXAAiAFwAIgAsADEANQAuADUALABcACIAXAAiACwAXAAiAFwAIgAsAFwAIgBcACIALABcACIAQwBhAGwAYwBpAHUAbQAgAG4AaQB0AHIAYQB0AGUAXAAiACwAMQAsAFwAIgBcACIALABcACIAXAAi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EwAaQB2AGEAIABOAEkAVABSAEEAQgBPAFIAXAAiACwAXAAiAGsAZwBcACIALAAxACwAXAAiAFwAIgAsAFwAIgBcACIALABcACIAXAAiACwAMQA1AC4ANAAsAFwAIgBcACIALABcACIAXAAiACwAXAAiAFwAIgAsAFwAIgBDAGEAbABjAGkAdQBtACAAbgBpAHQAcgBhAHQAZQBcACIALAAwAC4AOQA5ADMANQA0ADgALABcACIAQgBvAHIAbwBuAFwAIgAsADAALgAwADAAMw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NAGkAbABhACAAQwBPAE0AUABMAEUAWABcACIALABcACIAawBnAFwAIgAsADEALABcACIAXAAiACwAXAAiAFwAIgAsAFwAIgBcACIALAAxADIALAA1ACwAMQA1ACwAOAAsAFwAIgBOAGkAdAByAG8AZwBlAG4AIAAtACAATgBpAHQAcgBhAHQAZQBcACIALAAwAC4AMAA1ACwAXAAiAE4AaQB0AHIAbwBnAGUAbgAgAC0AIABBAG0AbQBvAG4AaQBhAGMAYQBsAFwAIgAsADAALgAwADcALABcACIAUABoAG8AcwBwAGgAbwByAHUAcwAgAC0AIABHAGUAbgBlAHIAaQBjAFwAIgAsADAALgAwADUALABcACIAUABvAHQAYQBzAHMAaQB1AG0AIAAtACAARwBlAG4AZQByAGkAYwBcACIALAAwAC4AMQA1ACwAXAAiAFMAdQBsAGYAdQByACAALQAgAEcAZQBuAGUAcgBpAGMAXAAiACwAMAAuADAAOAAsAFwAIgBNAGEAZwBuAGUAcwBpAHUAbQBcACIALAAwAC4AMAAxADYALABcACIAWgBpAG4AYwBcACIALAAwAC4AMAAwADAAMgAsAFwAIgBCAG8AcgBvAG4AXAAiACwAMAAuADAAMAAwADEANQAsAFwAIgBcACIALABcACIAXAAiACwAXAAiAFwAIgAsAFwAIgBcACIAOwBcAG4AXAAiAFkAYQByAGEAIABBAHUAcwB0AHIAYQBsAGkAYQBcACIALABcACIAWQBhAHIAYQBSAGUAZwBhACAAOQAtADAALQAzADAAIAAoADEANAApAFwAIgAsAFwAIgBrAGcAXAAiACwAMQAsAFwAIgBcACIALABcACIAXAAiACwAXAAiAFwAIgAsADkALABcACIAXAAiACwAMwAwACwAMQA0ACwAXAAiAFAAbwB0AGEAcwBzAGkAdQBtACAALQAgAEcAZQBuAGUAcgBpAGMAXAAiACwAMAAuADMALABcACIAUwB1AGwAZgB1AHIAIAAtACAARwBlAG4AZQByAGkAYwBcACIALAAwAC4AMQA0ACwAXAAiAE4AaQB0AHIAbwBnAGUAbgAgAC0AIABOAGkAdAByAGEAdABlAFwAIgAsADAALgAwADQANQAsAFwAIgBOAGkAdAByAG8AZwBlAG4AIAAtACAAQQBtAG0AbwBuAGkAYQBjAGEAbABcACIALAAwAC4AMAA0ADUALABcACIAXAAiACwAXAAiAFwAIgAsAFwAIgBcACIALABcACIAXAAiACwAXAAiAFwAIgAsAFwAIgBcACIALABcACIAXAAiACwAXAAiAFwAIgAsAFwAIgBcACIALABcACIAXAAiACwAXAAiAFwAIgAsAFwAIgBcACIAOwBcAG4AXAAiAFkAYQByAGEAIABBAHUAcwB0AHIAYQBsAGkAYQBcACIALABcACIAWQBhAHIAYQBSAGUAZwBhACAAMQAzAC0AMgAtADIAMQBcACIALABcACIAawBnAFwAIgAsADEALABcACIAXAAiACwAXAAiAFwAIgAsAFwAIgBcACIALAAxADMALAAxAC4ANwA1ACwAMgAxACwAMQAwAC4AOAAsAFwAIgBQAG8AdABhAHMAcwBpAHUAbQAgAC0AIABHAGUAbgBlAHIAaQBjAFwAIgAsADAALgAyADEALABcACIAUwB1AGwAZgB1AHIAIAAtACAARwBlAG4AZQByAGkAYwBcACIALAAwAC4AMQAwADgALABcACIATgBpAHQAcgBvAGcAZQBuACAALQAgAEEAbQBtAG8AbgBpAGEAYwBhAGwAXAAiACwAMAAuADAANwA3ACwAXAAiAE4AaQB0AHIAbwBnAGUAbgAgAC0AIABOAGkAdAByAGEAdABlAFwAIgAsADAALgAwADUAMwAsAFwAIgBQAGgAbwBzAHAAaABvAHIAdQBzACAALQAgAEcAZQBuAGUAcgBpAGMAXAAiACwAMAAuADAAMQA3ADUALABcACIATQBhAGcAbgBlAHMAaQB1AG0AXAAiACwAMAAuADAAMAA0ACwAXAAiAFoAaQBuAGMAXAAiACwAMAAuADAAMAAwADgALABcACIAQgBvAHIAbwBuAFwAIgAsADAALgAwADAAMAA4ACwAXAAiAFwAIgAsAFwAIgBcACIALABcACIAXAAiACwAXAAiAFwAIgA7AFwAbgBcACIAWQBhAHIAYQAgAEEAdQBzAHQAcgBhAGwAaQBhAFwAIgAsAFwAIgBZAGEAcgBhAFIAZQBnAGEAIAAxADUALQA3AC0AMQAzACAAKAA3AFMAKQBcACIALABcACIAawBnAFwAIgAsADEALABcACIAXAAiACwAXAAiAFwAIgAsAFwAIgBcACIALAAxADUALAA2AC4ANQAsADEAMgAuADUALAA3AC4AMgAsAFwAIgBOAGkAdAByAG8AZwBlAG4AIAAtACAATgBpAHQAcgBhAHQAZQBcACIALAAwAC4AMAA5ADUALABcACIAUABvAHQAYQBzAHMAaQB1AG0AIAAtACAARwBlAG4AZQByAGkAYwBcACIALAAwAC4AMQAyADUALABcACIAUwB1AGwAZgB1AHIAIAAtACAARwBlAG4AZQByAGkAYwBcACIALAAwAC4AMAA3ADIALABcACIAUABoAG8AcwBwAGgAbwByAHUAcwAgAC0AIABHAGUAbgBlAHIAaQBjAFwAIgAsADAALgAwADYANQAsAFwAIgBOAGkAdAByAG8AZwBlAG4AIAAtACAAQQBtAG0AbwBuAGkAYQBjAGEAbABcACIALAAwAC4AMAA1ADUALABcACIATQBhAGcAbgBlAHMAaQB1AG0AXAAiACwAMAAuADAAMAA2ADYALABcACIAQgBvAHIAbwBuAFwAIgAsADAALgAwADAAMQAsAFwAIgBaAGkAbgBjAFwAIgAsADAALgAwADAAMAA2ACwAXAAiAFwAIgAsAFwAIgBcACIALABcACIAXAAiACwAXAAiAFwAIgA7AFwAbgBcACIAWQBhAHIAYQAgAEEAdQBzAHQAcgBhAGwAaQBhAFwAIgAsAFwAIgBZAGEAcgBhAFQAZQByAGEAIABDAEEATABDAEkATgBJAFQAIABCAFwAIgAsAFwAIgBrAGcAXAAiACwAMQAsAFwAIgBcACIALABcACIAXAAiACwAXAAiAFwAIgAsADEANQAuADUALABcACIAXAAiACwAXAAiAFwAIgAsAFwAIgBcACIALABcACIAQwBhAGwAYwBpAHUAbQAgAG4AaQB0AHIAYQB0AGUAXAAiACwAMQAsAFwAIgBCAG8AcgBvAG4AXAAiACwAMAAuADAAMAAx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FQAZQByAGEAIABLAFIASQBTAFQAQQAg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TABPAE4AIABSAEUARABcACIALABcACIAawBnAFwAIgAsADEALABcACIAXAAiACwAXAAiAFwAIgAsAFwAIgBcACIALAAxADIALAA1AC4AMgAsADIAOQAuADkALAAxACwAXAAiAFAAbwB0AGEAcwBzAGkAdQBtACAALQAgAEcAZQBuAGUAcgBpAGMAXAAiACwAMAAuADIAOQA5ACwAXAAiAE4AaQB0AHIAbwBnAGUAbgAgAC0AIABOAGkAdAByAGEAdABlAFwAIgAsADAALgAxADAAMQAsAFwAIgBQAGgAbwBzAHAAaABvAHIAdQBzACAALQAgAEcAZQBuAGUAcgBpAGMAXAAiACwAMAAuADAANQAyACwAXAAiAE4AaQB0AHIAbwBnAGUAbgAgAC0AIABBAG0AbQBvAG4AaQBhAGMAYQBsAFwAIgAsADAALgAwADEAOQAsAFwAIgBTAHUAbABmAHUAcgAgAC0AIABHAGUAbgBlAHIAaQBjAFwAIgAsADAALgAwADEALABcACIATQBhAGcAbgBlAHMAaQB1AG0AXAAiACwAMAAuADAAMAA2ACwAXAAiAEkAcgBvAG4AXAAiACwAMAAuADAAMAAwADcALABcACIATQBhAG4AZwBhAG4AZQBzAGUAXAAiACwAMAAuADAAMAAwADQALABcACIAWgBpAG4AYwBcACIALAAwAC4AMAAwADAAMgA1ACwAXAAiAEIAbwByAG8AbgBcACIALAAwAC4AMAAwADAAMgA1ADsAXABuAFwAIgBZAGEAcgBhACAAQQB1AHMAdAByAGEAbABpAGEAXAAiACwAXAAiAFkAYQByAGEAVABlAHIAYQAgAEsAUgBJAFMAVABBAEwATwBOACAAUwBQAEUAQwBJAEEATABcACIALABcACIAawBnAFwAIgAsADEALABcACIAXAAiACwAXAAiAFwAIgAsAFwAIgBcACIALAAxADgALAA3AC4AOQAsADEANAAuADkALAAyACwAXAAiAFAAbwB0AGEAcwBzAGkAdQBtACAALQAgAEcAZQBuAGUAcgBpAGMAXAAiACwAMAAuADEANAA5ACwAXAAiAFUAcgBlAGEAXAAiACwAMAAuADIAMQAzADAANAAzACwAXAAiAFAAaABvAHMAcABoAG8AcgB1AHMAIAAtACAARwBlAG4AZQByAGkAYwBcACIALAAwAC4AMAA3ADkALABcACIATgBpAHQAcgBvAGcAZQBuACAALQAgAE4AaQB0AHIAYQB0AGUAXAAiACwAMAAuADAANAA5ACwAXAAiAE4AaQB0AHIAbwBnAGUAbgAgAC0AIABBAG0AbQBvAG4AaQBhAGMAYQBsAFwAIgAsADAALgAwADMAMwAsAFwAIgBTAHUAbABmAHUAcgAgAC0AIABHAGUAbgBlAHIAaQBjAFwAIgAsADAALgAwADIALABcACIATQBhAGcAbgBlAHMAaQB1AG0AXAAiACwAMAAuADAAMQA4ACwAXAAiAEkAcgBvAG4AXAAiACwAMAAuADAAMAAwADcALABcACIATQBhAG4AZwBhAG4AZQBzAGUAXAAiACwAMAAuADAAMAAwADQALABcACIAWgBpAG4AYwBcACIALAAwAC4AMAAwADAAMgA1AFwAbgAgACAAfQAsACAAcgAsACAAYwApAFwAbgAgACkAKQApAFwAbgBcAG4AXABuAEYAZQByAHQAaQBsAGkAcwBlAHIAXwBQAHIAbwBkAHUAYwB0AHMAXwBEAGEAdABhADMAXABuAD0ATABBAE0AQgBEAEEAKABcAG4AIABNAEEASwBFAEEAUgBSAEEAWQAoADMAMAAsACAAMwAxACwAXABuACAATABBAE0AQgBEAEEAKAByACwAYwAsAFwAbgAgACAASQBOAEQARQBYACgAewBcAG4AXAAiAFkAYQByAGEAIABBAHUAcwB0AHIAYQBsAGkAYQBcACIALABcACIAWQBhAHIAYQBNAGkAbABhACAAMgAxAC0ANwAtADMAKAA0ACkAXAAiACwAXAAiAGsAZwBcACIALAAxACwAXAAiAFwAIgAsAFwAIgBcACIALABcACIAXAAiACwAMgAxACwANwAuADQALAAyAC4ANQAsADQALABcACIATgBpAHQAcgBvAGcAZQBuACAALQAgAE4AaQB0AHIAYQB0AGUAXAAiACwAMAAuADEAMAA1ACwAXAAiAE4AaQB0AHIAbwBnAGUAbgAgAC0AIABBAG0AbQBvAG4AaQBhAGMAYQBsAFwAIgAsADAALgAxADAANQAsAFwAIgBQAGgAbwBzAHAAaABvAHIAdQBzACAALQAgAEcAZQBuAGUAcgBpAGMAXAAiACwAMAAuADAANwA0ACwAXAAiAFMAdQBsAGYAdQByACAALQAgAEcAZQBuAGUAcgBpAGMAXAAiACwAMAAuADAANAAsAFwAIgBQAG8AdABhAHMAcwBpAHUAbQAgAC0AIABHAGUAbgBlAHIAaQBjAFwAIgAsADAALgAwADIANQAsAFwAIgBNAGEAZwBuAGUAcwBpAHUAbQBcACIALAAwAC4AMAAwADQALABcACIAWgBpAG4AYwBcACIALAAwAC4AMAAwADEANQAsAFwAIgBcACIALABcACIAXAAiACwAXAAiAFwAIgAsAFwAIgBcACIALABcACIAXAAiACwAXAAiAFwAIgA7AFwAbgBcACIAWQBhAHIAYQAgAEEAdQBzAHQAcgBhAGwAaQBhAFwAIgAsAFwAIgBZAGEAcgBhAFQAZQByAGEAIABLAFIASQBTAFQAQQBMAE8ATgAgAFMAQwBBAFIATABFAFQAXAAiACwAXAAiAGsAZwBcACIALAAxACwAXAAiAFwAIgAsAFwAIgBcACIALABcACIAXAAiACwANwAuADUALABcACIAXAAiACwAMgA5AC4AOQAsADQALABcACIAUABvAHQAYQBzAHMAaQB1AG0AIAAtACAARwBlAG4AZQByAGkAYwBcACIALAAwAC4AMgA5ADkALABcACIATgBpAHQAcgBvAGcAZQBuACAALQAgAE4AaQB0AHIAYQB0AGUAXAAiACwAMAAuADAANQAyACwAXAAiAFMAdQBsAGYAdQByACAALQAgAEcAZQBuAGUAcgBpAGMAXAAiACwAMAAuADAANAAsAFwAIgBNAGEAZwBuAGUAcwBpAHUAbQBcACIALAAwAC4AMAAyADcALABcACIATgBpAHQAcgBvAGcAZQBuACAALQAgAEEAbQBtAG8AbgBpAGEAYwBhAGwAXAAiACwAMAAuADAAMgAzACwAXAAiAFwAIgAsAFwAIgBcACIALABcACIAXAAiACwAXAAiAFwAIgAsAFwAIgBcACIALABcACIAXAAiACwAXAAiAFwAIgAsAFwAIgBcACIALABcACIAXAAiACwAXAAiAFwAIgA7AFwAbgBcACIAQwBhAG0AcABiAGUAbABsAHMAIABmAGUAcgB0AGkAbABpAHMAZQByAHMAIABBAHUAcwB0AHIAYQBsAGkAYQBcACIALABcACIAUwBvAGwAdQAt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MAbwBsAHUALQBTAGEAb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IAdQBzAHQAaQBjAGEAIABQAGwAdQBzAFwAIgAsAFwAIgBrAGcAXAAiACwAMQAsAFwAIgBcACIALABcACIAXAAiACwAXAAiAFwAIgAsADEAMgAsADUALAAxADQALAA5AC4ANwAsAFwAIgBQAG8AdABhAHMAcwBpAHUAbQAgAC0AIABHAGUAbgBlAHIAaQBjAFwAIgAsADAALgAxADQALABcACIAUwB1AGwAZgB1AHIAIAAtACAARwBlAG4AZQByAGkAYwBcACIALAAwAC4AMAA5ADcALABcACIATgBpAHQAcgBvAGcAZQBuACAALQAgAE4AaQB0AHIAYQB0AGUAXAAiACwAMAAuADAANgAsAFwAIgBOAGkAdAByAG8AZwBlAG4AIAAtACAAQQBtAG0AbwBuAGkAYQBjAGEAbABcACIALAAwAC4AMAA2ACwAXAAiAFAAaABvAHMAcABoAG8AcgB1AHMAIAAtACAARwBlAG4AZQByAGkAYwBcACIALAAwAC4AMAA1ACwAXAAiAEMAYQBsAGMAaQB1AG0AXAAiACwAMAAuADAAMwAxACwAXAAiAE0AYQBnAG4AZQBzAGkAdQBtAFwAIgAsADAALgAwADEAMgAsAFwAIgBaAGkAbgBjAFwAIgAsADAALgAwADAAMQAsAFwAIgBCAG8AcgBvAG4AXAAiACwAMAAuADAAMAAwADIALABcACIAXAAiACwAXAAiAFwAIgA7AFwAbgBcACIAQwBhAG0AcABiAGUAbABsAHMAIABmAGUAcgB0AGkAbABpAHMAZQByAHMAIABBAHUAcwB0AHIAYQBsAGkAYQBcACIALABcACIAUABsAGEAdABpAG4AdQBtACAAUABsAHUAcwBcACIALABcACIAawBnAFwAIgAsADEALABcACIAXAAiACwAXAAiAFwAIgAsAFwAIgBcACIALAAxADAALAAxADEALAAxADAALAA2ACwAXAAiAFAAaABvAHMAcABoAG8AcgB1AHMAIAAtACAARwBlAG4AZQByAGkAYwBcACIALAAwAC4AMQAxACwAXAAiAFAAbwB0AGEAcwBzAGkAdQBtACAALQAgAEcAZQBuAGUAcgBpAGMAXAAiACwAMAAuADEALABcACIAUwB1AGwAZgB1AHIAIAAtACAARwBlAG4AZQByAGkAYwBcACIALAAwAC4AMAA2ACwAXAAiAE4AaQB0AHIAbwBnAGUAbgAgAC0AIABOAGkAdAByAGEAdABlAFwAIgAsADAALgAwADUALABcACIATgBpAHQAcgBvAGcAZQBuACAALQAgAEEAbQBtAG8AbgBpAGEAYwBhAGwAXAAiACwAMAAuADAANQAsAFwAIgBDAGEAbABjAGkAdQBtAFwAIgAsADAALgAwADQAMwAsAFwAIgBNAGEAZwBuAGUAcwBpAHUAbQBcACIALAAwAC4AMAAxADIALABcACIAWgBpAG4AYwBcACIALAAwAC4AMAAwADMANgAsAFwAIgBCAG8AcgBvAG4AXAAiACwAMAAuADAAMAAxACwAXAAiAFwAIgAsAFwAIgBcACIAOwBcAG4AXAAiAEMAYQBtAHAAYgBlAGwAbABzACAAZgBlAHIAdABpAGwAaQBzAGUAcgBzACAAQQB1AHMAdAByAGEAbABpAGEAXAAiACwAXAAiAFQAcgBvAHAAaQBrAGEAXAAiACwAXAAiAGsAZwBcACIALAAxACwAXAAiAFwAIgAsAFwAIgBcACIALABcACIAXAAiACwAMQAxACwAMgAuADYALAAyADAALgA4ACwANAAsAFwAIgBOAGkAdAByAG8AZwBlAG4AIAAtACAATgBpAHQAcgBhAHQAZQBcACIALAAwAC4AMAA1ADUALABcACIATgBpAHQAcgBvAGcAZQBuACAALQAgAEEAbQBtAG8AbgBpAGEAYwBhAGwAXAAiACwAMAAuADAANQA1ACwAXAAiAFAAaABvAHMAcABoAG8AcgB1AHMAIAAtACAARwBlAG4AZQByAGkAYwBcACIALAAwAC4AMAAyADYALABcACIAUABvAHQAYQBzAHMAaQB1AG0AIAAtACAARwBlAG4AZQByAGkAYwBcACIALAAwAC4AMgAwADgALABcACIAUwB1AGwAZgB1AHIAIAAtACAARwBlAG4AZQByAGkAYwBcACIALAAwAC4AMAA0ACwAXAAiAE0AYQBnAG4AZQBzAGkAdQBtAFwAIgAsADAALgAwADIANAAsAFwAIgBcACIALABcACIAXAAiACwAXAAiAFwAIgAsAFwAIgBcACIALABcACIAXAAiACwAXAAiAFwAIgAsAFwAIgBcACIALABcACIAXAAiADsAXABuAFwAIgBDAGEAbQBwAGIAZQBsAGwAcwAgAGYAZQByAHQAaQBsAGkAcwBlAHIAcwAgAEEAdQBzAHQAcgBhAGwAaQBhAFwAIgAsAFwAIgBSAHUAcwB0AGkAYwBhACAATgBlAHIAZwBlAHQAaQBjAFwAIgAsAFwAIgBrAGcAXAAiACwAMQAsAFwAIgBcACIALABcACIAXAAiACwAXAAiAFwAIgAsADEAMgAsADUALgAyACwAMQA0AC4AMQAsADkALgA2ACwAXAAiAFAAbwB0AGEAcwBzAGkAdQBtACAALQAgAEcAZQBuAGUAcgBpAGMAXAAiACwAMAAuADEANAAxACwAXAAiAFMAdQBsAGYAdQByACAALQAgAEcAZQBuAGUAcgBpAGMAXAAiACwAMAAuADAAOQA2ACwAXAAiAE4AaQB0AHIAbwBnAGUAbgAgAC0AIABOAGkAdAByAGEAdABlAFwAIgAsADAALgAwADYALABcACIATgBpAHQAcgBvAGcAZQBuACAALQAgAEEAbQBtAG8AbgBpAGEAYwBhAGwAXAAiACwAMAAuADAANgAsAFwAIgBQAGgAbwBzAHAAaABvAHIAdQBzACAALQAgAEcAZQBuAGUAcgBpAGMAXAAiACwAMAAuADAANQAyACwAXAAiAE0AYQBnAG4AZQBzAGkAdQBtAFwAIgAsADAALgAwADEAMgAsAFwAIgBaAGkAbgBjAFwAIgAsADAALgAwADAAMAA4ACwAXAAiAEkAcgBvAG4AXAAiACwAMAAuADAAMAAwADcALABcACIATQBhAG4AZwBhAG4AZQBzAGUAXAAiACwAMAAuADAAMAAwADYALABcACIAQgBvAHIAbwBuAFwAIgAsADAALgAwADAAMAAyADsAXABuAFwAIgBDAGEAbQBwAGIAZQBsAGwAcwAgAGYAZQByAHQAaQBsAGkAcwBlAHIAcwAgAEEAdQBzAHQAcgBhAGwAaQBhAFwAIgAsAFwAIgBRAHUAaQBjAGsALQBOACAATgBlAHIAZwBlAHQAaQBjAFwAIgAsAFwAIgBrAGcAXAAiACwAMQAsAFwAIgBcACIALABcACIAXAAiACwAXAAiAFwAIgAsADIANQAsAFwAIgBcACIALABcACIAXAAiACwAMQAyAC4AOAAsAFwAIgBTAHUAbABwAGgAYQB0AGUAIABvAGYAIABhAG0AbQBvAG4AaQBhACAAKABTAE8AQQApAFwAIgAsADAALgA1ADMAMwAzADMAMwAsAFwAIgBBAG0AbQBvAG4AaQB1AG0AIABuAGkAdAByAGEAdABlACAAKABBAE4AKQBcACIALAAwAC4ANAAwADkANAA5ADYALABcACIAWgBpAG4AYwBcACIALAAwAC4AMAAwADEALABcACIATQBhAG4AZwBhAG4AZQBzAGUAXAAiACwAMAAuADAAMAAxACwAXAAiAEIAbwByAG8AbgBcACIALAAwAC4AMAAwADAAMQAsAFwAIgBNAG8AbAB5AGIAZABlAG4AdQBtAFwAIgAsADAALgAwADAAMAAwADEALABcACIAXAAiACwAXAAiAFwAIgAsAFwAIgBcACIALABcACIAXAAiACwAXAAiAFwAIgAsAFwAIgBcACIALABcACIAXAAiACwAXAAiAFwAIgA7AFwAbgBcACIARgBlAHIAdABQAHIAbwAgAE0AYQBuAHUAZgBhAGMAdAB1AHIAaQBuAGcAIABQAHQAeQAuACAATAB0AGQALgBcACIALABcACIAKABTAFMAUAApACAAUwBpAG4AZwBsAGUAIABTAHUAcABlAHIAIABGAGUAcgB0AGkAbABpAHMAZQBy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FoAaQBuAGMAUwB0AGEAcgBcACIALABcACIAawBnAFwAIgAsADEALABcACIAXAAiACwAXAAiAFwAIgAsAFwAIgBcACIALAAxADAALAAyADEALgA5ACwAMAAsADIALABcACIATQBvAG4AbwBhAG0AbQBvAG4AaQB1AG0AIABwAGgAbwBzAHAAaABhAHQAZQAgACgATQBBAFAAKQBcACIALAAxACwAXAAiAFoAaQBuAGMAXAAiACwAMAAuADAAMQAsAFwAIgBcACIALABcACIAXAAiACwAXAAiAFwAIgAsAFwAIgBcACIALABcACIAXAAiACwAXAAiAFwAIgAsAFwAIgBcACIALABcACIAXAAiACwAXAAiAFwAIgAsAFwAIgBcACIALABcACIAXAAiACwAXAAiAFwAIgAsAFwAIgBcACIALABcACIAXAAiACwAXAAiAFwAIgAsAFwAIgBcACIAOwBcAG4AXAAiAEIAYQBpAGwAZQB5AHMAIAAoAFMAaQBtAHAAbABvAHQAKQAgAFsAbABpAHMAdABlAGQAIABhAHMAIABJAG0AcABhAGMAdABdAFwAIgAsAFwAIgBBAHAAZQB4ACAARwBhAEkAWABlACAATABvAHcAIABQACAAMgAxAC0AMQAtADYAXAAiACwAXAAiAGsAZwBcACIALAAxACwAXAAiAFwAIgAsAFwAIgBcACIALABcACIAXAAiACwAMgAxACwAMAAuADgANgAsADUALgA4ACwANAAuADIALABcACIATgBpAHQAcgBvAGcAZQBuACAALQAgAEcAZQBuAGUAcgBpAGMAXAAiACwAMAAuADIAMQAsAFwAIgBQAG8AdABhAHMAcwBpAHUAbQAgAC0AIABHAGUAbgBlAHIAaQBjAFwAIgAsADAALgAwADUAOAAsAFwAIgBTAHUAbABmAHUAcgAgAC0AIABHAGUAbgBlAHIAaQBjAFwAIgAsADAALgAwADQAMgAsAFwAIgBQAGgAbwBzAHAAaABvAHIAdQBzACAALQAgAEcAZQBuAGUAcgBpAGMAXAAiACwAMAAuADAAMAA4ADYALABcACIAXAAiACwAXAAiAFwAIgAsAFwAIgBcACIALABcACIAXAAiACwAXAAiAFwAIgAsAFwAIgBcACIALABcACIAXAAiACwAXAAiAFwAIgAsAFwAIgBcACIALABcACIAXAAiACwAXAAiAFwAIgAsAFwAIgBcACIAOwBcAG4AXAAiAEkAbgBjAGkAdABlAGMAIABQAGkAdgBvAHQAIABGAGUAcgB0AGkAbABpAHMAZQByAHMAXAAiACwAXAAiAFMAdQBQAGUAcgBmAGUAYwB0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FsAbABpAHMAdABlAGQAIABhAHMAIABTAHUAbQBtAGkAdABdAFwAIgAsAFwAIgBCAGkAZwAgAE4AXAAiACwAXAAiAGsAZwBcACIALAAxACwAXAAiAFwAIgAsAFwAIgBcACIALABcACIAXAAiACwAOAAyAC4AMwA1ACwAXAAiAFwAIgAsAFwAIgBcACIALABcACIAXAAiACwAXAAiAEEAbQBtAG8AbgBp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QBuAHQAZQBjACAAVQByAGUAYQBcACIALABcACIAawBnAFwAIgAsADEALABcACIAWQBlAHM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CAAKABvAHIAIABSAGEAdgBlAG4AcwBkAG8AdwBuACAALQAgAHMAZQBlACAAbgBvAHQAZQApAFwAIgAsAFwAIgBGAGwAZQB4AGkALQBOACAATgBJACAAbwBuAGwAeQBcACIALABcACIAawBnAFwAIgAsADEALABcACIAWQBlAHMAXAAiACwAXAAiAFwAIgAsAFwAIgBcACIALAA0ADUALgA1ADQALABcACIAXAAiACwAXAAiAFwAIgAsAFwAIgBcACIALABcACIAVQByAGUAYQBcACIALAAwAC4AOQA5ACwAXAAiAFUAcgBlAGEAcwBlAC8AbgBpAHQAcgBpAGYAaQBjAGEAdABpAG8AbgAgAGkAbgBoAGkAYgBpAHQAbwByAFwAIgAsADAALgAwADEALABcACIAXAAiACwAXAAiAFwAIgAsAFwAIgBcACIALABcACIAXAAiACwAXAAiAFwAIgAsAFwAIgBcACIALABcACIAXAAiACwAXAAiAFwAIgAsAFwAIgBcACIALABcACIAXAAiACwAXAAiAFwAIgAsAFwAIgBcACIALABcACIAXAAiACwAXAAiAFwAIgAsAFwAIgBcACIALABcACIAXAAiADsAXABuAFwAIgBOAHUAdAByAGkALQBUAGUAYwBoACAAUwBvAGwAdQB0AGkAbwBuAHMAIAAoAE4AVABTACkAXAAiACwAXAAiAE0AdQByAGkAYQB0AGUAIABPAGYAIABQAG8AdABhAHMAaAAgAE0ATwBQAFwAIgAsAFwAIgBrAGcAXAAiACwAMQAsAFwAIgBcACIALABcACIAXAAiACwAXAAiAFwAIgAsAFwAIgBcACIALABcACIAXAAiACwANQAwACwAXAAiAFwAIgAsAFwAIgBNAHUAcgBpAGEAdABlACAAbwBmACAAcABvAHQAYQBzAGgAIAAoAE0ATwBQACkAXAAiACwAMQAsAFwAIgBcACIALABcACIAXAAiACwAXAAiAFwAIgAsAFwAIgBcACIALABcACIAXAAiACwAXAAiAFwAIgAsAFwAIgBcACIALABcACIAXAAiACwAXAAiAFwAIgAsAFwAIgBcACIALABcACIAXAAiACwAXAAiAFwAIgAsAFwAIgBcACIALABcACIAXAAiACwAXAAiAFwAIgAsAFwAIgBcACIALABcACIAXAAiACwAXAAiAFwAIgA7AFwAbgBcACIATgB1AHQAdQByAGYAXAAiACwAXAAiAE0AQQBQACAATgBVAFQAVQBSAEYAXAAiACwAXAAiAGsAZwBcACIALAAxACwAXAAiAFwAIgAsAFwAIgBcACIALABcACIAXAAiACwAMQAwACwAMgAxAC4AOQAsAFwAIgBcACIALABcACIAXAAiACwAXAAiAE0AbwBuAG8AYQBtAG0AbwBuAGkAdQBtACAAcABoAG8AcwBwAGgAYQB0AGUAIAAoAE0AQQBQACkAXAAiACwAM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UQB1AGkAYwBrAC0ATgBcACIALABcACIAawBnAFwAIgAsADEALABcACIAXAAiACwAXAAiAFwAIgAsAFwAIgBcACIALAAyADYALABcACIAXAAiACwAXAAiAFwAIgAsADEAMwAsAFwAIgBTAHUAbABwAGgAYQB0AGUAIABvAGYAIABhAG0AbQBvAG4AaQBhACAAKABTAE8AQQApAFwAIgAsADAALgA1ADQAMQA2ADYANwAsAFwAIgBBAG0AbQBvAG4AaQB1AG0AIABuAGkAdAByAGEAdABlACAAKABBAE4AKQBcACIALAAwAC4ANAAzADMAOQA3ADYALABcACIAXAAiACwAXAAiAFwAIgAsAFwAIgBcACIALABcACIAXAAiACwAXAAiAFwAIgAsAFwAIgBcACIALABcACIAXAAiACwAXAAiAFwAIgAsAFwAIgBcACIALABcACIAXAAiACwAXAAiAFwAIgAsAFwAIgBcACIALABcACIAXAAiACwAXAAiAFwAIgAsAFwAIgBcACIALABcACIAXAAiADsAXABuAFwAIgBTAEwAVABFAEMAIABGAGUAcgB0AGkAbABpAHoAZQByAHMAXAAiACwAXAAiAFUAQQBTAFwAIgAsAFwAIgBMAFwAIgAsADEALgAyADMANQAsAFwAIgBcACIALABcACIAXAAiACwAXAAiAFwAIgAsADIANgAuADYALABcACIAXAAiACwAXAAiAFwAIgAsADYALgA3ACwAXAAiAFUAcgBlAGEAXAAiACwAMAAuADQANQAwADgAMQA1ACwAXAAiAFMAdQBsAHAAaABhAHQAZQAgAG8AZgAgAGEAbQBtAG8AbgBpAGEAIAAoAFMATwBBACkAXAAiACwAMAAuADIANwA5ADEANgA3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UAHIAaQBhAHoAbwBuAGUAIABVAHIAZQBhAFwAIgAsAFwAIgBMAFwAIgAsADEALgAyADgALABcACIAXAAiACwAXAAiAFwAIgAsAFwAIgBcACIALAAwACwAXAAiAFwAIgAsAFwAIgBcACIALABcACIAXAAiACwAXAAiAFUAcgBlAGEAXAAiACwAMAAuADYANQAyADEANwA0ACwAXAAiAFwAIgAsAFwAIgBcACIALABcACIAXAAiACwAXAAiAFwAIgAsAFwAIgBcACIALABcACIAXAAiACwAXAAiAFwAIgAsAFwAIgBcACIALABcACIAXAAiACwAXAAiAFwAIgAsAFwAIgBcACIALABcACIAXAAiACwAXAAiAFwAIgAsAFwAIgBcACIALABcACIAXAAiACwAXAAiAFwAIgAsAFwAIgBcACIALABcACIAXAAiADsAXABuAFwAIgBNAGEAcgBuAGMAbwAgAFsAbABpAHMAdABlAGQAIABhAHMAIABTAEwAVABFAEMAXQBcACIALABcACIAQQBtAG0AbwAgADMANgBOAFwAIgAsAFwAIgBrAGcAXAAiACwAMQAsAFwAIgBcACIALABcACIAXAAiACwAXAAiAFwAIgAsADMANgAsAFwAIgBcACIALABcACIAXAAiACwAOQAuADYALABcACIATgBpAHQAcgBvAGcAZQBuACAALQAgAEcAZQBuAGUAcgBpAGMAXAAiACwAMAAuADMANgAsAFwAIgBTAHUAbABmAHUAcgAgAC0AIABHAGUAbgBlAHIAaQBjAFwAIgAsADAALgAwADkAN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gBpAHMAcwBvACAATABpAHEAdQBpAGQAIABOAFAASwAgACgAMgAwADAALQAyADAAMAAtADIAMAAwACkAXAAiACwAXAAiAEwAXAAiACwAMQAuADMALABcACIAXAAiACwAXAAiAFwAIgAsAFwAIgBcACIALAAyADAALAA4AC4ANwAzACwAMQA2AC4ANgAsAFwAIgBcACIALABcACIATgBpAHQAcgBvAGcAZQBuACAALQAgAEcAZQBuAGUAcgBpAGMAXAAiACwAMAAuADIALABcACIAUABoAG8AcwBwAGgAbwByAHUAcwAgAC0AIABHAGUAbgBlAHIAaQBjAFwAIgAsADAALgAwADgANwAyADgALABcACIAUABvAHQAYQBzAHMAaQB1AG0AIAAtACAARwBlAG4AZQByAGkAYwBcACIALAAwAC4AMQA2ADYAMAAyACwAXAAiAFwAIgAsAFwAIgBcACIALABcACIAXAAiACwAXAAiAFwAIgAsAFwAIgBcACIALABcACIAXAAiACwAXAAiAFwAIgAsAFwAIgBcACIALABcACIAXAAiACwAXAAiAFwAIgAsAFwAIgBcACIALABcACIAXAAiACwAXAAiAFwAIgAsAFwAIgBcACIAOwBcAG4AXAAiAFQAdQByAGYAIABHAHIAbwB1AHAAIABBAHUAcwB0AHIAYQBsAGkAYQAgACgAUwBpAG0AcABsAG8AdAApAFwAIgAsAFwAIgBTAHUAcABlAHIAIABDAGEAbAAgADEANQAtADAALQAxADIAXAAiACwAXAAiAGsAZwBcACIALAAxACwAXAAiAFwAIgAsAFwAIgBcACIALABcACIAXAAiACwAMQA1ACwAXAAiAFwAIgAsADkALgA5ADYALABcACIAXAAiACwAXAAiAE4AaQB0AHIAbwBnAGUAbgAgAC0AIABOAGkAdAByAGEAdABlAFwAIgAsADAALgAwADgANAA3ADMANwAsAFwAIgBQAG8AdABhAHMAcwBpAHUAbQAgAC0AIABHAGUAbgBlAHIAaQBjAFwAIgAsADAALgAwADkAOQA2ADEAMgAsAFwAIgBDAGEAbABjAGkAdQBtACAAbgBpAHQAcgBhAHQAZQBcACIALAAwAC4ANAAyADEAMAA1ADMALABcACIATQBhAGcAbgBlAHMAaQB1AG0AXAAiACwAMAAuADAAMAA1ACwAXAAiAEIAbwByAG8AbgBcACIALAAwAC4AMAAwADAAMgAsAFwAIgBcACIALABcACIAXAAiACwAXAAiAFwAIgAsAFwAIgBcACIALABcACIAXAAiACwAXAAiAFwAIgAsAFwAIgBcACIALABcACIAXAAiACwAXAAiAFwAIgAsAFwAIgBcACIAOwBcAG4AXAAiAEkAbgBjAGkAdABlAGMAIABQAGkAdgBvAHQAIABGAGUAcgB0AGkAbABpAHMAZQByAHMAXAAiACwAXAAiAEMASwAgADgAOABcACIALABcACIAawBnAFwAIgAsADEALABcACIAXAAiACwAXAAiAFwAIgAsAFwAIgBcACIALAAxADUALgAxACwANAAuADQALAAxADEALgA1ACwAMQAzAC4ANgAsAFwAIgBOAGkAdAByAG8AZwBlAG4AIAAtACAARwBlAG4AZQByAGkAYwBcACIALAAwAC4AMQA1ADEALABcACIAUABoAG8AcwBwAGgAbwByAHUAcwAgAC0AIABHAGUAbgBlAHIAaQBjAFwAIgAsADAALgAwADQANAAsAFwAIgBQAG8AdABhAHMAcwBpAHUAbQAgAC0AIABHAGUAbgBlAHIAaQBjAFwAIgAsADAALgAxADEANQAsAFwAIgBTAHUAbABmAHUAcgAgAC0AIABHAGUAbgBlAHIAaQBjAFwAIgAsADAALgAxADMANgAsAFwAIgBcACIALABcACIAXAAiACwAXAAiAFwAIgAsAFwAIgBcACIALABcACIAXAAiACwAXAAiAFwAIgAsAFwAIgBcACIALABcACIAXAAiACwAXAAiAFwAIgAsAFwAIgBcACIALABcACIAXAAiACwAXAAiAFwAIgA7AFwAbgBcACIASQBuAGMAaQB0AGUAYwAgAFAAaQB2AG8AdAAgAEYAZQByAHQAaQBsAGkAcwBlAHIAcwBcACIALABcACIAQwByAG8AcABMAGkAZgB0ACAAMQA1AFwAIgAsAFwAIgBrAGcAXAAiACwAMQAsAFwAIgBcACIALABcACIAXAAiACwAXAAiAFwAIgAsADEANAAuADYALAAxADIALgAxACwAXAAiAFwAIgAsADEAMQAuADYALABcACIATgBpAHQAcgBvAGcAZQBuACAALQAgAEcAZQBuAGUAcgBpAGMAXAAiACwAMAAuADEANAA2ACwAXAAiAFAAaABvAHMAcABoAG8AcgB1AHMAIAAtACAARwBlAG4AZQByAGkAYwBcACIALAAwAC4AMQAyADEALABcACIAUwB1AGwAZgB1AHIAIAAtACAARwBlAG4AZQByAGkAYwBcACIALAAwAC4AMQAxADY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TgBQAEsAUwAgADEAOQAtADEAMwAtADAALQA5AFwAIgAsAFwAIgBrAGcAXAAiACwAMQAsAFwAIgBcACIALABcACIAXAAiACwAXAAiAFwAIgAsADEAOQAsADEAMwAsADAALAA5ACwAXAAiAE4AaQB0AHIAbwBnAGUAbgAgAC0AIABHAGUAbgBlAHIAaQBjAFwAIgAsADAALgAxADkALABcACIAUABoAG8AcwBwAGgAbwByAHUAcwAgAC0AIABHAGUAbgBlAHIAaQBjAFwAIgAsADAALgAxADMALABcACIAUwB1AGwAZgB1AHIAIAAtACAARwBlAG4AZQByAGkAYwBcACIALAAwAC4AMAA5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FAAYQBzAHQAdQByAGUAQgBvAG8AcwB0AGEAXAAiACwAXAAiAGsAZwBcACIALAAxACwAXAAiAFwAIgAsAFwAIgBcACIALABcACIAXAAiACwAMgAzAC4AOAAsADMALgA3ACwAMQAzACwANAAuADEALABcACIATgBpAHQAcgBvAGcAZQBuACAALQAgAEcAZQBuAGUAcgBpAGMAXAAiACwAMAAuADIAMwA4ACwAXAAiAFAAaABvAHMAcABoAG8AcgB1AHMAIAAtACAARwBlAG4AZQByAGkAYwBcACIALAAwAC4AMAAzADcALABcACIAUABvAHQAYQBzAHMAaQB1AG0AIAAtACAARwBlAG4AZQByAGkAYwBcACIALAAwAC4AMQAzACwAXAAiAFMAdQBsAGYAdQByACAALQAgAEcAZQBuAGUAcgBpAGMAXAAiACwAMAAuADAANAAxACwAXAAiAFwAIgAsAFwAIgBcACIALABcACIAXAAiACwAXAAiAFwAIgAsAFwAIgBcACIALABcACIAXAAiACwAXAAiAFwAIgAsAFwAIgBcACIALABcACIAXAAiACwAXAAiAFwAIgAsAFwAIgBcACIALABcACIAXAAiADsAXABuAFwAIgBJAG4AYwBpAHQAZQBjACAAUABpAHYAbwB0ACAARgBlAHIAdABpAGwAaQBzAGUAcgBzAFwAIgAsAFwAIgBHAHIAZQBlAG4AdABvAHAAIABLAFwAIgAsAFwAIgBrAGcAXAAiACwAMQAsAFwAIgBcACIALABcACIAXAAiACwAXAAiAFwAIgAsADMAMgAuADgALABcACIAXAAiACwAMQAxACwAMgAuADkALABcACIAVQByAGUAYQBcACIALAAwAC4ANgA2ADAAOAA3ACwAXAAiAE4AaQB0AHIAbwBnAGUAbgAgAC0AIABBAG0AbQBvAG4AaQBhAGMAYQBsAFwAIgAsADAALgAwADIANAAsAFwAIgBQAG8AdABhAHMAcwBpAHUAbQAgAC0AIABHAGUAbgBlAHIAaQBjAFwAIgAsADAALgAxADEALABcACIAUwB1AGwAZgB1AHIAIAAtACAARwBlAG4AZQByAGkAYwBcACIALAAwAC4AMAAyADkALABcACIAXAAiACwAXAAiAFwAIgAsAFwAIgBcACIALABcACIAXAAiACwAXAAiAFwAIgAsAFwAIgBcACIALABcACIAXAAiACwAXAAiAFwAIgAsAFwAIgBcACIALABcACIAXAAiACwAXAAiAFwAIgAsAFwAIgBcACIAOwBcAG4AXAAiAEkAbgBjAGkAdABlAGMAIABQAGkAdgBvAHQAIABGAGUAcgB0AGkAbABpAHMAZQByAHMAXAAiACwAXAAiAEgAYQB5AEIAbwBvAHMAdABhAFwAIgAsAFwAIgBrAGcAXAAiACwAMQAsAFwAIgBcACIALABcACIAXAAiACwAXAAiAFwAIgAsADEAMQAuADcALAA0AC4ANwAsADIAMwAuADkALAA0AC4ANgAsAFwAIgBOAGkAdAByAG8AZwBlAG4AIAAtACAARwBlAG4AZQByAGkAYwBcACIALAAwAC4AMQAxADcALABcACIAUABoAG8AcwBwAGgAbwByAHUAcwAgAC0AIABHAGUAbgBlAHIAaQBjAFwAIgAsADAALgAwADQANwAsAFwAIgBQAG8AdABhAHMAcwBpAHUAbQAgAC0AIABHAGUAbgBlAHIAaQBjAFwAIgAsADAALgAyADMAOQAsAFwAIgBTAHUAbABmAHUAcgAgAC0AIABHAGUAbgBlAHIAaQBjAFwAIgAsADAALgAwADQ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0AFwAbgA9AEwAQQBNAEIARABBACgAXABuACAATQBBAEsARQBBAFIAUgBBAFkAKAAzADAALAAgADMAMQAsAFwAbgAgAEwAQQBNAEIARABBACgAcgAsAGMALABcAG4AIAAgAEkATgBEAEUAWAAoAHsAXABuAFwAIgBJAG0AcABhAGMAdAAgAEYAZQByAHQAaQBsAGkAcwBlAHIAcwBcACIALABcACIASQBtAHAAYQBjAHQAIABTAHUAcABlAHIAIABQAG8AdABhAHMAaAAgADEAXAB1ADAAMAAyADYAMQBcACIALABcACIAawBnAFwAIgAsADEALABcACIAXAAiACwAXAAiAFwAIgAsAFwAIgBcACIALABcACIAXAAiACwANAAuADQALAAyADUALAA1AC4ANQAsAFwAIgBTAGkAbgBnAGwAZQAgAHMAdQBwAGUAcgBwAGgAbwBzAHAAaABhAHQAZQAgACgAUwBTAFAAKQBcACIALAAwAC4ANQAsAFwAIgBNAHUAcgBpAGEAdABlACAAbwBmACAAcABvAHQAYQBzAGgAIAAoAE0ATwBQACkAXAAiACwAMAAu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IAXAB1ADAAMAAyADYAMQBcACIALABcACIAawBnAFwAIgAsADEALABcACIAXAAiACwAXAAiAFwAIgAsAFwAIgBcACIALABcACIAXAAiACwANQAuADgANAAsADEANgAuADgALAA3AC4AMgA5ACwAXAAiAFMAaQBuAGcAbABlACAAcwB1AHAAZQByAHAAaABvAHMAcABoAGEAdABlACAAKABTAFMAUAApAFwAIgAsADAALgA2ADYAMwAxADUAOAAsAFwAIgBNAHUAcgBpAGEAdABlACAAbwBmACAAcABvAHQAYQBzAGgAIAAoAE0ATwBQACkAXAAiACwAMAAuADMAMwA2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zAFwAdQAwADAAMgA2ADEAXAAiACwAXAAiAGsAZwBcACIALAAxACwAXAAiAFwAIgAsAFwAIgBcACIALABcACIAXAAiACwAXAAiAFwAIgAsADYALgA1ADgALAAxADIALgA1ACwAOAAuADIAMgAsAFwAIgBTAGkAbgBnAGwAZQAgAHMAdQBwAGUAcgBwAGgAbwBzAHAAaABhAHQAZQAgACgAUwBTAFAAKQBcACIALAAwAC4ANwA0ADcAMwA2ADgALABcACIATQB1AHIAaQBhAHQAZQAgAG8AZgAgAHAAbwB0AGEAcwBoACAAKABNAE8AUAApAFwAIgAsADAALgAy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QAXAB1ADAAMAAyADYAMQBcACIALABcACIAawBnAFwAIgAsADEALABcACIAXAAiACwAXAAiAFwAIgAsAFwAIgBcACIALABcACIAXAAiACwANwAuADAANAAsADEAMAAsADgALgA4ACwAXAAiAFMAaQBuAGcAbABlACAAcwB1AHAAZQByAHAAaABvAHMAcABoAGEAdABlACAAKABTAFMAUAApAFwAIgAsADAALgA4ACwAXAAiAE0AdQByAGkAYQB0AGUAIABvAGYAIABwAG8AdABhAHMAaAAgACgATQBPAFAAKQBcACIALAAwAC4AM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NQBcAHUAMAAwADIANgAxAFwAIgAsAFwAIgBrAGcAXAAiACwAMQAsAFwAIgBcACIALABcACIAXAAiACwAXAAiAFwAIgAsAFwAIgBcACIALAA3AC4AMwAyACwAOAAuADQALAA5AC4AMQA1ACwAXAAiAFMAaQBuAGcAbABlACAAcwB1AHAAZQByAHAAaABvAHMAcABoAGEAdABlACAAKABTAFMAUAApAFwAIgAsADAALgA4ADMAMQA1ADcAOQAsAFwAIgBNAHUAcgBpAGEAdABlACAAbwBmACAAcABvAHQAYQBzAGgAIAAoAE0ATwBQACkAXAAiACwAMAAuADEANgA4ACwAXAAiAFwAIgAsAFwAIgBcACIALABcACIAXAAiACwAXAAiAFwAIgAsAFwAIgBcACIALABcACIAXAAi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FwAIgAsAFwAIgBrAGcAXAAiACwAMQAsAFwAIgBcACIALABcACIAXAAiACwAXAAiAFwAIgAsADIAMwAuADkALABcACIAXAAiACwAXAAiAFwAIgAsADEAMAAuADgALABcACIATgBpAHQAcgBvAGcAZQBuACAALQAgAE4AaQB0AHIAYQB0AGUAXAAiACwAMAAuADAANwA0ACwAXAAiAE4AaQB0AHIAbwBnAGUAbgAgAC0AIABBAG0AbQBvAG4AaQBhAGMAYQBsAFwAIgAsADAALgAxADYANQAsAFwAIgBTAHUAbABmAHUAcgAgAC0AIABHAGUAbgBlAHIAaQBjAFwAIgAsADAALgAxADAAOAAsAFwAIgBDAGEAbABjAGkAdQBtAFwAIgAsADAALgAwADQANAAsAFwAIgBcACIALABcACIAXAAi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FwAIgAsAFwAIgBrAGcAXAAiACwAMQAsAFwAIgBcACIALABcACIAXAAiACwAXAAiAFwAIgAsADEANwAuADkALABcACIAXAAiACwAMQA1ACwAMwAuADYALABcACIATgBpAHQAcgBvAGcAZQBuACAALQAgAE4AaQB0AHIAYQB0AGUAXAAiACwAMAAuADAANQA1ACwAXAAiAE4AaQB0AHIAbwBnAGUAbgAgAC0AIABBAG0AbQBvAG4AaQBhAGMAYQBsAFwAIgAsADAALgAxADIANAAsAFwAIgBQAG8AdABhAHMAcwBpAHUAbQAgAC0AIABHAGUAbgBlAHIAaQBjAFwAIgAsADAALgAxADUALABcACIAUwB1AGwAZgB1AHIAIAAtACAARwBlAG4AZQByAGkAYwBcACIALAAwAC4AMAAzADYALABcACIAQwBhAGwAYwBpAHUAbQBcACIALAAwAC4AMAA0ADQALABcACIAXAAiACwAXAAiAFwAIg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A1ADAALwA1ADAAIAAoAFMAKQBcACIALABcACIAawBnAFwAIgAsADEALABcACIAXAAiACwAXAAiAFwAIgAsAFwAIgBcACIALAAxADYALgA5ACwAXAAiAFwAIgAsADEANAAuADQALAA4AC4ANwAsAFwAIgBOAGkAdAByAG8AZwBlAG4AIAAtACAATgBpAHQAcgBhAHQAZQBcACIALAAwAC4AMAA1ADIALABcACIATgBpAHQAcgBvAGcAZQBuACAALQAgAEEAbQBtAG8AbgBpAGEAYwBhAGwAXAAiACwAMAAuADEAMQA3ACwAXAAiAFAAbwB0AGEAcwBzAGkAdQBtACAALQAgAEcAZQBuAGUAcgBpAGMAXAAiACwAMAAuADEANAA0ACwAXAAiAFMAdQBsAGYAdQByACAALQAgAEcAZQBuAGUAcgBpAGMAXAAiACwAMAAuADAAOAA3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MQAzADAAXAAiACwAXAAiAGsAZwBcACIALAAxACwAXAAiAFwAIgAsAFwAIgBcACIALABcACIAXAAiACwAMQA4AC4AOAAsADEALAAxADIALgA1ACwAMwAuADcALABcACIATgBpAHQAcgBvAGcAZQBuACAALQAgAE4AaQB0AHIAYQB0AGUAXAAiACwAMAAuADAANQA4ACwAXAAiAE4AaQB0AHIAbwBnAGUAbgAgAC0AIABBAG0AbQBvAG4AaQBhAGMAYQBsAFwAIgAsADAALgAxADMALABcACIAUABoAG8AcwBwAGgAbwByAHUAcwAgAC0AIABHAGUAbgBlAHIAaQBjAFwAIgAsADAALgAwADEALABcACIAUABvAHQAYQBzAHMAaQB1AG0AIAAtACAARwBlAG4AZQByAGkAYwBcACIALAAwAC4AMQAyADUALABcACIAUwB1AGwAZgB1AHIAIAAtACAARwBlAG4AZQByAGkAYwBcACIALAAwAC4AMAAzADc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MQA1ADAAXAAiACwAXAAiAGsAZwBcACIALAAxACwAXAAiAFwAIgAsAFwAIgBcACIALABcACIAXAAiACwAMQA4AC4ANgAsADMALAAxADIALgA1ACwAMQAuADQALABcACIATgBpAHQAcgBvAGcAZQBuACAALQAgAE4AaQB0AHIAYQB0AGUAXAAiACwAMAAuADAANQA4ACwAXAAiAE4AaQB0AHIAbwBnAGUAbgAgAC0AIABBAG0AbQBvAG4AaQBhAGMAYQBsAFwAIgAsADAALgAxADIAOAAsAFwAIgBQAGgAbwBzAHAAaABvAHIAdQBzACAALQAgAEcAZQBuAGUAcgBpAGMAXAAiACwAMAAuADAAMwAsAFwAIgBQAG8AdABhAHMAcwBpAHUAbQAgAC0AIABHAGUAbgBlAHIAaQBjAFwAIgAsADAALgAxADIANQAsAFwAIgBTAHUAbABmAHUAcgAgAC0AIABHAGUAbgBlAHIAaQBjAFwAIgAsADAALgAwADEANAAsAFwAIgBDAGEAbABjAGkAdQBtAFwAIgAsADAALgAwADQANA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BFAHgAdAByAGEAIABLAFwAIgAsAFwAIgBrAGcAXAAiACwAMQAsAFwAIgBcACIALABcACIAXAAiACwAXAAiAFwAIgAsADEANQAuADgALABcACIAXAAiACwAMQA5ACwAMwAuADIALABcACIATgBpAHQAcgBvAGcAZQBuACAALQAgAE4AaQB0AHIAYQB0AGUAXAAiACwAMAAuADAANAA5ACwAXAAiAE4AaQB0AHIAbwBnAGUAbgAgAC0AIABBAG0AbQBvAG4AaQBhAGMAYQBsAFwAIgAsADAALgAxADAAOQAsAFwAIgBQAG8AdABhAHMAcwBpAHUAbQAgAC0AIABHAGUAbgBlAHIAaQBjAFwAIgAsADAALgAxADkALABcACIAUwB1AGwAZgB1AHIAIAAtACAARwBlAG4AZQByAGkAYwBcACIALAAwAC4AMAAzADIALABcACIAQwBhAGwAYwBpAHUAbQBcACIALAAwAC4AMAAzADkALABcACIAXAAiACwAXAAiAFwAIgAsAFwAIgBcACIALABcACIAXAAiACwAXAAiAFwAIgAsAFwAIgBcACIALABcACIAXAAiACwAXAAiAFwAIgAsAFwAIgBcACIALABcACIAXAAiADsAXABuAFwAIgBJAG4AYwBpAHQAZQBjACAAUABpAHYAbwB0ACAARgBlAHIAdABpAGwAaQBzAGUAcgBzAFwAIgAsAFwAIgBEAGEAaQByAHkAIABQAHIAbwBcACIALABcACIAawBnAFwAIgAsADEALABcACIAXAAiACwAXAAiAFwAIgAsAFwAIgBcACIALAAyADUALgA5ACwAMwAuADkALAAxADUALgA5ACwAMAAuADMALABcACIATgBpAHQAcgBvAGcAZQBuACAALQAgAEcAZQBuAGUAcgBpAGMAXAAiACwAMAAuADIANQA5ACwAXAAiAFAAaABvAHMAcABoAG8AcgB1AHMAIAAtACAARwBlAG4AZQByAGkAYwBcACIALAAwAC4AMAAzADkALABcACIAUABvAHQAYQBzAHMAaQB1AG0AIAAtACAARwBlAG4AZQByAGkAYwBcACIALAAwAC4AMQA1ADkALABcACIAUwB1AGwAZgB1AHIAIAAtACAARwBlAG4AZQByAGkAYwBcACIALAAwAC4AMAAwADMALABcACIAXAAiACwAXAAiAFwAIgAsAFwAIgBcACIALABcACIAXAAiACwAXAAiAFwAIgAsAFwAIgBcACIALABcACIAXAAiACwAXAAiAFwAIgAsAFwAIgBcACIALABcACIAXAAiACwAXAAiAFwAIgAsAFwAIgBcACIAOwBcAG4AXAAiAFkAYQByAGEAIABBAHUAcwB0AHIAYQBsAGkAYQBcACIALABcACIAWQBhAHIAYQBNAGkAbABhACAAQQBDAFQAWQBWAEEAIABTAFwAIgAsAFwAIgBrAGcAXAAiACwAMQAsAFwAIgBcACIALABcACIAXAAiACwAXAAiAFwAIgAsADEANQAuADYALAA2AC4AMwA3ACwAMQAyAC4ANAA1ACwAMgAuADYALABcACIATgBpAHQAcgBvAGcAZQBuACAALQAgAE4AaQB0AHIAYQB0AGUAXAAiACwAMAAuADAANQA4ACwAXAAiAE4AaQB0AHIAbwBnAGUAbgAgAC0AIABBAG0AbQBvAG4AaQBhAGMAYQBsAFwAIgAsADAALgAwADkAOAAsAFwAIgBQAGgAbwBzAHAAaABvAHIAdQBzACAALQAgAEcAZQBuAGUAcgBpAGMAXAAiACwAMAAuADAANgAzADcAMQA0ACwAXAAiAFAAbwB0AGEAcwBzAGkAdQBtACAALQAgAEcAZQBuAGUAcgBpAGMAXAAiACwAMAAuADEAMgA0ADUAMQA1ACwAXAAiAFMAdQBsAGYAdQByACAALQAgAEcAZQBuAGUAcgBpAGMAXAAiACwAMAAuADAAMgA2ACwAXAAiAFwAIgAsAFwAIgBcACIALABcACIAXAAiACwAXAAiAFwAIgAsAFwAIgBcACIALABcACIAXAAiACwAXAAiAFwAIgAsAFwAIgBcACIALABcACIAXAAiACwAXAAiAFwAIgA7AFwAbgBcACIAQwBTAEIAUABcACIALABcACIAQQBnAGYAbABvAHcAIABFAHgAdAByAGEAXAAiACwAXAAiAGsAZwBcACIALAAxACwAXAAiAFwAIgAsAFwAIgBcACIALABcACIAXAAiACwAMQAxAC4AMQA1ACwAMQA3AC4ANQAyACwAXAAiAFwAIgAsADMALgA2ACwAXAAiAE0AbwBuAG8AYQBtAG0AbwBuAGkAdQBtACAAcABoAG8AcwBwAGgAYQB0AGUAIAAoAE0AQQBQACkAXAAiACwAMAAuADgALABcACIAUwB1AGwAcABoAGEAdABlACAAbwBmACAAYQBtAG0AbwBuAGkAYQAgACgAUwBPAEEAKQBcACIALAAwAC4AMQA1ACwAXAAiAEMAbwBwAHAAZQByAFwAIgAsAFwAIgBOAG8AIABkAGEAdABhAFwAIgAsAFwAIgBNAG8AbAB5AGIAZABlAG4AdQBtAFwAIgAsAFwAIgBOAG8AIABkAGEAdABhAFwAIgAsAFwAIgBaAGkAbgBjAFwAIgAsAFwAIgBOAG8AIABkAGEAdABhAFwAIgAsAFwAIgBcACIALABcACIAXAAiACwAXAAiAFwAIgAsAFwAIgBcACIALABcACIAXAAiACwAXAAiAFwAIgAsAFwAIgBcACIALABcACIAXAAiACwAXAAiAFwAIgAsAFwAIgBcACIAOwBcAG4AXAAiAEMAUwBCAFAAXAAiACwAXAAiAFMAdQBwAGUAcgAgAFwAdQAwADAAMgA2ACAAUABvAHQAYQBzAGgAIAAzADoAMQBcACIALABcACIAawBnAFwAIgAsADEALABcACIAXAAiACwAXAAiAFwAIgAsAFwAIgBcACIALABcACIAXAAiACwANQAuADUALAAxADUALAA2AC4AOAA4ACwAXAAiAFMAaQBuAGcAbABlACAAcwB1AHAAZQByAHAAaABvAHMAcABoAGEAdABlACAAKABTAFMAUAApAFwAIgAsADAALgA2ADIANQAsAFwAIgBNAHUAcgBpAGEAdABlACAAbwBmACAAcABvAHQAYQBzAGgAIAAoAE0ATwBQACkAXAAiACwAMAAuADMALABcACIAXAAiACwAXAAiAFwAIgAsAFwAIgBcACIALABcACIAXAAiACwAXAAiAFwAIgAsAFwAIgBcACIALABcACIAXAAiACwAXAAiAFwAIgAsAFwAIgBcACIALABcACIAXAAiACwAXAAiAFwAIgAsAFwAIgBcACIALABcACIAXAAiACwAXAAiAFwAIgAsAFwAIgBcACIALABcACIAXAAiADsAXABuAFwAIgBZAGEAcgBhAFwAIgAsAFwAIgBZAGEAcgBhAEIAZQBsAGEAIABDAEEATgAtADIANwBcACIALABcACIAawBnAFwAIgAsADEALABcACIAXAAiACwAXAAiAFwAIgAsAFwAIgBcACIALAAyADcALABcACIAXAAiACwAXAAiAFwAIgAsAFwAIgBcACIALABcACIAQwBhAGwAYwBpAHUAbQAgAGEAbQBtAG8AbgBpAHUAbQAgAG4AaQB0AHIAYQB0AGUAIAAoAEMAQQBO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QwBhAGwALQBHAHIAYQBuACAAQQBmAHQAZQByAGcAcgBhAHoAZQBcACIALABcACIAawBnAFwAIgAsADEALABcACIAXAAiACwAXAAiAFwAIgAsAFwAIgBcACIALAAyADAALgA2ACwAMwAsADcALgA1ACwAMwAuADgALABcACIATgBpAHQAcgBvAGcAZQBuACAALQAgAE4AaQB0AHIAYQB0AGUAXAAiACwAMAAuADAANgA0ACwAXAAiAE4AaQB0AHIAbwBnAGUAbgAgAC0AIABBAG0AbQBvAG4AaQBhAGMAYQBsAFwAIgAsADAALgAxADQAMgAsAFwAIgBQAGgAbwBzAHAAaABvAHIAdQBzACAALQAgAEcAZQBuAGUAcgBpAGMAXAAiACwAMAAuADAAMwAsAFwAIgBQAG8AdABhAHMAcwBpAHUAbQAgAC0AIABHAGUAbgBlAHIAaQBjAFwAIgAsADAALgAwADcANQAsAFwAIgBTAHUAbABmAHUAcgAgAC0AIABHAGUAbgBlAHIAaQBjAFwAIgAsADAALgAwADMAOAAsAFwAIgBDAGEAbABjAGkAdQBtAFwAIgAsADAALgAwADQANAAsAFwAIgBcACIALABcACIAXAAiACwAXAAiAFwAIgAsAFwAIgBcACIALABcACIAXAAiACwAXAAiAFwAIgAsAFwAIgBcACIALABcACIAXAAiADsAXABuAFwAIgBJAG4AYwBpAHQAZQBjACAAUABpAHYAbwB0ACAARgBlAHIAdABpAGwAaQBzAGUAcgBzAFwAIgAsAFwAIgBDAGEAbAAtAEcAcgBhAG4AIABQAHIAbwBkAHIAZQBzAHMAXAAiACwAXAAiAGsAZwBcACIALAAxACwAXAAiAFwAIgAsAFwAIgBcACIALABcACIAXAAiACwAMQA3AC4AOAAsADEALAAxADUALAAyAC4ANQAsAFwAIgBOAGkAdAByAG8AZwBlAG4AIAAtACAATgBpAHQAcgBhAHQAZQBcACIALAAwAC4AMAA1ADUALABcACIATgBpAHQAcgBvAGcAZQBuACAALQAgAEEAbQBtAG8AbgBpAGEAYwBhAGwAXAAiACwAMAAuADEAMgAzACwAXAAiAFAAaABvAHMAcABoAG8AcgB1AHMAIAAtACAARwBlAG4AZQByAGkAYwBcACIALAAwAC4AMAAxACwAXAAiAFAAbwB0AGEAcwBzAGkAdQBtACAALQAgAEcAZQBuAGUAcgBpAGMAXAAiACwAMAAuADEANQAsAFwAIgBTAHUAbABmAHUAcgAgAC0AIABHAGUAbgBlAHIAaQBjAFwAIgAsADAALgAwADIANQAsAFwAIgBDAGEAbABjAGkAdQBtAFwAIgAsADAALgAwADQANAAsAFwAIgBcACIALABcACIAXAAiACwAXAAiAFwAIgAsAFwAIgBcACIALABcACIAXAAiACwAXAAiAFwAIgAsAFwAIgBcACIALABcACIAXAAiADsAXABuAFwAIgBXAGUAbgBnAGYAdQAgAEEAdQBzAHQAcgBhAGwAaQBhAFwAIgAsAFwAIgBXAGUAbgBnAGYAdQAgAFAAcgBpAG0AZQBaAGkAbgBjACAAMQAwAFwAIgAsAFwAIgBrAGcAXAAiACwAMQAsAFwAIgBcACIALABcACIAXAAiACwAXAAiAFwAIgAsADEAMAAsADIAMgAsAFwAIgBcACIALAAxAC4ANQAsAFwAIgBOAGkAdAByAG8AZwBlAG4AIAAtACAARwBlAG4AZQByAGkAYwBcACIALAAwAC4AMQAsAFwAIgBQAGgAbwBzAHAAaABvAHIAdQBzACAALQAgAEcAZQBuAGUAcgBpAGMAXAAiACwAMAAuADIAMgAsAFwAIgBTAHUAbABmAHUAcgAgAC0AIABHAGUAbgBlAHIAaQBjAFwAIgAsADAALgAwADEANQAsAFwAIgBaAGkAbgBjAFwAIgAsADAALgAwADEALABcACIAXAAiACwAXAAiAFwAIgAsAFwAIgBcACIALABcACIAXAAiACwAXAAiAFwAIgAsAFwAIgBcACIALABcACIAXAAiACwAXAAiAFwAIgAsAFwAIgBcACIALABcACIAXAAiACwAXAAiAFwAIgAsAFwAIgBcACIAOwBcAG4AXAAiAFcAZQBuAGcAZgB1ACAAQQB1AHMAdAByAGEAbABpAGEAXAAiACwAXAAiAFcAZQBuAGcAZgB1ACAAUABhAHMAdAB1AHIAZQAgAEsAaQBuAGcAXAAiACwAXAAiAGsAZwBcACIALAAxACwAXAAiAFwAIgAsAFwAIgBcACIALABcACIAXAAiACwAXAAiAFwAIgAsADEANQAuADcALABcACIAXAAiACwANAAuADYALABcACIAUABoAG8AcwBwAGgAbwByAHUAcwAgAC0AIABHAGUAbgBlAHIAaQBjAFwAIgAsADAALgAxADUANwAsAFwAIgBTAHUAbABmAHUAcgAgAC0AIABHAGUAbgBlAHIAaQBjAFwAIgAsADAALgAwADQANgAsAFwAIgBDAGEAbABjAGkAdQBtAFwAIgAsADAALgAxADQALABcACIAXAAiACwAXAAiAFwAIgAsAFwAIgBcACIALABcACIAXAAiACwAXAAiAFwAIgAsAFwAIgBcACIALABcACIAXAAiACwAXAAiAFwAIgAsAFwAIgBcACIALABcACIAXAAiACwAXAAiAFwAIgAsAFwAIgBcACIALABcACIAXAAiACwAXAAiAFwAIgA7AFwAbgBcACIAVwBlAG4AZwBmAHUAIABBAHUAcwB0AHIAYQBsAGkAYQBcACIALABcACIAVwBlAG4AZwBmAHUAIABTAHUAUwB0AGEAaQBuAFwAIgAsAFwAIgBrAGcAXAAiACwAMQAsAFwAIgBcACIALABcACIAXAAiACwAXAAiAFwAIgAsAFwAIgBcACIALABcACIAXAAiACwAXAAiAFwAIgAsADkAMAAsAFwAIgBTAHUAbABmAHUAcgAgAC0AIABHAGUAbgBlAHIAaQBjAFwAIgAsADAALgA5ACwAXAAiAFwAIgAsAFwAIgBcACI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bABhAG0AXAAiACwAXAAiAGsAZwBcACIALAAxACwAXAAiAFwAIgAsAFwAIgBcACIALABcACIAXAAiACwAMQA5AC4ANQAsADAALgA3ACwAXAAiAFwAIgAsADIAMwAsAFwAIgBOAGkAdAByAG8AZwBlAG4AIAAtACAARwBlAG4AZQByAGkAYwBcACIALAAwAC4AMQA5ADUALABcACIAUABoAG8AcwBwAGgAbwByAHUAcwAgAC0AIABHAGUAbgBlAHIAaQBjAFwAIgAsADAALgAwADAANwAsAFwAIgBTAHUAbABmAHUAcgAgAC0AIABHAGUAbgBlAHIAaQBjAFwAIgAsADAALgAyADMALABcACIAXAAiACwAXAAiAFwAIgAsAFwAIgBcACIALABcACIAXAAiACwAXAAiAFwAIgAsAFwAIgBcACIALABcACIAXAAiACwAXAAiAFwAIgAsAFwAIgBcACIALABcACIAXAAiACwAXAAiAFwAIgAsAFwAIgBcACIALABcACIAXAAiACwAXAAiAFwAIgA7AFwAbgBcACIAVwBlAG4AZwBmAHUAIABBAHUAcwB0AHIAYQBsAGkAYQBcACIALABcACIAVwBlAG4AZwBmAHUAIABQAHIAaQBtAGUAIABNAFMAWgBcACIALABcACIAawBnAFwAIgAsADEALABcACIAXAAiACwAXAAiAFwAIgAsAFwAIgBcACIALAAxADAALAAxADgALABcACIAXAAiACwAOAAsAFwAIgBOAGkAdAByAG8AZwBlAG4AIAAtACAARwBlAG4AZQByAGkAYwBcACIALAAwAC4AMQAsAFwAIgBQAGgAbwBzAHAAaABvAHIAdQBzACAALQAgAEcAZQBuAGUAcgBpAGMAXAAiACwAMAAuADEAOAAsAFwAIgBTAHUAbABmAHUAcgAgAC0AIABHAGUAbgBlAHIAaQBjAFwAIgAsADAALgAwADgALABcACIAWgBpAG4AYwBcACIALAAwAC4AMAAwADUALABcACIAXAAiACwAXAAiAFwAIgAsAFwAIgBcACIALABcACIAXAAiACwAXAAiAFwAIgAsAFwAIgBcACIALABcACIAXAAiACwAXAAiAFwAIgAsAFwAIgBcACIALABcACIAXAAiACwAXAAiAFwAIgAsAFwAIgBcACIAOwBcAG4AXAAiAFcAZQBuAGcAZgB1ACAAQQB1AHMAdAByAGEAbABpAGEAXAAiACwAXAAiAFcAZQBuAGcAZgB1ACAAOQAtADIAMAAtADAALQAxADAAIABNAEEAUAAgAFMAdQBTAHQAYQBpAG4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xADUALQAxADcALQAwAC0AMQA1ACAARABBAFAAIABTAHUAUwB0AGEAaQBuAFwAIgAsAFwAIgBrAGcAXAAiACwAMQAsAFwAIgBcACIALABcACIAXAAiACwAXAAiAFwAIgAsADEANQAuADIALAAxADYALgA5ACwAMAAsADEANQAuADIALABcACIATgBpAHQAcgBvAGcAZQBuACAALQAgAEcAZQBuAGUAcgBpAGMAXAAiACwAMAAuADEANQAyACwAXAAiAFAAaABvAHMAcABoAG8AcgB1AHMAIAAtACAARwBlAG4AZQByAGkAYwBcACIALAAwAC4AMQA2ADkALABcACIAUwB1AGwAZgB1AHIAIAAtACAARwBlAG4AZQByAGkAYwBcACIALAAwAC4AMQA1ADIALABcACIAXAAiACwAXAAiAFwAIgAsAFwAIgBcACIALABcACIAXAAiACwAXAAiAFwAIgAsAFwAIgBcACIALABcACIAXAAiACwAXAAiAFwAIgAsAFwAIgBcACIALABcACIAXAAiACwAXAAiAFwAIgAsAFwAIgBcACIALABcACIAXAAiACwAXAAiAFwAIgA7AFwAbgBcACIAVwBlAG4AZwBmAHUAIABBAHUAcwB0AHIAYQBsAGkAYQBcACIALABcACIAVwBlAG4AZwBmAHUAIAAxADYALQAxADgALQAwAC0AMQAwACAARABBAFAAIABTAHUAUwB0AGEAaQBuAFwAIgAsAFwAIgBrAGcAXAAiACwAMQAsAFwAIgBcACIALABcACIAXAAiACwAXAAiAFwAIgAsADEANgAuADIALAAxADgALAAwACwAMQAwAC4ANAAsAFwAIgBOAGkAdAByAG8AZwBlAG4AIAAtACAARwBlAG4AZQByAGkAYwBcACIALAAwAC4AMQA2ADIALABcACIAUABoAG8AcwBwAGgAbwByAHUAcwAgAC0AIABHAGUAbgBlAHIAaQBjAFwAIgAsADAALgAx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1AC0AMQA1AC0AMAAtADYAIABGAGEAcwB0ACAAUwB0AGEAcgB0ACAATABlAGcAdQBtAGUAXAAiACwAXAAiAGsAZwBcACIALAAxACwAXAAiAFwAIgAsAFwAIgBcACIALABcACIAXAAiACwANQAsADEANQAuADQALAAwACwANgAuADMALABcACIATgBpAHQAcgBvAGcAZQBuACAALQAgAEcAZQBuAGUAcgBpAGMAXAAiACwAMAAuADAANQAsAFwAIgBQAGgAbwBzAHAAaABvAHIAdQBzACAALQAgAEcAZQBuAGUAcgBpAGMAXAAiACwAMAAuADEANQA0ACwAXAAiAFMAdQBsAGYAdQByACAALQAgAEcAZQBuAGUAcgBpAGMAXAAiACwAMAAuADAANgAzACwAXAAiAFwAIgAsAFwAIgBcACIALABcACIAXAAiACwAXAAiAFwAIgAsAFwAIgBcACIALABcACIAXAAiACwAXAAiAFwAIgAsAFwAIgBcACIALABcACIAXAAiACwAXAAiAFwAIgAsAFwAIgBcACIALABcACIAXAAiACwAXAAiAFwAIgAsAFwAIgBcACIAOwBcAG4AXAAiAFcAZQBuAGcAZgB1ACAAQQB1AHMAdAByAGEAbABpAGEAXAAiACwAXAAiAFcAZQBuAGcAZgB1ACAAOQAtADIAMAAtADAALQAxADAAIABQAHIAaQBtAGUAWgBpAG4AYwBcACIALABcACIAawBnAFwAIgAsADEALABcACIAXAAiACwAXAAiAFwAIgAsAFwAIgBcACIALAA5ACwAMQA5AC4AOAAsADAALAAxADAALgA0ACwAXAAiAE4AaQB0AHIAbwBnAGUAbgAgAC0AIABHAGUAbgBlAHIAaQBjAFwAIgAsADAALgAwADkALABcACIAUABoAG8AcwBwAGgAbwByAHUAcwAgAC0AIABHAGUAbgBlAHIAaQBjAFwAIgAsADAALgAxADkAOAAsAFwAIgBTAHUAbABmAHUAcgAgAC0AIABHAGUAbgBlAHIAaQBjAFwAIgAsADAALgAxADAANAAsAFwAIgBaAGkAbgBjAFwAIgAsADAALgAwADAAOQAsAFwAIgBcACIALABcACIAXAAiACwAXAAiAFwAIgAsAFwAIgBcACIALABcACIAXAAiACwAXAAiAFwAIgAsAFwAIgBcACIALABcACIAXAAiACwAXAAiAFwAIgAsAFwAIgBcACIALABcACIAXAAiACwAXAAiAFwAIgA7AFwAbgBcACIAVwBlAG4AZwBmAHUAIABBAHUAcwB0AHIAYQBsAGkAYQBcACIALABcACIAVwBlAG4AZwBmAHUAIAAxADIALQAxADgALQAwAC0ANgAgAFAAcgBpAG0AZQBaAGkAbgBjAFwAIgAsAFwAIgBrAGcAXAAiACwAMQAsAFwAIgBcACIALABcACIAXAAiACwAXAAiAFwAIgAsADEAMQAuADkALAAxADcALgA2ACwAMAAsADUALgA5ACwAXAAiAE4AaQB0AHIAbwBnAGUAbgAgAC0AIABHAGUAbgBlAHIAaQBjAFwAIgAsADAALgAxADEAOQAsAFwAIgBQAGgAbwBzAHAAaABvAHIAdQBzACAALQAgAEcAZQBuAGUAcgBpAGMAXAAiACwAMAAuADEANwA2ACwAXAAiAFMAdQBsAGYAdQByACAALQAgAEcAZQBuAGUAcgBpAGMAXAAiACwAMAAuADAANQA5ACwAXAAiAFoAaQBuAGMAXAAiACwAMAAuADAAMAA4ACwAXAAiAFwAIgAsAFwAIgBcACIALABcACIAXAAiACwAXAAiAFwAIgAsAFwAIgBcACIALABcACIAXAAiACwAXAAiAFwAIgAsAFwAIgBcACIALABcACIAXAAiACwAXAAiAFwAIgAsAFwAIgBcACIALABcACIAXAAiADsAXABuAFwAIgBXAGUAbgBnAGYAdQAgAEEAdQBzAHQAcgBhAGwAaQBhAFwAIgAsAFwAIgBXAGUAbgBnAGYAdQAgADEANAAtADEAMwAtADAALQAxADEAIABQAHIAaQBtAGUAWgBpAG4AYwBcACIALABcACIAawBnAFwAIgAsADEALABcACIAXAAiACwAXAAiAFwAIgAsAFwAIgBcACIALAAxADQALgAxACwAMQAyAC4AOAAsADAALAAxADAALgA3ACwAXAAiAE4AaQB0AHIAbwBnAGUAbgAgAC0AIABHAGUAbgBlAHIAaQBjAFwAIgAsADAALgAxADQAMQAsAFwAIgBQAGgAbwBzAHAAaABvAHIAdQBzACAALQAgAEcAZQBuAGUAcgBpAGMAXAAiACwAMAAuADEAMgA4ACwAXAAiAFMAdQBsAGYAdQByACAALQAgAEcAZQBuAGUAcgBpAGMAXAAiACwAMAAuADEAMAA3ACwAXAAiAFoAaQBuAGMAXAAiACwAMAAuADAAMAA2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UAXABuAD0ATABBAE0AQgBEAEEAKABcAG4AIABNAEEASwBFAEEAUgBSAEEAWQAoADEANAAsACAAMwAxACwAXABuACAATABBAE0AQgBEAEEAKAByACwAYwAsAFwAbgAgACAASQBOAEQARQBYACgAewBcAG4AXAAiAFcAZQBuAGcAZgB1ACAAQQB1AHMAdAByAGEAbABpAGEAXAAiACwAXAAiAFcAZQBuAGcAZgB1ACAAMQA5AC0AMQAzAC0AMAAtADcAIABQAHIAaQBtAGUAWgBpAG4AYwBcACIALABcACIAawBnAFwAIgAsADEALABcACIAXAAiACwAXAAiAFwAIgAsAFwAIgBcACIALAAxADgALgA2ACwAMQAyAC4ANwAsADAALAA2AC4AOAAsAFwAIgBOAGkAdAByAG8AZwBlAG4AIAAtACAARwBlAG4AZQByAGkAYwBcACIALAAwAC4AMQA4ADYALABcACIAUABoAG8AcwBwAGgAbwByAHUAcwAgAC0AIABHAGUAbgBlAHIAaQBjAFwAIgAsADAALgAxADIANwAsAFwAIgBTAHUAbABmAHUAcgAgAC0AIABHAGUAbgBlAHIAaQBjAFwAIgAsADAALgAwADYAOAAsAFwAIgBaAGkAbgBjAFwAIgAsADAALgAwADAANgAsAFwAIgBcACIALABcACIAXAAiACwAXAAiAFwAIgAsAFwAIgBcACIALABcACIAXAAiACwAXAAiAFwAIgAsAFwAIgBcACIALABcACIAXAAiACwAXAAiAFwAIgAsAFwAIgBcACIALABcACIAXAAiACwAXAAiAFwAIgA7AFwAbgBcACIAVwBlAG4AZwBmAHUAIABBAHUAcwB0AHIAYQBsAGkAYQBcACIALABcACIAVwBlAG4AZwBmAHUAIABCAG8AbwBzAHQAZQByACAASwBcACIALABcACIAawBnAFwAIgAsADEALABcACIAXAAiACwAXAAiAFwAIgAsAFwAIgBcACIALAAzADIALAAwACwAMQAxACwAMwAsAFwAIgBOAGkAdAByAG8AZwBlAG4AIAAtACAARwBlAG4AZQByAGkAYwBcACIALAAwAC4AMwAyACwAXAAiAFAAbwB0AGEAcwBzAGkAdQBtACAALQAgAEcAZQBuAGUAcgBpAGMAXAAiACwAMAAuADEAMQAsAFwAIgBTAHUAbABmAHUAcgAgAC0AIABHAGUAbgBlAHIAaQBjAFwAIgAsADAALgAwADMALABcACIAXAAiACwAXAAiAFwAIgAsAFwAIgBcACIALABcACIAXAAiACwAXAAiAFwAIgAsAFwAIgBcACIALABcACIAXAAiACwAXAAiAFwAIgAsAFwAIgBcACIALABcACIAXAAiACwAXAAiAFwAIgAsAFwAIgBcACIALABcACIAXAAiACwAXAAiAFwAIgA7AFwAbgBcACIAVwBlAG4AZwBmAHUAIABBAHUAcwB0AHIAYQBsAGkAYQBcACIALABcACIAVwBlAG4AZwBmAHUAIABCAG8AbwBzAHQAZQByACAAUgBpAGMAaAAgADEAXAAiACwAXAAiAGsAZwBcACIALAAxACwAXAAiAFwAIgAsAFwAIgBcACIALABcACIAXAAiACwAMwAxACwANgAsADAALAA2ACwAXAAiAE4AaQB0AHIAbwBnAGUAbgAgAC0AIABHAGUAbgBlAHIAaQBjAFwAIgAsADAALgAzADEALABcACIAUABoAG8AcwBwAGgAbwByAHUAcwAgAC0AIABHAGUAbgBlAHIAaQBjAFwAIgAsADAALgAwADYALABcACIAUwB1AGwAZgB1AHIAIAAtACAARwBlAG4AZQByAGkAYwBcACIALAAwAC4AMAA2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EcAcgBhAHMAcwAgAEQAQQBQAFwAIgAsAFwAIgBrAGcAXAAiACwAMQAsAFwAIgBcACIALABcACIAXAAiACwAXAAiAFwAIgAsADIAMQAsADQALAA4ACwANwAsAFwAIgBOAGkAdAByAG8AZwBlAG4AIAAtACAARwBlAG4AZQByAGkAYwBcACIALAAwAC4AMgAxACwAXAAiAFAAaABvAHMAcABoAG8AcgB1AHMAIAAtACAARwBlAG4AZQByAGkAYwBcACIALAAwAC4AMAA0ACwAXAAiAFAAbwB0AGEAcwBzAGkAdQBtACAALQAgAEcAZQBuAGUAcgBpAGMAXAAiACwAMAAuADAAOAAsAFwAIgBTAHUAbABmAHUAcgAgAC0AIABHAGUAbgBlAHIAaQBjAFwAIgAsADAALgAwADcALABcACIAXAAiACwAXAAiAFwAIgAsAFwAIgBcACIALABcACIAXAAiACwAXAAiAFwAIgAsAFwAIgBcACIALABcACIAXAAiACwAXAAiAFwAIgAsAFwAIgBcACIALABcACIAXAAiACwAXAAiAFwAIgAsAFwAIgBcACIAOwBcAG4AXAAiAFcAZQBuAGcAZgB1ACAAQQB1AHMAdAByAGEAbABpAGEAXAAiACwAXAAiAFcAZQBuAGcAZgB1ACAAQQBmAHQAZQByAGcAcgBhAHoAZQBcACIALABcACIAawBnAFwAIgAsADEALABcACIAXAAiACwAXAAiAFwAIgAsAFwAIgBcACIALAAyADMALAAwACwAMgA1ACwAMAAsAFwAIgBOAGkAdAByAG8AZwBlAG4AIAAtACAARwBlAG4AZQByAGkAYwBcACIALAAwAC4AMgAzACwAXAAiAFAAbwB0AGEAcwBzAGkAdQBtACAALQAgAEcAZQBuAGUAcgBpAGMAXAAiACwAMAAuADIANQAsAFwAIgBcACIALABcACIAXAAiACwAXAAiAFwAIgAsAFwAIgBcACIALABcACIAXAAiACwAXAAiAFwAIgAsAFwAIgBcACIALABcACIAXAAiACwAXAAiAFwAIgAsAFwAIgBcACIALABcACIAXAAiACwAXAAiAFwAIgAsAFwAIgBcACIALABcACIAXAAiACwAXAAiAFwAIgAsAFwAIgBcACIAOwBcAG4AXAAiAFcAZQBuAGcAZgB1ACAAQQB1AHMAdAByAGEAbABpAGEAXAAiACwAXAAiAFcAZQBuAGcAZgB1ACAAUwBpAGQAZQBkAHIAZQBzAHMAXAAiACwAXAAiAGsAZwBcACIALAAxACwAXAAiAFwAIgAsAFwAIgBcACIALABcACIAXAAiACwAMgA1ACwANAAsADEAMwAsADQALABcACIATgBpAHQAcgBvAGcAZQBuACAALQAgAEcAZQBuAGUAcgBpAGMAXAAiACwAMAAuADIANQAsAFwAIgBQAGgAbwBzAHAAaABvAHIAdQBzACAALQAgAEcAZQBuAGUAcgBpAGMAXAAiACwAMAAuADAANAAsAFwAIgBQAG8AdABhAHMAcwBpAHUAbQAgAC0AIABHAGUAbgBlAHIAaQBjAFwAIgAsADAALgAxADM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FAAYQBzAHQAdQByAGUAIABCAG8AbwBzAHQAZQByAFwAIgAsAFwAIgBrAGcAXAAiACwAMQAsAFwAIgBcACIALABcACIAXAAiACwAXAAiAFwAIgAsADEAMwAsADUALAAyADQALAA1ACwAXAAiAE4AaQB0AHIAbwBnAGUAbgAgAC0AIABHAGUAbgBlAHIAaQBjAFwAIgAsADAALgAxADMALABcACIAUABoAG8AcwBwAGgAbwByAHUAcwAgAC0AIABHAGUAbgBlAHIAaQBjAFwAIgAsADAALgAwADUALABcACIAUABvAHQAYQBzAHMAaQB1AG0AIAAtACAARwBlAG4AZQByAGkAYwBcACIALAAwAC4AMgA0ACwAXAAiAFMAdQBsAGYAdQByACAALQAgAEcAZQBuAGUAcgBpAGMAXAAiACwAMAAuADAANQAsAFwAIgBcACIALABcACIAXAAiACwAXAAiAFwAIgAsAFwAIgBcACIALABcACIAXAAiACwAXAAiAFwAIgAsAFwAIgBcACIALABcACIAXAAiACwAXAAiAFwAIgAsAFwAIgBcACIALABcACIAXAAiACwAXAAiAFwAIgA7AFwAbgBcACIAVwBlAG4AZwBmAHUAIABBAHUAcwB0AHIAYQBsAGkAYQBcACIALABcACIAVwBlAG4AZwBmAHUAIABEAEEAUAAgAEgAYQB5ACAAQgBvAG8AcwB0AGUAcgBcACIALABcACIAawBnAFwAIgAsADEALABcACIAXAAiACwAXAAiAFwAIgAsAFwAIgBcACIALAAxADEALAA1ACwAMgA0ACwANAAsAFwAIgBOAGkAdAByAG8AZwBlAG4AIAAtACAARwBlAG4AZQByAGkAYwBcACIALAAwAC4AMQAxACwAXAAiAFAAaABvAHMAcABoAG8AcgB1AHMAIAAtACAARwBlAG4AZQByAGkAYwBcACIALAAwAC4AMAA1ACwAXAAiAFAAbwB0AGEAcwBzAGkAdQBtACAALQAgAEcAZQBuAGUAcgBpAGMAXAAiACwAMAAuADIANAAsAFwAIgBTAHUAbABmAHUAcgAgAC0AIABHAGUAbgBlAHIAaQBjAFwAIgAsADAALgAwADQALABcACIAXAAiACwAXAAiAFwAIgAsAFwAIgBcACIALABcACIAXAAiACwAXAAiAFwAIgAsAFwAIgBcACIALABcACIAXAAiACwAXAAiAFwAIgAsAFwAIgBcACIALABcACIAXAAiACwAXAAiAFwAIgAsAFwAIgBcACIAOwBcAG4AXAAiAFcAZQBuAGcAZgB1ACAAQQB1AHMAdAByAGEAbABpAGEAXAAiACwAXAAiAFcAZQBuAGcAZgB1ACAATQBBAFAAIABIAGEAeQAgAEIAbwBvAHMAdABlAHIAXAAiACwAXAAiAGsAZwBcACIALAAxACwAXAAiAFwAIgAsAFwAIgBcACIALABcACIAXAAiACwAMQAxACwAOAAsADIAMAAsADYALABcACIATgBpAHQAcgBvAGcAZQBuACAALQAgAEcAZQBuAGUAcgBpAGMAXAAiACwAMAAuADEAMQAsAFwAIgBQAGgAbwBzAHAAaABvAHIAdQBzACAALQAgAEcAZQBuAGUAcgBpAGMAXAAiACwAMAAuADAAOAAsAFwAIgBQAG8AdABhAHMAcwBpAHUAbQAgAC0AIABHAGUAbgBlAHIAaQBjAFwAIgAsADAALgAyACwAXAAiAFMAdQBsAGYAdQByACAALQAgAEcAZQBuAGUAcgBpAGMAXAAiACwAMAAuADAANgAsAFwAIgBcACIALABcACIAXAAiACwAXAAiAFwAIgAsAFwAIgBcACIALABcACIAXAAiACwAXAAiAFwAIgAsAFwAIgBcACIALABcACIAXAAiACwAXAAiAFwAIgAsAFwAIgBcACIALABcACIAXAAiACwAXAAiAFwAIgA7AFwAbgBcACIAVwBlAG4AZwBmAHUAIABBAHUAcwB0AHIAYQBsAGkAYQBcACIALABcACIAVwBlAG4AZwBmAHUAIABGAG8AZABkAGUAcgAgAEIAbwBvAHMAdABlAHIAXAAiACwAXAAiAGsAZwBcACIALAAxACwAXAAiAFwAIgAsAFwAIgBcACIALABcACIAXAAiACwAOQAsADQALAA1ACwAMQA1ACwAXAAiAE4AaQB0AHIAbwBnAGUAbgAgAC0AIABHAGUAbgBlAHIAaQBjAFwAIgAsADAALgAwADkALABcACIAUABoAG8AcwBwAGgAbwByAHUAcwAgAC0AIABHAGUAbgBlAHIAaQBjAFwAIgAsADAALgAwADQALABcACIAUABvAHQAYQBzAHMAaQB1AG0AIAAtACAARwBlAG4AZQByAGkAYwBcACIALAAwAC4AMAA1ACwAXAAiAFMAdQBsAGYAdQByACAALQAgAEcAZQBuAGUAcgBpAGMAXAAiACwAMAAuADEANQAsAFwAIgBcACIALABcACIAXAAiACwAXAAiAFwAIgAsAFwAIgBcACIALABcACIAXAAiACwAXAAiAFwAIgAsAFwAIgBcACIALABcACIAXAAiACwAXAAiAFwAIgAsAFwAIgBcACIALABcACIAXAAiACwAXAAiAFwAIgA7AFwAbgBcACIAQwBTAEIAUABcACIALABcACIASwAtAFQAaQBsAGwAIABFAHgAdAByAGEAXAAiACwAXAAiAGsAZwBcACIALAAxACwAXAAiAFwAIgAsAFwAIgBcACIALABcACIAXAAiACwAMQAwAC4ANwAzACwAMQAwAC4AOQA1ACwAMQAxAC4AMwA1ACwANgAuADUANQAsAFwAIgBNAG8AbgBvAGEAbQBtAG8AbgBpAHUAbQAgAHAAaABvAHMAcABoAGEAdABlACAAKABNAEEAUAApAFwAIgAsADAALgA1ACwAXAAiAFMAdQBsAHAAaABhAHQAZQAgAG8AZgAgAGEAbQBtAG8AbgBpAGEAIAAoAFMATwBBACkAXAAiACwAMAAuADIANwAzACwAXAAiAE0AdQByAGkAYQB0AGUAIABvAGYAIABwAG8AdABhAHMAaAAgACgATQBPAFAAKQBcACIALAAwAC4AMgAyADcALABcACIAQwBvAHAAcABlAHIAXAAiACwAXAAiAE4AbwAgAGQAYQB0AGEAXAAiACwAXAAiAFoAaQBuAGMAXAAiACwAXAAiAE4AbwAgAGQAYQB0AGEAXAAiACwAXAAiAFwAIgAsAFwAIgBcACIALABcACIAXAAiACwAXAAiAFwAIgAsAFwAIgBcACIALABcACIAXAAiACwAXAAiAFwAIgAsAFwAIgBcACIALABcACIAXAAiACwAXAAiAFwAIgA7AFwAbgBcACIAQwBTAEIAUABcACIALABcACIAQQBnAHIAYQBzACAARQB4AHQAcgBhAFwAIgAsAFwAIgBrAGcAXAAiACwAMQAsAFwAIgBcACIALABcACIAXAAiACwAXAAiAFwAIgAsADEANgAuADkANQAsADgALgAwADYALABcACIAXAAiACwAMQA1AC4AMQA3ACwAXAAiAFMAdQBsAHAAaABhAHQAZQAgAG8AZgAgAGEAbQBtAG8AbgBpAGEAIAAoAFMATwBBACkAXAAiACwAMAAuADYAMwAyACwAXAAiAE0AbwBuAG8AYQBtAG0AbwBuAGkAdQBtACAAcABoAG8AcwBwAGgAYQB0AGUAIAAoAE0AQQBQACkAXAAiACwAMAAuADMANgA4ACwAXAAiAFoAaQBuAGMAXAAiACwAXAAiAE4AbwAgAGQAYQB0AGEAXAAiACwAXAAiAEMAbwBwAHAAZQByAFwAIgAsAFwAIgBOAG8AIABkAGEAdABhAFwAIgAsAFwAIgBNAG8AbAB5AGIAZABlAG4AdQBtAFwAIgAsAFwAIgBOAG8AIABkAGEAdABhAFwAIgAsAFwAIgBDAG8AYgBhAGwAdABcACIALABcACIATgBvACAAZABhAHQAYQBcACIALABcACIAXAAiACwAXAAiAFwAIgAsAFwAIgBcACIALABcACIAXAAiACwAXAAiAFwAIgAsAFwAIgBcACIALABcACIAXAAiACwAXAAiAFwAIgA7AFwAbgBcACIAQwBTAEIAUABcACIALABcACIAUwB1AHAAZQByACAAQwBvAHAAcABlAHIAIABaAGkAbgBjACAATQBvAGwAeQBcACIALABcACIAawBnAFwAIgAsADEALABcACIAXAAiACwAXAAiAFwAIgAsAFwAIgBcACIALABcACIAXAAiACwAOAAuADgALABcACIAXAAiACwAMQAxACwAXAAiAFMAaQBuAGcAbABlACAAcwB1AHAAZQByAHAAaABvAHMAcABoAGEAdABlACAAKABTAFMAUAApAFwAIgAsADEALABcACIAQwBvAHAAcABlAHIAXAAiACwAMAAuADAAMAA2ACwAXAAiAFoAaQBuAGMAXAAiACwAMAAuADAAMAAzACwAXAAiAE0AbwBsAHkAYgBkAGUAbgB1AG0AXAAiACwAMAAuADAAMAAwADYALABcACIAXAAiACwAXAAiAFwAIgAsAFwAIgBcACIALABcACIAXAAiACwAXAAiAFwAIgAsAFwAIgBcACIALABcACIAXAAiACwAXAAiAFwAIgAsAFwAIgBcACIALABcACIAXAAiACwAXAAiAFwAIgAsAFwAIgBcACIAOwBcAG4AXAAiAEMAUwBCAFAAXAAiACwAXAAiAEYAbABlAHgAaQAtAE4AXAAiACwAXAAiAEwAXAAiACwAMQAuADMAMgAsAFwAIgBcACIALABcACIAXAAiACwAXAAiAFwAIgAsADMAMgAsAFwAIgBcACIALABcACIAXAAiACwAXAAiAFwAIgAsAFwAIgBVAHIAZQBhAC0AYQBtAG0AbwBuAGkAdQBtACAAbgBpAHQAcgBhAHQAZQAgACgAVQBBAE4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FwAbgBcAG4AXABuAFwAbgAiAH0ALAB7ACIAcABhAHQAaAAiADoAIgAvAHAAcgBvAGoAZQBjAHQAcwAvAEUAbABlAGMAdAByAGkAYwBpAHQAeQBfAEUAcQB1AGEAdABpAG8AbgBzACIALAAiAHQAZQB4AHQAIgA6ACIALwAqAFwAbgA9AD0APQA9AD0APQA9AD0APQA9AD0APQA9AD0APQA9AD0APQA9AD0APQA9AD0APQA9AD0APQA9AD0APQA9AD0APQA9AD0APQA9AD0APQA9AD0APQA9AD0APQA9AD0APQA9AD0APQA9AD0APQA9AD0APQA9AD0APQA9AD0APQA9AD0APQA9AD0APQA9AD0APQA9AD0APQA9AFwAbgAxADQAOgAgAEUAbABlAGMAdAByAGkAYwBpAHQAeQBcAG4APQA9AD0APQA9AD0APQA9AD0APQA9AD0APQA9AD0APQA9AD0APQA9AD0APQA9AD0APQA9AD0APQA9AD0APQA9AD0APQA9AD0APQA9AD0APQA9AD0APQA9AD0APQA9AD0APQA9AD0APQA9AD0APQA9AD0APQA9AD0APQA9AD0APQA9AD0APQA9AD0APQA9AD0APQA9AD0APQBcAG4AMQA0AC4AMQAuADEAIABQAHUAcgBjAGgAYQBzAGUAZAAgAEUAbABlAGMAdAByAGkAYwBpAHQAeQAgACgATABvAGMAYQB0AGkAbwBuAC0AQgBhAHMAZQBkACkAXABuADEANAAuADEALgAyACAAUAB1AHIAYwBoAGEAcwBlAGQAIABFAGwAZQBjAHQAcgBpAGMAaQB0AHkAIAAoAE0AYQByAGsAZQB0AC0AQgBhAHMAZQBkAC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QAXwAxAF8AMQBfAF8AMQBfAEwAbwBjAGEAdABpAG8AbgBCAGEAcwBlAGQAUwBjAG8AcABlAEUAbABlAGMAdAByAGkAYwBpAHQAeQBFAG0AaQBzAHMAaQBvAG4AcwBcAG4ATABvAGMAYQB0AGkAbwBuAC0AYgBhAHMAZQBkACAAUwBjAG8AcABlACAAMgAgAGUAbQBpAHMAcwBpAG8AbgBzACAAZgByAG8AbQAgAHAAdQByAGMAaABhAHMAZQBkACAAZQBsAGUAYwB0AHIAaQBjAGkAdAB5AFwAbgBFAF8AMgBlAGwAZQBjAFwAbgB0ACAAQwBPADIAZQBcAG4ARQBfAHsAMgAsAGUAbABlAGMAfQA9AFEAXwB7AGUAbABlAGMAfQBcAFwAdABpAG0AZQBzACAARQBGAF8AewAyACwAZQBsAGUAYwB9AFwAXAB0AGkAbQBlAHMAIAAxADAAXgB7AC0AMwB9AFwAbgBRAF8AZQBsAGUAYwAgAD0AIABhAG0AbwB1AG4AdAAgAG8AZgAgAGUAbABlAGMAdAByAGkAYwBpAHQAeQAgAHAAdQByAGMAaABhAHMAZQBkACAAZgByAG8AbQAgAHQAaABlACAAZwByAGkAZAAgACgAawBXAGgAKQBcAG4ARQBGAF8AMgBlAGwAZQBjACAAPQAgAGwAbwBjAGEAdABpAG8AbgAtAGIAYQBzAGUAZAAgAFMAYwBvAHAAZQAgADI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QBfAF8AMQBfAEwAbwBjAGEAdABpAG8AbgBCAGEAcwBlAGQAUwBjAG8AcABlAEUAbABlAGMAdAByAGkAYwBpAHQAeQBFAG0AaQBzAHMAaQBvAG4AcwBcAG4AIAAgAD0ATABBAE0AQgBEAEEAKABcAG4AIAAgACAAIABRAF8AZQBsAGUAYwAsACAARQBGAF8AMgBlAGwAZQBjACwAXABuACAAIAAgACAAUQBfAGUAbABlAGMAIAAqACAARQBGAF8AMgBlAGwAZQBjACAAKgAgADEAMAAgAF4AIAAtADMAXABuACAAIAApADsAXABuAFwAbgBWAEUARQBSAEcAXwAxADQAXwAxAF8AMQBfAF8AMQBfAEwAbwBjAGEAdABpAG8AbgBCAGEAcwBlAGQAUwBjAG8AcABlAEUAbABlAGMAdAByAGkAYwBpAHQAeQBFAG0AaQBzAHMAaQBvAG4AcwBfAFQAaQB0AGwAZQBcAG4AIAAgAD0ATABBAE0AQgBEAEEAKABcACIATABvAGMAYQB0AGkAbwBuAC0AYgBhAHMAZQBkACAAUwBjAG8AcABlACAAMgAgAGUAbQBpAHMAcwBpAG8AbgBzACAAZgByAG8AbQAgAHAAdQByAGMAaABhAHMAZQBkACAAZQBsAGUAYwB0AHIAaQBjAGkAdAB5AFwAIgApADsAXABuAFwAbgBWAEUARQBSAEcAXwAxADQAXwAxAF8AMQBfAF8AMQBfAEwAbwBjAGEAdABpAG8AbgBCAGEAcwBlAGQAUwBjAG8AcABlAEUAbABlAGMAdAByAGkAYwBpAHQAeQBFAG0AaQBzAHMAaQBvAG4AcwBfAFYAYQByAGkAYQBiAGwAZQBcAG4AIAAgAD0ATABBAE0AQgBEAEEAKABcACIARQBfADIAZQBsAGUAYwBcACIAKQA7AFwAbgBcAG4AVgBFAEUAUgBHAF8AMQA0AF8AMQBfADEAXwBfADEAXwBMAG8AYwBhAHQAaQBvAG4AQgBhAHMAZQBkAFMAYwBvAHAAZQBFAGwAZQBjAHQAcgBpAGMAaQB0AHkARQBtAGkAcwBzAGkAbwBuAHMAXwBVAG4AaQB0AFwAbgAgACAAPQBMAEEATQBCAEQAQQAoAFwAIgB0ACAAQwBPADIAZQBcACIAKQA7AFwAbgBcAG4AVgBFAEUAUgBHAF8AMQA0AF8AMQBfADEAXwBfADEAXwBMAG8AYwBhAHQAaQBvAG4AQgBhAHMAZQBkAFMAYwBvAHAAZQBFAGwAZQBjAHQAcgBpAGMAaQB0AHkARQBtAGkAcwBzAGkAbwBuAHMAXwBTAG8AdQByAGMAZQBcAG4AIAAgAD0ATABBAE0AQgBEAEEAKABcACIAVgBFAEUAUgBHACAAMgAwADIANgA6ACAAMQA0AC4AMQAuADEALAAgAEUAcQB1AGEAdABpAG8AbgAgACgAMQApAFwAIgApADsAXABuAFwAbgBWAEUARQBSAEcAXwAxADQAXwAxAF8AMQBfAF8AMQBfAEwAbwBjAGEAdABpAG8AbgBCAGEAcwBlAGQAUwBjAG8AcABlAEUAbABlAGMAdAByAGkAYwBpAHQAeQBFAG0AaQBzAHMAaQBvAG4AcwBfAE4ASQBSAFIAZQBmAGUAcgBlAG4AYwBlAFwAbgAgACAAPQBMAEEATQBCAEQAQQAoAFwAIgBcACIAKQA7AFwAbgBcAG4AVgBFAEUAUgBHAF8AMQA0AF8AMQBfADEAXwBfADEAXwBMAG8AYwBhAHQAaQBvAG4AQgBhAHMAZQBkAFMAYwBvAHAAZQBFAGwAZQBjAHQAcgBpAGMAaQB0AHkARQBtAGkAcwBzAGkAbwBuAHMAXwBMAGEAdABlAHgARQBxAHUAYQB0AGkAbwBuAFwAbgAgACAAPQBMAEEATQBCAEQAQQAoAFwAIgBFAF8AewAyACwAZQBsAGUAYwB9AD0AUQBfAHsAZQBsAGUAYwB9AFwAXAB0AGkAbQBlAHMAIABFAEYAXwB7ADIALABlAGwAZQBjAH0AXABcAHQAaQBtAGUAcwAgADEAMABeAHsALQAzAH0AXAAiACkAOwBcAG4AXABuAFYARQBFAFIARwBfADEANABfADEAXwAxAF8AXwAxAF8ATABvAGMAYQB0AGkAbwBuAEIAYQBzAGUAZABTAGMAbwBwAGUARQBsAGUAYwB0AHIAaQBjAGkAdAB5AEUAbQBpAHMAcwBpAG8AbgBz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gBlAGwAZQBjAFwAIgAsACAAXAAiAGwAbwBjAGEAdABpAG8AbgAtAGIAYQBzAGUAZAAgAFMAYwBvAHAAZQAgADIAIABlAG0AaQBzAHMAaQBvAG4AIABmAGEAYwB0AG8AcgAgAGYAbwByACAAZQBsAGUAYwB0AHIAaQBjAGkAdAB5AFwAIgAsACAAXAAiAGsAZwAgAEMATwAyAGUALwBrAFcAaABcACIALAAgAFwAIgBDAG8AbgBzAHQAYQBuAHQAXAAiADsAXABuACAAIAAgACAAIAAgACAAIAAgACAAXAAiAGcAXAAiACwAIABcACIARwByAGkAZAAgAGUAbABlAGMAdAByAGkAYwBpAHQAeQAgAHcAYQBzACAAcAB1AHIAYwBoAGEAcwBlAGQAIABmAHIAbwBtAFwAIgAsACAAXAAiAFwAIgAsACAAXAAiAEkAbgBwAHUAdABcACIAXABuACAAIAAgACAAIAAgACAAIAB9ACwAIAByACwAIABjACkAXABuACAAIAAgACAAIAAgACkAXABuACAAIAAgACAAKQBcAG4AIAAgACkAOwBcAG4AXABuAFYARQBFAFIARwBfADEANABfADEAXwAxAF8AXwAxAF8ATABvAGMAYQB0AGkAbwBuAEIAYQBzAGUAZABTAGMAbwBwAGUARQBsAGUAYwB0AHIAaQBjAGkAdAB5AEUAbQBpAHMAcwBpAG8AbgBzAF8AVgBhAHIAaQBhAHQAaQBvAG4AXABuACAAIAA9AEwAQQBNAEIARABBACgAXAAiAEEAZABkAGUAZAAgAGcAIAB2AGEAcgBpAGEAYgBsAGUAIAB0AG8AIABjAGEAcAB0AHUAcgBlACAAdwBoAGkAYwBoACAAZwByAGkAZAAgAGUAbABlAGMAdAByAGkAYwBpAHQAeQAgAHcAYQBzACAAcAB1AHIAYwBoAGEAcwBlAGQAIABmAHIAbwBtAFwAIgApADsAXABuAFwAbgAvACoAXABuAC0ALQAtAC0ALQAtAC0ALQAtAC0ALQAtAC0ALQAtAC0ALQAtAC0ALQAtAC0ALQAtAC0ALQAtAC0ALQAtAC0ALQAtAC0ALQAtAC0ALQBcAG4AVgBFAEUAUgBHAF8AMQA0AF8AMQBfADIAXwBfADEAXwBNAGEAcgBrAGUAdABCAGEAcwBlAGQAUwBjAG8AcABlAEUAbABlAGMAdAByAGkAYwBpAHQAeQBFAG0AaQBzAHMAaQBvAG4AcwBcAG4ATQBhAHIAawBlAHQALQBiAGEAcwBlAGQAIABTAGMAbwBwAGUAIAAyACAAZQBtAGkAcwBzAGkAbwBuAHMAIABmAHIAbwBtACAAcAB1AHIAYwBoAGEAcwBlAGQAIABlAGwAZQBjAHQAcgBpAGMAaQB0AHkAXABuAEUAXwAyAGUAbABlAGMAXABuAHQAIABDAE8AMgBlAFwAbgBFAF8AewAyACwAZQBsAGUAYwB9AD0AKAAoAFEAXwB7AGUAbABlAGMAfQBcAFwAdABpAG0AZQBzACgAMQAtACgAUgBQAFAAKwBKAFIAUABQACkAKQApAC0AKAAoAFIARQBDAF8AewBzAHUAcgByAGUAbgBkAGUAcgBlAGQAfQAtAFIARQBDAF8AewBvAG4AcwBpAHQAZQB9ACkAXABcAHQAaQBtAGUAcwAgADEAMABeAHsALQAzAH0AKQApAFwAXAB0AGkAbQBlAHMAIABFAEYAXwB7AFIATQBGADIALABlAGwAZQBjAH0AXABcAHQAaQBtAGUAcwAgADEAMABeAHsALQAzAH0AXABuAFEAXwBlAGwAZQBjACAAPQAgAGEAbQBvAHUAbgB0ACAAbwBmACAAZQBsAGUAYwB0AHIAaQBjAGkAdAB5ACAAcAB1AHIAYwBoAGEAcwBlAGQAIABmAHIAbwBtACAAdABoAGUAIABnAHIAaQBkACAAKABrAFcAaAApAFwAbgBSAFAAUAAgAD0AIABSAGUAbgBlAHcAYQBiAGwAZQAgAFAAbwB3AGUAcgAgAFAAZQByAGMAZQBuAHQAYQBnAGUAIAB1AG4AZABlAHIAIAB0AGgAZQAgAEwAYQByAGcAZQAtAHMAYwBhAGwAZQAgAFIAZQBuAGUAdwBhAGIAbABlACAARQBuAGUAcgBnAHkAIABUAGEAcgBnAGUAdAAgACgATABSAEUAVAApACAAZgBvAHIAIAB0AGgAZQAgAGEAcABwAGwAaQBjAGEAYgBsAGUAIABwAGUAcgBpAG8AZAAgACgAcABlAHIAIABjAGUAbgB0ACkAXABuAEoAUgBQAFAAIAA9ACAAagB1AHIAaQBzAGQAaQBjAHQAaQBvAG4AYQBsACAAcgBlAG4AZQB3AGEAYgBsAGUAIABwAG8AdwBlAHIAIABwAGUAcgBjAGUAbgB0AGEAZwBlACAAZgBvAHIAIAB0AGgAZQAgAGEAcABwAGwAaQBjAGEAYgBsAGUAIABwAGUAcgBpAG8AZAAgACgAbwBuAGwAeQAgAGEAcABwAGwAaQBlAHMAIAB0AG8AIAB0AGgAZQAgAEEAQwBUACkAIAAoAHAAZQByACAAYwBlAG4AdAApAFwAbgBSAEUAQwBfAHMAdQByAHIAZQBuAGQAZQByAGUAZAAgAD0AIABuAHUAbQBiAGUAcgAgAG8AZgAgAGUAbABpAGcAaQBiAGwAZQAgAFIAZQBuAGUAdwBhAGIAbABlACAARQBuAGUAcgBnAHkAIABDAGUAcgB0AGkAZgBpAGMAYQB0AGUAcwAgAHYAbwBsAHUAbgB0AGEAcgBpAGwAeQAgAHMAdQByAHIAZQBuAGQAZQByAGUAZAAgAGkAbgAgAHQAaABlACAAcgBlAHAAbwByAHQAaQBuAGcAIAB5AGUAYQByACAAZQBxAHUAaQB2AGEAbABlAG4AdAAgAHQAbwAgAG0AZQBnAGEAdwBhAHQAdAAgAGgAbwB1AHIAcwAgACgATQBXAGgAKQBcAG4AUgBFAEMAXwBvAG4AcwBpAHQAZQAgAD0AIABuAHUAbQBiAGUAcgAgAG8AZgAgAGUAbABpAGcAaQBiAGwAZQAgAFIAZQBuAGUAdwBhAGIAbABlACAARQBuAGUAcgBnAHkAIABDAGUAcgB0AGkAZgBpAGMAYQB0AGUAcwAgAHQAaABhAHQAIABoAGEAdgBlACAAYgBlAGUAbgAgAG8AcgAgAHcAaQBsAGwAIABiAGUAIABpAHMAcwB1AGUAZAAgAGYAbwByACAAZQBsAGUAYwB0AHIAaQBjAGkAdAB5ACAAcAByAG8AZAB1AGMAZQBkACAAbwBuAC0AcwBpAHQAZQAgAGQAdQByAGkAbgBnACAAdABoAGUAIAB5AGUAYQByACAAYQBuAGQAIABjAG8AbgBzAHUAbQBlAGQAIABiAHkAIAB0AGgAZQAgAGUAbgB0AGkAdAB5ACAAZQBxAHUAaQB2AGEAbABlAG4AdAAgAHQAbwAgAG0AZQBnAGEAdwBhAHQAdAAgAGgAbwB1AHIAcwAgACgATQBXAGgAKQBcAG4ARQBGAF8AUgBNAEYAMgBlAGwAZQBjACAAPQAgAFMAYwBvAHAAZQAgADIAIAByAGUAcwBpAGQAdQBhAGwAIABtAGkAeA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yAF8AXwAxAF8ATQBhAHIAawBlAHQAQgBhAHMAZQBkAFMAYwBvAHAAZQBFAGwAZQBjAHQAcgBpAGMAaQB0AHkARQBtAGkAcwBzAGkAbwBuAHM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LQAzACkAKQAgACoAIABFAEYAXwBSAE0ARgAyAGUAbABlAGMAIAAqACAAMQAwACAAXgAgAC0AMwBcAG4AIAAgACkAOwBcAG4AXABuAFYARQBFAFIARwBfADEANABfADEAXwAyAF8AXwAxAF8ATQBhAHIAawBlAHQAQgBhAHMAZQBkAFMAYwBvAHAAZQBFAGwAZQBjAHQAcgBpAGMAaQB0AHkARQBtAGkAcwBzAGkAbwBuAHMAVgBhAHIAaQBhAHQAaQBvAG4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MwApACkAIAAqACAARQBGAF8AUgBNAEYAMgBlAGwAZQBjACAAKgAgADEAMAAgAF4AIAAtADMAXABuACAAIAApADsAXABuAFwAbgBWAEUARQBSAEcAXwAxADQAXwAxAF8AMgBfAF8AMQBfAE0AYQByAGsAZQB0AEIAYQBzAGUAZABTAGMAbwBwAGUARQBsAGUAYwB0AHIAaQBjAGkAdAB5AEUAbQBpAHMAcwBpAG8AbgBzAF8AVABpAHQAbABlAFwAbgAgACAAPQBMAEEATQBCAEQAQQAoAFwAIgBNAGEAcgBrAGUAdAAtAGIAYQBzAGUAZAAgAFMAYwBvAHAAZQAgADIAIABlAG0AaQBzAHMAaQBvAG4AcwAgAGYAcgBvAG0AIABwAHUAcgBjAGgAYQBzAGUAZAAgAGUAbABlAGMAdAByAGkAYwBpAHQAeQBcACIAKQA7AFwAbgBcAG4AVgBFAEUAUgBHAF8AMQA0AF8AMQBfADIAXwBfADEAXwBNAGEAcgBrAGUAdABCAGEAcwBlAGQAUwBjAG8AcABlAEUAbABlAGMAdAByAGkAYwBpAHQAeQBFAG0AaQBzAHMAaQBvAG4AcwBfAFYAYQByAGkAYQBiAGwAZQBcAG4AIAAgAD0ATABBAE0AQgBEAEEAKABcACIARQBfADIAZQBsAGUAYwBcACIAKQA7AFwAbgBcAG4AVgBFAEUAUgBHAF8AMQA0AF8AMQBfADIAXwBfADEAXwBNAGEAcgBrAGUAdABCAGEAcwBlAGQAUwBjAG8AcABlAEUAbABlAGMAdAByAGkAYwBpAHQAeQBFAG0AaQBzAHMAaQBvAG4AcwBfAFUAbgBpAHQAXABuACAAIAA9AEwAQQBNAEIARABBACgAXAAiAHQAIABDAE8AMgBlAFwAIgApADsAXABuAFwAbgBWAEUARQBSAEcAXwAxADQAXwAxAF8AMgBfAF8AMQBfAE0AYQByAGsAZQB0AEIAYQBzAGUAZABTAGMAbwBwAGUARQBsAGUAYwB0AHIAaQBjAGkAdAB5AEUAbQBpAHMAcwBpAG8AbgBzAF8AUwBvAHUAcgBjAGUAXABuACAAIAA9AEwAQQBNAEIARABBACgAXAAiAFYARQBFAFIARwAgADIAMAAyADYAOgAgADEANAAuADEALgAyACwAIABFAHEAdQBhAHQAaQBvAG4AIAAoADEAKQBcACIAKQA7AFwAbgBcAG4AVgBFAEUAUgBHAF8AMQA0AF8AMQBfADIAXwBfADEAXwBNAGEAcgBrAGUAdABCAGEAcwBlAGQAUwBjAG8AcABlAEUAbABlAGMAdAByAGkAYwBpAHQAeQBFAG0AaQBzAHMAaQBvAG4AcwBfAE4ASQBSAFIAZQBmAGUAcgBlAG4AYwBlAFwAbgAgACAAPQBMAEEATQBCAEQAQQAoAFwAIgBcACIAKQA7AFwAbgBcAG4AVgBFAEUAUgBHAF8AMQA0AF8AMQBfADIAXwBfADEAXwBNAGEAcgBrAGUAdABCAGEAcwBlAGQAUwBjAG8AcABlAEUAbABlAGMAdAByAGkAYwBpAHQAeQBFAG0AaQBzAHMAaQBvAG4Acw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LQAzAH0AKQApACAAXABcAHQAaQBtAGUAcwAgAEUARgBfAHsAUgBNAEYAMgAsAGUAbABlAGMAfQAgAFwAXAB0AGkAbQBlAHMAIAAxADAAXgB7AC0AMwB9AFwAIgApADsAXABuAFwAbgBWAEUARQBSAEcAXwAxADQAXwAxAF8AMgBfAF8AMQBfAE0AYQByAGsAZQB0AEIAYQBzAGUAZABTAGMAbwBwAGUARQBsAGUAYwB0AHIAaQBjAGkAdAB5AEUAbQBpAHMAcwBpAG8AbgBzAFYAYQByAGkAYQB0AGkAbwBu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zAH0AKQApACAAXABcAHQAaQBtAGUAcwAgAEUARgBfAHsAUgBNAEYAMgAsAGUAbABlAGMAfQAgAFwAXAB0AGkAbQBlAHMAIAAxADAAXgB7AC0AMwB9AFwAIgApADsAXABuAFwAbgBWAEUARQBSAEcAXwAxADQAXwAxAF8AMgBfAF8AMQBfAE0AYQByAGsAZQB0AEIAYQBzAGUAZABTAGMAbwBwAGUARQBsAGUAYwB0AHIAaQBjAGkAdAB5AEUAbQBpAHMAcwBpAG8AbgBz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UgBlAG4AZQB3AGEAYgBsAGUAIABQAG8AdwBlAHIAIABQAGUAcgBjAGUAbgB0AGEAZwBlACAAdQBuAGQAZQByACAAdABoAGUAIABMAGEAcgBnAGUALQBzAGMAYQBsAGUAIABSAGUAbgBlAHcAYQBiAGwAZQAgAEUAbgBlAHIAZwB5ACAAVABhAHIAZwBlAHQAIAAoAEwAUgBFAFQAKQBcACIALAAgAFwAIgBwAGUAcgAgAGMAZQBuAHQ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IAAoAEEAQwBUACAAbwBuAGwAeQApAFwAIgAsACAAXAAiAHAAZQByACAAYwBlAG4AdABcACIALAAgAFwAIgBJAG4AcAB1AHQAXAAiADsAXABuACAAIAAgACAAIAAgACAAIAAgACAAXAAiAFIARQBDAF8AcwB1AHIAcgBlAG4AZABlAHIAZQBkAFwAIgAsACAAXAAiAFIAZQBuAGUAdwBhAGIAbABlACAARQBuAGUAcgBnAHkAIABDAGUAcgB0AGkAZgBpAGMAYQB0AGUAcwAgAHYAbwBsAHUAbgB0AGEAcgBpAGwAeQAgAHMAdQByAHIAZQBuAGQAZQByAGUAZAAgAGkAbgAgAHQAaABlACAAcgBlAHAAbwByAHQAaQBuAGcAIAB5AGUAYQByAFwAIgAsACAAXAAiAE0AVwBoAFwAIgAsACAAXAAiAEkAbgBwAHUAdABcACIAOwBcAG4AIAAgACAAIAAgACAAIAAgACAAIABcACIAUgBFAEMAXwBvAG4AcwBpAHQAZQBcACIALAAgAFwAIgBSAGUAbgBlAHcAYQBiAGwAZQAgAEUAbgBlAHIAZwB5ACAAQwBlAHIAdABpAGYAaQBjAGEAdABlAHMAIABpAHMAcwB1AGUAZAAgAGYAbwByACAAZQBsAGUAYwB0AHIAaQBjAGkAdAB5ACAAcAByAG8AZAB1AGMAZQBkACAAbwBuAC0AcwBpAHQAZQAgAGQAdQByAGkAbgBnACAAdABoAGUAIAB5AGUAYQByACAAYQBuAGQAIABjAG8AbgBzAHUAbQBlAGQAIABiAHkAIAB0AGgAZQAgAGUAbgB0AGkAdAB5AFwAIgAsACAAXAAiAE0AVwBoAFwAIgAsACAAXAAiAEkAbgBwAHUAdABcACIAOwBcAG4AIAAgACAAIAAgACAAIAAgACAAIABcACIARQBGAF8AUgBNAEYAMgBlAGwAZQBjAFwAIgAsACAAXAAiAFMAYwBvAHAAZQAgADI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0AF8AMQBfADIAXwBfADEAXwBNAGEAcgBrAGUAdABCAGEAcwBlAGQAUwBjAG8AcABlAEUAbABlAGMAdAByAGkAYwBpAHQAeQBFAG0AaQBzAHMAaQBvAG4Acw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CIAfQAsAHsAIgBwAGEAdABoACIAOgAiAC8AcAByAG8AagBlAGMAdABzAC8ARQBsAGUAYwB0AHIAaQBjAGkAdAB5AF8AUwBvAHUAcgBjAGUARABhAHQAYQAiACwAIgB0AGUAeAB0ACIAOgAiAC8AKgBcAG4APQA9AD0APQA9AD0APQA9AD0APQA9AD0APQA9AD0APQA9AD0APQA9AD0APQA9AD0APQA9AD0APQA9AD0APQA9AD0APQA9AD0APQA9AD0APQA9AD0APQA9AD0APQA9AD0APQA9AD0APQA9AD0APQA9AD0APQA9AD0APQA9AD0APQA9AD0APQA9AD0APQA9AD0APQA9AD0APQBcAG4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Ag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MAG8AYwBhAHQAaQBvAG4AQgBhAHMAZQBkAF8AVABpAHQAbABlAFwAbgA9AEwAQQBNAEIARABBACgAKABcACIARQBsAGUAYwB0AHIAaQBjAGkAdAB5ACAAcwBjAG8AcABlACAAMgAgAGEAbgBkACAAcwBjAG8AcABlACAAMwAgAGwAbwBjAGEAdABpAG8AbgAtAGIAYQBzAGUAZAAgAGUAbQBpAHMAcwBpAG8AbgAgAGYAYQBjAHQAbwByAHMAXAAiACkAKQA7AFwAbgBcAG4ARQBsAGUAYwB0AHIAaQBjAGkAdAB5AF8AUwBjAG8AcABlADIATABvAGMAYQB0AGkAbwBuAEIAYQBzAGUAZABfAEQAZQBzAGMAcgBpAHAAdABpAG8AbgBcAG4APQBMAEEATQBCAEQAQQAoACgAXAAi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XAAiACkAKQA7AFwAbgBcAG4ARQBsAGUAYwB0AHIAaQBjAGkAdAB5AF8AUwBjAG8AcABlADIAUwBjAG8AcABlADMATABvAGMAYQB0AGkAbwBuAEIAYQBzAGUAZABfAFMAbwB1AHIAYwBlAFwAbgA9AEwAQQBNAEIARABBACgAKABcACIAQQB1AHMAdAByAGEAbABpAGEAbgAgAE4AYQB0AGkAbwBuAGEAbAAgAEcAcgBlAGUAbgBoAG8AdQBzAGUAIABBAGMAYwBvAHUAbgB0AHMAIABGAGEAYwB0AG8AcgBzACAAMgAwADIANQAgAC0AIABUAGEAYgBsAGUAIAAxAFwAIgApACkAOwBcAG4AXABuAEUAbABlAGMAdAByAGkAYwBpAHQAeQBfAFMAYwBvAHAAZQAyAFMAYwBvAHAAZQAzAEwAbwBjAGEAdABpAG8AbgBCAGEAcwBlAGQAXwBEAGEAdABhAFwAbgA9AEwAQQBNAEIARABBACgAXABuACAAIABNAEEASwBFAEEAUgBSAEEAWQAoADEAMQAsACAAMw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zACAARQBtAGkAcwBzAGkAbwBuACAARgBhAGMAdABvAHIAcwAgACgAawBnACAAQwBPADIALQBlAC8AawBXAGgAKQBcACIAOwBcAG4AIAAgACAAIAAgACAAIAAgAFwAIgBOAGUAdwAgAFMAbwB1AHQAaAAgAFcAYQBsAGUAcwBcACIALAAgADAALgA2ADQALAAgADAALgAwADMAOwBcAG4AIAAgACAAIAAgACAAIAAgAFwAIgBBAEMAVABcACIALAAgADAALgA2ADQALAAgADAALgAwADMAOwBcAG4AIAAgACAAIAAgACAAIAAgAFwAIgBWAGkAYwB0AG8AcgBpAGEAXAAiACwAIAAwAC4ANwA4ACwAIAAwAC4AMAA5ADsAXABuACAAIAAgACAAIAAgACAAIABcACIAUQB1AGUAZQBuAHMAbABhAG4AZABcACIALAAgADAALgA2ADcALAAgADAALgAwADkAOwBcAG4AIAAgACAAIAAgACAAIAAgAFwAIgBTAG8AdQB0AGgAIABBAHUAcwB0AHIAYQBsAGkAYQBcACIALAAgADAALgAyADIALAAgADAALgAwADQAOwBcAG4AIAAgACAAIAAgACAAIAAgAFwAIgBXAGUAcwB0AGUAcgBuACAAQQB1AHMAdAByAGEAbABpAGEAIAAtACAAUwBvAHUAdABoACAAVwBlAHMAdAAgAEkAbgB0AGUAcgBjAG8AbgBuAGUAYwB0AGUAZAAgAFMAeQBzAHQAZQBtACAAKABTAFcASQBTACkAXAAiACwAIAAwAC4ANQAwACwAIAAwAC4AMAA2ADsAXABuACAAIAAgACAAIAAgACAAIABcACIAVwBlAHMAdABlAHIAbgAgAEEAdQBzAHQAcgBhAGwAaQBhACAALQAgAE4AbwByAHQAaAAgAFcAZQBzAHQAZQByAG4AIABJAG4AdABlAHIAYwBvAG4AbgBlAGMAdABlAGQAIABTAHkAcwB0AGUAbQAgACgATgBXAEkAUwApAFwAIgAsACAAMAAuADUANgAsACAAMAAuADAAOQA7AFwAbgAgACAAIAAgACAAIAAgACAAXAAiAFQAYQBzAG0AYQBuAGkAYQBcACIALAAgADAALgAyADAALAAgADAALgAwADMAOwBcAG4AIAAgACAAIAAgACAAIAAgAFwAIgBOAG8AcgB0AGgAZQByAG4AIABUAGUAcgByAGkAdABvAHIAeQAgAC0AIABEAGEAcgB3AGkAbgAgAEsAYQB0AGgAZQByAGkAbgBlACAASQBuAHQAZQByAGMAbwBuAG4AZQBjAHQAZQBkACAAUwB5AHMAdABlAG0AIAAoAEQASwBJAFMAKQBcACIALAAgADAALgA1ADYALAAgADAALgAwADkAOwBcAG4AIAAgACAAIAAgACAAIAAgAFwAIgBOAGEAdABpAG8AbgBhAGwAXAAiACwAIAAwAC4ANgAyACwAIAAwAC4AMAA3AFwAbgAgACAAIAAgACAAIAB9ACwAIAByACwAIABjACkAXABuACkAKQApADsAXABuAFwAbgBFAGwAZQBjAHQAcgBpAGMAaQB0AHkAXwBTAGMAbwBwAGUAMgBTAGMAbwBwAGUAMwBMAG8AYwBhAHQAaQBvAG4AQgBhAHMAZQBkAF8AVgBhAHIAaQBhAHQAaQBvAG4AXABuAD0ATABBAE0AQgBEAEEAKAAoAFwAIgBWAEEAUgBJAEEAVABJAE8ATgAgAE8ARgAgAFMATwBVAFIAQwBFACAARABBAFQAQQA6ACAATgBTAFcAIABhAG4AZAAgAEEAQwBUACAAcwBwAGwAaQB0ACAAaQBuAHQAbwAgAHMAZQBwAGEAcgBhAHQAZQAgAHIAbwB3AHMALgBcACIAKQApADsAXABuAFwAbgBcAG4ALwAqAFwAbgA9AD0APQA9AD0APQA9AD0APQA9AD0APQA9AD0APQA9AD0APQA9AD0APQA9AD0APQA9AD0APQA9AD0APQA9AD0APQA9AD0APQA9AD0APQA9AD0APQA9AD0APQA9AD0APQA9AD0APQA9AD0APQA9AD0APQA9AD0APQA9AD0APQA9AD0APQA9AD0APQA9AD0APQA9AD0APQA9AFwAbgBSAGUAcwBpAGQAdQBhAGwAIABNAGkAeAAgAEYAYQBjAHQAbwByACAAZgBvAHIAIABtAGEAcgBrAGUAdAAtAGIAYQBzAGUAZAAgAGUAcQB1AGEAdABpAG8AbgBz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NAGEAcgBrAGUAdABCAGEAcwBlAGQAXwBUAGkAdABsAGUAXABuAD0ATABBAE0AQgBEAEEAKAAoAFwAIgBFAGwAZQBjAHQAcgBpAGMAaQB0AHkAIABzAGMAbwBwAGUAIAAyACAAYQBuAGQAIABzAGMAbwBwAGUAIAAzACAAbQBhAHIAawBlAHQALQBiAGEAcwBlAGQAIABlAG0AaQBzAHMAaQBvAG4AIABmAGEAYwB0AG8AcgBzAFwAIgApACkAOwBcAG4AXABuAEUAbABlAGMAdAByAGkAYwBpAHQAeQBfAFMAYwBvAHAAZQAyAE0AYQByAGsAZQB0AEIAYQBzAGUAZABfAEQAZQBzAGMAcgBpAHAAdABpAG8AbgBcAG4APQBMAEEATQBCAEQAQQAoACgAXAAiAFQAYQBiAGwAZQAgADIAYQAgAEkAbgBkAGkAcgBlAGMAdAAgACgAcwBjAG8AcABlACAAMgAgAGEAbgBkACAAcwBjAG8AcABlACAAMwApACAAZQBtAGkAcwBzAGkAbwBuACAAZgBhAGMAdABvAHIAcwAgAGYAcgBvAG0AIABjAG8AbgBzAHUAbQBwAHQAaQBvAG4AIABvAGYAIABwAHUAcgBjAGgAYQBzAGUAZAAgAG8AcgAgAGEAYwBxAHUAaQByAGUAZAAgAGUAbABlAGMAdAByAGkAYwBpAHQAeQA6ACAAbQBhAHIAawBlAHQALQBiAGEAcwBlAGQAIABmAGEAYwB0AG8AcgBzACAAXAAiACkAKQA7AFwAbgBcAG4ARQBsAGUAYwB0AHIAaQBjAGkAdAB5AF8AUwBjAG8AcABlADIAUwBjAG8AcABlADMATQBhAHIAawBlAHQAQgBhAHMAZQBkAF8AUwBvAHUAcgBjAGUAXABuAD0ATABBAE0AQgBEAEEAKAAoAFwAIgBBAHUAcwB0AHIAYQBsAGkAYQBuACAATgBhAHQAaQBvAG4AYQBsACAARwByAGUAZQBuAGgAbwB1AHMAZQAgAEEAYwBjAG8AdQBuAHQAcwAgAEYAYQBjAHQAbwByAHMAIAAyADAAMgA1ACAALQAgAFQAYQBiAGwAZQAgADIAYQBcACIAKQApADsAXABuAFwAbgBFAGwAZQBjAHQAcgBpAGMAaQB0AHkAXwBTAGMAbwBwAGUAMgBTAGMAbwBwAGUAMwBNAGEAcgBrAGUAdABCAGEAcwBlAGQAXwBEAGEAdABhAFwAbgA9AEwAQQBNAEIARABBACgAXABuACAAIABNAEEASwBFAEEAUgBSAEEAWQAoADIALAAgADU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gAgAEUAbQBpAHMAcwBpAG8AbgAgAEYAYQBjAHQAbwByAHMAIAAoAGsAZwAgAEMATwAyAC0AZQAvAEcASgApAFwAIgAsACAAXAAiAFMAYwBvAHAAZQAgADMAIABFAG0AaQBzAHMAaQBvAG4AIABGAGEAYwB0AG8AcgBzACAAKABrAGcAIABDAE8AMgAgAC0AIABlACAALwAgAGsAVwBoACkAXAAiACwAIABcACIAUwBjAG8AcABlACAAMwAgAEUAbQBpAHMAcwBpAG8AbgAgAEYAYQBjAHQAbwByAHMAIAAoAGsAZwAgAEMATwAyACAALQAgAGUAIAAvACAARwBKACkAXAAiADsAXABuACAAIAAgACAAIAAgACAAIABcACIATgBhAHQAaQBvAG4AYQBsAFwAIgAsACAAMAAuADgAMQAsACAAMgAyADYALAAgADAALgAxADAALAAgADIAOQBcAG4AIAAgACAAIAAgACAAfQAsACAAcgAsACAAYwApAFwAbgApACkAKQA7AFwAbgBcAG4ARQBsAGUAYwB0AHIAaQBjAGkAdAB5AF8AUwBjAG8AcABlADIAUwBjAG8AcABlADMATQBhAHIAawBlAHQAQgBhAHMAZQBkAF8AVgBhAHIAaQBhAHQAaQBvAG4AXABuAD0ATABBAE0AQgBEAEEAKAAoAFwAIgBcACIAKQApADs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GAHUAZQBsAF8ASQBuAHAAdQB0AEYAdQBuAGMAdABpAG8AbgBzACIALAAiAHQAZQB4AHQAIgA6ACIARgB1AGUAbABfAEcAZQB0AFQAcgBhAG4AcwBwAG8AcgB0AEYAdQBlAGwAUwB0AHIAaQBuAGcAXABuAD0ATABBAE0AQgBEAEEAKABcAG4AIAAgACAAIABDAGUAbABsACwAXABuACAAIAAgACAATABFAEYAVAAoAEMAZQBsAGwALAAgAEYASQBOAEQAKABcACIALAAgAFwAIgAsAEMAZQBsAGwAKQAgAC0AMQApAFwAbgApADsAXABuAFwAbgBGAHUAZQBsAF8ARwBlAHQAUwB0AGEAdABpAG8AbgBhAHIAeQBGAHUAZQBsAFMAdAByAGkAbgBnAFwAbgA9AEwAQQBNAEIARABBACgAXABuACAAIAAgACAAQwBlAGwAbAAsAFwAbgAgACAAIAAgAFIASQBHAEgAVAAoAEMAZQBsAGwALABMAEUATgAoAEMAZQBsAGwAKQAtAEYASQBOAEQAKABcACIALAAgAFwAIgAsAEMAZQBsAGwAKQApAFwAbgApADsAXABuAFwAbgBGAHUAZQBsAF8AVABvAHQAYQBsAEMAbwBuAHMAdQBtAHAAdABpAG8AbgBcAG4APQAgAEwAQQBNAEIARABBACgAXABuACAAIAAgACAARgB1AGUAbABDAG8AbgBzAHUAbQBwAHQAaQBvAG4AQQByAHIAYQB5ACwAIABGAHUAZQBsAFUAcwBlAEEAcgByAGEAeQAsACAARgB1AGUAbABVAHMAZQAsACAARgB1AGUAbABUAHkAcABlAEEAcgByAGEAeQAsACAARgB1AGUAbABUAHkAcABlACwAXABuACAAIAAgACAASQBGAEUAUgBSAE8AUgAoAFwAbgAgACAAIAAgAFMAVQBNACgAXABuACAAIAAgACAAIAAgAEYASQBMAFQARQBSACgAXABuACAAIAAgACAAIAAgACAAIABGAHUAZQBsAEMAbwBuAHMAdQBtAHAAdABpAG8AbgBBAHIAcgBhAHkALABcAG4AIAAgACAAIAAgACAAIAAgACgARgB1AGUAbABUAHkAcABlAEEAcgByAGEAeQAgAD0AIABGAHUAZQBsAFQAeQBwAGUAKQAgACoAIABcAG4AIAAgACAAIAAgACAAIAAgACgARgB1AGUAbABVAHMAZQBBAHIAcgBhAHkAIAA9ACAARgB1AGUAbABVAHMAZQApAFwAbgAgACAAIAAgACAAIAApAFwAbgAgACAAIAAgACkALABcAG4AIAAgACAAIAAwAFwAbgAgACAAKQBcAG4AKQA7ACIAfQAsAHsAIgBwAGEAdABoACIAOgAiAC8AcAByAG8AagBlAGMAdABzAC8ARgB1AGUAbABfAFMAbwB1AHIAYwBlAEQAYQB0AGEAIgAsACIAdABlAHgAdAAiADoAIgAvACoAXABuAD0APQA9AD0APQA9AD0APQA9AD0APQA9AD0APQA9AD0APQA9AD0APQA9AD0APQA9AD0APQA9AD0APQA9AD0APQA9AD0APQA9AD0APQA9AD0APQA9AD0APQA9AD0APQA9AD0APQA9AD0APQA9AD0APQA9AD0APQA9AD0APQA9AD0APQA9AD0APQA9AD0APQA9AD0APQA9AD0AXABuAEYAdQBlAGwAIABzAGMAbwBwAGUAIAAx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xAEUAbQBpAHMAcwBpAG8AbgBGAGEAYwB0AG8AcgBzAFMAdABhAHQAaQBvAG4AYQByAHkARwBhAHMAZQBvAHUAcwBfAFQAaQB0AGwAZQBcAG4APQBMAEEATQBCAEQAQQAoACgAXAAiAEYAdQBlAGwAIABzAGMAbwBwAGUAIAAxACAAZQBtAGkAcwBzAGkAbwBuACAAZgBhAGMAdABvAHIAcwAgAC0AIABTAHQAYQB0AGkAbwBuAGEAcgB5ACAAZwBhAHMAZQBvAHUAcwAgAGYAdQBlAGwAcwBcACIAKQApADsAXABuAFwAbgBGAHUAZQBsAF8AUwBjAG8AcABlADEARQBtAGkAcwBzAGkAbwBuAEYAYQBjAHQAbwByAHMAUwB0AGEAdABpAG8AbgBhAHIAeQBHAGEAcwBlAG8AdQBzAF8ARABlAHMAYwByAGkAcAB0AGkAbwBuAFwAbgA9AEwAQQBNAEIARABBACgAKABcACIARABpAHIAZQBjAHQAIAAoAFMAYwBvAHAAZQAgADEAKQAgAGUAbQBpAHMAcwBpAG8AbgAgAGYAYQBjAHQAbwByAHMAIABmAG8AcgAgAHQAaABlACAAYwBvAG4AcwB1AG0AcAB0AGkAbwBuACAAbwBmACAAZwBhAHMAZQBvAHUAcwAgAGYAdQBlAGwAcwAgAGkAbgBjAGwAdQBkAGkAbgBnACAAbABpAHEAdQBlAGYAaQBlAGQAIABuAGEAdAB1AHIAYQBsACAAZwBhAHMAIAAgAFwAIgApACkAOwBcAG4AXABuAEYAdQBlAGwAXwBTAGMAbwBwAGUAMQ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QBcACIAKQApADsAXABuAFwAbgBGAHUAZQBsAF8AUwBjAG8AcABlADEARQBtAGkAcwBzAGkAbwBuAEYAYQBjAHQAbwByAHMAUwB0AGEAdABpAG8AbgBhAHIAeQBHAGEAcwBlAG8AdQBzAF8ARABhAHQAYQBcAG4APQBMAEEATQBCAEQAQQAoAFwAbgAgACAATQBBAEsARQBBAFIAUgBBAFkAKAAxADkALAAgADc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7AFwAbgAgACAAIAAgACAAIAAgACAAXAAiAE4AYQB0AHUAcgBhAGwAIABnAGEAcwAgAGQAaQBzAHQAcgBpAGIAdQB0AGUAZAAgAGkAbgAgAGEAIABwAGkAcABlAGwAaQBuAGUAXAAiACwAIAAwAC4AMAAzADkAMwAsACAAXAAiAG0AMwBcACIALAAgADUAMQAuADQALAAgADAALgAxACwAIAAwAC4AMAAzACwAIAA1ADEALgA1ADMAOwBcAG4AIAAgACAAIAAgACAAIAAgAFwAIgBDAG8AYQBsACAAcwBlAGEAbQAgAG0AZQB0AGgAYQBuAGUAIAB0AGgAYQB0ACAAaQBzACAAYwBhAHAAdAB1AHIAZQBkACAAZgBvAHIAIABjAG8AbQBiAHUAcwB0AGkAbwBuAFwAIgAsACAAMAAuADAAMwA3ADcALAAgAFwAIgBtADMAXAAiACwAIAA1ADEALgA0ACwAIAAwAC4AMgAsACAAMAAuADAAMwAsACAANQAxAC4ANgAzADsAXABuACAAIAAgACAAIAAgACAAIABcACIAQwBvAGEAbAAgAG0AaQBuAGUAIAB3AGEAcwB0AGUAIABnAGEAcwAgAHQAaABhAHQAIABpAHMAIABjAGEAcAB0AHUAcgBlAGQAIABmAG8AcgAgAGMAbwBtAGIAdQBzAHQAaQBvAG4AXAAiACwAIAAwAC4AMAAzADcANwAsACAAXAAiAG0AMwBcACIALAAgADUAMQAuADkALAAgADQALgA2ACwAIAAwAC4AMwAsACAANQA2AC4AOAA7AFwAbgAgACAAIAAgACAAIAAgACAAXAAiAEMAbwBtAHAAcgBlAHMAcwBlAGQAIABuAGEAdAB1AHIAYQBsACAAZwBhAHMAKAByAGUAdgBlAHIAdABpAG4AZwAgAHQAbwAgAHMAdABhAG4AZABhAHIAZAAgAGMAbwBuAGQAaQB0AGkAbwBuAHMAKQBcACIALAAgADAALgAwADMAOQAzACwAIABcACIAbQAzAFwAIgAsACAANQAxAC4ANAAsACAAMAAuADEALAAgADAALgAwADMALAAgADUAMQAuADUAMwA7AFwAbgAgACAAIAAgACAAIAAgACAAXAAiAFUAbgBwAHIAbwBjAGUAcwBzAGUAZAAgAG4AYQB0AHUAcgBhAGwAIABnAGEAcwBcACIALAAgADAALgAwADMAOQAzACwAIABcACIAbQAzAFwAIgAsACAANQAxAC4ANAAsACAAMAAuADEALAAgADAALgAwADMALAAgADUAMQAuADUAMwA7AFwAbgAgACAAIAAgACAAIAAgACAAXAAiAEUAdABoAGEAbgBlAFwAIgAsACAAMAAuADAANgAyADkALAAgAFwAIgBtADMAXAAiACwAIAA1ADYALgA1ACwAIAAwAC4AMAAzACwAIAAwAC4AMAAzACwAIAA1ADYALgA1ADYAOwBcAG4AIAAgACAAIAAgACAAIAAgAFwAIgBDAG8AawBlACAAbwB2AGUAbgAgAGcAYQBzAFwAIgAsACAAMAAuADAAMQA4ADEALAAgAFwAIgBtADMAXAAiACwAIAAzADcALgAwACwAIAAwAC4AMAAzACwAIAAwAC4AMAA1ACwAIAAzADcALgAwADgAOwBcAG4AIAAgACAAIAAgACAAIAAgAFwAIgBCAGwAYQBzAHQAIABmAHUAcgBuAGEAYwBlACAAZwBhAHMAXAAiACwAIAAwAC4AMAAwADQAMAAsACAAXAAiAG0AMwBcACIALAAgADIAMwA0AC4AMAAsACAAMAAuADAAMwAsACAAMAAuADAAMgAsACAAMgAzADQALgAwADUAOwBcAG4AIAAgACAAIAAgACAAIAAgAFwAIgBUAG8AdwBuACAAZwBhAHMAXAAiACwAIAAwAC4AMAAzADkAMAAsACAAXAAiAG0AMwBcACIALAAgADYAMAAuADIALAAgADAALgAwADQALAAgADAALgAwADMALAAgADYAMAAuADIANwA7AFwAbgAgACAAIAAgACAAIAAgACAAXAAiAEwAaQBxAHUAZQBmAGkAZQBkACAAbgBhAHQAdQByAGEAbAAgAGcAYQBzAFwAIgAsACAAMgA1AC4AMwAsACAAXAAiAGsATABcACIALAAgADUAMQAuADQALAAgADAALgAxACwAIAAwAC4AMAAzACwAIAA1ADEALgA1ADMAOwBcAG4AIAAgACAAIAAgACAAIAAgAFwAIgBHAGEAcwBlAG8AdQBzACAAZgBvAHMAcwBpAGwAIABmAHUAZQBsAHMAIABvAHQAaABlAHIAIAB0AGgAYQBuACAAdABoAG8AcwBlACAAbQBlAG4AdABpAG8AbgBlAGQAIABpAG4AIAB0AGgAZQAgAGkAdABlAG0AcwAgAGEAYgBvAHYAZQBcACIALAAgADAALgAwADMAOQAwACwAIABcACIAbQAzAFwAIgAsACAANQAxAC4ANAAsACAAMAAuADEALAAgADAALgAwADMALAAgADUAMQAuADUAMwA7AFwAbgAgACAAIAAgACAAIAAgACAAXAAiAEwAYQBuAGQAZgBpAGwAbA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UwBsAHUAZABnAGU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EEAIABiAGkAbwBnAGEAcwAgAHQAaABhAHQAIABpAHMAIABjAGEAcAB0AHUAcgBlAGQAIABmAG8AcgAgAGMAbwBtAGIAdQBzAHQAaQBvAG4ALAAgAG8AdABoAGUAcgAgAHQAaABhAG4AIAB0AGgAbwBzAGUAIABtAGUAbgB0AGkAbwBuAGUAZAAgAGkAbgAgAHQAaABlACAAaQB0AGUAbQBzACAAYQBiAG8AdgBlAFwAIgAsACAAMAAuADAAMwA3ADAALAAgAFwAIgBtADMAXAAiACwAIAAwAC4AMAAsACAANgAuADQALAAgADAALgAwADMALAAgADYALgA0ADMAOwBcAG4AIAAgACAAIAAgACAAIAAgAFwAIgBCAGkAbwBtAGUAdABoAGEAbgBlAFwAIgAsACAAMAAuADAAMwA5ADMALAAgAFwAIgBtADMAXAAiACwAIAAwAC4AMAAsACAAMAAuADEALAAgADAALgAwADMALAAgADAALgAxADMAOwBcAG4AIAAgACAAIAAgACAAIAAgAFwAIgBIAHkAZAByAG8AZwBlAG4AXAAiACwAIAAwAC4AMAAxADIAMgAsACAAXAAiAG0AMwBcACIALAAgADAALgAwACwAIAAwAC4AMAAsACAAMAAuADUALAAgADAALgA1ADsAXABuACAAIAAgACAAIAAgACAAIABcACIATgBhAHQAdQByAGEAbAAgAGcAYQBzACAAZABpAHMAdAByAGkAYgB1AHQAZQBkACAAaQBuACAAYQAgAHAAaQBwAGUAbABpAG4AZQAgAC0AIABHAGkAZwBhAGoAbwB1AGwAZQBzAFwAIgAsACAAMQAsACAAXAAiAEcASgBcACIALAAgADUAMQAuADQALAAgADAALgAxACwAIAAwAC4AMAAzACwAIAA1ADEALgA1ADMAOwBcAG4AIAAgACAAIAAgACAAIAAgAFwAIgBUAG8AdwBuACAAZwBhAHMAIAAtACAARwBpAGcAYQBqAG8AdQBsAGUAcwBcACIALAAgADEALAAgAFwAIgBHAEoAXAAiACwAIAA2ADAALgAyACwAIAAwAC4AMAA0ACwAIAAwAC4AMAAzACwAIAA2ADAALgAyADcAXABuACAAIAAgACAAIAAgAH0ALAAgAHIALAAgAGMAKQBcAG4AKQApACkAOwBcAG4AXABuAEYAdQBlAGwAXwBTAGMAbwBwAGUAMQBFAG0AaQBzAHMAaQBvAG4ARgBhAGMAdABvAHIAcwBTAHQAYQB0AGkAbwBuAGEAcgB5AEcAYQBzAGUAbwB1AHMAXwBWAGEAcgBpAGEAdABpAG8AbgBcAG4APQBMAEEATQBCAEQAQQAoACgAXAAiAFYAQQBSAEkAQQBUAEkATwBOACAATwBGACAAUwBPAFUAUgBDAEUAIABEAEEAVABBADoAIABcAHUAMAAwADIANwBOAGEAdAB1AHIAYQBsACAAZwBhAHMAIABkAGkAcwB0AHIAaQBiAHUAdABlAGQAIABpAG4AIABhACAAcABpAHAAZQBsAGkAbgBlACAALQAgAEcAaQBnAGEAagBvAHUAbABlAHMAXAB1ADAAMAAyADcAIABhAG4AZAAgAFwAdQAwADAAMgA3AFQAbwB3AG4AIABnAGEAcwAgAC0AIABHAGkAZwBhAGoAbwB1AGwAZQBzAFwAdQAwADAAMgA3ACAAdwBlAHIAZQAgAGEAZABkAGUAZAAsACAAZQBhAGMAaAAgAHcAaQB0AGgAIABhAG4AIABlAG4AZQByAGcAeQAgAGMAbwBuAHQAZQBuAHQAIABmAGEAYwB0AG8AcgAgAG8AZgAgADEAIABHAEoAIABwAGUAcgAgAHUAbgBpAHQAIABvAGYAIABmAHUAZQBsAC4AIABUAGgAaQBzACAAaQBzACAAZgBvAHIAIAB1AHMAZQByAHMAIAB3AGgAbwAgAGgAYQB2AGUAIABmAHUAZQBsACAAYwBvAG4AcwB1AG0AcAB0AGkAbwBuACAAZABhAHQAYQAgAGkAbgAgAEcASgAgAHIAYQB0AGgAZQByACAAdABoAGEAbgAgAG0AMwAuAFwAIgApACkAOwBcAG4AXABuAFwAbgAvACoAXABuAD0APQA9AD0APQA9AD0APQA9AD0APQA9AD0APQA9AD0APQA9AD0APQA9AD0APQA9AD0APQA9AD0APQA9AD0APQA9AD0APQA9AD0APQA9AD0APQA9AD0APQA9AD0APQA9AD0APQA9AD0APQA9AD0APQA9AD0APQA9AD0APQA9AD0APQA9AD0APQA9AD0APQA9AD0APQA9AD0AXABuAEYAdQBlAGwAIABzAGMAbwBwAGUAIAAz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zAEUAbQBpAHMAcwBpAG8AbgBGAGEAYwB0AG8AcgBzAFMAdABhAHQAaQBvAG4AYQByAHkARwBhAHMAZQBvAHUAcwBfAFQAaQB0AGwAZQBcAG4APQBMAEEATQBCAEQAQQAoACgAXAAiAEYAdQBlAGwAIABzAGMAbwBwAGUAIAAzACAAZQBtAGkAcwBzAGkAbwBuACAAZgBhAGMAdABvAHIAcwAgAC0AIABTAHQAYQB0AGkAbwBuAGEAcgB5ACAAZwBhAHMAZQBvAHUAcwAgAGYAdQBlAGwAcwBcACIAKQApADsAXABuAFwAbgBGAHUAZQBsAF8AUwBjAG8AcABlADMARQBtAGkAcwBzAGkAbwBuAEYAYQBjAHQAbwByAHMAUwB0AGEAdABpAG8AbgBhAHIAeQBHAGEAcwBlAG8AdQBzAF8ARABlAHMAYwByAGkAcAB0AGkAbwBuAFwAbgA9AEwAQQBNAEIARABBACgAKABcACIASQBuAGQAaQByAGUAYwB0ACAAKABTAGMAbwBwAGUAIAAzACkAIABlAG0AaQBzAHMAaQBvAG4AIABmAGEAYwB0AG8AcgBzACAAZgBvAHIAIAB0AGgAZQAgAGMAbwBuAHMAdQBtAHAAdABpAG8AbgAgAG8AZgAgAG4AYQB0AHUAcgBhAGwAIABnAGEAcwAuAFwAIgApACkAOwBcAG4AXABuAEYAdQBlAGwAXwBTAGMAbwBwAGUAMw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gBcACIAKQApADsAXABuAFwAbgBGAHUAZQBsAF8AUwBjAG8AcABlADMARQBtAGkAcwBzAGkAbwBuAEYAYQBjAHQAbwByAHMAUwB0AGEAdABpAG8AbgBhAHIAeQBHAGEAcwBlAG8AdQBzAF8ARABhAHQAYQBcAG4APQBMAEEATQBCAEQAQQAoAFwAbgAgACAATQBBAEsARQBBAFIAUgBBAFkAKAA5ACwAIAAzACwAXABuACAAIAAgACAATABBAE0AQgBEAEEAKAByACwAYwAsAFwAbgAgACAAIAAgACAAIABJAE4ARABFAFgAKAB7AFwAbgAgACAAIAAgACAAIAAgACAAXAAiAFMAdABhAHQAZQAgAG8AcgAgAHQAZQByAHIAaQB0AG8AcgB5AFwAIgAsACAAXAAiAFMAYwBvAHAAZQAgADMAIABFAG0AaQBzAHMAaQBvAG4AIABGAGEAYwB0AG8AcgBzACAAZgBvAHIAIABOAGEAdAB1AHIAYQBsACAARwBhAHMAIAAoAGsAZwAgAEMATwAyACAALQAgAGUAIAAvACAARwBKACkAIABNAGUAdAByAG8AXAAiACwAIABcACIAUwBjAG8AcABlACAAMwAgAEUAbQBpAHMAcwBpAG8AbgAgAEYAYQBjAHQAbwByAHMAIABmAG8AcgAgAE4AYQB0AHUAcgBhAGwAIABHAGEAcwAgACgAawBnACAAQwBPADIAIAAtACAAZQAgAC8AIABHAEoAKQAgAE4AbwBuACAALQAgAE0AZQB0AHIAbwBcACIAOwBcAG4AIAAgACAAIAAgACAAIAAgAFwAIgBOAGUAdwAgAFMAbwB1AHQAaAAgAFcAYQBsAGUAcwBcACIALAAgADEAMwAuADEALAAgADEANAAuADAAOwBcAG4AIAAgACAAIAAgACAAIAAgAFwAIgBBAEMAVABcACIALAAgADEAMwAuADEALAAgADEANAAuADAAOwBcAG4AIAAgACAAIAAgACAAIAAgAFwAIgBWAGkAYwB0AG8AcgBpAGEAXAAiACwAIAA0AC4AMAAsACAANAAuADAAOwBcAG4AIAAgACAAIAAgACAAIAAgAFwAIgBRAHUAZQBlAG4AcwBsAGEAbgBkAFwAIgAsACAAOAAuADgALAAgADcALgA5ADsAXABuACAAIAAgACAAIAAgACAAIABcACIAUwBvAHUAdABoACAAQQB1AHMAdAByAGEAbABpAGEAXAAiACwAIAAxADAALgA3ACwAIAAxADAALgA2ADsAXABuACAAIAAgACAAIAAgACAAIABcACIAVwBlAHMAdABlAHIAbgAgAEEAdQBzAHQAcgBhAGwAaQBhAFwAIgAsACAANAAuADEALAAgADQALgAwADsAXABuACAAIAAgACAAIAAgACAAIABcACIAVABhAHMAbQBhAG4AaQBhAFwAIgAsACAANAAuADAALAAgADQALgAwADsAXABuACAAIAAgACAAIAAgACAAIABcACIATgBvAHIAdABoAGUAcgBuACAAVABlAHIAcgBpAHQAbwByAHkAXAAiACwAIAA0AC4AMQAsACAANAAuADAAXABuACAAIAAgACAAIAAgAH0ALAAgAHIALAAgAGMAKQBcAG4AKQApACkAOwBcAG4AXABuAEYAdQBlAGwAXwBTAGMAbwBwAGUAMwBFAG0AaQBzAHMAaQBvAG4ARgBhAGMAdABvAHIAcwBTAHQAYQB0AGkAbwBuAGEAcgB5AEcAYQBzAGUAbwB1AHMAXwBWAGEAcgBpAGEAdABpAG8AbgBcAG4APQBMAEEATQBCAEQAQQAoACgAXAAiAFYAQQBSAEkAQQBUAEkATwBOACAATwBGACAAUwBPAFUAUgBDAEUAIABEAEEAVABBADoAIABOAFMAVwAgAGEAbgBkACAAQQBDAFQAIABzAHAAbABpAHQAIABpAG4AdABvACAAcwBlAHAAYQByAGEAdABlACAAcgBvAHcAcwAuACAAXAB1ADAAMAAyADcAQwBcAHUAMAAwADIANwAgAFYAYQBsAHUAZQBzACAAZgBvAHIAIABUAGEAcwBtAGEAbgBpAGEAIABhAG4AZAAgAE4AbwByAHQAaABlAHIAbgAgAFQAZQByAHIAaQB0AG8AcgB5ACAAcgBlAHAAbABhAGMAZQBkACAAdwBpAHQAaAAgAHQAaABvAHMAZQAgAGYAbwByACAAVgBpAGMAdABvAHIAaQBhACAAYQBuAGQAIABXAGUAcwB0AGUAcgBuACAAQQB1AHMAdAByAGEAbABpAGEAIAByAGUAcwBwAGUAYwB0AGkAdgBlAGwAeQAuACAAKABTAGUAZQAgAGEAcABwAGUAbgBkAGkAYwBlAHMAKQBcACIAKQApADsAXABuAFwAbgBGAHUAZQBsAF8AUwBjAG8AcABlADMARQBtAGkAcwBzAGkAbwBuAEYAYQBjAHQAbwByAHMAUwB0AGEAdABpAG8AbgBhAHIAeQBHAGEAcwBlAG8AdQBzAF8AQQBwAHAAZQBuAGQAaQBjAGUAcwBcAG4APQBMAEEATQBCAEQAQQAoAFwAbgAgACAATQBBAEsARQBBAFIAUgBBAFkAKAAxADIALAAgADIALABcAG4AIAAgACAAIABMAEEATQBCAEQAQQAoAHIALABjACwAXABuACAAIAAgACAAIAAgAEkATgBEAEUAWAAoAHsAXABuACAAIAAgACAAIAAgACAAIABcACIALQBcACIALAAgAFwAIgBBAHMAIABTAGMAbwBwAGUAIAAzACAAZgBhAGMAdABvAHIAcwAgAGEAcgBlACAAYwBhAGwAYwB1AGwAYQB0AGUAZAAgAGEAdAAgAHQAaABlACAAcABvAGkAbgB0ACAAdwBoAGUAcgBlACAAbgBhAHQAdQByAGEAbAAgAGcAYQBzACAAaQBzACAAZABlAGwAaQB2AGUAcgBlAGQAIAB0AG8AIABlAG4AZAAgAHUAcwBlAHIAcwAsACAAaQB0ACAAaQBzACAAbgBlAGMAZQBzAHMAYQByAHkAIAB0AG8AIABjAGEAbABjAHUAbABhAHQAZQAgAGMAbwBuAHMAdQBtAHAAdABpAG8AbgAgAGEAdAAgAGUAYQBjAGgAIABvAGYAIAB0AGgAZQAgAGwAbwBhAGQAIABjAGUAbgB0AHIAZQBzAC4AXAAiADsAXABuACAAIAAgACAAIAAgACAAIABcACIAXAAiACwAIABcACIARwBhAHMAIAByAGUAYQBjAGgAZQBzACAAZQBuAGQAIAB1AHMAZQByAHMAIABlAGkAdABoAGUAcgAgAGYAcgBvAG0AIAB0AGgAZQAgAG0AZQB0AHIAbwAgAGQAaQBzAHQAcgBpAGIAdQB0AGkAbwBuACAAbgBlAHQAdwBvAHIAawBzACAAbwByACAAZABpAHIAZQBjAHQAIABmAHIAbwBtACAAdABoAGUAIABoAGkAZwBoACAALQAgAHAAcgBlAHMAcwB1AHIAZQAgAGQAaQBzAHQAcgBpAGIAdQB0AGkAbwBuACAAcABpAHAAZQBsAGkAbgBlAHMALgBcACIAOwBcAG4AIAAgACAAIAAgACAAIAAgAFwAIgBcACIALAAgAFwAIgBIAG8AdQBzAGUAaABvAGwAZABzACAAYQBuAGQAIABjAG8AbQBtAGUAcgBjAGkAYQBsACAAdQBzAGUAcgBzACAAdABlAG4AZAAgAHQAbwAgAGIAZQAgAHMAZQByAHYAZQBkACAAYgB5ACAAdABoAGUAIABmAG8AcgBtAGUAcgAsACAAYQBuAGQAIABlAGwAZQBjAHQAcgBpAGMAaQB0AHkAIABnAGUAbgBlAHIAYQB0AG8AcgBzACAAYQBuAGQAIABsAGEAcgBnAGUAIABpAG4AZAB1AHMAdAByAGkAYQBsACAAcABsAGEAbgB0AHMAIABmAHIAbwBtACAAdABoAGUAIABsAGEAdAB0AGUAcgAuAFwAIgA7AFwAbgAgACAAIAAgACAAIAAgACAAXAAiAC0AXAAiACwAIABcACIATQBlAHQAcgBvACAAaQBzACAAZABlAGYAaQBuAGUAZAAgAGEAcwAgAGwAbwBjAGEAdABlAGQAIABvAG4AIABvAHIAIABlAGEAcwB0ACAAbwBmACAAdABoAGUAIABkAGkAdgBpAGQAaQBuAGcAIAByAGEAbgBnAGUAIABpAG4AIABOAFMAVwAsACAAaQBuAGMAbAB1AGQAaQBuAGcAIABDAGEAbgBiAGUAcgByAGEAIABhAG4AZAAgAFEAdQBlAGEAbgBiAGUAeQBhAG4ALAAgAE0AZQBsAGIAbwB1AHIAbgBlACwAIABCAHIAaQBzAGIAYQBuAGUALAAgAEEAZABlAGwAYQBpAGQAZQAgAG8AcgAgAFAAZQByAHQAaAAuAFwAIgA7AFwAbgAgACAAIAAgACAAIAAgACAAXAAiAFwAIgAsACAAXAAiAE8AdABoAGUAcgB3AGkAcwBlACwAIAB0AGgAZQAgAG4AbwBuACAALQAgAG0AZQB0AHIAbwAgAGYAYQBjAHQAbwByACAAcwBoAG8AdQBsAGQAIABiAGUAIAB1AHMAZQBkAC4AXAAiADsAXABuACAAIAAgACAAIAAgACAAIABcACIALQBcACIALAAgAFwAIgBGAGEAYwB0AG8AcgBzACAAYQByAGUAIABjAGEAbABjAHUAbABhAHQAZQBkACAAZgBvAHIAIABhAGwAbAAgAG4AYQB0AHUAcgBhAGwAIABnAGEAcwAgAGQAaQBzAHQAcgBpAGIAdQB0AGUAZAAgAGkAbgAgAGEAIABwAGkAcABlAGwAaQBuAGUAIAB3AGgAaQBjAGgAIABtAGEAeQAgAGkAbgBjAGwAdQBkAGUAIABjAG8AYQBsACAAcwBlAGEAbQAgAG0AZQB0AGgAYQBuAGUALgBcACIAOwBcAG4AIAAgACAAIAAgACAAIAAgAFwAIgAtAFwAIgAsACAAXAAiAFQAYQBiAGwAZQAgADYAIABpAHMAIABuAG8AdAAgAGEAcABwAGwAaQBjAGEAYgBsAGUAIAB0AG8AIABlAHQAaABhAG4AZQAuACAAUwBlAGUAIABUAGEAYgBsAGUAIAA3ACAASQBuAGQAaQByAGUAYwB0ACAAKABTAGMAbwBwAGUAIAAzACkAIABlAG0AaQBzAHMAaQBvAG4AcwAgAGYAcgBvAG0AIAB0AGgAZQAgAGMAbwBuAHMAdQBtAHAAdABpAG8AbgAgAG8AZgAgAGUAdABoAGEAbgBlAC4AXAAiADsAXABuACAAIAAgACAAIAAgACAAIABcACIALQBcACIALAAgAFwAIgBDACAAPQAgAEMAbwBuAGYAaQBkAGUAbgB0AGkAYQBsAC4AIABTAGMAbwBwAGUAIAAzACAAZQBtAGkAcwBzAGkAbwBuACAAZgBhAGMAdABvAHIAcwAgAGYAbwByACAAVABhAHMAbQBhAG4AaQBhACAAYQBuAGQAIAB0AGgAZQAgAE4AbwByAHQAaABlAHIAbgAgAFQAZQByAHIAaQB0AG8AcgB5ACAAYQByAGUAIABuAG8AdAAgAGEAdgBhAGkAbABhAGIAbABlACAAZAB1AGUAIAB0AG8AIABjAG8AbgBmAGkAZABlAG4AdABpAGEAbABpAHQAeQAgAGMAbwBuAHMAdAByAGEAaQBuAHQAcwAgAHQAaABhAHQAIABhAHIAaQBzAGUAXAAiADsAXABuACAAIAAgACAAIAAgACAAIABcACIAXAAiACwAIABcACIAZgByAG8AbQAgAHQAaABlACAAdQBzAGUAIABvAGYAIABhACAAbABpAG0AaQB0AGUAZAAgAG4AdQBtAGIAZQByACAAbwBmACAATgBHAEUAUgAgAGQAYQB0AGEAIABpAG4AcAB1AHQAcwAuACAASQB0ACAAaQBzACAAcwB1AGcAZwBlAHMAdABlAGQAIAB0AGgAYQB0ACAAZgBvAHIAIABUAGEAcwBtAGEAbgBpAGEAIAB0AGgAZQAgAHUAcwBlACAAbwBmACAAdABoAGUAIABWAGkAYwB0AG8AcgBpAGEAbgAgAGUAbQBpAHMAcwBpAG8AbgAgAGYAYQBjAHQAbwByAHMAIABpAHMAIABhAHAAcAByAG8AcAByAGkAYQB0AGUALABcACIAOwBcAG4AIAAgACAAIAAgACAAIAAgAFwAIgBcACIALAAgAFwAIgB3AGgAaQBsAGUAIABmAG8AcgAgAE4AbwByAHQAaABlAHIAbgAgAFQAZQByAHIAaQB0AG8AcgB5ACAAdABoAGUAIAB1AHMAZQAgAG8AZgAgAHQAaABlACAAVwBlAHMAdABlAHIAbgAgAEEAdQBzAHQAcgBhAGwAaQBhAG4AIABlAG0AaQBzAHMAaQBvAG4AIABmAGEAYwB0AG8AcgBzACAAaQBzACAAYQBwAHAAcgBvAHAAcgBpAGEAdABlAC4AXAAiADsAXABuACAAIAAgACAAIAAgACAAIABcACIALQBcACIALAAgAFwAIgBTAGMAbwBwAGUAIAAzACAAZQBtAGkAcwBzAGkAbwBuACAAZgBhAGMAdABvAHIAcwAgAGQAbwAgAG4AbwB0ACAAaQBuAGMAbAB1AGQAZQAgAGYAdQBnAGkAdABpAHYAZQAgAGUAbQBpAHMAcwBpAG8AbgAgAGwAZQBhAGsAYQBnAGUAIABmAHIAbwBtACAAbABvAHcAIABwAHIAZQBzAHMAdQByAGUAIABuAGEAdAB1AHIAYQBsACAAZwBhAHMAIABkAGkAcwB0AHIAaQBiAHUAdABpAG8AbgAgAHAAaQBwAGUAbABpAG4AZQAgAG4AZQB0AHcAbwByAGsAcwAgAHcAaABpAGwAZQAgAHQAaABvAHMAZQAgAGYAcgBvAG0AIABoAGkAZwBoACAAcAByAGUAcwBzAHUAcgBlAFwAIgA7AFwAbgAgACAAIAAgACAAIAAgACAAXAAiAFwAIgAsACAAXAAiAGcAYQBzACAAbgBlAHQAdwBvAHIAawBzACAAYQByAGUAIABjAG8AbgBzAGkAZABlAHIAZQBkACAAbgBlAGcAbABpAGcAaQBiAGwAZQAu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MAdABhAHQAaQBvAG4AYQByAHkAIABsAGkAcQB1AGkAZAAgAGYAdQ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MAdABhAHQAaQBvAG4AYQByAHkATABpAHEAdQBpAGQAXwBUAGkAdABsAGUAXABuAD0ATABBAE0AQgBEAEEAKAAoAFwAIgBGAHUAZQBsACAAcwBjAG8AcABlACAAMQAgAGEAbgBkACAAMwAgAGUAbQBpAHMAcwBpAG8AbgAgAGYAYQBjAHQAbwByAHMAIAAtACAAUwB0AGEAdABpAG8AbgBhAHIAeQAgAGwAaQBxAHUAaQBkACAAZgB1AGUAbABzAFwAIgApACkAOwBcAG4AXABuAEYAdQBlAGwAXwBTAGMAbwBwAGUAMQBTAGMAbwBwAGUAMwBFAG0AaQBzAHMAaQBvAG4ARgBhAGMAdABvAHIAcwBTAHQAYQB0AGkAbwBuAGEAcgB5AEwAaQBxAHUAaQBkAF8ARABlAHMAYwByAGkAcAB0AGkAbwBuAFwAbgA9AEwAQQBNAEIARABBACgAKABcACIARABpAHIAZQBjAHQAIAAoAFMAYwBvAHAAZQAgADEAKQAgAGEAbgBkACAAaQBuAGQAaQByAGUAYwB0ACAAKABzAGMAbwBwAGUAIAAzACkAIABlAG0AaQBzAHMAaQBvAG4AIABmAGEAYwB0AG8AcgBzACAAZgBvAHIAIAB0AGgAZQAgAGMAbwBuAHMAdQBtAHAAdABpAG8AbgAgAG8AZgAgAGwAaQBxAHUAaQBkACAAZgB1AGUAbABzACwAIABpAG4AYwBsAHUAZABpAG4AZwAgAGMAZQByAHQAYQBpAG4AIABwAGUAdAByAG8AbABlAHUAbQAgAGIAYQBzAGUAZAAgAHAAcgBvAGQAdQBjAHQAcwAgAGYAbwByACAAcwB0AGEAdABpAG8AbgBhAHIAeQAgAGUAbgBlAHIAZwB5ACAAcAB1AHIAcABvAHMAZQBzAC4AXAAiACkAKQA7AFwAbgBcAG4ARgB1AGUAbABfAFMAYwBvAHAAZQAxAFMAYwBvAHAAZQAzAEUAbQBpAHMAcwBpAG8AbgBGAGEAYwB0AG8AcgBzAFMAdABhAHQAaQBvAG4AYQByAHkATABpAHEAdQBpAGQAXwBTAG8AdQByAGMAZQBcAG4APQBMAEEATQBCAEQAQQAoACgAXAAiAEEAdQBzAHQAcgBhAGwAaQBhAG4AIABOAGEAdABpAG8AbgBhAGwAIABHAHIAZQBlAG4AaABvAHUAcwBlACAAQQBjAGMAbwB1AG4AdABzACAARgBhAGMAdABvAHIAcwAgADIAMAAyADUAIAAtACAAVABhAGIAbABlACAAOABcACIAKQApADsAXABuAFwAbgBGAHUAZQBsAF8AUwBjAG8AcABlADEAUwBjAG8AcABlADMARQBtAGkAcwBzAGkAbwBuAEYAYQBjAHQAbwByAHMAUwB0AGEAdABpAG8AbgBhAHIAeQBMAGkAcQB1AGkAZABfAEQAYQB0AGEAXABuAD0ATABBAE0AQgBEAEEAKABcAG4AIAAgAE0AQQBLAEUAQQBSAFIAQQBZACgAMgA1ACwAIAA4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DsAXABuACAAIAAgACAAIAAgACAAIABcACIAUABlAHQAcgBvAGwAZQB1AG0AIABiAGEAcwBlAGQAIABvAGkAbABzACAAKABvAHQAaABlAHIAIAB0AGgAYQBuACAAcABlAHQAcgBvAGwAZQB1AG0AIABiAGEAcwBlAGQAIABvAGkAbAAgAHUAcwBlAGQAIABhAHMAIABmAHUAZQBsACkALAAgAGUALgBnAC4AIABsAHUAYgByAGkAYwBhAG4AdABzAFwAIgAsACAAMwA4AC4AOAAsACAAXAAiAGsAbABcACIALAAgADEAMwAuADkALAAgADAALgAwACwAIAAwAC4AMAAsACAAMQAzAC4AOQAsACAAMQA4AC4AMAA7AFwAbgAgACAAIAAgACAAIAAgACAAXAAiAFAAZQB0AHIAbwBsAGUAdQBtACAAYgBhAHMAZQBkACAAZwByAGUAYQBzAGUAcwBcACIALAAgADMAOAAuADgALAAgAFwAIgBrAGwAXAAiACwAIAAzAC4ANQAsACAAMAAuADAALAAgADAALgAwACwAIAAzAC4ANQAsACAAMQA4AC4AMAA7AFwAbgAgACAAIAAgACAAIAAgACAAXAAiAEMAcgB1AGQAZQAgAG8AaQBsACAAaQBuAGMAbAB1AGQAaQBuAGcAIABjAHIAdQBkAGUAIABvAGkAbAAgAGMAbwBuAGQAZQBuAHMAYQB0AGUAcwBcACIALAAgADQANQAuADMALAAgAFwAIgB0AFwAIgAsACAANgA5AC4ANgAsACAAMAAuADAAOAAsACAAMAAuADIALAAgADYAOQAuADgAOAAsACAAXAAiAE4ARQBcACIAOwBcAG4AIAAgACAAIAAgACAAIAAgAFwAIgBPAHQAaABlAHIAIABuAGEAdAB1AHIAYQBsACAAZwBhAHMAIABsAGkAcQB1AGkAZABzAFwAIgAsACAANAA2AC4ANQAsACAAXAAiAHQAXAAiACwAIAA2ADEALgAwACwAIAAwAC4AMAA4ACwAIAAwAC4AMgAsACAANgAxAC4AMgA4ACwAIABcACIATgBFAFwAIgA7AFwAbgAgACAAIAAgACAAIAAgACAAXAAiAEEAdQB0AG8AbQBvAHQAaQB2AGUAIABnAGEAcwBvAGwAaQBuAGUAIAAvACAAcABlAHQAcgBvAGwAIAAoAG8AdABoAGUAcgAgAHQAaABhAG4AIABmAG8AcgAgAHUAcwBlACAAYQBzACAAZgB1AGUAbAAgAGkAbgAgAGEAbgAgAGEAaQByAGMAcgBhAGYAdAApAFwAIgAsACAAMwA0AC4AMgAsACAAXAAiAGsATABcACIALAAgADYANwAuADQALAAgADAALgAyACwAIAAwAC4AMgAsACAANgA3AC4AOAAwACwAIAAxADcALgAyADsAXABuACAAIAAgACAAIAAgACAAIABcACIAQQB2AGkAYQB0AGkAbwBuACAAZwBhAHMAbwBsAGkAbgBlAFwAIgAsACAAMwAzAC4AMQAsACAAXAAiAGsATABcACIALAAgADYANwAsACAAMAAuADIALAAgADAALgAyACwAIAA2ADcALgA0ADAALAAgADEAOAAuADAAOwBcAG4AIAAgACAAIAAgACAAIAAgAFwAIgBLAGUAcgBvAHMAZQBuAGUAIAAoAG8AdABoAGUAcgAgAHQAaABhAG4AIABmAG8AcgAgAHUAcwBlACAAYQBzACAAZgB1AGUAbAAgAGkAbgAgAGEAbgAgAGEAaQByAGMAcgBhAGYAdAApAFwAIgAsACAAMwA3AC4ANQAsACAAXAAiAGsATABcACIALAAgADYAOAAuADkALAAgADAALgAwADEALAAgADAALgAyACwAIAA2ADkALgAxADEALAAgADEAOAAuADAAOwBcAG4AIAAgACAAIAAgACAAIAAgAFwAIgBBAHYAaQBhAHQAaQBvAG4AIAB0AHUAcgBiAGkAbgBlACAAZgB1AGUAbAAgAC8AIABrAGUAcgBvAHMAZQBuAGUAXAAiACwAIAAzADYALgA4ACwAIABcACIAawBMAFwAIgAsACAANgA5AC4ANgAsACAAMAAuADAAMgAsACAAMAAuADIALAAgADYAOQAuADgAMgAsACAAMQA4AC4AMAA7AFwAbgAgACAAIAAgACAAIAAgACAAXAAiAEgAZQBhAHQAaQBuAGcAIABvAGkAbABcACIALAAgADMANwAuADMALAAgAFwAIgBrAEwAXAAiACwAIAA2ADkALgA1ACwAIAAwAC4AMAAzACwAIAAwAC4AMgAsACAANgA5AC4ANwAzACwAIAAxADgALgAwADsAXABuACAAIAAgACAAIAAgACAAIABcACIARABpAGUAcwBlAGwAIABvAGkAbABcACIALAAgADMAOAAuADYALAAgAFwAIgBrAEwAXAAiACwAIAA2ADkALgA5ACwAIAAwAC4AMQAsACAAMAAuADIALAAgADcAMAAuADIAMAAsACAAMQA3AC4AMwA7AFwAbgAgACAAIAAgACAAIAAgACAAXAAiAEYAdQBlAGwAIABvAGkAbABcACIALAAgADMAOQAuADcALAAgAFwAIgBrAEwAXAAiACwAIAA3ADMALgA2ACwAIAAwAC4AMAA0ACwAIAAwAC4AMgAsACAANwAzAC4AOAA0ACwAIAAxADgALgAwADsAXABuACAAIAAgACAAIAAgACAAIABcACIATABpAHEAdQBlAGYAaQBlAGQAIABhAHIAbwBtAGEAdABpAGMAIABoAHkAZAByAG8AYwBhAHIAYgBvAG4AcwBcACIALAAgADMANAAuADQALAAgAFwAIgBrAEwAXAAiACwAIAA2ADkALgA3ACwAIAAwAC4AMAAzACwAIAAwAC4AMgAsACAANgA5AC4AOQAzACwAIAAxADgALgAwADsAXABuACAAIAAgACAAIAAgACAAIABcACIAUwBvAGwAdgBlAG4AdABzADoAIABtAGkAbgBlAHIAYQBsACAAdAB1AHIAcABlAG4AdABpAG4AZQAgAG8AcgAgAHcAaABpAHQAZQAgAHMAcABpAHIAaQB0AHMAXAAiACwAIAAzADQALgA0ACwAIABcACIAawBMAFwAIgAsACAANgA5AC4ANwAsACAAMAAuADAAMwAsACAAMAAuADIALAAgADYAOQAuADkAMwAsACAAMQA4AC4AMAA7AFwAbgAgACAAIAAgACAAIAAgACAAXAAiAEwAaQBxAHUAZQBmAGkAZQBkACAAcABlAHQAcgBvAGwAZQB1AG0AIABnAGEAcwAgACgATABQAEcAKQBcACIALAAgADIANQAuADcALAAgAFwAIgBrAEwAXAAiACwAIAA2ADAALgAyACwAIAAwAC4AMgAsACAAMAAuADIALAAgADYAMAAuADYAMAAsACAAMgAwAC4AMgA7AFwAbgAgACAAIAAgACAAIAAgACAAXAAiAE4AYQBwAGgAdABoAGEAXAAiACwAIAAzADEALgA0ACwAIABcACIAawBMAFwAIgAsACAANgA5AC4AOAAsACAAMAAuADAAMQAsACAAMAAuADAAMQAsACAANgA5AC4AOAAyACwAIAAxADgALgAwADsAXABuACAAIAAgACAAIAAgACAAIABcACIAUABlAHQAcgBvAGwAZQB1AG0AIABjAG8AawBlAFwAIgAsACAAMwA0AC4AMgAsACAAXAAiAHQAXAAiACwAIAA5ADIALgA2ACwAIAAwAC4AMAA4ACwAIAAwAC4AMgAsACAAOQAyAC4AOAA4ACwAIAAxADgALgAwADsAXABuACAAIAAgACAAIAAgACAAIABcACIAUgBlAGYAaQBuAGUAcgB5ACAAZwBhAHMAIABhAG4AZAAgAGwAaQBxAHUAaQBkAHMAXAAiACwAIAA0ADIALgA5ACwAIABcACIAdABcACIALAAgADUANAAuADcALAAgADAALgAwADMALAAgADAALgAwADMALAAgADUANAAuADcANgAsACAAMQA4AC4AMAA7AFwAbgAgACAAIAAgACAAIAAgACAAXAAiAFIAZQBmAGkAbgBlAHIAeQAgAGMAbwBrAGUAXAAiACwAIAAzADQALgAyACwAIABcACIAdABcACIALAAgADkAMgAuADYALAAgADAALgAwADgALAAgADAALgAyACwAIAA5ADIALgA4ADgALAAgADEAOAAuADAAOwBcAG4AIAAgACAAIAAgACAAIAAgAFwAIgBQAGUAdAByAG8AbABlAHUAbQAgAGIAYQBzAGUAZAAgAHAAcgBvAGQAdQBjAHQAcwAgAG8AdABoAGUAcgAgAHQAaABhAG4AIABtAGUAbgB0AGkAbwBuAGUAZAAgAGkAbgAgAHQAaABlACAAaQB0AGUAbQBzACAAYQBiAG8AdgBlAFwAIgAsACAAMwA0AC4ANAAsACAAXAAiAGsATABcACIALAAgADYAOQAuADgALAAgADAALgAwADIALAAgADAALgAxACwAIAA2ADkALgA5ADIALAAgADEAOAAuADAAOwBcAG4AIAAgACAAIAAgACAAIAAgAFwAIgBCAGkAbwBkAGkAZQBzAGUAbABcACIALAAgADMANAAuADYALAAgAFwAIgBrAEwAXAAiACwAIAAwAC4AMAAsACAAMAAuADAAOAAsACAAMAAuADIALAAgADAALgAyADgALAAgAFwAIgBOAEUAXAAiADsAXABuACAAIAAgACAAIAAgACAAIABcACIARQB0AGgAYQBuAG8AbAAgAGYAbwByACAAdQBzAGUAIABhAHMAIABhACAAZgB1AGUAbAAgAGkAbgAgAGEAbgAgAGkAbgB0AGUAcgBuAGEAbAAgAGMAbwBtAGIAdQBzAHQAaQBvAG4AIABlAG4AZwBpAG4AZQBcACIALAAgADIAMwAuADQALAAgAFwAIgBrAEwAXAAiACwAIAAwAC4AMAAsACAAMAAuADAAOAAsACAAMAAuADIALAAgADAALgAyADgALAAgAFwAIgBOAEUAXAAiADsAXABuACAAIAAgACAAIAAgACAAIABcACIAQgBpAG8AZgB1AGUAbABzACAAbwB0AGgAZQByACAAdABoAGEAbgAgAHQAaABvAHMAZQAgAG0AZQBuAHQAaQBvAG4AZQBkACAAaQBuACAAdABoAGUAIABpAHQAZQBtAHMAIABhAGIAbwB2AGUAIABhAG4AZAAgAGIAZQBsAG8AdwBcACIALAAgADIAMwAuADQALAAgAFwAIgBrAEwAXAAiACwAIAAwAC4AMAAsACAAMAAuADAAOAAsACAAMAAuADIALAAgADAALgAyADgALAAgAFwAIgBOAEUAXAAiADsAXABuACAAIAAgACAAIAAgACAAIABcACIAUgBlAG4AZQB3AGEAYgBsAGUAIABhAHYAaQBhAHQAaQBvAG4AIABrAGUAcgBvAHMAZQBuAGUAXAAiACwAIAAzADYALgA4ACwAIABcACIAawBMAFwAIgAsACAAMAAuADAALAAgADAALgAwADIALAAgADAALgAyACwAIAAwAC4AMgAyACwAIABcACIATgBFAFwAIgA7AFwAbgAgACAAIAAgACAAIAAgACAAXAAiAFIAZQBuAGUAdwBhAGIAbABlACAAZABpAGUAcwBlAGwAXAAiACwAIAAzADgALgA2ACwAIABcACIAawBMAFwAIgAsACAAMAAuADAALAAgADAALgAxACwAIAAwAC4AMgAsACAAMAAuADMAMAAsACAAXAAiAE4ARQBcACIAXABuACAAIAAgACAAIAAgAH0ALAAgAHIALAAgAGMAKQBcAG4AKQApACkAOwBcAG4AXABuAEYAdQBlAGwAXwBTAGMAbwBwAGUAMQBTAGMAbwBwAGUAMwBFAG0AaQBzAHMAaQBvAG4ARgBhAGMAdABvAHIAcwBTAHQAYQB0AGkAbwBuAGEAcgB5AEwAaQBxAHUAaQBk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VAByAGEAbgBzAHAAbwByAHQ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fAFQAaQB0AGwAZQBcAG4APQBMAEEATQBCAEQAQQAoACgAXAAiAEYAdQBlAGwAIABzAGMAbwBwAGUAIAAxACAAYQBuAGQAIAAzACAAZQBtAGkAcwBzAGkAbwBuACAAZgBhAGMAdABvAHIAcwAgAC0AIABUAHIAYQBuAHMAcABvAHIAdABcACIAKQApADsAXABuAFwAbgBGAHUAZQBsAF8AUwBjAG8AcABlADEAUwBjAG8AcABlADMARQBtAGkAcwBzAGkAbwBuAEYAYQBjAHQAbwByAHMAVAByAGEAbgBzAHAAbwByAH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dAByAGEAbgBzAHAAbwByAHQAIABmAHUAZQBsAHMAIABpAG4AIABkAGkAZgBmAGUAcgBlAG4AdAAgAHQAcgBhAG4AcwBwAG8AcgB0ACAAZQBxAHUAaQBwAG0AZQBuAHQAXAAiACkAKQA7AFwAbgBcAG4ARgB1AGUAbABfAFMAYwBvAHAAZQAxAFMAYwBvAHAAZQAzAEUAbQBpAHMAcwBpAG8AbgBGAGEAYwB0AG8AcgBzAFQAcgBhAG4AcwBwAG8AcgB0AF8AUwBvAHUAcgBjAGUAXABuAD0ATABBAE0AQgBEAEEAKAAoAFwAIgBBAHUAcwB0AHIAYQBsAGkAYQBuACAATgBhAHQAaQBvAG4AYQBsACAARwByAGUAZQBuAGgAbwB1AHMAZQAgAEEAYwBjAG8AdQBuAHQAcwAgAEYAYQBjAHQAbwByAHMAIAAyADAAMgA1ACAALQAgAFQAYQBiAGwAZQAgADkAXAAiACkAKQA7AFwAbgBcAG4ARgB1AGUAbABfAFMAYwBvAHAAZQAxAFMAYwBvAHAAZQAzAEUAbQBpAHMAcwBpAG8AbgBGAGEAYwB0AG8AcgBzAFQAcgBhAG4AcwBwAG8AcgB0AF8ARABhAHQAYQBcAG4APQBMAEEATQBCAEQAQQAoAFwAbgAgACAATQBBAEsARQBBAFIAUgBBAFkAKAAyADYALAAgADEAMAAsAFwAbgAgACAAIAAgAEwAQQBNAEIARABBACgAcgAsAGMALABcAG4AIAAgACAAIAAgACAASQBOAEQARQBYACgAewBcAG4AIAAgACAAIAAgACAAIAAgAFwAIgBUAHIAYQBuAHMAcABvAHIAdAAgAHQAeQBwAGUAXAAiACwAIABcACIARgB1AGUAbAAgAGMAbwBtAGIAdQBzAHQAZQBkAFwAIgAsACAAXAAiAEUAbgBlAHIAZwB5ACAAQwBvAG4AdABlAG4AdAAgAEYAYQBjAHQAbwBy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CwAIABcACIAUwBvAHUAcgBjAGUAXAAiADsAXABuACAAIAAgACAAIAAgACAAIABcACIAQwBhAHIAcwAgAGEAbgBkACAAbABpAGcAaAB0ACAAYwBvAG0AbQBlAHIAYwBpAGEAbAAgAHYAZQBoAGkAYwBsAGUAcwBcACIALAAgAFwAIgBHAGEAcwBvAGwAaQBuAGUAXAAiACwAIAAzADQALgAyACwAIABcACIAawBsAFwAIgAsACAANgA3AC4ANAAsACAAMAAuADAAMgAsACAAMAAuADIALAAgADYANwAuADYAMgAsACAAMQA3AC4AMgAsACAAXAAiAE4ARwBBAEYAIAAyADAAMgA1ADoAIABUAGEAYgBsAGUAIAA5AFwAIgA7AFwAbgAgACAAIAAgACAAIAAgACAAXAAiAEMAYQByAHMAIABhAG4AZAAgAGwAaQBnAGgAdAAgAGMAbwBtAG0AZQByAGMAaQBhAGwAIAB2AGUAaABpAGMAbABlAHMAXAAiACwAIABcACIARABpAGUAcwBlAGwAIABvAGkAbABcACIALAAgADMAOAAuADYALAAgAFwAIgBrAGwAXAAiACwAIAA2ADkALgA5ACwAIAAwAC4AMAAxACwAIAAwAC4ANQAsACAANwAwAC4ANAAxACwAIAAxADcALgAzACwAIABcACIATgBHAEEARgAgADIAMAAyADUAOgAgAFQAYQBiAGwAZQAgADkAXAAiADsAXABuACAAIAAgACAAIAAgACAAIABcACIAQwBhAHIAcwAgAGEAbgBkACAAbABpAGcAaAB0ACAAYwBvAG0AbQBlAHIAYwBpAGEAbAAgAHYAZQBoAGkAYwBsAGUAcwBcACIALAAgAFwAIgBMAGkAcQB1AGUAZgBpAGUAZAAgAHAAZQB0AHIAbwBsAGUAdQBtACAAZwBhAHMAIAAoAEwAUABHACkAXAAiACwAIAAyADYALgAyACwAIABcACIAawBsAFwAIgAsACAANgAwAC4AMgAsACAAMAAuADUALAAgADAALgAzACwAIAA2ADEALgAwADAALAAgADIAMAAuADIALAAgAFwAIgBOAEcAQQBGACAAMgAwADIANQA6ACAAVABhAGIAbABlACAAOQBcACIAOwBcAG4AIAAgACAAIAAgACAAIAAgAFwAIgBDAGEAcgBzACAAYQBuAGQAIABsAGkAZwBoAHQAIABjAG8AbQBtAGUAcgBjAGkAYQBsACAAdgBlAGgAaQBjAGwAZQBzAFwAIgAsACAAXAAiAEYAdQBlAGwAIABvAGkAbABcACIALAAgADMAOQAuADcALAAgAFwAIgBrAGwAXAAiACwAIAA3ADMALgA2ACwAIAAwAC4AMAA4ACwAIAAwAC4ANQAsACAANwA0AC4AMQA4ACwAIAAxADgALgAwACwAIABcACIATgBHAEEARgAgADIAMAAyADUAOgAgAFQAYQBiAGwAZQAgADkAXAAiADsAXABuACAAIAAgACAAIAAgACAAIABcACIAQwBhAHIAcwAgAGEAbgBkACAAbABpAGcAaAB0ACAAYwBvAG0AbQBlAHIAYwBpAGEAbAAgAHYAZQBoAGkAYwBsAGUAcwBcACIALAAgAFwAIgBFAHQAaABhAG4AbwBsAFwAIgAsACAAMgAzAC4ANAAsACAAXAAiAGsAbABcACIALAAgADAALgAwACwAIAAwAC4AMgAsACAAMAAuADIALAAgADAALgA0ACwAIABcACIATgBFAFwAIgAsACAAXAAiAE4ARwBBAEYAIAAyADAAMgA1ADoAIABUAGEAYgBsAGUAIAA5AFwAIgA7AFwAbgAgACAAIAAgACAAIAAgACAAXAAiAEMAYQByAHMAIABhAG4AZAAgAGwAaQBnAGgAdAAgAGMAbwBtAG0AZQByAGMAaQBhAGwAIAB2AGUAaABpAGMAbABlAHMAXAAiACwAIABcACIAQgBpAG8AZABpAGUAcwBlAGwAXAAiACwAIAAzADQALgA2ACwAIABcACIAawBsAFwAIgAsACAAMAAuADAALAAgADAALgA4ACwAIAAxAC4ANwAsACAAMgAuADUALAAgAFwAIgBOAEUAXAAiACwAIABcACIATgBHAEEARgAgADIAMAAyADUAOgAgAFQAYQBiAGwAZQAgADkAXAAiADsAXABuACAAIAAgACAAIAAgACAAIABcACIAQwBhAHIAcwAgAGEAbgBkACAAbABpAGcAaAB0ACAAYwBvAG0AbQBlAHIAYwBpAGEAbAAgAHYAZQBoAGkAYwBsAGUAcwBcACIALAAgAFwAIgBSAGUAbgBlAHcAYQBiAGwAZQAgAGQAaQBlAHMAZQBsAFwAIgAsACAAMwA4AC4ANgAsACAAXAAiAGsAbABcACIALAAgADAALgAwACwAIAAwAC4AMAAxACwAIAAwAC4ANQAsACAAMAAuADUAMQAsACAAXAAiAE4ARQBcACIALAAgAFwAIgBOAEcAQQBGACAAMgAwADIANQA6ACAAVABhAGIAbABlACAAOQBcACIAOwBcAG4AIAAgACAAIAAgACAAIAAgAFwAIgBDAGEAcgBzACAAYQBuAGQAIABsAGkAZwBoAHQAIABjAG8AbQBtAGUAcgBjAGkAYQBsACAAdgBlAGgAaQBjAGwAZQBzAFwAIgAsACAAXAAiAE8AdABoAGUAcgAgAGIAaQBvAGYAdQBlAGwAcwBcACIALAAgADIAMwAuADQALAAgAFwAIgBrAGwAXAAiACwAIAAwAC4AMAAsACAAMAAuADgALAAgADEALgA3ACwAIAAyAC4ANQAsACAAXAAiAE4ARQBcACIALAAgAFwAIgBOAEcAQQBGACAAMgAwADIANQA6ACAAVABhAGIAbABlACAAOQBcACIAOwBcAG4AIAAgACAAIAAgACAAIAAgAFwAIgBMAGkAZwBoAHQAIABkAHUAdAB5ACAAdgBlAGgAaQBjAGwAZQBzAFwAIgAsACAAXAAiAEMAbwBtAHAAcgBlAHMAcwBlAGQAIABuAGEAdAB1AHIAYQBsACAAZwBhAHMAXAAiACwAIAAwAC4AMAAzADkAMwAsACAAXAAiAG0AMwBcACIALAAgADUAMQAuADQALAAgADcALgAzACwAIAAwAC4AMwAsACAANQA5AC4AMAAsACAAMQA4AC4AMAAsACAAXAAiAE4ARwBBAEYAIAAyADAAMgA1ADoAIABUAGEAYgBsAGUAIAA5AFwAIgA7AFwAbgAgACAAIAAgACAAIAAgACAAXAAiAEwAaQBnAGgAdAAgAGQAdQB0AHkAIAB2AGUAaABpAGMAbABlAHMAXAAiACwAIABcACIATABpAHEAdQBlAGYAaQBlAGQAIABuAGEAdAB1AHIAYQBsACAAZwBhAHMAXAAiACwAIAAyADUALgAzACwAIABcACIAawBsAFwAIgAsACAANQAxAC4ANAAsACAANwAuADMALAAgADAALgAzACwAIAA1ADkALgAwACwAIAAxADgALgAwACwAIABcACIATgBHAEEARgAgADIAMAAyADUAOgAgAFQAYQBiAGwAZQAgADkAXAAiADsAXABuACAAIAAgACAAIAAgACAAIABcACIASABlAGEAdgB5ACAAZAB1AHQAeQAgAHYAZQBoAGkAYwBsAGUAcwBcACIALAAgAFwAIgBDAG8AbQBwAHIAZQBzAHMAZQBkACAAbgBhAHQAdQByAGEAbAAgAGcAYQBzAFwAIgAsACAAMAAuADAAMwA5ADMALAAgAFwAIgBtADMAXAAiACwAIAA1ADEALgA0ACwAIAAyAC4AOAAsACAAMAAuADMALAAgADUANAAuADUALAAgADEAOAAuADAALAAgAFwAIgBOAEcAQQBGACAAMgAwADIANQA6ACAAVABhAGIAbABlACAAOQBcACIAOwBcAG4AIAAgACAAIAAgACAAIAAgAFwAIgBIAGUAYQB2AHkAIABkAHUAdAB5ACAAdgBlAGgAaQBjAGwAZQBzAFwAIgAsACAAXAAiAEwAaQBxAHUAZQBmAGkAZQBkACAAbgBhAHQAdQByAGEAbAAgAGcAYQBzAFwAIgAsACAAMgA1AC4AMwAsACAAXAAiAGsAbABcACIALAAgADUAMQAuADQALAAgADIALgA4ACwAIAAwAC4AMwAsACAANQA0AC4ANQAsACAAMQA4AC4AMAAsACAAXAAiAE4ARwBBAEYAIAAyADAAMgA1ADoAIABUAGEAYgBsAGUAIAA5AFwAIgA7AFwAbgAgACAAIAAgACAAIAAgACAAXAAiAEgAZQBhAHYAeQAgAGQAdQB0AHkAIAB2AGUAaABpAGMAbABlAHMAXAAiACwAIABcACIARABpAGUAcwBlAGwAIABvAGkAbAAgAC0AIABFAHUAcgBvACAAaQB2ACAAbwByACAAaABpAGcAaABlAHIAXAAiACwAIAAzADgALgA2ACwAIABcACIAawBsAFwAIgAsACAANgA5AC4AOQAsACAAMAAuADAANwAsACAAMAAuADQALAAgADcAMAAuADMANwAsACAAMQA3AC4AMwAsACAAXAAiAE4ARwBBAEYAIAAyADAAMgA1ADoAIABUAGEAYgBsAGUAIAA5AFwAIgA7AFwAbgAgACAAIAAgACAAIAAgACAAXAAiAEgAZQBhAHYAeQAgAGQAdQB0AHkAIAB2AGUAaABpAGMAbABlAHMAXAAiACwAIABcACIARABpAGUAcwBlAGwAIABvAGkAbAAgAC0AIABFAHUAcgBvACAAaQBpAGkAXAAiACwAIAAzADgALgA2ACwAIABcACIAawBsAFwAIgAsACAANgA5AC4AOQAsACAAMAAuADEALAAgADAALgA0ACwAIAA3ADAALgA0ACwAIAAxADcALgAzACwAIABcACIATgBHAEEARgAgADIAMAAyADUAOgAgAFQAYQBiAGwAZQAgADkAXAAiADsAXABuACAAIAAgACAAIAAgACAAIABcACIASABlAGEAdgB5ACAAZAB1AHQAeQAgAHYAZQBoAGkAYwBsAGUAcwBcACIALAAgAFwAIgBEAGkAZQBzAGUAbAAgAG8AaQBsACAALQAgAEUAdQByAG8AIABpAFwAIgAsACAAMwA4AC4ANgAsACAAXAAiAGsAbABcACIALAAgADYAOQAuADkALAAgADAALgAyACwAIAAwAC4ANAAsACAANwAwAC4ANQAsACAAMQA3AC4AMwAsACAAXAAiAE4ARwBBAEYAIAAyADAAMgA1ADoAIABUAGEAYgBsAGUAIAA5AFwAIgA7AFwAbgAgACAAIAAgACAAIAAgACAAXAAiAEgAZQBhAHYAeQAgAGQAdQB0AHkAIAB2AGUAaABpAGMAbABlAHMAXAAiACwAIABcACIAUgBlAG4AZQB3AGEAYgBsAGUAIABkAGkAZQBzAGUAbAAgABMgIABFAHUAcgBvACAAaQB2ACAAbwByACAAaABpAGcAaABlAHIAXAAiACwAIAAzADgALgA2ACwAIABcACIAawBsAFwAIgAsACAAMAAuADAALAAgADAALgAwADcALAAgADAALgA0ACwAIAAwAC4ANAA3ACwAIABcACIATgBFAFwAIgAsACAAXAAiAE4ARwBBAEYAIAAyADAAMgA1ADoAIABUAGEAYgBsAGUAIAA5AFwAIgA7AFwAbgAgACAAIAAgACAAIAAgACAAXAAiAEgAZQBhAHYAeQAgAGQAdQB0AHkAIAB2AGUAaABpAGMAbABlAHMAXAAiACwAIABcACIAUgBlAG4AZQB3AGEAYgBsAGUAIABkAGkAZQBzAGUAbAAgABMgIABFAHUAcgBvACAAaQBpAGkAXAAiACwAIAAzADgALgA2ACwAIABcACIAawBsAFwAIgAsACAAMAAuADAALAAgADAALgAxACwAIAAwAC4ANAAsACAAMAAuADUALAAgAFwAIgBOAEUAXAAiACwAIABcACIATgBHAEEARgAgADIAMAAyADUAOgAgAFQAYQBiAGwAZQAgADkAXAAiADsAXABuACAAIAAgACAAIAAgACAAIABcACIASABlAGEAdgB5ACAAZAB1AHQAeQAgAHYAZQBoAGkAYwBsAGUAcwBcACIALAAgAFwAIgBSAGUAbgBlAHcAYQBiAGwAZQAgAGQAaQBlAHMAZQBsACAAEyAgAEUAdQByAG8AIABpAFwAIgAsACAAMwA4AC4ANgAsACAAXAAiAGsAbABcACIALAAgADAALgAwACwAIAAwAC4AMgAsACAAMAAuADQALAAgADAALgA2ACwAIABcACIATgBFAFwAIgAsACAAXAAiAE4ARwBBAEYAIAAyADAAMgA1ADoAIABUAGEAYgBsAGUAIAA5AFwAIgA7AFwAbgAgACAAIAAgACAAIAAgACAAXAAiAEEAdgBpAGEAdABpAG8AbgBcACIALAAgAFwAIgBHAGEAcwBvAGwAaQBuAGUAIABmAG8AcgAgAHUAcwBlACAAYQBzACAAZgB1AGUAbAAgAGkAbgAgAGEAbgAgAGEAaQByAGMAcgBhAGYAdABcACIALAAgADMAMwAuADEALAAgAFwAIgBrAGwAXAAiACwAIAA2ADcALgAwACwAIAAwAC4AMAA2ACwAIAAwAC4ANgAsACAANgA3AC4ANgA2ACwAIAAxADgALgAwACwAIABcACIATgBHAEEARgAgADIAMAAyADUAOgAgAFQAYQBiAGwAZQAgADkAXAAiADsAXABuACAAIAAgACAAIAAgACAAIABcACIAQQB2AGkAYQB0AGkAbwBuAFwAIgAsACAAXAAiAEsAZQByAG8AcwBlAG4AZQAgAGYAbwByACAAdQBzAGUAIABhAHMAIABmAHUAZQBsACAAaQBuACAAYQBuACAAYQBpAHIAYwByAGEAZgB0AFwAIgAsACAAMwA2AC4AOAAsACAAXAAiAGsAbABcACIALAAgADYAOQAuADYALAAgADAALgAwADEALAAgADAALgA2ACwAIAA3ADAALgAyADEALAAgADEAOAAuADAALAAgAFwAIgBOAEcAQQBGACAAMgAwADIANQA6ACAAVABhAGIAbABlACAAOQBcACIAOwBcAG4AIAAgACAAIAAgACAAIAAgAFwAIgBBAHYAaQBhAHQAaQBvAG4AXAAiACwAIABcACIAUgBlAG4AZQB3AGEAYgBsAGUAIABhAHYAaQBhAHQAaQBvAG4AIABrAGUAcgBvAHMAZQBuAGUAXAAiACwAIAAzADYALgA4ACwAIABcACIAawBsAFwAIgAsACAAMAAuADAALAAgADAALgAwADEALAAgADAALgA2ACwAIAAwAC4ANgAxACwAIABcACIATgBFAFwAIgAsACAAXAAiAE4ARwBBAEYAIAAyADAAMgA1ADoAIABUAGEAYgBsAGUAIAA5AFwAIgA7AFwAbgAgACAAIAAgACAAIAAgACAAXAAiAFYAZQBzAHMAZQBsAHMAXAAiACwAIABcACIARwBhAHMAbwBsAGkAbgBlAFwAIgAsACAAMwA0AC4AMgAsACAAXAAiAGsATABcACIALAAgADYANwAuADQALAAgADEAMAAuADEALAAgADAALgAzACwAIABcACIAXAAiACwAIAAxADcALgAyACwAIABcACIAVgBFAEUAUgBHACAAMgAwADIANgA6ACAAVABhAGIAbABlACAAQQAuADQALgAyAC4AMQBcACIAOwBcAG4AIAAgACAAIAAgACAAIAAgAFwAIgBWAGUAcwBzAGUAbABzAFwAIgAsACAAXAAiAEQAaQBlAHMAZQBsACAAbwBpAGwAXAAiACwAIAAzADgALgA2ACwAIABcACIAawBMAFwAIgAsACAANgA5AC4AOQAsACAAMAAuADIALAAgADAALgA1ACwAIABcACIAXAAiACwAIAAxADcALgAzACwAIABcACIAVgBFAEUAUgBHACAAMgAwADIANgA6ACAAVABhAGIAbABlACAAQQAuADQALgAyAC4AMQBcACIAOwBcAG4AIAAgACAAIAAgACAAIAAgAFwAIgBWAGUAcwBzAGUAbABzAFwAIgAsACAAXAAiAEYAdQBlAGwAIABPAGkAbABcACIALAAgADMAOQAuADcALAAgAFwAIgBrAEwAXAAiACwAIAA3ADMALgA2ACwAIAAwAC4AMgAsACAAMAAuADUALAAgAFwAIgBcACIALAAgADEAOAAuADAALAAgAFwAIgBWAEUARQBSAEcAIAAyADAAMgA2ADoAIABUAGEAYgBsAGUAIABBAC4ANAAuADIALgAxAFwAIgA7AFwAbgAgACAAIAAgACAAIAAgACAAXAAiAE8AZgBmAC0AcgBvAGEAZAAgAEEAZwByAGkAYwB1AGwAdAB1AHIAZQAgAGEAbgBkACAAZgBvAHIAZQBzAHQAcgB5ACAAZQBxAHUAaQBwAG0AZQBuAHQAXAAiACwAIABcACIARABpAGUAcwBlAGwAIABvAGkAbABcACIALAAgADMAOAAuADYALAAgAFwAIgBrAEwAXAAiACwAIAA2ADkALgA5ACwAIAAwAC4AMwAsACAAMAAuADUALAAgAFwAIgBcACIALAAgADEANwAuADMALAAgAFwAIgBWAEUARQBSAEcAIAAyADAAMgA2ADoAIABUAGEAYgBsAGUAIABBAC4ANAAuADIALgAxAFwAIgBcAG4AIAAgACAAIAAgACAAfQAsACAAcgAsACAAYwApAFwAbgApACkAKQA7AFwAbgBcAG4ARgB1AGUAbABfAFMAYwBvAHAAZQAxAFMAYwBvAHAAZQAzAEUAbQBpAHMAcwBpAG8AbgBGAGEAYwB0AG8AcgBzAFQAcgBhAG4AcwBwAG8AcgB0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E8AZgBmAC0AcgBhAGQAIABlAHEAdQBpAHAAbQBlAG4AdAAgAGEAbgBkACAAdgBlAHMAcw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E8AZgBmAFIAbwBhAGQAXwBUAGkAdABsAGUAXABuAD0ATABBAE0AQgBEAEEAKAAoAFwAIgBGAHUAZQBsACAAcwBjAG8AcABlACAAMQAgAGEAbgBkACAAMwAgAGUAbQBpAHMAcwBpAG8AbgAgAGYAYQBjAHQAbwByAHMAIAAtACAATwBmAGYALQByAG8AYQBkACAAZQBxAHUAaQBwAG0AZQBuAHQAIABhAG4AZAAgAHYAZQBzAHMAZQBsAHMAXAAiACkAKQA7AFwAbgBcAG4ARgB1AGUAbABfAFMAYwBvAHAAZQAxAFMAYwBvAHAAZQAzAEUAbQBpAHMAcwBpAG8AbgBGAGEAYwB0AG8AcgBzAFQAcgBhAG4AcwBwAG8AcgB0AE8AZgBmAFIAbwBhAG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ZgB1AGUAbABzACAAaQBuACAAbwBmAGYALQByAG8AYQBkACAAZQBxAHUAaQBwAG0AZQBuAHQAIABhAG4AZAAgAHYAZQBzAHMAZQBsAHMAXAAiACkAKQA7AFwAbgBcAG4ARgB1AGUAbABfAFMAYwBvAHAAZQAxAFMAYwBvAHAAZQAzAEUAbQBpAHMAcwBpAG8AbgBGAGEAYwB0AG8AcgBzAFQAcgBhAG4AcwBwAG8AcgB0AE8AZgBmAFIAbwBhAGQAXwBTAG8AdQByAGMAZQBcAG4APQBMAEEATQBCAEQAQQAoACgAXAAiAFYARQBFAFIARwAgADIAMAAyADYAOgAgAFQAYQBiAGwAZQAgAEEALgA0AC4AMgAuADEAXAAiACkAKQA7AFwAbgBcAG4ARgB1AGUAbABfAFMAYwBvAHAAZQAxAFMAYwBvAHAAZQAzAEUAbQBpAHMAcwBpAG8AbgBGAGEAYwB0AG8AcgBzAFQAcgBhAG4AcwBwAG8AcgB0AE8AZgBmAFIAbwBhAGQAXwBEAGEAdABhAFwAbgA9AEwAQQBNAEIARABBACgAXABuACAAIABNAEEASwBFAEEAUgBSAEEAWQAoADUALAAgADcALABcAG4AIAAgACAAIABMAEEATQBCAEQAQQAoAHIALABjACwAXABuACAAIAAgACAAIAAgAEkATgBEAEUAWAAoAHsAXABuACAAIAAgACAAIAAgACAAIABcACIAVAByAGEAbgBzAHAAbwByAHQAIAB0AHkAcABlACAAdABcACIALAAgAFwAIgBGAHUAZQBsACAAdAB5AHAAZQAgAHEAXAAiACwAIABcACIARQBDAFQAcgBhAG4AcwAsAHEAIAAoAEcASgAvAGsATAApAFwAIgAsACAAXAAiAFMAYwBvAHAAZQAgADEAIABDAE8AMgAgAEUARgBUAHIAYQBuACwAMQAsAHQAcQBnACAAKABrAGcAIABDAE8AMgAtAGUALwBHAEoAKQBcACIALAAgAFwAIgBTAGMAbwBwAGUAIAAxACAAQwBIADQAIABFAEYAVAByAGEAbgAsADEALAB0AGcAZwAgACgAawBnACAAQwBPADIALQBlAC8ARwBKACkAXAAiACwAIABcACIAUwBjAG8AcABlACAAMQAgAE4AMgBPACAARQBGAFQAcgBhAG4ALAAxACwAdABnAGcAIAAoAGsAZwAgAEMATwAyAC0AZQAvAEcASgApAFwAIgAsACAAXAAiAFMAYwBvAHAAZQAgADMAIABFAEYAVAByAGEAbgBzACwAMwAsAHEAIAAoAGsAZwAgAEMATwAyAC0AZQAvAEcASgApAFwAIgA7AFwAbgAgACAAIAAgACAAIAAgACAAXAAiAFYAZQBzAHMAZQBsAFwAIgAsACAAXAAiAFAAZQB0AHIAbwBsAFwAIgAsACAAMwA0AC4AMgAsACAANgA3AC4ANAAsACAAMQAwAC4AMQAsACAAMAAuADMALAAgADEANwAuADIAOwBcAG4AIAAgACAAIAAgACAAIAAgAFwAIgBWAGUAcwBzAGUAbABcACIALAAgAFwAIgBEAGkAZQBzAGUAbABcACIALAAgADMAOAAuADYALAAgADYAOQAuADkALAAgADAALgAyACwAIAAwAC4ANQAsACAAMQA3AC4AMwA7AFwAbgAgACAAIAAgACAAIAAgACAAXAAiAFYAZQBzAHMAZQBsAFwAIgAsACAAXAAiAEYAdQBlAGwAIABPAGkAbABcACIALAAgADMAOQAuADcALAAgADcAMwAuADYALAAgADAALgAyACwAIAAwAC4ANQAsACAAMQA4AC4AMAA7AFwAbgAgACAAIAAgACAAIAAgACAAXAAiAE8AZgBmAC0AcgBvAGEAZAAgAEEAZwByAGkAYwB1AGwAdAB1AHIAZQAgAGEAbgBkACAAZgBvAHIAZQBzAHQAcgB5ACAAZQBxAHUAaQBwAG0AZQBuAHQAXAAiACwAIABcACIARABpAGUAcwBlAGwAXAAiACwAIAAzADgALgA2ACwAIAA2ADkALgA5ACwAIAAwAC4AMwAsACAAMAAuADUALAAgADEANwAuADMAXABuACAAIAAgACAAIAAgAH0ALAAgAHIALAAgAGMAKQBcAG4AKQApACkAOwBcAG4AXABuAFwAbgBcAG4AIgB9ACwAewAiAHAAYQB0AGgAIgA6ACIALwBwAHIAbwBqAGUAYwB0AHMALwBXAGEAcwB0AGUAUwBvAGwAaQBkAF8ARQBxAHUAYQB0AGkAbwBuAHMAIgAsACIAdABlAHgAdAAiADoAIgAvACoAXABuAD0APQA9AD0APQA9AD0APQA9AD0APQA9AD0APQA9AD0APQA9AD0APQA9AD0APQA9AD0APQA9AD0APQA9AD0APQA9AD0APQA9AD0APQA9AD0APQA9AD0APQA9AD0APQA9AD0APQA9AD0APQA9AD0APQA9AD0APQA9AD0APQA9AD0APQA9AD0APQA9AD0APQA9AD0APQA9AD0AXABuADEAMAAuADEAOgAgAFcAYQBzAHQAZQBcAG4APQA9AD0APQA9AD0APQA9AD0APQA9AD0APQA9AD0APQA9AD0APQA9AD0APQA9AD0APQA9AD0APQA9AD0APQA9AD0APQA9AD0APQA9AD0APQA9AD0APQA9AD0APQA9AD0APQA9AD0APQA9AD0APQA9AD0APQA9AD0APQA9AD0APQA9AD0APQA9AD0APQA9AD0APQA9AD0APQBcAG4AMQAwAC4AMQAuADEALgAxACAATQBlAHQAaABvAGQAIAAxACAALQAgAFMAbwBsAGkAZAAgAFcAYQBzAHQAZQAgAFQAcgBlAGEAdABtAGUAbg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wAF8AMQBfADEAXwAxAF8AXwAxAF8ARQBtAGkAcwBzAGkAbwBuAHMARgByAG8AbQBXAGEAcwB0AGUATQBhAG4AYQBnAGUAbQBlAG4AdABcAG4ARQBtAGkAcwBzAGkAbwBuAHMAIABmAHIAbwBtACAAdwBhAHMAdABlACAAbQBhAG4AYQBnAGUAbQBlAG4AdAAgAGIAeQAgAGcAcgBlAGUAbgBoAG8AdQBzAGUAIABnAGEAcwBcAG4ARQBfAGcAXABuAHQAIABDAE8AMgBlAFwAbgBFAF8AZwA9AFwAXABzAHUAbQBfAHQAXABcAHMAdQBtAF8AdwAoAFEAXwB3AHQAXABcAHQAaQBtAGUAcwAgAEUARgBfAHcAdABnACkAXABuAFEAXwB3AHQAIAA9ACAAcQB1AGEAbgB0AGkAdAB5ACAAbwBmACAAcwBvAGwAaQBkACAAdwBhAHMAdABlACAAbwBmACAAdAB5AHAAZQAgAHcAIABiAGUAaQBuAGcAIABzAGUAbgB0ACAAdABvACAAdAByAGUAYQB0AG0AZQBuAHQAIABmAGEAYwBpAGwAaQB0AHkAIAB0ACwAIABvAG4AIABhACAAdwBlAHQAIAB3AGUAaQBnAGgAdAAgAGIAYQBzAGkAcwAgACgAdAApAFwAbgBFAEYAXwB3AHQAZwAgAD0AIABlAG0AaQBzAHMAaQBvAG4AIABmAGEAYwB0AG8AcgAgAGYAbwByACAAZwByAGUAZQBuAGgAbwB1AHMAZQAgAGcAYQBzACAAZwAgAGYAbwByACAAdABoAGUAIABtAGEAbgBhAGcAZQBtAGUAbgB0ACAAbwBmACAAdwBhAHMAdABlACAAYQB0ACAAdAByAGUAYQB0AG0AZQBuAHQAIABmAGEAYwBpAGwAaQB0AHkAIAB0ACAAKAB0ACAAQwBPADIAZQAvAHQAKQBcAG4ALQAtAC0ALQAtAC0ALQAtAC0ALQAtAC0ALQAtAC0ALQAtAC0ALQAtAC0ALQAtAC0ALQAtAC0ALQAtAC0ALQAtAC0ALQAtAC0ALQAtAFwAbgAqAC8AXABuAFwAbgBWAEUARQBSAEcAXwAxADAAXwAxAF8AMQBfADEAXwBfADEAXwBFAG0AaQBzAHMAaQBvAG4AcwBGAHIAbwBtAFcAYQBzAHQAZQBNAGEAbgBhAGcAZQBtAGUAbgB0AFwAbgAgACAAPQBMAEEATQBCAEQAQQAoAFwAbgAgACAAIAAgAFEAXwB3AHQALAAgAEUARgBfAHcAdABnACwAXABuACAAIAAgACAAUQBfAHcAdAAgACoAIABFAEYAXwB3AHQAZwBcAG4AIAAgACkAOwBcAG4AXABuAFYARQBFAFIARwBfADEAMABfADEAXwAxAF8AMQBfAF8AMQBfAEUAbQBpAHMAcwBpAG8AbgBzAEYAcgBvAG0AVwBhAHMAdABlAE0AYQBuAGEAZwBlAG0AZQBuAHQAXwBUAGkAdABsAGUAXABuACAAIAA9AEwAQQBNAEIARABBACgAXAAiAEUAbQBpAHMAcwBpAG8AbgBzACAAZgByAG8AbQAgAHcAYQBzAHQAZQAgAG0AYQBuAGEAZwBlAG0AZQBuAHQAIABiAHkAIABnAHIAZQBlAG4AaABvAHUAcwBlACAAZwBhAHMAXAAiACkAOwBcAG4AXABuAFYARQBFAFIARwBfADEAMABfADEAXwAxAF8AMQBfAF8AMQBfAEUAbQBpAHMAcwBpAG8AbgBzAEYAcgBvAG0AVwBhAHMAdABlAE0AYQBuAGEAZwBlAG0AZQBuAHQAXwBWAGEAcgBpAGEAYgBsAGUAXABuACAAIAA9AEwAQQBNAEIARABBACgAXAAiAEUAXwBnAFwAIgApADsAXABuAFwAbgBWAEUARQBSAEcAXwAxADAAXwAxAF8AMQBfADEAXwBfADEAXwBFAG0AaQBzAHMAaQBvAG4AcwBGAHIAbwBtAFcAYQBzAHQAZQBNAGEAbgBhAGcAZQBtAGUAbgB0AF8AVQBuAGkAdABcAG4AIAAgAD0ATABBAE0AQgBEAEEAKABcACIAdAAgAEMATwAyAGUAXAAiACkAOwBcAG4AXABuAFYARQBFAFIARwBfADEAMABfADEAXwAxAF8AMQBfAF8AMQBfAEUAbQBpAHMAcwBpAG8AbgBzAEYAcgBvAG0AVwBhAHMAdABlAE0AYQBuAGEAZwBlAG0AZQBuAHQAXwBTAG8AdQByAGMAZQBcAG4AIAAgAD0ATABBAE0AQgBEAEEAKABcACIAVgBFAEUAUgBHACAAMgAwADIANgA6ACAAMQAwAC4AMQAuADEALgAxACwAIABFAHEAdQBhAHQAaQBvAG4AIAAoADEAKQBcACIAKQA7AFwAbgBcAG4AVgBFAEUAUgBHAF8AMQAwAF8AMQBfADEAXwAxAF8AXwAxAF8ARQBtAGkAcwBzAGkAbwBuAHMARgByAG8AbQBXAGEAcwB0AGUATQBhAG4AYQBnAGUAbQBlAG4AdABfAE4ASQBSAFIAZQBmAGUAcgBlAG4AYwBlAFwAbgAgACAAPQBMAEEATQBCAEQAQQAoAFwAIgBcACIAKQA7AFwAbgBcAG4AVgBFAEUAUgBHAF8AMQAwAF8AMQBfADEAXwAxAF8AXwAxAF8ARQBtAGkAcwBzAGkAbwBuAHMARgByAG8AbQBXAGEAcwB0AGUATQBhAG4AYQBnAGUAbQBlAG4AdABfAEwAYQB0AGUAeABFAHEAdQBhAHQAaQBvAG4AXABuACAAIAA9AEwAQQBNAEIARABBACgAXAAiAEUAXwBnAD0AXABcAHMAdQBtAFwAXABuAG8AbABpAG0AaQB0AHMAXwB0AFwAXABzAHUAbQBcAFwAbgBvAGwAaQBtAGkAdABzAF8AdwAoAFEAXwB7AHcAdAB9AFwAXAB0AGkAbQBlAHMAIABFAEYAXwB7AHcAdABnAH0AKQBcACIAKQA7AFwAbgBcAG4AVgBFAEUAUgBHAF8AMQAwAF8AMQBfADEAXwAxAF8AXwAxAF8ARQBtAGkAcwBzAGkAbwBuAHMARgByAG8AbQBXAGEAcwB0AGUATQBhAG4AYQBnAGUAbQBlAG4AdABfAEEAcgBnAHUAbQBlAG4AdABzAFwAbgAgACAAPQBMAEEATQBCAEQAQQAoAFwAbgAgACAAIAAgAE0AQQBLAEUAQQBSAFIAQQBZACgANwAsACAANAAsAFwAbgAgACAAIAAgACAAIABMAEEATQBCAEQAQQAoAHIALABjACwAXABuACAAIAAgACAAIAAgACAAIABJAE4ARABFAFgAKAB7AFwAbgAgACAAIAAgACAAIAAgACAAIAAgAFwAIgBRAF8AdwB0AFwAIgAsACAAXAAiAHEAdQBhAG4AdABpAHQAeQAgAG8AZgAgAHMAbwBsAGkAZAAgAHcAYQBzAHQAZQAgAG8AZgAgAHQAeQBwAGUAIAB3ACAAYgBlAGkAbgBnACAAcwBlAG4AdAAgAHQAbwAgAHQAcgBlAGEAdABtAGUAbgB0ACAAZgBhAGMAaQBsAGkAdAB5ACAAdAAsACAAbwBuACAAYQAgAHcAZQB0ACAAdwBlAGkAZwBoAHQAIABiAGEAcwBpAHMAXAAiACwAIABcACIAdABcACIALAAgAFwAIgBTAHUAbQAgAG8AZgAgAFEAXwB2AG8AbAB3AHQAIABhAG4AZAAgAFEAXwBtAGEAcwBzAHcAdABcACIAOwBcAG4AIAAgACAAIAAgACAAIAAgACAAIABcACIARQBGAF8AdwB0AGcAXAAiACwAIABcACIAZQBtAGkAcwBzAGkAbwBuACAAZgBhAGMAdABvAHIAIABmAG8AcgAgAGcAcgBlAGUAbgBoAG8AdQBzAGUAIABnAGEAcwAgAGcAIABmAG8AcgAgAHQAaABlACAAbQBhAG4AYQBnAGUAbQBlAG4AdAAgAG8AZgAgAHcAYQBzAHQAZQAgAGEAdAAgAHQAcgBlAGEAdABtAGUAbgB0ACAAZgBhAGMAaQBsAGkAdAB5ACAAdABcACIALAAgAFwAIgB0ACAAQwBPADIAZQAvAHQ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OwBcAG4AIAAgACAAIAAgACAAIAAgACAAIABcACIAZwBcACIALAAgAFwAIgBnAHIAZQBlAG4AaABvAHUAcwBlACAAZwBhAHMAXAAiACwAIABcACIAXAAiACwAIABcACIASQBuAHAAdQB0AFwAIgA7AFwAbgAgACAAIAAgACAAIAAgACAAIAAgAFwAIgBRAF8AdgBvAGwAdwB0AFwAIgAsACAAXAAiAHEAdQBhAG4AdABpAHQAeQAgAG8AZgAgAHMAbwBsAGQAIAB3AGEAcwB0AGUAIABpAG4AcAB1AHQAIABhAHMAIAB2AG8AbAB1AG0AZQAgAGEAbgBkACAAYwBvAG4AdgBlAHIAdABlAGQAIAB0AG8AIAB0AG8AbgBuAGUAcwBcACIALAAgAFwAIgB0AG8AbgBuAGUAcwBcACIALAAgAFwAIgBDAGEAbABjAHUAbABhAHQAZQBkACAAZgByAG8AbQAgADEAMAAuADEALgAxAC4AMQAgACgAMgApAFwAIgA7AFwAbgAgACAAIAAgACAAIAAgACAAIAAgAFwAIgBRAF8AbQBhAHMAcwB3AHQAXAAiACwAIABcACIAcQB1AGEAbgB0AGkAdAB5ACAAbwBmACAAcwBvAGwAaQBkACAAdwBhAHMAdABlACAAaQBuAHAAdQB0ACAAYQBzACAAbQBhAHMAcwBcACIALAAgAFwAIgB0AG8AbgBuAGUAcwBcACIALAAgAFwAIgBJAG4AcAB1AHQAXAAiAFwAbgAgACAAIAAgACAAIAAgACAAfQAsACAAcgAsACAAYwApAFwAbgAgACAAIAAgACAAIAApAFwAbgAgACAAIAAgACkAXABuACAAIAApADsAXABuAFwAbgBWAEUARQBSAEcAXwAxADAAXwAxAF8AMQBfADEAXwBfADEAXwBFAG0AaQBzAHMAaQBvAG4AcwBGAHIAbwBtAFcAYQBzAHQAZQBNAGEAbgBhAGcAZQBtAGUAbgB0AF8AVgBhAHIAaQBhAHQAaQBvAG4AXABuACAAIAA9AEwAQQBNAEIARABBACgAXAAiAFYAQQBSAEkAQQBUAEkATwBOACAATwBOACAAUwBPAFUAUgBDAEUAOgAgAEEAZABkAGUAZAAgAFEAXwB2AG8AbAB3AHQAIABhAG4AZAAgAFEAXwBtAGEAcwBzAHcAdAAgAHYAYQByAGkAYQBiAGwAZQBzACAAdABvACAAYwBsAGUAYQByAGwAeQAgAHQAcgBhAGMAawAgAGkAbgBwAHUAdAAgAG8AcgAgAGMAYQBsAGMAdQBsAGEAdABlAGQAIABRACAAdgBhAGwAdQBlAHMAXAAiACkAOwBcAG4AXABuAC8AKgBcAG4ALQAtAC0ALQAtAC0ALQAtAC0ALQAtAC0ALQAtAC0ALQAtAC0ALQAtAC0ALQAtAC0ALQAtAC0ALQAtAC0ALQAtAC0ALQAtAC0ALQAtAFwAbgBWAEUARQBSAEcAXwAxADAAXwAxAF8AMQBfADEAXwBfADIAXwBNAGEAcwBzAE8AZgBXAGEAcwB0AGUARgByAG8AbQBWAG8AbAB1AG0AZQBcAG4ATQBhAHMAcwAgAG8AZgAgAHcAYQBzAHQAZQAgAGYAcgBvAG0AIAB3AGEAcwB0AGUAIAB2AG8AbAB1AG0AZQBcAG4AUQBfAHcAdABcAG4AdABcAG4AUQBfAHcAdAA9AFYAXwB3AHQAXABcAHQAaQBtAGUAcwAgAFYAVABNAF8AdwBcAG4AVgBfAHcAdAAgAD0AIAB2AG8AbAB1AG0AZQAgAG8AZgAgAHMAbwBsAGkAZAAgAHcAYQBzAHQAZQAgAHQAeQBwAGUAIAB3ACAAYgBlAGkAbgBnACAAcwBlAG4AdAAgAHQAbwAgAHQAcgBlAGEAdABtAGUAbgB0ACAAZgBhAGMAaQBsAGkAdAB5ACAAdAAgACgAbQAzACkAXABuAFYAVABNAF8AdwAgAD0AIABjAG8AbgB2AGUAcgBzAGkAbwBuACAAZgBhAGMAdABvAHIAIABvAGYAIAB2AG8AbAB1AG0AZQAgAHQAbwAgAG0AYQBzAHMAIABmAG8AcgAgAHcAYQBzAHQAZQAgAHQAeQBwAGUAIAB3ACAAKAB0AC8AbQAzACkAXABuAC0ALQAtAC0ALQAtAC0ALQAtAC0ALQAtAC0ALQAtAC0ALQAtAC0ALQAtAC0ALQAtAC0ALQAtAC0ALQAtAC0ALQAtAC0ALQAtAC0ALQBcAG4AKgAvAFwAbgBcAG4AVgBFAEUAUgBHAF8AMQAwAF8AMQBfADEAXwAxAF8AXwAyAF8ATQBhAHMAcwBPAGYAVwBhAHMAdABlAEYAcgBvAG0AVgBvAGwAdQBtAGUAXABuACAAIAA9AEwAQQBNAEIARABBACgAXABuACAAIAAgACAAVgBfAHcAdAAsACAAVgBUAE0AXwB3ACwAXABuACAAIAAgACAAVgBfAHcAdAAgACoAIABWAFQATQBfAHcAXABuACAAIAApADsAXABuAFwAbgBWAEUARQBSAEcAXwAxADAAXwAxAF8AMQBfADEAXwBfADIAXwBNAGEAcwBzAE8AZgBXAGEAcwB0AGUARgByAG8AbQBWAG8AbAB1AG0AZQBfAFQAaQB0AGwAZQBcAG4AIAAgAD0ATABBAE0AQgBEAEEAKABcACIATQBhAHMAcwAgAG8AZgAgAHcAYQBzAHQAZQAgAGYAcgBvAG0AIAB3AGEAcwB0AGUAIAB2AG8AbAB1AG0AZQBcACIAKQA7AFwAbgBcAG4AVgBFAEUAUgBHAF8AMQAwAF8AMQBfADEAXwAxAF8AXwAyAF8ATQBhAHMAcwBPAGYAVwBhAHMAdABlAEYAcgBvAG0AVgBvAGwAdQBtAGUAXwBWAGEAcgBpAGEAYgBsAGUAXABuACAAIAA9AEwAQQBNAEIARABBACgAXAAiAFEAXwB3AHQAXAAiACkAOwBcAG4AXABuAFYARQBFAFIARwBfADEAMABfADEAXwAxAF8AMQBfAF8AMgBfAE0AYQBzAHMATwBmAFcAYQBzAHQAZQBGAHIAbwBtAFYAbwBsAHUAbQBlAF8AVQBuAGkAdABcAG4AIAAgAD0ATABBAE0AQgBEAEEAKABcACIAdABcACIAKQA7AFwAbgBcAG4AVgBFAEUAUgBHAF8AMQAwAF8AMQBfADEAXwAxAF8AXwAyAF8ATQBhAHMAcwBPAGYAVwBhAHMAdABlAEYAcgBvAG0AVgBvAGwAdQBtAGUAXwBTAG8AdQByAGMAZQBcAG4AIAAgAD0ATABBAE0AQgBEAEEAKABcACIAVgBFAEUAUgBHACAAMgAwADIANgA6ACAAMQAwAC4AMQAuADEALgAxACwAIABFAHEAdQBhAHQAaQBvAG4AIAAoADIAKQBcACIAKQA7AFwAbgBcAG4AVgBFAEUAUgBHAF8AMQAwAF8AMQBfADEAXwAxAF8AXwAyAF8ATQBhAHMAcwBPAGYAVwBhAHMAdABlAEYAcgBvAG0AVgBvAGwAdQBtAGUAXwBOAEkAUgBSAGUAZgBlAHIAZQBuAGMAZQBcAG4AIAAgAD0ATABBAE0AQgBEAEEAKABcACIAXAAiACkAOwBcAG4AXABuAFYARQBFAFIARwBfADEAMABfADEAXwAxAF8AMQBfAF8AMgBfAE0AYQBzAHMATwBmAFcAYQBzAHQAZQBGAHIAbwBtAFYAbwBsAHUAbQBlAF8ATABhAHQAZQB4AEUAcQB1AGEAdABpAG8AbgBcAG4AIAAgAD0ATABBAE0AQgBEAEEAKABcACIAUQBfAHsAdwB0AH0APQBWAF8AewB3AHQAfQBcAFwAdABpAG0AZQBzACAAVgBUAE0AXwB3AFwAIgApADsAXABuAFwAbgBWAEUARQBSAEcAXwAxADAAXwAxAF8AMQBfADEAXwBfADIAXwBNAGEAcwBzAE8AZgBXAGEAcwB0AGUARgByAG8AbQBWAG8AbAB1AG0AZQBfAEEAcgBnAHUAbQBlAG4AdABzAFwAbgAgACAAPQBMAEEATQBCAEQAQQAoAFwAbgAgACAAIAAgAE0AQQBLAEUAQQBSAFIAQQBZACgANAAsACAANAAsAFwAbgAgACAAIAAgACAAIABMAEEATQBCAEQAQQAoAHIALABjACwAXABuACAAIAAgACAAIAAgACAAIABJAE4ARABFAFgAKAB7AFwAbgAgACAAIAAgACAAIAAgACAAIAAgAFwAIgBWAF8AdwB0AFwAIgAsACAAXAAiAHYAbwBsAHUAbQBlACAAbwBmACAAcwBvAGwAaQBkACAAdwBhAHMAdABlACAAdAB5AHAAZQAgAHcAIABiAGUAaQBuAGcAIABzAGUAbgB0ACAAdABvACAAdAByAGUAYQB0AG0AZQBuAHQAIABmAGEAYwBpAGwAaQB0AHkAIAB0AFwAIgAsACAAXAAiAG0AMwBcACIALAAgAFwAIgBJAG4AcAB1AHQAXAAiADsAXABuACAAIAAgACAAIAAgACAAIAAgACAAXAAiAFYAVABNAF8AdwBcACIALAAgAFwAIgBjAG8AbgB2AGUAcgBzAGkAbwBuACAAZgBhAGMAdABvAHIAIABvAGYAIAB2AG8AbAB1AG0AZQAgAHQAbwAgAG0AYQBzAHMAIABmAG8AcgAgAHcAYQBzAHQAZQAgAHQAeQBwAGUAIAB3AFwAIgAsACAAXAAiAHQALwBtADM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XABuACAAIAAgACAAIAAgACAAIAB9ACwAIAByACwAIABjACkAXABuACAAIAAgACAAIAAgACkAXABuACAAIAAgACAAKQBcAG4AIAAgACkAOwBcAG4AIgB9ACwAewAiAHAAYQB0AGgAIgA6ACIALwBwAHIAbwBqAGUAYwB0AHMALwBXAGEAcwB0AGUAUwBvAGwAaQBkAF8ASQBuAHAAdQB0AEYAdQBuAGMAdABpAG8AbgBzACIALAAiAHQAZQB4AHQAIgA6ACIAXABuAFcAYQBzAHQAZQBTAG8AbABpAGQAXwBJAG4AcAB1AHQARgB1AG4AYwB0AGkAbwBuAHMAXwBTAHUAbQBXAGEAcwB0AGUAVAByAGUAYQB0AG0AZQBuAHQAXABuAD0ATABBAE0AQgBEAEEAKABcAG4AIAAgAFQAcgBlAGEAdABtAGUAbgB0AEEAcgByAGEAeQAsACAAVwBhAHMAdABlAEEAcgByAGEAeQAsACAAVAByAGUAYQB0AG0AZQBuAHQATABvAGMAYQB0AGkAbwBuAEEAcgByAGEAeQAsACAAVQBuAGkAdABBAHIAcgBhAHkALAAgAEEAbQBvAHUAbgB0AEEAcgByAGEAeQAsAFwAbgAgACAAVAByAGUAYQB0AG0AZQBuAHQAVAB5AHAAZQAsACAAVwBhAHMAdABlAFQAeQBwAGUALAAgAFQAcgBlAGEAdABtAGUAbgB0AEwAbwBjAGEAdABpAG8AbgBUAHkAcABlACwAIABVAG4AaQB0AFQAeQBwAGUALABcAG4AIAAgAFMAVQBNAEkARgBTACgAXABuACAAIAAgACAAQQBtAG8AdQBuAHQAQQByAHIAYQB5ACwAXABuACAAIAAgAFQAcgBlAGEAdABtAGUAbgB0AEEAcgByAGEAeQAsACAAVAByAGUAYQB0AG0AZQBuAHQAVAB5AHAAZQAsAFwAbgAgACAAIAAgAFcAYQBzAHQAZQBBAHIAcgBhAHkALAAgAFcAYQBzAHQAZQBUAHkAcABlACwAXABuACAAIAAgACAAVAByAGUAYQB0AG0AZQBuAHQATABvAGMAYQB0AGkAbwBuAEEAcgByAGEAeQAsACAAVAByAGUAYQB0AG0AZQBuAHQATABvAGMAYQB0AGkAbwBuAFQAeQBwAGUALAAgAFwAbgAgACAAIAAgAFUAbgBpAHQAQQByAHIAYQB5ACwAIABVAG4AaQB0AFQAeQBwAGUAXABuACAAIAApAFwAbgApADsAIgB9ACwAewAiAHAAYQB0AGgAIgA6ACIALwBwAHIAbwBqAGUAYwB0AHMALwBXAGEAcwB0AGUAUwBvAGwAaQBkAF8AUwBvAHUAcgBjAGUARABhAHQAYQAiACwAIgB0AGUAeAB0ACIAOgAiAC8AKgBcAG4APQA9AD0APQA9AD0APQA9AD0APQA9AD0APQA9AD0APQA9AD0APQA9AD0APQA9AD0APQA9AD0APQA9AD0APQA9AD0APQA9AD0APQA9AD0APQA9AD0APQA9AD0APQA9AD0APQA9AD0APQA9AD0APQA9AD0APQA9AD0APQA9AD0APQA9AD0APQA9AD0APQA9AD0APQA9AD0APQBcAG4ARQBtAGkAcwBzAGkAbwBuACAAZgBhAGMAdABvAHIAcwAgAGYAbwByACAAdwBhAHMAdABlAHMAIABkAGkAcwBwAG8AcwBlAGQAIABvAGYAIABhAHQAIABkAGkAZgBmAGUAcgBlAG4AdAAgAHQAcgBlAGEAdABtAGUAbgB0ACAAZgBhAGMAaQBsAGkAdABpAGUAcwBcAG4APQA9AD0APQA9AD0APQA9AD0APQA9AD0APQA9AD0APQA9AD0APQA9AD0APQA9AD0APQA9AD0APQA9AD0APQA9AD0APQA9AD0APQA9AD0APQA9AD0APQA9AD0APQA9AD0APQA9AD0APQA9AD0APQA9AD0APQA9AD0APQA9AD0APQA9AD0APQA9AD0APQA9AD0APQA9AD0APQBcAG4AKgAvAFwAbgBcAG4AVwBhAHMAdABlAF8ARQBtAGkAcwBzAGkAbwBuAEYAYQBjAHQAbwByAHMARgBvAHIAVwBhAHMAdABlAFQAcgBlAGEAdABtAGUAbgB0AF8AVABpAHQAbABlAFwAbgA9AEwAQQBNAEIARABBACgAKABcACIARQBtAGkAcwBzAGkAbwBuACAAZgBhAGMAdABvAHIAcwAgAGYAbwByACAAdwBhAHMAdABlAHMAIABkAGkAcwBwAG8AcwBlAGQAIABvAGYAIABhAHQAIABkAGkAZgBmAGUAcgBlAG4AdAAgAHQAcgBlAGEAdABtAGUAbgB0ACAAZgBhAGMAaQBsAGkAdABpAGUAcwBcACIAKQApADsAXABuAFwAbgBXAGEAcwB0AGUAXwBFAG0AaQBzAHMAaQBvAG4ARgBhAGMAdABvAHIAcwBGAG8AcgBXAGEAcwB0AGUAVAByAGUAYQB0AG0AZQBuAHQAXwBWAGEAcgBpAGEAYgBsAGUAXABuAD0ATABBAE0AQgBEAEEAKAAoAFwAIgBFAEYAdwB0AFwAIgApACkAOwBcAG4AXABuAFcAYQBzAHQAZQBfAEUAbQBpAHMAcwBpAG8AbgBGAGEAYwB0AG8AcgBzAEYAbwByAFcAYQBzAHQAZQBUAHIAZQBhAHQAbQBlAG4AdABfAFUAbgBpAHQAXABuAD0ATABBAE0AQgBEAEEAKAAoAFwAIgB0ACAAQwBPADIAZQAgAC8AIAB0AFwAIgApACkAOwBcAG4AXABuAFcAYQBzAHQAZQBfAEUAbQBpAHMAcwBpAG8AbgBGAGEAYwB0AG8AcgBzAEYAbwByAFcAYQBzAHQAZQBUAHIAZQBhAHQAbQBlAG4AdABfAFMAbwB1AHIAYwBlAFwAbgA9AEwAQQBNAEIARABBACgAKABcACIAVgBFAEUAUgBHACAAMgAwADIANgA6ACAAVABhAGIAbABlACAAQQAuADQALgAxAC4AMQBcACIAKQApADsAXABuAFwAbgBXAGEAcwB0AGUAXwBFAG0AaQBzAHMAaQBvAG4ARgBhAGMAdABvAHIAcwBGAG8AcgBXAGEAcwB0AGUAVAByAGUAYQB0AG0AZQBuAHQAXwBEAGEAdABhAFwAbgA9AEwAQQBNAEIARABBACgAXABuACAAIABNAEEASwBFAEEAUgBSAEEAWQAoADMANQAsACAANAAsAFwAbgAgACAAIAAgAEwAQQBNAEIARABBACgAcgAsAGMALABcAG4AIAAgACAAIAAgACAASQBOAEQARQBYACgAewBcAG4AIAAgACAAIAAgACAAIAAgAFwAIgBUAHIAZQBhAHQAbQBlAG4AdAAgAHQAeQBwAGUAIAB0AFwAIgAsACAAXAAiAFcAYQBzAHQAZQAgAHQAeQBwAGUAIAB3AFwAIgAsACAAXAAiAEUARgB3AHQAXAAiACwAIABcACIARQBGACAAcwBvAHUAcgBjAGUAXAAiADsAXABuACAAIAAgACAAIAAgACAAIABcACIATABhAG4AZABmAGkAbABsAFwAIgAsACAAXAAiAEYAbwBvAGQAIAB3AGEAcwB0AGUAIAAoAGkAbgBjAGwAdQBkAGkAbgBnACAAYQBuAGkAbQBhAGwAIABjAGEAcgBjAGEAcwBzAGUAcwAsACAAcwBwAG8AaQBsAGUAZAAgAGEAbgBpAG0AYQBsACAAZgBlAGUAZAAgAG8AcgAgAGMAcgBvAHAAKQBcACIALAAgADIALgAxACwAIABcACIATgBHAEEARgAgADIAMAAyADUAIAB0AGEAYgBsAGUAIAAxADUAXAAiADsAXABuACAAIAAgACAAIAAgACAAIABcACIATABhAG4AZABmAGkAbABsAFwAIgAsACAAXAAiAFAAYQBwAGUAcgAgAGEAbgBkACAAYwBhAHIAZABiAG8AYQByAGQAXAAiACwAIAAzAC4AMwAsACAAXAAiAE4ARwBBAEYAIAAyADAAMgA1ACAAdABhAGIAbABlACAAMQA1AFwAIgA7AFwAbgAgACAAIAAgACAAIAAgACAAXAAiAEwAYQBuAGQAZgBpAGwAbABcACIALAAgAFwAIgBHAHIAZQBlAG4AIAB3AGEAcwB0AGUAIAAoAGkAbgBjAGwAdQBkAGkAbgBnACAAYwByAG8AcAAgAHIAZQBzAGkAZAB1AGUAcwAgAG8AcgAgAHAAcgB1AG4AaQBuAGcAcwApAFwAIgAsACAAMQAuADYALAAgAFwAIgBOAEcAQQBGACAAMgAwADIANQAgAHQAYQBiAGwAZQAgADEANQBcACIAOwBcAG4AIAAgACAAIAAgACAAIAAgAFwAIgBMAGEAbgBkAGYAaQBsAGwAXAAiACwAIABcACIAVwBvAG8AZABcACIALAAgADAALgA3ACwAIABcACIATgBHAEEARgAgADIAMAAyADUAIAB0AGEAYgBsAGUAIAAxADUAXAAiADsAXABuACAAIAAgACAAIAAgACAAIABcACIATABhAG4AZABmAGkAbABsAFwAIgAsACAAXAAiAFQAZQB4AHQAaQBsAGUAcwBcACIALAAgADIALgAwACwAIABcACIATgBHAEEARgAgADIAMAAyADUAIAB0AGEAYgBsAGUAIAAxADUAXAAiADsAXABuACAAIAAgACAAIAAgACAAIABcACIATABhAG4AZABmAGkAbABsAFwAIgAsACAAXAAiAFMAbAB1AGQAZwBlAFwAIgAsACAAMAAuADQALAAgAFwAIgBOAEcAQQBGACAAMgAwADIANQAgAHQAYQBiAGwAZQAgADEANQBcACIAOwBcAG4AIAAgACAAIAAgACAAIAAgAFwAIgBMAGEAbgBkAGYAaQBsAGwAXAAiACwAIABcACIAUgB1AGIAYgBlAHIAIABhAG4AZAAgAGwAZQBhAHQAaABlAHIAXAAiACwAIAAzAC4AMwAsACAAXAAiAE4ARwBBAEYAIAAyADAAMgA1ACAAdABhAGIAbABlACAAMQA1AFwAIgA7AFwAbgAgACAAIAAgACAAIAAgACAAXAAiAEwAYQBuAGQAZgBpAGwAbABcACIALAAgAFwAIgBJAG4AZQByAHQAIAB3AGEAcwB0AGUAIAAoAGkAbgBjAGwAdQBkAGkAbgBnACAAYwBvAG4AYwByAGUAdABlACwAIABtAGUAdABhAGwALAAgAHAAbABhAHMAdABpAGMAIABvAHIAIABnAGwAYQBzAHMAKQBcACIALAAgADAALAAgAFwAIgBOAEcAQQBGACAAMgAwADIANQAgAHQAYQBiAGwAZQAgADEANQBcACIAOwBcAG4AIAAgACAAIAAgACAAIAAgAFwAIgBMAGEAbgBkAGYAaQBsAGwAXAAiACwAIABcACIATQB1AG4AaQBjAGkAcABhAGwAIABzAG8AbABpAGQAIAB3AGEAcwB0AGUAXAAiACwAIAAxAC4ANgAsACAAXAAiAE4ARwBBAEYAIAAyADAAMgA1ACAAdABhAGIAbABlACAAMQA1AFwAIgA7AFwAbgAgACAAIAAgACAAIAAgACAAXAAiAEwAYQBuAGQAZgBpAGwAbABcACIALAAgAFwAIgBDAG8AbQBtAGUAcgBjAGkAYQBsACAAYQBuAGQAIABpAG4AZAB1AHMAdAByAGkAYQBsACAAdwBhAHMAdABlAFwAIgAsACAAMQAuADMALAAgAFwAIgBOAEcAQQBGACAAMgAwADIANQAgAHQAYQBiAGwAZQAgADEANQBcACIAOwBcAG4AIAAgACAAIAAgACAAIAAgAFwAIgBMAGEAbgBkAGYAaQBsAGwAXAAiACwAIABcACIAQwBvAG4AcwB0AHIAdQBjAHQAaQBvAG4AIABhAG4AZAAgAGQAZQBtAG8AbABpAHQAaQBvAG4AIAB3AGEAcwB0AGUAXAAiACwAIAAwAC4AMgAsACAAXAAiAE4ARwBBAEYAIAAyADAAMgA1ACAAdABhAGIAbABlACAAMQA1AFwAIgA7AFwAbgAgACAAIAAgACAAIAAgACAAXABuACAAIAAgACAAIAAgACAAIABcACIASQBuAGMAaQBuAGUAcgBhAHQAaQBvAG4AXAAiACwAIABcACIARgBvAG8AZAAgAHcAYQBzAHQAZQAsACAAZwByAGUAZQBuACAAdwBhAHMAdABlACwAIAB3AG8AbwBkACwAIABzAGwAdQBkAGcAZQBcACIALAAgADAALAAgAFwAIgBcACIAOwBcAG4AIAAgACAAIAAgACAAIAAgAFwAIgBJAG4AYwBpAG4AZQByAGEAdABpAG8AbgBcACIALAAgAFwAIgBGAG8AbwBkACAAdwBhAHMAdABlACAAKABpAG4AYwBsAHUAZABpAG4AZwAgAGEAbgBpAG0AYQBsACAAYwBhAHIAYwBhAHMAcwBlAHMALAAgAHMAcABvAGkAbABlAGQAIABhAG4AaQBtAGEAbAAgAGYAZQBlAGQAIABvAHIAIABjAHIAbwBwACkAXAAiACwAIAAwACwAIABcACIAXAAiADsAXABuACAAIAAgACAAIAAgACAAIABcACIASQBuAGMAaQBuAGUAcgBhAHQAaQBvAG4AXAAiACwAIABcACIARwByAGUAZQBuACAAdwBhAHMAdABlACAAKABpAG4AYwBsAHUAZABpAG4AZwAgAGMAcgBvAHAAIAByAGUAcwBpAGQAdQBlAHMAIABvAHIAIABwAHIAdQBuAGkAbgBnAHMAKQBcACIALAAgADAALAAgAFwAIgBcACIAOwBcAG4AIAAgACAAIAAgACAAIAAgAFwAIgBJAG4AYwBpAG4AZQByAGEAdABpAG8AbgBcACIALAAgAFwAIgBXAG8AbwBkAFwAIgAsACAAMAAsACAAXAAiAFwAIgA7AFwAbgAgACAAIAAgACAAIAAgACAAXAAiAEkAbgBjAGkAbgBlAHIAYQB0AGkAbwBuAFwAIgAsACAAXAAiAFMAbAB1AGQAZwBlAFwAIgAsACAAMAAsACAAXAAiAFwAIgA7AFwAbgAgACAAIAAgACAAIAAgACAAXAAiAEkAbgBjAGkAbgBlAHIAYQB0AGkAbwBuAFwAIgAsACAAXAAiAFAAYQBwAGUAcgAgAGEAbgBkACAAYwBhAHIAZABiAG8AYQByAGQAXAAiACwAIAAwAC4AMAAxADYAOQAsACAAXAAiAFwAIgA7AFwAbgAgACAAIAAgACAAIAAgACAAXAAiAEkAbgBjAGkAbgBlAHIAYQB0AGkAbwBuAFwAIgAsACAAXAAiAFQAZQB4AHQAaQBsAGUAcwBcACIALAAgADAALgAzADYANgA3ACwAIABcACIAXAAiADsAXABuACAAIAAgACAAIAAgACAAIABcACIASQBuAGMAaQBuAGUAcgBhAHQAaQBvAG4AXAAiACwAIABcACIAUgB1AGIAYgBlAHIAIABhAG4AZAAgAGwAZQBhAHQAaABlAHIAXAAiACwAIAAwAC4ANAA5ADEAOQAsACAAXAAiAFwAIgA7AFwAbgAgACAAIAAgACAAIAAgACAAXAAiAEkAbgBjAGkAbgBlAHIAYQB0AGkAbwBuAFwAIgAsACAAXAAiAEkAbgBlAHIAdAAgAHcAYQBzAHQAZQAgACgAaQBuAGMAbAB1AGQAaQBuAGcAIABjAG8AbgBjAHIAZQB0AGUALAAgAG0AZQB0AGEAbAAsACAAcABsAGEAcwB0AGkAYwAgAG8AcgAgAGcAbABhAHMAcwApAFwAIgAsACAAMAAuADEAMQAwADAALAAgAFwAIgBcACIAOwBcAG4AIAAgACAAIAAgACAAIAAgAFwAIgBJAG4AYwBpAG4AZQByAGEAdABpAG8AbgBcACIALAAgAFwAIgBNAHUAbgBpAGMAaQBwAGEAbAAgAHMAbwBsAGkAZAAgAHcAYQBzAHQAZQBcACIALAAgADAALgAwADUAMwA3ACwAIABcACIATgBHAEEARgAgADIAMAAyADUAIABUAGEAYgBsAGUAIAAxADgAXAAiADsAXABuACAAIAAgACAAIAAgACAAIABcACIASQBuAGMAaQBuAGUAcgBhAHQAaQBvAG4AXAAiACwAIABcACIAQwBvAG0AbQBlAHIAYwBpAGEAbAAgAGEAbgBkACAAaQBuAGQAdQBzAHQAcgBpAGEAbAAgAHcAYQBzAHQAZQBcACIALAAgADEALgA2ADQAOQAsACAAXAAiAE4ARwBBAEYAIAAyADAAMgA1ACAAVABhAGIAbABlACAAMQA4AFwAIgA7AFwAbgBcAG4AIAAgACAAIAAgACAAIAAgAFwAIgBDAG8AbQBwAG8AcwB0AGkAbgBnAFwAIgAsACAAXAAiAEEAbABsACAAbwByAGcAYQBuAGkAYwAgAHcAYQBzAHQAZQBcACIALAAgADAALgAwADQANgAsACAAXAAiAE4ARwBBAEYAIAAyADAAMgA1ACAAVABhAGIAbABlACAAMQA5AFwAIgA7AFwAbgAgACAAIAAgACAAIAAgACAAXAAiAEMAbwBtAHAAbwBzAHQAaQBuAGcAXAAiACwAIABcACIARgBvAG8AZAAgAHcAYQBzAHQAZQAgACgAaQBuAGMAbAB1AGQAaQBuAGcAIABhAG4AaQBtAGEAbAAgAGMAYQByAGMAYQBzAHMAZQBzACwAIABzAHAAbwBpAGwAZQBkACAAYQBuAGkAbQBhAGwAIABmAGUAZQBkACAAbwByACAAYwByAG8AcAApAFwAIgAsACAAMAAuADAANAA2ACwAIABcACIAXAAiADsAXABuACAAIAAgACAAIAAgACAAIABcACIAQwBvAG0AcABvAHMAdABpAG4AZwBcACIALAAgAFwAIgBHAHIAZQBlAG4AIAB3AGEAcwB0AGUAIAAoAGkAbgBjAGwAdQBkAGkAbgBnACAAYwByAG8AcAAgAHIAZQBzAGkAZAB1AGUAcwAgAG8AcgAgAHAAcgB1AG4AaQBuAGcAcwApAFwAIgAsACAAMAAuADAANAA2ACwAIABcACIAXAAiADsAXABuACAAIAAgACAAIAAgACAAIABcACIAQwBvAG0AcABvAHMAdABpAG4AZwBcACIALAAgAFwAIgBXAG8AbwBkAFwAIgAsACAAMAAuADAANAA2ACwAIABcACIAXAAiADsAXABuACAAIAAgACAAIAAgACAAIABcACIAQwBvAG0AcABvAHMAdABpAG4AZwBcACIALAAgAFwAIgBTAGwAdQBkAGcAZQBcACIALAAgADAALgAwADQANgAsACAAXAAiAFwAIgA7AFwAbgAgACAAIAAgACAAIAAgACAAXAAiAEMAbwBtAHAAbwBzAHQAaQBuAGcAXAAiACwAIABcACIAUABhAHAAZQByACAAYQBuAGQAIABjAGEAcgBkAGIAbwBhAHIAZABcACIALAAgADAALgAwADQANgAsACAAXAAiAFwAIgA7AFwAbgBcAG4AIAAgACAAIAAgACAAIAAgAFwAIgBBAG4AYQBlAHIAbwBiAGkAYwAgAGQAaQBnAGUAcwB0AGkAbwBuAFwAIgAsACAAXAAiAEEAbABsACAAbwByAGcAYQBuAGkAYwAgAHcAYQBzAHQAZQBcACIALAAgADAALgAwADIAOAAsACAAXAAiAE4ARwBBAEYAIAAyADAAMgA1ACAAVABhAGIAbABlACAAMQA5AFwAIgA7AFwAbgAgACAAIAAgACAAIAAgACAAXAAiAEEAbgBhAGUAcgBvAGIAaQBjACAAZABpAGcAZQBzAHQAaQBvAG4AXAAiACwAIABcACIARgBvAG8AZAAgAHcAYQBzAHQAZQAgACgAaQBuAGMAbAB1AGQAaQBuAGcAIABhAG4AaQBtAGEAbAAgAGMAYQByAGMAYQBzAHMAZQBzACwAIABzAHAAbwBpAGwAZQBkACAAYQBuAGkAbQBhAGwAIABmAGUAZQBkACAAbwByACAAYwByAG8AcAApAFwAIgAsACAAMAAuADAAMgA4ACwAIABcACIAXAAiADsAXABuACAAIAAgACAAIAAgACAAIABcACIAQQBuAGEAZQByAG8AYgBpAGMAIABkAGkAZwBlAHMAdABpAG8AbgBcACIALAAgAFwAIgBHAHIAZQBlAG4AIAB3AGEAcwB0AGUAIAAoAGkAbgBjAGwAdQBkAGkAbgBnACAAYwByAG8AcAAgAHIAZQBzAGkAZAB1AGUAcwAgAG8AcgAgAHAAcgB1AG4AaQBuAGcAcwApAFwAIgAsACAAMAAuADAAMgA4ACwAIABcACIAXAAiADsAXABuACAAIAAgACAAIAAgACAAIABcACIAQQBuAGEAZQByAG8AYgBpAGMAIABkAGkAZwBlAHMAdABpAG8AbgBcACIALAAgAFwAIgBXAG8AbwBkAFwAIgAsACAAMAAuADAAMgA4ACwAIABcACIAXAAiADsAXABuACAAIAAgACAAIAAgACAAIABcACIAQQBuAGEAZQByAG8AYgBpAGMAIABkAGkAZwBlAHMAdABpAG8AbgBcACIALAAgAFwAIgBTAGwAdQBkAGcAZQBcACIALAAgADAALgAwADIAOAAsACAAXAAiAFwAIgA7AFwAbgAgACAAIAAgACAAIAAgACAAXAAiAEEAbgBhAGUAcgBvAGIAaQBjACAAZABpAGcAZQBzAHQAaQBvAG4AXAAiACwAIABcACIAUABhAHAAZQByACAAYQBuAGQAIABjAGEAcgBkAGIAbwBhAHIAZABcACIALAAgADAALgAwADIAOAAsACAAXAAiAFwAIgBcAG4AIAAgACAAIAAgACAAfQAsACAAcgAsACAAYwApAFwAbgApACkAKQA7AFwAbgBcAG4AVwBhAHMAdABlAF8ARQBtAGkAcwBzAGkAbwBuAEYAYQBjAHQAbwByAHMARgBvAHIAVwBhAHMAdABlAFQAcgBlAGEAdABtAGUAbgB0AF8AVgBhAHIAaQBhAHQAaQBvAG4AXABuAD0ATABBAE0AQgBEAEEAKABcAG4AIAAgAE0AQQBLAEUAQQBSAFIAQQBZACgANwAsACAAMQAsAFwAbgAgACAAIAAgAEwAQQBNAEIARABBACgAcgAsAGMALABcAG4AIAAgACAAIAAgACAASQBOAEQARQBYACgAewBcAG4AIAAgACAAIAAgACAAIAAgAFwAIgBWAEEAUgBJAEEAVABJAE8ATgAgAE8ATgAgAFMATwBVAFIAQwBFADoAXAAiADsAXABuACAAIAAgACAAIAAgACAAIABcACIARgBpAHgAZQBkACAAdAB5AHAAbwAgAFwAdQAwADAAMgA3AHAAYQBwAGUAcgAgAGEAbgBkACAAYwBhAHIAYgBvAGEAcgBkAFwAdQAwADAAMgA3ACAAdABvACAAXAB1ADAAMAAyADcAcABhAHAAZQByACAAYQBuAGQAIABjAGEAcgBkAGIAbwBhAHIAZABcAHUAMAAwADIANwBcACIAOwBcAG4AIAAgACAAIAAgACAAIAAgAFwAIgBGAGkAeABlAGQAIAB0AHkAcABvACAAXAB1ADAAMAAyADcAcAByAHUAbgBuAGkAbgBnAHMAXAB1ADAAMAAyADcAIAB0AG8AIABcAHUAMAAwADIANwBwAHIAdQBuAGkAbgBnAHMAXAB1ADAAMAAyADcAXAAiADsAXABuACAAIAAgACAAIAAgACAAIABcACIAQQBkAGQAZQBkACAARQBGACAAcwBvAHUAcgBjAGUAIABjAG8AbAB1AG0AbgAgAHcAaQB0AGgAIABzAHAAZQBjAGkAZgBpAGMAIAByAGUAZgBlAHIAZQBuAGMAZQBzAFwAIgA7AFwAbgAgACAAIAAgACAAIAAgACAAXAAiAEEAZABkAGUAZAAgAHMAdQBiAC0AYwBhAHQAZQBnAG8AcgBpAGUAcwAgAGYAbwByACAAXAB1ADAAMAAyADcASQBuAGMAaQBuAGUAcgBhAHQAaQBvAG4AOgAgAEYAbwBvAGQAIAB3AGEAcwB0AGUALAAgAGcAcgBlAGUAbgAgAHcAYQBzAHQAZQAsACAAdwBvAG8AZAAsACAAcwBsAHUAZABnAGUAXAB1ADAAMAAyADcAIABpAG4AIABvAHIAZABlAHIAIAB0AG8AIAB1AHMAZQAgAHYAbwBsAHUAbQBlACAAdABvACAAbQBhAHMAcwAgAGMAbwBuAHYAZQByAHMAaQBvAG4AIABmAGEAYwB0AG8AcgAgAHYAYQBsAHUAZQBzAFwAIgA7AFwAbgAgACAAIAAgACAAIAAgACAAXAAiAEEAZABkAGUAZAAgAHMAdQBiAC0AYwBhAHQAZQBnAG8AcgBpAGUAcwAgAGYAbwByACAAXAB1ADAAMAAyADcAQwBvAG0AcABvAHMAdABpAG4AZwA6ACAAQQBsAGwAIABvAHIAZwBhAG4AaQBjACAAdwBhAHMAdA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EAbgBhAGUAcgBvAGIAaQBjACAAZABpAGcAZQBzAHQAaQBvAG4AOgAgAEEAbABsACAAbwByAGcAYQBuAGkAYwAgAHcAYQBzAHQAZQBcAHUAMAAwADIANwAgAGkAbgAgAG8AcgBkAGUAcgAgAHQAbwAgAHUAcwBlACAAdgBvAGwAdQBtAGUAIAB0AG8AIABtAGEAcwBzACAAYwBvAG4AdgBlAHIAcwBpAG8AbgAgAGYAYQBjAHQAbwByACAAdgBhAGwAdQBlAHM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UAGEAYgBsAGUAIABBAC4ANAAuADEALgAyADoAIABWAG8AbAB1AG0AZQAgAHQAbwAgAG0AYQBzAHMAIABjAG8AbgB2AGUAcgBzAGkAbwBuACAAZgBhAGMAdABvAHIAIABmAG8AcgAgAHYAYQByAGkAbwB1AHMAIAB3AGEAcwB0AGUAIAB0AHkAcABlAHMAIAAoAHQALwBtADMAKQAgACgAVgBUAE0AdwApAFwAbgA9AD0APQA9AD0APQA9AD0APQA9AD0APQA9AD0APQA9AD0APQA9AD0APQA9AD0APQA9AD0APQA9AD0APQA9AD0APQA9AD0APQA9AD0APQA9AD0APQA9AD0APQA9AD0APQA9AD0APQA9AD0APQA9AD0APQA9AD0APQA9AD0APQA9AD0APQA9AD0APQA9AD0APQA9AD0APQA9AFwAbgAqAC8AXABuAFwAbgBXAGEAcwB0AGUAXwBXAGEAcwB0AGUAVgBvAGwAdQBtAGUAVABvAE0AYQBzAHMAQwBvAG4AdgBlAHIAcwBpAG8AbgBfAFQAaQB0AGwAZQBcAG4APQBMAEEATQBCAEQAQQAoACgAXAAiAFYAbwBsAHUAbQBlACAAdABvACAAbQBhAHMAcwAgAGMAbwBuAHYAZQByAHMAaQBvAG4AIABmAGEAYwB0AG8AcgAgAGYAbwByACAAdgBhAHIAaQBvAHUAcwAgAHcAYQBzAHQAZQAgAHQAeQBwAGUAcwBcACIAKQApADsAXABuAFwAbgBXAGEAcwB0AGUAXwBXAGEAcwB0AGUAVgBvAGwAdQBtAGUAVABvAE0AYQBzAHMAQwBvAG4AdgBlAHIAcwBpAG8AbgBfAFYAYQByAGkAYQBiAGwAZQBcAG4APQBMAEEATQBCAEQAQQAoACgAXAAiAFYAVABNAHcAXAAiACkAKQA7AFwAbgBcAG4AVwBhAHMAdABlAF8AVwBhAHMAdABlAFYAbwBsAHUAbQBlAFQAbwBNAGEAcwBzAEMAbwBuAHYAZQByAHMAaQBvAG4AXwBVAG4AaQB0AFwAbgA9AEwAQQBNAEIARABBACgAKABcACIAdAAvAG0AMwBcACIAKQApADsAXABuAFwAbgBXAGEAcwB0AGUAXwBXAGEAcwB0AGUAVgBvAGwAdQBtAGUAVABvAE0AYQBzAHMAQwBvAG4AdgBlAHIAcwBpAG8AbgBfAFMAbwB1AHIAYwBlAFwAbgA9AEwAQQBNAEIARABBACgAKABcACIAVgBFAEUAUgBHACAAMgAwADIANgA6ACAAVABhAGIAbABlACAAQQAuADQALgAxAC4AMgBcACIAKQApADsAXABuAFwAbgBXAGEAcwB0AGUAXwBXAGEAcwB0AGUAVgBvAGwAdQBtAGUAVABvAE0AYQBzAHMAQwBvAG4AdgBlAHIAcwBpAG8AbgBfAEQAYQB0AGEAXABuAD0ATABBAE0AQgBEAEEAKABcAG4AIAAgAE0AQQBLAEUAQQBSAFIAQQBZACgAMQAyACwAIAAyACwAXABuACAAIAAgACAATABBAE0AQgBEAEEAKAByACwAYwAsAFwAbgAgACAAIAAgACAAIABJAE4ARABFAFgAKAB7AFwAbgAgACAAIAAgACAAIAAgACAAXAAiAFcAYQBzAHQAZQAgAHQAeQBwAGUAIAB3AFwAIgAsACAAXAAiAFYAVABNAHcAXAAiADsAXABuACAAIAAgACAAIAAgACAAIABcACIARgBvAG8AZAAgAHcAYQBzAHQAZQAgACgAaQBuAGMAbAB1AGQAaQBuAGcAIABhAG4AaQBtAGEAbAAgAGMAYQByAGMAYQBzAHMAZQBzACwAIABzAHAAbwBpAGwAZQBkACAAYQBuAGkAbQBhAGwAIABmAGUAZQBkACAAbwByACAAYwByAG8AcAApAFwAIgAsACAAMAAuADUAMAA7AFwAbgAgACAAIAAgACAAIAAgACAAXAAiAFAAYQBwAGUAcgAgAGEAbgBkACAAYwBhAHIAZABiAG8AYQByAGQAXAAiACwAIAAwAC4AMAA5ADsAXABuACAAIAAgACAAIAAgACAAIABcACIARwByAGUAZQBuACAAdwBhAHMAdABlACAAKABpAG4AYwBsAHUAZABpAG4AZwAgAGMAcgBvAHAAIAByAGUAcwBpAGQAdQBlAHMAIABvAHIAIABwAHIAdQBuAGkAbgBnAHMAKQBcACIALAAgADAALgAyADQAOwBcAG4AIAAgACAAIAAgACAAIAAgAFwAIgBXAG8AbwBkAFwAIgAsACAAMAAuADEANQA7AFwAbgAgACAAIAAgACAAIAAgACAAXAAiAFQAZQB4AHQAaQBsAGUAcwBcACIALAAgADAALgAxADQAOwBcAG4AIAAgACAAIAAgACAAIAAgAFwAIgBTAGwAdQBkAGcAZQBcACIALAAgADAALgA3ADIAOwBcAG4AIAAgACAAIAAgACAAIAAgAFwAIgBSAHUAYgBiAGUAcgAgAGEAbgBkACAAbABlAGEAdABoAGUAcgBcACIALAAgADAALgAxADQAOwBcAG4AIAAgACAAIAAgACAAIAAgAFwAIgBJAG4AZQByAHQAIAB3AGEAcwB0AGUAIAAoAGkAbgBjAGwAdQBkAGkAbgBnACAAYwBvAG4AYwByAGUAdABlACwAIABtAGUAdABhAGwALAAgAHAAbABhAHMAdABpAGMAIABvAHIAIABnAGwAYQBzAHMAKQBcACIALAAgADAALgA0ADIAOwBcAG4AIAAgACAAIAAgACAAIAAgAFwAIgBNAHUAbgBpAGMAaQBwAGEAbAAgAHMAbwBsAGkAZAAgAHcAYQBzAHQAZQBcACIALAAgADAALgAzADYAOwBcAG4AIAAgACAAIAAgACAAIAAgAFwAIgBDAG8AbQBtAGUAcgBjAGkAYQBsACAAYQBuAGQAIABpAG4AZAB1AHMAdAByAGkAYQBsACAAdwBhAHMAdABlAFwAIgAsACAAMAAuADMAMwA7AFwAbgAgACAAIAAgACAAIAAgACAAXAAiAEMAbwBuAHMAdAByAHUAYwB0AGkAbwBuACAAYQBuAGQAIABkAGUAbQBvAGwAaQB0AGkAbwBuACAAdwBhAHMAdABlAFwAIgAsACAAMAAuADMAOQBcAG4AIAAgACAAIAAgACAAfQAsACAAcgAsACAAYwApAFwAbgApACkAKQA7AFwAbgBcAG4AVwBhAHMAdABlAF8AVwBhAHMAdABlAFYAbwBsAHUAbQBlAFQAbwBNAGEAcwBzAEMAbwBuAHYAZQByAHMAaQBvAG4AXwBWAGEAcgBpAGEAdABpAG8AbgBcAG4APQBMAEEATQBCAEQAQQAoACgAXAAiAFYAQQBSAEkAQQBUAEkATwBOACAATwBGACAAUwBPAFUAUgBDAEUAOgAgAEMAaABhAG4AZwBlAGQAIABjAG8AbAB1AG0AbgAgAGgAZQBhAGQAZQByACAAQwBGAHcAIAB0AG8AIABWAFQATQB3ACAAdABvACAAbQBhAHQAYwBoACAAdABpAHQAbABlACAAdgBhAHIAaQBhAGIAbABlAC4AXAAiACkAKQA7AFwAbgBcAG4AXABuACIAfQAsAHsAIgBwAGEAdABoACIAOgAiAC8AcAByAG8AagBlAGMAdABzAC8AQQBnAFIAZQBzAGkAZAB1AGUAXwBFAHEAdQBhAHQAaQBvAG4AcwBfAEMAcgBvAHAAUgBlAHMAaQBkAHUAZQAiACwAIgB0AGUAeAB0ACIAOgAiAC8AKgAgAFwAbgAtAC0ALQAtAC0ALQAtAC0ALQAtAC0ALQAtAC0ALQAtAC0ALQAtAC0ALQAtAC0ALQAtAC0ALQAtAC0ALQAtAC0ALQAtAC0ALQAtAC0AXABuAFYARQBFAFIARwBfADYAXwAxAF8AMQBfADEAXwBfADEAXwBfAE4AaQB0AHIAbwB1AHMATwB4AGkAZABlAEUAbQBpAHMAcwBpAG8AbgBzAEYAcgBvAG0AQwByAG8AcABSAGUAcwBpAGQAdQBlAHMAXABuAE4AaQB0AHIAbwB1AHMAIABvAHgAaQBkAGUAIABlAG0AaQBzAHMAaQBvAG4AcwAgAGYAcgBvAG0AIAB0AGgAZQAgAHIAZQB0AHUAcgBuACAAbwBmACAAYwByAG8AcAAgAHIAZQBzAGkAZAB1AGUAcwAgAGEAYwByAG8AcwBzACAAYQBsAGwAIABjAHIAbwBwAHMAIABjACAAdABvACAAdABoAGUAIABzAG8AaQBsAFwAbgBFAFwAbgB0ACAATgAyAE8AXABuAEUAPQBcAFwAcwB1AG0AXwB7AGMAfQB7AE0AXwB7AGMAfQBcAFwAdABpAG0AZQBzACAARQBGAF8AewBOAH0AXABcAHQAaQBtAGUAcwAgAEMAXwB7AGcALABOADIATwB9AFwAXAB0AGkAbQBlAHMAIAAxADAAXgB7AC0AMwB9AH0AXABuAE0AYwAgAD0AIABtAGEAcwBzACAAbwBmACAAbgBpAHQAcgBvAGcAZQBuACAAaQBuACAAYwByAG8AcAAgAGMAIAByAGUAcwBpAGQAdQBlAHMAIAByAGUAdAB1AHIAbgBlAGQAIAB0AG8AIAB0AGgAZQAgAHMAbwBpAGwAIAAoAGsAZwAgAE4AKQBcAG4ARQBGAE4AaQAgAD0AIABlAG0AaQBzAHMAaQBvAG4AIABmAGEAYwB0AG8AcgAgAGYAbwByACAAYwByAG8AcAAgAHIAZQBzAGkAZAB1AGUAcwAgAHIAZQB0AHUAcgBuAGUAZAAgAHQAbwAgAHQAaABlACAAcwBvAGkAbAAgACgAawBnACAATgAyAE8ALQBOAC8AawBnACAATgApAFwAbgBDAGcATgAyAE8AIAA9ACAAZgBhAGMAdABvAHIAIAB0AG8AIABjAG8AbgB2AGUAcgB0ACAAZQBsAGUAbQBlAG4AdABhAGwAIABtAGEAcwBzACAAbwBmACAAbgBpAHQAcgBvAHUAcwAgAG8AeABpAGQ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xAF8AMQBfADEAXwBfADEAXwBfAE4AaQB0AHIAbwB1AHMATwB4AGkAZABlAEUAbQBpAHMAcwBpAG8AbgBzAEYAcgBvAG0AQwByAG8AcABSAGUAcwBpAGQAdQBlAHMAXABuACAAIAA9AEwAQQBNAEIARABBACgAXABuACAAIAAgACAATQBfAGMALAAgAEUARgBfAE4AaQAsACAAQwBfAE4AMgBPACwAXABuACAAIAAgACAATQBfAGMAIAAqACAARQBGAF8ATgBpACAAKgAgAEMAXwBOADIATwAgACoAIAAxADAAXgAoAC0AMwApAFwAbgAgACAAKQBcAG4AOwBcAG4AXABuAFYARQBFAFIARwBfADYAXwAxAF8AMQBfADEAXwBfADEAXwBfAE4AaQB0AHIAbwB1AHMATwB4AGkAZABlAEUAbQBpAHMAcwBpAG8AbgBzAEYAcgBvAG0AQwByAG8AcABSAGUAcwBpAGQAdQBlAHMAXwBGAHUAbgBjAHQAaQBvAG4ATgBhAG0AZQBcAG4AIAAgAD0ATABBAE0AQgBEAEEAKABcACIAVgBFAEUAUgBHAF8ANgBfADEAXwAxAF8AMQBfAF8AMQBfAF8ATgBpAHQAcgBvAHUAcwBPAHgAaQBkAGUARQBtAGkAcwBzAGkAbwBuAHMARgByAG8AbQBDAHIAbwBwAFIAZQBzAGkAZAB1AGUAcwBcACIAKQA7AFwAbgBcAG4AVgBFAEUAUgBHAF8ANgBfADEAXwAxAF8AMQBfAF8AMQBfAF8ATgBpAHQAcgBvAHUAcwBPAHgAaQBkAGUARQBtAGkAcwBzAGkAbwBuAHMARgByAG8AbQBDAHIAbwBwAFIAZQBzAGkAZAB1AGUAcwBfAFQAaQB0AGwAZQBcAG4AIAAgAD0ATABBAE0AQgBEAEEAKABcACIATgBpAHQAcgBvAHUAcwAgAG8AeABpAGQAZQAgAGUAbQBpAHMAcwBpAG8AbgBzACAAZgByAG8AbQAgAHQAaABlACAAcgBlAHQAdQByAG4AIABvAGYAIABjAHIAbwBwACAAcgBlAHMAaQBkAHUAZQBzACAAYQBjAHIAbwBzAHMAIABhAGwAbAAgAGMAcgBvAHAAcwAgAGMAIAB0AG8AIAB0AGgAZQAgAHMAbwBpAGwAXAAiACkAOwBcAG4AXABuAFYARQBFAFIARwBfADYAXwAxAF8AMQBfADEAXwBfADEAXwBfAE4AaQB0AHIAbwB1AHMATwB4AGkAZABlAEUAbQBpAHMAcwBpAG8AbgBzAEYAcgBvAG0AQwByAG8AcABSAGUAcwBpAGQAdQBlAHMAXwBWAGEAcgBpAGEAYgBsAGUAXABuACAAIAA9AEwAQQBNAEIARABBACgAXAAiAEUAXAAiACkAOwBcAG4AXABuAFYARQBFAFIARwBfADYAXwAxAF8AMQBfADEAXwBfADEAXwBfAE4AaQB0AHIAbwB1AHMATwB4AGkAZABlAEUAbQBpAHMAcwBpAG8AbgBzAEYAcgBvAG0AQwByAG8AcABSAGUAcwBpAGQAdQBlAHMAXwBVAG4AaQB0AFwAbgAgACAAPQBMAEEATQBCAEQAQQAoAFwAIgB0ACAATgAyAE8AXAAiACkAOwBcAG4AXABuAFYARQBFAFIARwBfADYAXwAxAF8AMQBfADEAXwBfADEAXwBfAE4AaQB0AHIAbwB1AHMATwB4AGkAZABlAEUAbQBpAHMAcwBpAG8AbgBzAEYAcgBvAG0AQwByAG8AcABSAGUAcwBpAGQAdQBlAHMAXwBTAG8AdQByAGMAZQBcAG4AIAAgAD0ATABBAE0AQgBEAEEAKABcACIAVgBFAEUAUgBHACAAMgAwADIANgA6ACAANgAuADEALgAxAC4AMQAsACAARQBxAHUAYQB0AGkAbwBuACAAKAAxACkAXAAiACkAOwBcAG4AXABuAFYARQBFAFIARwBfADYAXwAxAF8AMQBfADEAXwBfADEAXwBfAE4AaQB0AHIAbwB1AHMATwB4AGkAZABlAEUAbQBpAHMAcwBpAG8AbgBzAEYAcgBvAG0AQwByAG8AcABSAGUAcwBpAGQAdQBlAHMAXwBOAEkAUgBSAGUAZgBlAHIAZQBuAGMAZQBcAG4AIAAgAD0ATABBAE0AQgBEAEEAKABcACIAXAAiACkAOwBcAG4AXABuAFYARQBFAFIARwBfADYAXwAxAF8AMQBfADEAXwBfADEAXwBfAE4AaQB0AHIAbwB1AHMATwB4AGkAZABlAEUAbQBpAHMAcwBpAG8AbgBzAEYAcgBvAG0AQwByAG8AcABSAGUAcwBpAGQAdQBlAHMAXwBMAGEAdABlAHgARQBxAHUAYQB0AGkAbwBuAFwAbgAgACAAPQBMAEEATQBCAEQAQQAoAFwAIgBFAD0AXABcAHMAdQBtAFwAXABuAG8AbABpAG0AaQB0AHMAXwBjAFwAXABsAGUAZgB0ACgATQBfAHsAYwB9AFwAXAB0AGkAbQBlAHMAIABFAEYAXwB7AE4AfQBcAFwAcgBpAGcAaAB0ACkAXABcAHQAaQBtAGUAcwAgAEMAXwB7AGcALABOADIATwB9AFwAXAB0AGkAbQBlAHMAIAAxADAAXgB7AC0AMwB9AFwAIgApADsAXABuAFwAbgBWAEUARQBSAEcAXwA2AF8AMQBfADEAXwAxAF8AXwAxAF8AXwBOAGkAdAByAG8AdQBzAE8AeABpAGQAZQBFAG0AaQBzAHMAaQBvAG4AcwBGAHIAbwBtAEMAcgBvAHAAUgBlAHMAaQBkAHUAZQBzAF8AQQByAGcAdQBtAGUAbgB0AHMAXABuACAAIAA9AEwAQQBNAEIARABBACgAXABuACAAIAAgACAATQBBAEsARQBBAFIAUgBBAFkAKAA1ACwAIAA0ACwAIABcAG4AIAAgACAAIAAgACAATABBAE0AQgBEAEEAKAByACwAYwAsACAAXABuACAAIAAgACAAIAAgACAAIABJAE4ARABFAFgAKAB7AFwAbgAgACAAIAAgACAAIAAgACAAIAAgAFwAIgBNAF8AYwBcACIALABcACIAbQBhAHMAcwAgAG8AZgAgAG4AaQB0AHIAbwBnAGUAbgAgAGkAbgAgAGMAcgBvAHAAIABjACAAcgBlAHMAaQBkAHUAZQBzACAAcgBlAHQAdQByAG4AZQBkACAAdABvACAAdABoAGUAIABzAG8AaQBsAFwAIgAsACAAXAAiAGsAZwAgAE4AXAAiACwAIABcACIAQwBhAGwAYwB1AGwAYQB0AGUAZAAgAGYAcgBvAG0AIAA2AC4AMQAuADEALgAxACAAKAAyACkAXAAiADsAXABuACAAIAAgACAAIAAgACAAIAAgACAAXAAiAEUARgBfAE4AaQBcACIALABcACIAZQBtAGkAcwBzAGkAbwBuACAAZgBhAGMAdABvAHIAIABmAG8AcgAgAGMAcgBvAHAAIAByAGUAcwBpAGQAdQBlAHMAIAByAGUAdAB1AHIAbgBlAGQAIAB0AG8AIAB0AGgAZQAgAHMAbwBpAGw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EAXwAxAF8AMQBfAF8AMgBfAF8ATQBhAHMAcwBPAGYATgBpAHQAcgBvAGcAZQBuAEkAbgBDAHIAbwBwAFIAZQBzAGkAZAB1AGUAcwBcAG4ATQBhAHMAcwAgAG8AZgAgAG4AaQB0AHIAbwBnAGUAbgAgAGkAbgAgAGMAcgBvAHAAIAByAGUAcwBpAGQAdQBlAHMAIAByAGUAdAB1AHIAbgBlAGQAIAB0AG8AIAB0AGgAZQAgAHMAbwBpAGwAXABuAE0AYwBcAG4AawBnACAATgBcAG4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G4AUABjACAAPQAgAGEAbgBuAHUAYQBsACAAcAByAG8AZAB1AGMAdABpAG8AbgAgAG8AZgAgAGMAcgBvAHAAIABjACAAKABrAGcAKQBcAG4AUgBBAEcAYwAgAD0AIAByAGUAcwBpAGQAdQBlACAAdABvACAAYwByAG8AcAAgAHIAYQB0AGkAbwAgAGYAbwByACAAYwByAG8AcAAgAGMAIAAoAGQAaQBtAGUAbgBzAGkAbwBuAGwAZQBzAHMAKQBcAG4AUgBCAEcAYwAgAD0AIABiAGUAbABvAHcAIABnAHIAbwB1AG4AZAAtAHIAZQBzAGkAZAB1AGUAIAB0AG8AIABhAGIAbwB2AGUAIABnAHIAbwB1AG4AZAAgAHIAZQBzAGkAZAB1AGUAIAByAGEAdABpAG8AIABmAG8AcgAgAGMAcgBvAHAAIABjACAAKABkAGkAbQBlAG4AcwBpAG8AbgBsAGUAcwBzACkAXABuAEYAYwAgAD0AIABmAHIAYQBjAHQAaQBvAG4AIABvAGYAIABjAHIAbwBwACAAcgBlAHMAaQBkAHUAZQAgAHQAaABhAHQAIABpAHMAIABiAHUAcgBuAHQAIABmAG8AcgAgAGMAcgBvAHAAIABjACAAKABkAGkAbQBlAG4AcwBpAG8AbgBsAGUAcwBzACkAXABuAEYARgBPAEQAYwAgAD0AIABmAHIAYQBjAHQAaQBvAG4AIABvAGYAIAB0AGgAZQAgAGMAcgBvAHAAIAByAGUAcwBpAGQAdQBlACAAdABoAGEAdAAgAGkAcwAgAHIAZQBtAG8AdgBlAGQAIABmAG8AcgAgAGMAcgBvAHAAIABjACAAKABkAGkAbQBlAG4AcwBpAG8AbgBsAGUAcwBzACkAXABuAEQATQBjACAAPQAgAGQAcgB5ACAAbQBhAHQAdABlAHIAIABjAG8AbgB0AGUAbgB0ACAAbwBmACAAYwByAG8AcAAgAGMAIAAoAGsAZwAgAGQAcgB5ACAAdwBlAGkAZwBoAHQALwBrAGcAIABjAHIAbwBwACAAcgBlAHMAaQBkAHUAZQApAFwAbgBOAEMAQQBHAGMAIAA9ACAAbgBpAHQAcgBvAGcAZQBuACAAYwBvAG4AdABlAG4AdAAgAG8AZgAgAGEAYgBvAHYAZQAtAGcAcgBvAHUAbgBkACAAYwByAG8AcAAgAHIAZQBzAGkAZAB1AGUAIABvAGYAIABjAHIAbwBwACAAYwAgACgAawBnACAATgAvAGsAZwAgAEQATQApAFwAbgBOAEMAQgBHAGMAIAA9ACAAbgBpAHQAcgBvAGcAZQBuACAAYwBvAG4AdABlAG4AdAAgAG8AZgAgAGIAZQBsAG8AdwAtAGcAcgBvAHUAbgBkACAAYwByAG8AcAAgAHIAZQBzAGkAZAB1AGUAIABvAGYAIABjAHIAbwBwACAAYwAgACgAawBnACAATgAvAGsAZwAgAEQATQApAFwAbgBjACAAPQAgAEMAcgBvAHAAIAB0AHkAcABlAFwAbgAtAC0ALQAtAC0ALQAtAC0ALQAtAC0ALQAtAC0ALQAtAC0ALQAtAC0ALQAtAC0ALQAtAC0ALQAtAC0ALQAtAC0ALQAtAC0ALQAtAC0AXABuACoALwBcAG4AXABuAFYARQBFAFIARwBfADYAXwAxAF8AMQBfADEAXwBfADIAXwBfAE0AYQBzAHMATwBmAE4AaQB0AHIAbwBnAGUAbgBJAG4AQwByAG8AcABSAGUAcwBpAGQAdQBlAHMAXABuACAAIAA9AEwAQQBNAEIARABBACgAXABuACAAIAAgACAAUABfAGMALAAgAFIAXwBBAEcAYwAsACAARgBfAGMALAAgAEYARgBPAEQAXwBjACwAIABEAE0AXwBjACwAIABOAEMAXwBBAEcAYwAsACAAUgBfAEIARwBjACwAIABOAEMAXwBCAEcAYwAsAFwAbgAgACAAIAAgACgAUABfAGMAIAAqACAAUgBfAEEARwBjACAAKgAgACgAMQAgAC0AIABGAF8AYwAgAC0AIABGAEYATwBEAF8AYwApACAAKgAgAEQATQBfAGMAIAAqACAATgBDAF8AQQBHAGMAKQAgACsAIAAoAFAAXwBjACAAKgAgAFIAXwBBAEcAYwAgACoAIABSAF8AQgBHAGMAIAAqACAARABNAF8AYwAgACoAIABOAEMAXwBCAEcAYwApAFwAbgAgACAAKQBcAG4AOwBcAG4AXABuAFYARQBFAFIARwBfADYAXwAxAF8AMQBfADEAXwBfADIAXwBfAE0AYQBzAHMATwBmAE4AaQB0AHIAbwBnAGUAbgBJAG4AQwByAG8AcABSAGUAcwBpAGQAdQBlAHMAXwBUAGkAdABsAGUAXABuACAAIAA9AEwAQQBNAEIARABBACgAXAAiAE0AYQBzAHMAIABvAGYAIABuAGkAdAByAG8AZwBlAG4AIABpAG4AIABjAHIAbwBwACAAcgBlAHMAaQBkAHUAZQBzACAAcgBlAHQAdQByAG4AZQBkACAAdABvACAAdABoAGUAIABzAG8AaQBsAFwAIgApADsAXABuAFwAbgBWAEUARQBSAEcAXwA2AF8AMQBfADEAXwAxAF8AXwAyAF8AXwBNAGEAcwBzAE8AZgBOAGkAdAByAG8AZwBlAG4ASQBuAEMAcgBvAHAAUgBlAHMAaQBkAHUAZQBzAF8AVgBhAHIAaQBhAGIAbABlAFwAbgAgACAAPQBMAEEATQBCAEQAQQAoAFwAIgBNAF8AYwBcACIAKQA7AFwAbgBcAG4AVgBFAEUAUgBHAF8ANgBfADEAXwAxAF8AMQBfAF8AMgBfAF8ATQBhAHMAcwBPAGYATgBpAHQAcgBvAGcAZQBuAEkAbgBDAHIAbwBwAFIAZQBzAGkAZAB1AGUAcwBfAFUAbgBpAHQAXABuACAAIAA9AEwAQQBNAEIARABBACgAXAAiAGsAZwAgAE4AXAAiACkAOwBcAG4AXABuAFYARQBFAFIARwBfADYAXwAxAF8AMQBfADEAXwBfADIAXwBfAE0AYQBzAHMATwBmAE4AaQB0AHIAbwBnAGUAbgBJAG4AQwByAG8AcABSAGUAcwBpAGQAdQBlAHMAXwBTAG8AdQByAGMAZQBcAG4AIAAgAD0ATABBAE0AQgBEAEEAKABcACIAVgBFAEUAUgBHACAAMgAwADIANgA6ACAANgAuADEALgAxAC4AMQAsACAARQBxAHUAYQB0AGkAbwBuACAAKAAyACkAXAAiACkAOwBcAG4AXABuAFYARQBFAFIARwBfADYAXwAxAF8AMQBfADEAXwBfADIAXwBfAE0AYQBzAHMATwBmAE4AaQB0AHIAbwBnAGUAbgBJAG4AQwByAG8AcABSAGUAcwBpAGQAdQBlAHMAXwBOAEkAUgBSAGUAZgBlAHIAZQBuAGMAZQBcAG4AIAAgAD0ATABBAE0AQgBEAEEAKABcACIAXAAiACkAOwBcAG4AXABuAFYARQBFAFIARwBfADYAXwAxAF8AMQBfADEAXwBfADIAXwBfAE0AYQBzAHMATwBmAE4AaQB0AHIAbwBnAGUAbgBJAG4AQwByAG8AcABSAGUAcwBpAGQAdQBlAHMAXwBMAGEAdABlAHgARQBxAHUAYQB0AGkAbwBuAFwAbgAgACAAPQBMAEEATQBCAEQAQQAoAFwAIgBNAF8AewBjAH0APQAoAFAAXwB7AGMAfQBcAFwAdABpAG0AZQBzACAAUgBfAHsAQQBHAGMAfQBcAFwAdABpAG0AZQBzACgAMQAtAEYAXwB7AGMAfQAtAEYARgBPAEQAXwB7AGMAfQApAFwAXAB0AGkAbQBlAHMAIABEAE0AXwB7AGMAfQBcAFwAdABpAG0AZQBzACAATgBDAF8AewBBAEcAYwB9ACkAKwAoAFAAXwB7AGMAfQBcAFwAdABpAG0AZQBzACAAUgBfAHsAQQBHAGMAfQBcAFwAdABpAG0AZQBzACAAUgBfAHsAQgBHAGMAfQBcAFwAdABpAG0AZQBzACAARABNAF8AewBjAH0AXABcAHQAaQBtAGUAcwAgAE4AQwBfAHsAQgBHAGMAfQApAFwAIgApADsAXABuAFwAbgBWAEUARQBSAEcAXwA2AF8AMQBfADEAXwAxAF8AXwAyAF8AXwBNAGEAcwBzAE8AZgBOAGkAdAByAG8AZwBlAG4ASQBuAEMAcgBvAHAAUgBlAHMAaQBkAHUAZQBzAF8AQQByAGcAdQBtAGUAbgB0AHM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8AbgBzAHQAYQBuAHQAXAAiADsAXABuACAAIAAgACAAIAAgACAAIAAgACAAXAAiAEQATQBfAGMAXAAiACwAXAAiAGQAcgB5ACAAbQBhAHQAdABlAHIAIABjAG8AbgB0AGUAbgB0ACAAbwBmACAAYwByAG8AcAAgAGMAXAAiACwAIABcACIAawBnACAAZAByAHkAIAB3AGUAaQBnAGgAdAAvAGsAZwAgAGMAcgBvAHAAIAByAGUAcwBpAGQAdQBlAFwAIgAsACAAXAAiAEMAbwBuAHMAdABhAG4AdABcACIAOwBcAG4AIAAgACAAIAAgACAAIAAgACAAIABcACIATgBDAF8AQQBHAGMAXAAiACwAXAAiAG4AaQB0AHIAbwBnAGUAbgAgAGMAbwBuAHQAZQBuAHQAIABvAGYAIABhAGIAbwB2AGUALQBnAHIAbwB1AG4AZAAgAGMAcgBvAHAAIAByAGUAcwBpAGQAdQBlACAAbwBmACAAYwByAG8AcAAgAGMAXAAiACwAIABcACIAawBnACAATgAvAGsAZwAgAEQATQBcACIALAAgAFwAIgBDAG8AbgBzAHQAYQBuAHQAXAAiADsAXABuACAAIAAgACAAIAAgACAAIAAgACAAXAAiAE4AQwBfAEIARwBjAFwAIgAsAFwAIgBuAGkAdAByAG8AZwBlAG4AIABjAG8AbgB0AGUAbgB0ACAAbwBmACAAYgBlAGwAbwB3AC0AZwByAG8AdQBuAGQAIABjAHIAbwBwACAAcgBlAHMAaQBkAHUAZQAgAG8AZgAgAGMAcgBvAHAAIABjAFwAIgAsACAAXAAiAGsAZwAgAE4ALwBrAGcAIABEAE0AXAAiACwAIABcACIAQwBvAG4AcwB0AGEAbgB0AFwAIgA7AFwAbgAgACAAIAAgACAAIAAgACAAIAAgAFwAIgBjAFwAIgAsAFwAIgBDAHIAbwBwACAAdAB5AHAAZQBcACIALAAgAFwAIgBcACIALAAgAFwAIgBJAG4AcAB1AHQAXAAiADsAXABuACAAIAAgACAAIAAgACAAIAAgACAAXAAiAFMAdABhAHQAZQBcACIALABcACIAUwB0AGEAdABlACAAbwByACAAdABlAHIAcgBpAHQAbwByAHkAXAAiACwAIABcACIAXAAiACwAIABcACIASQBuAHAAdQB0AFwAIgBcAG4AIAAgACAAIAAgACAAIAAgAH0ALAAgAHIALAAgAGMAKQBcAG4AIAAgACAAIAAgACAAKQBcAG4AIAAgACAAIAApAFwAbgAgACAAKQA7AFwAbgBcAG4AVgBFAEUAUgBHAF8ANgBfADEAXwAxAF8AMQBfAF8AMgBfAF8ATQBhAHMAcwBPAGYATgBpAHQAcgBvAGcAZQBuAEkAbgBDAHIAbwBwAFIAZQBzAGkAZAB1AGUAcwBfAEEAcgBnAHUAbQBlAG4AdABzAF8ATQBlAHQAaABvAGQAMgBcAG4AIAAgAD0ATABBAE0AQgBEAEEAKABcAG4AIAAgACAAIABNAEEASwBFAEEAUgBSAEEAWQAoADEAMAAsACAANAAsACAAXABuACAAIAAgACAAIAAgAEwAQQBNAEIARABBACgAcgAsAGMALAAgAFwAbgAgACAAIAAgACAAIAAgACAASQBOAEQARQBYACgAe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UgBfAEIARwBjAFwAIgAsAFwAIgBiAGUAbABvAHcAIABnAHIAbwB1AG4AZAAtAHIAZQBzAGkAZAB1AGUAIAB0AG8AIABhAGIAbwB2AGUAIABnAHIAbwB1AG4AZAAgAHIAZQBzAGkAZAB1AGUAIAByAGEAdABpAG8AIABmAG8AcgAgAGMAcgBvAHAAIABjAFwAIgAsACAAXAAiAFwAIgAsACAAXAAiAEMAbwBuAHMAdABhAG4AdABcACIAOwBcAG4AIAAgACAAIAAgACAAIAAgACAAIABcACIARgBfAGMAXAAiACwAXAAiAGYAcgBhAGMAdABpAG8AbgAgAG8AZgAgAGMAcgBvAHAAIAByAGUAcwBpAGQAdQBlACAAdABoAGEAdAAgAGkAcwAgAGIAdQByAG4AdAAgAGYAbwByACAAYwByAG8AcAAgAGMAXAAiACwAIABcACIAZgByAGEAYwB0AGkAbwBuAFwAIgAsACAAXAAiAEkAbgBwAHUAdABcACIAOwBcAG4AIAAgACAAIAAgACAAIAAgACAAIABcACIARgBGAE8ARABfAGMAXAAiACwAXAAiAGYAcgBhAGMAdABpAG8AbgAgAG8AZgAgAHQAaABlACAAYwByAG8AcAAgAHIAZQBzAGkAZAB1AGUAIAB0AGgAYQB0ACAAaQBzACAAcgBlAG0AbwB2AGUAZAAgAGYAbwByACAAYwByAG8AcAAgAGMAXAAiACwAIABcACIAZgByAGEAYwB0AGkAbwBuAFwAIgAsACAAXAAiAEMAYQBsAGMAdQBsAGEAdABlAGQAIABmAHIAbwBtACAANgAuADEALgAxAC4AMgAgACgAMQAp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IAXwBfADEAXwBfAEYAcgBhAGMAdABpAG8AbgBPAGYAQwByAG8AcABSAGUAcwBpAGQAdQBlAFIAZQBtAG8AdgBlAGQAQgBhAGwAZQBkAFwAbgBGAHIAYQBjAHQAaQBvAG4AIABvAGYAIABjAHIAbwBwACAAcgBlAHMAaQBkAHUAZQAgAHQAaABhAHQAIABpAHMAIAByAGUAbQBvAHYAZQBkACAAZgBvAHIAIABjAHIAbwBwACAAYwAsACAAYwBhAGwAYwB1AGwAYQB0AGUAZAAgAHcAaABlAHIAZQAgAHIAZQBzAGkAZAB1AGUAcwAgAGEAcgBlACAAYgBhAGwAZQBkAFwAbgBGAEYATwBEAGMAXABuAGQAaQBtAGUAbgBzAGkAbwBuAGwAZQBzAHMAXABuAEYARgBPAEQAXwB7AGMAfQA9AFwAXABmAHIAYQBjAHsAQgBcAFwAdABpAG0AZQBzACAATQBfAHsAQgB9AH0AewBQAF8AewBjAH0AXABcAHQAaQBtAGUAcwAgAFIAXwB7AEEARwAsAGMAfQB9AFwAbgBCACAAPQAgAG4AdQBtAGIAZQByACAAbwBmACAAYgBhAGwAZQBzACAAZwBlAG4AZQByAGEAdABlAGQAIAAoAG4AdQBtAGIAZQByACkAXABuAE0AQgAgAD0AIABtAGEAcwBzACAAbwBmACAAZQBhAGMAaAAgAGIAYQBsAGUAIAAoAGsAZwApAFwAbgBQAGMAIAA9ACAAYQBuAG4AdQBhAGwAIABwAHIAbwBkAHUAYwB0AGkAbwBuACAAbwBmACAAYwByAG8AcAAgAGMAIAAoAGsAZwApAFwAbgBSAEEARwBjACAAPQAgAHIAZQBzAGkAZAB1AGUAIAB0AG8AIABjAHIAbwBwACAAcgBhAHQAaQBvACAAZgBvAHIAIABjAHIAbwBwACAAYwAgACgAZgByAGEAYwB0AGkAbwBuACkAXABuAGMAIAA9ACAAQwByAG8AcAAgAHQAeQBwAGUAXABuAC0ALQAtAC0ALQAtAC0ALQAtAC0ALQAtAC0ALQAtAC0ALQAtAC0ALQAtAC0ALQAtAC0ALQAtAC0ALQAtAC0ALQAtAC0ALQAtAC0ALQBcAG4AKgAvAFwAbgBcAG4AVgBFAEUAUgBHAF8ANgBfADEAXwAxAF8AMgBfAF8AMQBfAF8ARgByAGEAYwB0AGkAbwBuAE8AZgBDAHIAbwBwAFIAZQBzAGkAZAB1AGUAUgBlAG0AbwB2AGUAZABCAGEAbABlAGQAXABuACAAIAA9AEwAQQBNAEIARABBACgAXABuACAAIAAgACAAQgAsACAATQBfAEIALAAgAFAAXwBjACwAIABSAF8AQQBHAGMALABcAG4AIAAgACAAIABJAEYARQBSAFIATwBSACgAKABCACAAKgAgAE0AXwBCACkAIAAvACAAKABQAF8AYwAgACoAIABSAF8AQQBHAGMAKQAsACAAMAApAFwAbgAgACAAKQBcAG4AOwBcAG4AXABuAFYARQBFAFIARwBfADYAXwAxAF8AMQBfADIAXwBfADEAXwBfAEYAcgBhAGMAdABpAG8AbgBPAGYAQwByAG8AcABSAGUAcwBpAGQAdQBlAFIAZQBtAG8AdgBlAGQAQgBhAGwAZQBkAF8AVABpAHQAbABlAFwAbgAgACAAPQBMAEEATQBCAEQAQQAoAFwAIgBGAHIAYQBjAHQAaQBvAG4AIABvAGYAIABjAHIAbwBwACAAcgBlAHMAaQBkAHUAZQAgAHQAaABhAHQAIABpAHMAIAByAGUAbQBvAHYAZQBkACAAZgBvAHIAIABjAHIAbwBwACAAYwAsACAAYwBhAGwAYwB1AGwAYQB0AGUAZAAgAHcAaABlAHIAZQAgAHIAZQBzAGkAZAB1AGUAcwAgAGEAcgBlACAAYgBhAGwAZQBkAFwAIgApADsAXABuAFwAbgBWAEUARQBSAEcAXwA2AF8AMQBfADEAXwAyAF8AXwAxAF8AXwBGAHIAYQBjAHQAaQBvAG4ATwBmAEMAcgBvAHAAUgBlAHMAaQBkAHUAZQBSAGUAbQBvAHYAZQBkAEIAYQBsAGUAZABfAFYAYQByAGkAYQBiAGwAZQBcAG4AIAAgAD0ATABBAE0AQgBEAEEAKABcACIARgBGAE8ARABfAGMAXAAiACkAOwBcAG4AXABuAFYARQBFAFIARwBfADYAXwAxAF8AMQBfADIAXwBfADEAXwBfAEYAcgBhAGMAdABpAG8AbgBPAGYAQwByAG8AcABSAGUAcwBpAGQAdQBlAFIAZQBtAG8AdgBlAGQAQgBhAGwAZQBkAF8AVQBuAGkAdABcAG4AIAAgAD0ATABBAE0AQgBEAEEAKABcACIAZgByAGEAYwB0AGkAbwBuAFwAIgApADsAXABuAFwAbgBWAEUARQBSAEcAXwA2AF8AMQBfADEAXwAyAF8AXwAxAF8AXwBGAHIAYQBjAHQAaQBvAG4ATwBmAEMAcgBvAHAAUgBlAHMAaQBkAHUAZQBSAGUAbQBvAHYAZQBkAEIAYQBsAGUAZABfAFMAbwB1AHIAYwBlAFwAbgAgACAAPQBMAEEATQBCAEQAQQAoAFwAIgBWAEUARQBSAEcAIAAyADAAMgA2ADoAIAA2AC4AMQAuADEALgAyACwAIABFAHEAdQBhAHQAaQBvAG4AIAAoADEAKQBcACIAKQA7AFwAbgBcAG4AVgBFAEUAUgBHAF8ANgBfADEAXwAxAF8AMgBfAF8AMQBfAF8ARgByAGEAYwB0AGkAbwBuAE8AZgBDAHIAbwBwAFIAZQBzAGkAZAB1AGUAUgBlAG0AbwB2AGUAZABCAGEAbABlAGQAXwBOAEkAUgBSAGUAZgBlAHIAZQBuAGMAZQBcAG4AIAAgAD0ATABBAE0AQgBEAEEAKABcACIAXAAiACkAOwBcAG4AXABuAFYARQBFAFIARwBfADYAXwAxAF8AMQBfADIAXwBfADEAXwBfAEYAcgBhAGMAdABpAG8AbgBPAGYAQwByAG8AcABSAGUAcwBpAGQAdQBlAFIAZQBtAG8AdgBlAGQAQgBhAGwAZQBkAF8ATABhAHQAZQB4AEUAcQB1AGEAdABpAG8AbgBcAG4AIAAgAD0ATABBAE0AQgBEAEEAKABcACIARgBGAE8ARABfAHsAYwB9AD0AXABcAGYAcgBhAGMAewBCAFwAXAB0AGkAbQBlAHMAIABNAF8AewBCAH0AfQB7AFAAXwB7AGMAfQBcAFwAdABpAG0AZQBzACAAUgBfAHsAQQBHACwAYwB9AH0AXAAiACkAOwBcAG4AXABuAFYARQBFAFIARwBfADYAXwAxAF8AMQBfADIAXwBfADEAXwBfAEYAcgBhAGMAdABpAG8AbgBPAGYAQwByAG8AcABSAGUAcwBpAGQAdQBlAFIAZQBtAG8AdgBlAGQAQgBhAGwAZQBkAF8AQQByAGcAdQBtAGUAbgB0AHMAXABuACAAIAA9AEwAQQBNAEIARABBACgAXABuACAAIAAgACAATQBBAEsARQBBAFIAUgBBAFkAKAA1ACwAIAA0ACwAIABcAG4AIAAgACAAIAAgACAATABBAE0AQgBEAEEAKAByACwAYwAsACAAXABuACAAIAAgACAAIAAgACAAIABJAE4ARABFAFgAKAB7AFwAbgAgACAAIAAgACAAIAAgACAAIAAgAFwAIgBCAFwAIgAsAFwAIgBuAHUAbQBiAGUAcgAgAG8AZgAgAGIAYQBsAGUAcwAgAGcAZQBuAGUAcgBhAHQAZQBkAFwAIgAsACAAXAAiAFwAIgAsACAAXAAiAEkAbgBwAHUAdABcACIAOwBcAG4AIAAgACAAIAAgACAAIAAgACAAIABcACIATQBfAEIAXAAiACwAXAAiAG0AYQBzAHMAIABvAGYAIABlAGEAYwBoACAAYgBhAGwAZQBcACIALAAgAFwAIgBrAGcAXAAiACwAIABcACIASQBuAHAAdQB0AFwAIgA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BWAEUARQBSAEcAXwA2AF8AMQBfADEAXwAyAF8AXwAxAF8AXwBGAHIAYQBjAHQAaQBvAG4ATwBmAEMAcgBvAHAAUgBlAHMAaQBkAHUAZQBSAGUAbQBvAHYAZQBkAEIAYQBsAGUAZABfAFYAYQByAGkAYQB0AGkAbwBuAFwAbgAgACAAPQBMAEEATQBCAEQAQQAoAFwAIgBcACIAKQA7AFwAbgBcAG4AXABuAFwAbgAvACoAIABcAG4ALQAtAC0ALQAtAC0ALQAtAC0ALQAtAC0ALQAtAC0ALQAtAC0ALQAtAC0ALQAtAC0ALQAtAC0ALQAtAC0ALQAtAC0ALQAtAC0ALQAtAFwAbgBWAEUARQBSAEcAXwA2AF8AMQBfADEAXwAyAF8AXwAxAGEAXwBfAEYAcgBhAGMAdABpAG8AbgBPAGYAQwByAG8AcABSAGUAcwBpAGQAdQBlAFIAZQBtAG8AdgBlAGQAXABuAEYAcgBhAGMAdABpAG8AbgAgAG8AZgAgAGMAcgBvAHAAIAByAGUAcwBpAGQAdQBlACAAdABoAGEAdAAgAGkAcwAgAHIAZQBtAG8AdgBlAGQAIABmAG8AcgAgAGMAcgBvAHAAIABjAFwAbgBGAEYATwBEAGMAXABuAGQAaQBtAGUAbgBzAGkAbwBuAGwAZQBzAHMAXABuAFwAbgAtAC0ALQAtAC0ALQAtAC0ALQAtAC0ALQAtAC0ALQAtAC0ALQAtAC0ALQAtAC0ALQAtAC0ALQAtAC0ALQAtAC0ALQAtAC0ALQAtAC0AXABuACoALwBcAG4AXABuAC8AKgBcAG4AVgBFAEUAUgBHAF8ANgBfADEAXwAxAF8AMgBfAF8AMQBhAF8AXwBGAHIAYQBjAHQAaQBvAG4ATwBmAEMAcgBvAHAAUgBlAHMAaQBkAHUAZQBSAGUAbQBvAHYAZQBkAFwAbgAgACAAPQBMAEEATQBCAEQAQQAoAFwAbgAgACAAIAAgAEYARgBPAEQAXwBjAGIAYQBsAGUAZAAsACAARgBGAE8ARABfAGMAbwB0AGgAZQByACwAXABuACAAIAAgACAARgBGAE8ARABfAGMAYgBhAGwAZQBkACAAKwAgAEYARgBPAEQAXwBjAG8AdABoAGUAcgBcAG4AIAAgACkAXABuADsAXABuAFwAbgBWAEUARQBSAEcAXwA2AF8AMQBfADEAXwAyAF8AXwAxAGEAXwBfAEYAcgBhAGMAdABpAG8AbgBPAGYAQwByAG8AcABSAGUAcwBpAGQAdQBlAFIAZQBtAG8AdgBlAGQAXwBUAGkAdABsAGUAXABuACAAIAA9AEwAQQBNAEIARABBACgAXAAiAEYAcgBhAGMAdABpAG8AbgAgAG8AZgAgAGMAcgBvAHAAIAByAGUAcwBpAGQAdQBlACAAdABoAGEAdAAgAGkAcwAgAHIAZQBtAG8AdgBlAGQAIABmAG8AcgAgAGMAcgBvAHAAIABjAFwAIgApADsAXABuAFwAbgBWAEUARQBSAEcAXwA2AF8AMQBfADEAXwAyAF8AXwAxAGEAXwBfAEYAcgBhAGMAdABpAG8AbgBPAGYAQwByAG8AcABSAGUAcwBpAGQAdQBlAFIAZQBtAG8AdgBlAGQAXwBWAGEAcgBpAGEAYgBsAGUAXABuACAAIAA9AEwAQQBNAEIARABBACgAXAAiAEYARgBPAEQAXwBjAFwAIgApADsAXABuAFwAbgBWAEUARQBSAEcAXwA2AF8AMQBfADEAXwAyAF8AXwAxAGEAXwBfAEYAcgBhAGMAdABpAG8AbgBPAGYAQwByAG8AcABSAGUAcwBpAGQAdQBlAFIAZQBtAG8AdgBlAGQAXwBVAG4AaQB0AFwAbgAgACAAPQBMAEEATQBCAEQAQQAoAFwAIgBkAGkAbQBlAG4AcwBpAG8AbgBsAGUAcwBzAFwAIgApADsAXABuAFwAbgBWAEUARQBSAEcAXwA2AF8AMQBfADEAXwAyAF8AXwAxAGEAXwBfAEYAcgBhAGMAdABpAG8AbgBPAGYAQwByAG8AcABSAGUAcwBpAGQAdQBlAFIAZQBtAG8AdgBlAGQAXwBTAG8AdQByAGMAZQBcAG4AIAAgAD0ATABBAE0AQgBEAEEAKABcACIAXAAiACkAOwBcAG4AXABuAFYARQBFAFIARwBfADYAXwAxAF8AMQBfADIAXwBfADEAYQBfAF8ARgByAGEAYwB0AGkAbwBuAE8AZgBDAHIAbwBwAFIAZQBzAGkAZAB1AGUAUgBlAG0AbwB2AGUAZABfAE4ASQBSAFIAZQBmAGUAcgBlAG4AYwBlAFwAbgAgACAAPQBMAEEATQBCAEQAQQAoAFwAIgBcACIAKQA7AFwAbgBcAG4AVgBFAEUAUgBHAF8ANgBfADEAXwAxAF8AMgBfAF8AMQBhAF8AXwBGAHIAYQBjAHQAaQBvAG4ATwBmAEMAcgBvAHAAUgBlAHMAaQBkAHUAZQBSAGUAbQBvAHYAZQBkAF8ATABhAHQAZQB4AEUAcQB1AGEAdABpAG8AbgBcAG4AIAAgAD0ATABBAE0AQgBEAEEAKABcACIARgBGAE8ARABfAHsAYwB9ACAAPQAgAEYARgBPAEQAXwB7AGMALABiAGEAbABlAGQAfQAgACsAIABGAEYATwBEAF8AewBjACwAbwB0AGgAZQByAH0AXAAiACkAOwBcAG4AXABuAFYARQBFAFIARwBfADYAXwAxAF8AMQBfADIAXwBfADEAYQBfAF8ARgByAGEAYwB0AGkAbwBuAE8AZgBDAHIAbwBwAFIAZQBzAGkAZAB1AGUAUgBlAG0AbwB2AGUAZABfAEEAcgBnAHUAbQBlAG4AdABzAFwAbgAgACAAPQBMAEEATQBCAEQAQQAoAFwAbgAgACAAIAAgAE0AQQBLAEUAQQBSAFIAQQBZACgAMgAsACAANAAsACAAXABuACAAIAAgACAAIAAgAEwAQQBNAEIARABBACgAcgAsAGMALAAgAFwAbgAgACAAIAAgACAAIAAgACAASQBOAEQARQBYACgAewBcAG4AIAAgACAAIAAgACAAIAAgACAAIABcACIARgBGAE8ARABfAGMAYgBhAGwAZQBkAFwAIgAsAFwAIgBGAHIAYQBjAHQAaQBvAG4AIABvAGYAIABjAHIAbwBwACAAcgBlAHMAaQBkAHUAZQAgAHQAaABhAHQAIABpAHMAIAByAGUAbQBvAHYAZQBkACAAZgBvAHIAIABjAHIAbwBwACAAYwAsACAAYwBhAGwAYwB1AGwAYQB0AGUAZAAgAHcAaABlAHIAZQAgAHIAZQBzAGkAZAB1AGUAcwAgAGEAcgBlACAAYgBhAGwAZQBkAFwAIgAsACAAXAAiAGYAcgBhAGMAdABpAG8AbgBcACIALAAgAFwAIgBDAGEAbABjAHUAbABhAHQAZQBkACAAZgByAG8AbQAgADYALgAxAC4AMQAuADIALAAgACgAMQApAFwAIgA7AFwAbgAgACAAIAAgACAAIAAgACAAIAAgAFwAIgBGAEYATwBEAF8AYwBvAHQAaABlAHIAXAAiACwAXAAiAEYAcgBhAGMAdABpAG8AbgAgAG8AZgAgAGMAcgBvAHAAIAByAGUAcwBpAGQAdQBlACAAdABoAGEAdAAgAGkAcwAgAHIAZQBtAG8AdgBlAGQAIABmAG8AcgAgAGMAcgBvAHAAIABjACwAIABjAGEAbABjAHUAbABhAHQAZQBkACAAdwBoAGUAcgBlACAAcgBlAHMAaQBkAHUAZQBzACAAYQByAGUAIAByAGUAbQBvAHYAZQBkACAAYgB5ACAAbwB0AGgAZQByACAAbQBlAGEAbgBzAFwAIgAsACAAXAAiAGYAcgBhAGMAdABpAG8AbgBcACIALAAgAFwAIgBJAG4AcAB1AHQAXAAiAFwAbgAgACAAIAAgACAAIAAgACAAfQAsACAAcgAsACAAYwApAFwAbgAgACAAIAAgACAAIAApAFwAbgAgACAAIAAgACkAXABuACAAIAApADsAXABuAFwAbgBWAEUARQBSAEcAXwA2AF8AMQBfADEAXwAyAF8AXwAxAGEAXwBfAEYAcgBhAGMAdABpAG8AbgBPAGYAQwByAG8AcABSAGUAcwBpAGQAdQBlAFIAZQBtAG8AdgBlAGQAXwBWAGEAcgBpAGEAdABpAG8AbgBcAG4AIAAgAD0ATABBAE0AQgBEAEEAKABcACIAVgBBAFIASQBBAFQASQBPAE4AIABGAFIATwBNACAAUwBPAFUAUgBDAEUAOgAgAEEAZABkAGUAZAAgAHQAaABpAHMAIABlAHEAdQBhAHQAaQBvAG4AIAB0AG8AIABhAGMAYwBvAG0AbQBvAGQAYQB0AGUAIAB1AHMAZQByAC0AZABlAGYAaQBuAGUAZAAgAHIAZQBzAGkAZAB1AGUAIAByAGUAbQBvAHYAYQBsACAAbwB0AGgAZQByACAAdABoAGEAbgAgAGIAYQBsAGkAbgBnAC4AXAAiACkAOwBcAG4AIAAgACoALwAiAH0ALAB7ACIAcABhAHQAaAAiADoAIgAvAHAAcgBvAGoAZQBjAHQAcwAvAEEAZwBSAGUAcwBpAGQAdQBlAF8ARQBxAHUAYQB0AGkAbwBuAHMAXwBQAGEAcwB0AHUAcgBlAFIAZQBzAGkAZAB1AGUAIgAsACIAdABlAHgAdAAiADoAIgAvACoAIABcAG4ALQAtAC0ALQAtAC0ALQAtAC0ALQAtAC0ALQAtAC0ALQAtAC0ALQAtAC0ALQAtAC0ALQAtAC0ALQAtAC0ALQAtAC0ALQAtAC0ALQAtAFwAbgBWAEUARQBSAEcAXwA2AF8AMgBfADEAXwAxAF8AXwAxAF8AXwBOAGkAdAByAG8AdQBzAE8AeABpAGQAZQBFAG0AaQBzAHMAaQBvAG4AcwBGAHIAbwBtAFAAYQBzAHQAdQByAGUAUgBlAHMAaQBkAHUAZQBzAFwAbgBOAGkAdAByAG8AdQBzACAAbwB4AGkAZABlACAAZQBtAGkAcwBzAGkAbwBuAHMAIABmAHIAbwBtACAAdABoAGUAIAByAGUAdAB1AHIAbgAgAG8AZgAgAHAAYQBzAHQAdQByAGUAIAByAGUAcwBpAGQAdQBlAHMAIABmAHIAbwBtACAAYQBsAGwAIABwAGEAcwB0AHUAcgBlACAAdAB5AHAAZQBzACAAdABvACAAdABoAGUAIABzAG8AaQBsAFwAbgBFAE4AMgBPAFwAbgB0ACAATgAyAE8AXABuAEUAXwB7AE4AMgBPAH0APQBcAFwAcwB1AG0AXwB7AHAAfQBcAFwAbABlAGYAdAAoAE0AXwBwAFwAXAB0AGkAbQBlAHMAIABFAEYAXwB7AE4AaQB9AFwAXAB0AGkAbQBlAHMAIABDAF8AewBOADIATwB9AFwAXAB0AGkAbQBlAHMAewAxADAAfQBeAHsALQAzAH0AXABcAHIAaQBnAGgAdAApAFwAbgBNAHAAIAA9ACAAbQBhAHMAcwAgAG8AZgAgAG4AaQB0AHIAbwBnAGUAbgAgAGkAbgAgAHAAYQBzAHQAdQByAGUAIABwACAAcgBlAHMAaQBkAHUAZQBzACAAcgBlAHQAdQByAG4AZQBkACAAdABvACAAdABoAGUAIABzAG8AaQBsACAAKABrAGcAIABOACkAXABuAEUARgBOAGkAIAA9ACAAZQBtAGkAcwBzAGkAbwBuACAAZgBhAGMAdABvAHIAIABmAG8AcgAgAGMAcgBvAHAAIAByAGUAcwBpAGQAdQBlAHMAIAByAGUAdAB1AHIAbgBlAGQAIAB0AG8AIAB0AGgAZQAgAHMAbwBpAGwAIABpAG4AIABjAGwAaQBtAGEAdABlACAAegBvAG4AZQAgAGk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HAAIAA9ACAAUABhAHMAdAB1AHIAZQAgAHQAeQBwAGUAXABuAGkAIAA9ACAAQwBsAGkAbQBhAHQAZQAgAHoAbwBuAGUAXABuAC0ALQAtAC0ALQAtAC0ALQAtAC0ALQAtAC0ALQAtAC0ALQAtAC0ALQAtAC0ALQAtAC0ALQAtAC0ALQAtAC0ALQAtAC0ALQAtAC0ALQBcAG4AKgAvAFwAbgBcAG4AVgBFAEUAUgBHAF8ANgBfADIAXwAxAF8AMQBfAF8AMQBfAF8ATgBpAHQAcgBvAHUAcwBPAHgAaQBkAGUARQBtAGkAcwBzAGkAbwBuAHMARgByAG8AbQBQAGEAcwB0AHUAcgBlAFIAZQBzAGkAZAB1AGUAcwBcAG4AIAAgAD0ATABBAE0AQgBEAEEAKABcAG4AIAAgACAAIABNAF8AcAAsACAARQBGAF8ATgBpACwAIABDAF8ATgAyAE8ALABcAG4AIAAgACAAIAAoAE0AXwBwACAAKgAgAEUARgBfAE4AaQApACAAKgAgAEMAXwBOADIATwAgACoAIAAxADAAXgAoAC0AMwApAFwAbgAgACAAKQA7AFwAbgBcAG4AVgBFAEUAUgBHAF8ANgBfADIAXwAxAF8AMQBfAF8AMQBfAF8ATgBpAHQAcgBvAHUAcwBPAHgAaQBkAGUARQBtAGkAcwBzAGkAbwBuAHMARgByAG8AbQBQAGEAcwB0AHUAcgBlAFIAZQBzAGkAZAB1AGUAcwBfAFQAaQB0AGwAZQBcAG4AIAAgAD0ATABBAE0AQgBEAEEAKABcACIATgBpAHQAcgBvAHUAcwAgAG8AeABpAGQAZQAgAGUAbQBpAHMAcwBpAG8AbgBzACAAZgByAG8AbQAgAHQAaABlACAAcgBlAHQAdQByAG4AIABvAGYAIABwAGEAcwB0AHUAcgBlACAAcgBlAHMAaQBkAHUAZQBzACAAZgByAG8AbQAgAGEAbABsACAAcABhAHMAdAB1AHIAZQAgAHQAeQBwAGUAcwAgAHQAbwAgAHQAaABlACAAcwBvAGkAbABcACIAKQA7AFwAbgBcAG4AVgBFAEUAUgBHAF8ANgBfADIAXwAxAF8AMQBfAF8AMQBfAF8ATgBpAHQAcgBvAHUAcwBPAHgAaQBkAGUARQBtAGkAcwBzAGkAbwBuAHMARgByAG8AbQBQAGEAcwB0AHUAcgBlAFIAZQBzAGkAZAB1AGUAcwBfAFYAYQByAGkAYQBiAGwAZQBcAG4AIAAgAD0ATABBAE0AQgBEAEEAKABcACIARQBOADIATwBcACIAKQA7AFwAbgBcAG4AVgBFAEUAUgBHAF8ANgBfADIAXwAxAF8AMQBfAF8AMQBfAF8ATgBpAHQAcgBvAHUAcwBPAHgAaQBkAGUARQBtAGkAcwBzAGkAbwBuAHMARgByAG8AbQBQAGEAcwB0AHUAcgBlAFIAZQBzAGkAZAB1AGUAcwBfAFUAbgBpAHQAXABuACAAIAA9AEwAQQBNAEIARABBACgAXAAiAHQAIABOADIATwBcACIAKQA7AFwAbgBcAG4AVgBFAEUAUgBHAF8ANgBfADIAXwAxAF8AMQBfAF8AMQBfAF8ATgBpAHQAcgBvAHUAcwBPAHgAaQBkAGUARQBtAGkAcwBzAGkAbwBuAHMARgByAG8AbQBQAGEAcwB0AHUAcgBlAFIAZQBzAGkAZAB1AGUAcwBfAFMAbwB1AHIAYwBlAFwAbgAgACAAPQBMAEEATQBCAEQAQQAoAFwAIgBWAEUARQBSAEcAIAAyADAAMgA2ADoAIAA2AC4AMgAuADEALgAxACwAIABFAHEAdQBhAHQAaQBvAG4AIAAoADEAKQBcACIAKQA7AFwAbgBcAG4AVgBFAEUAUgBHAF8ANgBfADIAXwAxAF8AMQBfAF8AMQBfAF8ATgBpAHQAcgBvAHUAcwBPAHgAaQBkAGUARQBtAGkAcwBzAGkAbwBuAHMARgByAG8AbQBQAGEAcwB0AHUAcgBlAFIAZQBzAGkAZAB1AGUAcwBfAE4ASQBSAFIAZQBmAGUAcgBlAG4AYwBlAFwAbgAgACAAPQBMAEEATQBCAEQAQQAoAFwAIgBcACIAKQA7AFwAbgBcAG4AVgBFAEUAUgBHAF8ANgBfADIAXwAxAF8AMQBfAF8AMQBfAF8ATgBpAHQAcgBvAHUAcwBPAHgAaQBkAGUARQBtAGkAcwBzAGkAbwBuAHMARgByAG8AbQBQAGEAcwB0AHUAcgBlAFIAZQBzAGkAZAB1AGUAcwBfAEwAYQB0AGUAeABFAHEAdQBhAHQAaQBvAG4AXABuACAAIAA9AEwAQQBNAEIARABBACgAXAAiAEUAXwB7AE4AMgBPAH0APQBcAFwAcwB1AG0AXABcAG4AbwBsAGkAbQBpAHQAcwBfAHAAXABcAGwAZQBmAHQAKABNAF8AcABcAFwAdABpAG0AZQBzACAARQBGAF8AewBOAGkAfQBcAFwAcgBpAGcAaAB0ACkAXABcAHQAaQBtAGUAcwAgAEMAXwB7AE4AMgBPAH0AXABcAHQAaQBtAGUAcwB7ADEAMAB9AF4AewAtADMAfQBcACIAKQA7AFwAbgBcAG4AVgBFAEUAUgBHAF8ANgBfADIAXwAxAF8AMQBfAF8AMQBfAF8ATgBpAHQAcgBvAHUAcwBPAHgAaQBkAGUARQBtAGkAcwBzAGkAbwBuAHMARgByAG8AbQBQAGEAcwB0AHUAcgBl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HAAXAAiACwAXAAiAG0AYQBzAHMAIABvAGYAIABuAGkAdAByAG8AZwBlAG4AIABpAG4AIABwAGEAcwB0AHUAcgBlACAAcAAgAHIAZQBzAGkAZAB1AGUAcwAgAHIAZQB0AHUAcgBuAGUAZAAgAHQAbwAgAHQAaABlACAAcwBvAGkAbABcACIALAAgAFwAIgBrAGcAIABOAFwAIgAsACAAXAAiAEMAYQBsAGMAdQBsAGEAdABlAGQAIABmAHIAbwBtACAANgAuADIALgAxAC4AMQAgACgAMgApAFwAIgA7AFwAbgAgACAAIAAgACAAIAAgACAAIAAgAFwAIgBFAEYAXwBOAGkAXAAiACwAXAAiAGUAbQBpAHMAcwBpAG8AbgAgAGYAYQBjAHQAbwByACAAZgBvAHIAIABjAHIAbwBwACAAcgBlAHMAaQBkAHUAZQBzACAAcgBlAHQAdQByAG4AZQBkACAAdABvACAAdABoAGUAIABzAG8AaQBsACAAaQBuACAAYwBsAGkAbQBhAHQAZQAgAHoAbwBuAGUAIABp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HAAXAAiACwAXAAiAFAAYQBzAHQAdQByAGU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yAF8AMQBfADEAXwBfADIAXwBfAE0AYQBzAHMATwBmAE4AaQB0AHIAbwBnAGUAbgBJAG4AUABhAHMAdAB1AHIAZQBSAGUAcwBpAGQAdQBlAHMAXABuAE0AYQBzAHMAIABvAGYAIABuAGkAdAByAG8AZwBlAG4AIABpAG4AIABwAGEAcwB0AHUAcgBlACAAcgBlAHMAaQBkAHUAZQBzACAAcgBlAHQAdQByAG4AZQBkACAAdABvACAAdABoAGUAIABzAG8AaQBsAFwAbgBNAHAAXABuAGsAZwAgAE4AXABuAE0AXwBwACAAPQAgACgAQQBfAHAAIADX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bgBBAF8AcAAgAD0AIABhAHIAZQBhACAAbwBmACAAcABhAHMAdAB1AHIAZQAgAHIAZQBuAGUAdwBlAGQAIABvAHIAIAByAGUAbQBvAHYAZQBkACAAKABoAGEAKQBcAG4AWQBwACAAPQAgAGEAdgBlAHIAYQBnAGUAIAB5AGkAZQBsAGQAIABvAGYAIABwAGEAcwB0AHUAcgBlACAAYwByAG8AcAAgACgAdAAgAEQATQAvAGgAYQApAFwAbgBOAEMAQQBHAHAAIAA9ACAATgAgAGMAbwBuAHQAZQBuAHQAIABvAGYAIABhAGIAbwB2AGUALQBnAHIAbwB1AG4AZAAgAHAAYQBzAHQAdQByAGUAIAByAGUAcwBpAGQAdQBlACAAKABrAGcAIABOAC8AawBnACAARABNACkAXABuAFIAXwBCAEcAcAAgAD0AIABiAGUAbABvAHcALQBnAHIAbwB1AG4AZAAgAHIAZQBzAGkAZAB1AGUAIAB0AG8AIABhAGIAbwB2AGUALQBnAHIAbwB1AG4AZAAgAHIAZQBzAGkAZAB1AGUAIAByAGEAdABpAG8AIABmAG8AcgAgAHAAYQBzAHQAdQByAGUAIABjAHIAbwBwACAAKABkAGkAbQBlAG4AcwBpAG8AbgBsAGUAcwBzACkAXABuAE4AQwBfAEIARwBwACAAPQAgAE4AIABjAG8AbgB0AGUAbgB0ACAAbwBmACAAYgBlAGwAbwB3AC0AZwByAG8AdQBuAGQAIABwAGEAcwB0AHUAcgBlACAAYwByAG8AcAAgAHIAZQBzAGkAZAB1AGUAIAAoAGsAZwAgAE4ALwBrAGcAIABEAE0AKQBcAG4ARgBGAE8ARABwACAAPQAgAGYAcgBhAGMAdABpAG8AbgAgAG8AZgAgAHAAYQBzAHQAdQByAGUAIAB5AGkAZQBsAGQAIAB0AGgAYQB0ACAAaQBzACAAcgBlAG0AbwB2AGUAZAAgACgAZABpAG0AZQBuAHMAaQBvAG4AbABlAHMAcwApAFwAbgBwACAAPQAgAFAAYQBzAHQAdQByAGUAIAB0AHkAcABlAFwAbgAtAC0ALQAtAC0ALQAtAC0ALQAtAC0ALQAtAC0ALQAtAC0ALQAtAC0ALQAtAC0ALQAtAC0ALQAtAC0ALQAtAC0ALQAtAC0ALQAtAC0AXABuACoALwBcAG4AXABuAFYARQBFAFIARwBfADYAXwAyAF8AMQBfADEAXwBfADIAXwBfAE0AYQBzAHMATwBmAE4AaQB0AHIAbwBnAGUAbgBJAG4AUABhAHMAdAB1AHIAZQBSAGUAcwBpAGQAdQBlAHMAXABuACAAIAA9AEwAQQBNAEIARABBACgAXABuACAAIAAgACAAQQBfAHAALAAgAFkAXwBwACwAIABGAEYATwBEAF8AcAAsACAATgBDAF8AQQBHAHAALAAgAFIAXwBCAEcAcAAsACAATgBDAF8AQgBHAHAALABcAG4AIAAgACAAIAAoAEEAXwBwACAAKgAgACgAWQBfAHAAIAAqACAAMQAwAF4AKAAtADMAKQApACAAKgAgACgAMQAgAC0AIABGAEYATwBEAF8AcAApACAAKgAgAE4AQwBfAEEARwBwACkAIAArACAAKABBAF8AcAAgACoAIAAoAFkAXwBwACAAKgAgADEAMABeACgALQAzACkAKQAgACoAIABSAF8AQgBHAHAAIAAqACAATgBDAF8AQgBHAHAAKQBcAG4AIAAgACkAOwBcAG4AXABuAFYARQBFAFIARwBfADYAXwAyAF8AMQBfADEAXwBfADIAXwBfAE0AYQBzAHMATwBmAE4AaQB0AHIAbwBnAGUAbgBJAG4AUABhAHMAdAB1AHIAZQBSAGUAcwBpAGQAdQBlAHMAXwBUAGkAdABsAGUAXABuACAAIAA9AEwAQQBNAEIARABBACgAXAAiAE0AYQBzAHMAIABvAGYAIABuAGkAdAByAG8AZwBlAG4AIABpAG4AIABwAGEAcwB0AHUAcgBlACAAcgBlAHMAaQBkAHUAZQBzACAAcgBlAHQAdQByAG4AZQBkACAAdABvACAAdABoAGUAIABzAG8AaQBsAFwAIgApADsAXABuAFwAbgBWAEUARQBSAEcAXwA2AF8AMgBfADEAXwAxAF8AXwAyAF8AXwBNAGEAcwBzAE8AZgBOAGkAdAByAG8AZwBlAG4ASQBuAFAAYQBzAHQAdQByAGUAUgBlAHMAaQBkAHUAZQBzAF8AVgBhAHIAaQBhAGIAbABlAFwAbgAgACAAPQBMAEEATQBCAEQAQQAoAFwAIgBNAHAAXAAiACkAOwBcAG4AXABuAFYARQBFAFIARwBfADYAXwAyAF8AMQBfADEAXwBfADIAXwBfAE0AYQBzAHMATwBmAE4AaQB0AHIAbwBnAGUAbgBJAG4AUABhAHMAdAB1AHIAZQBSAGUAcwBpAGQAdQBlAHMAXwBVAG4AaQB0AFwAbgAgACAAPQBMAEEATQBCAEQAQQAoAFwAIgBrAGcAIABOAFwAIgApADsAXABuAFwAbgBWAEUARQBSAEcAXwA2AF8AMgBfADEAXwAxAF8AXwAyAF8AXwBNAGEAcwBzAE8AZgBOAGkAdAByAG8AZwBlAG4ASQBuAFAAYQBzAHQAdQByAGUAUgBlAHMAaQBkAHUAZQBzAF8AUwBvAHUAcgBjAGUAXABuACAAIAA9AEwAQQBNAEIARABBACgAXAAiAFYARQBFAFIARwAgADIAMAAyADYAOgAgADYALgAyAC4AMQAuADEALAAgAEUAcQB1AGEAdABpAG8AbgAgACgAMgApAFwAIgApADsAXABuAFwAbgBWAEUARQBSAEcAXwA2AF8AMgBfADEAXwAxAF8AXwAyAF8AXwBNAGEAcwBzAE8AZgBOAGkAdAByAG8AZwBlAG4ASQBuAFAAYQBzAHQAdQByAGUAUgBlAHMAaQBkAHUAZQBzAF8ATgBJAFIAUgBlAGYAZQByAGUAbgBjAGUAXABuACAAIAA9AEwAQQBNAEIARABBACgAXAAiAFwAIgApADsAXABuAFwAbgBWAEUARQBSAEcAXwA2AF8AMgBfADEAXwAxAF8AXwAyAF8AXwBNAGEAcwBzAE8AZgBOAGkAdAByAG8AZwBlAG4ASQBuAFAAYQBzAHQAdQByAGUAUgBlAHMAaQBkAHUAZQBzAF8ATABhAHQAZQB4AEUAcQB1AGEAdABpAG8AbgBcAG4AIAAgAD0ATABBAE0AQgBEAEEAKABcACIATQBfAHAAIAA9ACAAKABBAF8AcAAgAFwAXAB0AGkAbQBlAHMAIA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CIAKQA7AFwAbgBcAG4AVgBFAEUAUgBHAF8ANgBfADIAXwAxAF8AMQBfAF8AMgBfAF8ATQBhAHMAcwBPAGYATgBpAHQAcgBvAGcAZQBuAEkAbgBQAGEAcwB0AHUAcgBlAFIAZQBzAGkAZAB1AGUAcwBfAEEAcgBnAHUAbQBlAG4AdABz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MAbwBuAHMAdABhAG4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YARQBFAFIARwBfADYAXwAyAF8AMQBfADEAXwBfADIAXwBfAE0AYQBzAHMATwBmAE4AaQB0AHIAbwBnAGUAbgBJAG4AUABhAHMAdAB1AHIAZQBSAGUAcwBpAGQAdQBlAHMAXwBBAHIAZwB1AG0AZQBuAHQAcwBfAE0AZQB0AGgAbwBkADI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SQBuAHAAdQ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XABuAFwAbgAiAH0ALAB7ACIAcABhAHQAaAAiADoAIgAvAHAAcgBvAGoAZQBjAHQAcwAvAEEAZwBSAGUAcwBpAGQAdQBlAF8ARQBxAHUAYQB0AGkAbwBuAHMAXwBMAGUAYQBjAGgAaQBuAGcAIgAsACIAdABlAHgAdAAiADoAIgAvACoAIABcAG4ALQAtAC0ALQAtAC0ALQAtAC0ALQAtAC0ALQAtAC0ALQAtAC0ALQAtAC0ALQAtAC0ALQAtAC0ALQAtAC0ALQAtAC0ALQAtAC0ALQAtAFwAbgBWAEUARQBSAEcAXwA2AF8AMwBfADEAXwAxAF8AXwAxAF8AXwBMAGUAYQBjAGgAaQBuAGcAQQBuAGQAUgB1AG4AbwBmAGYARQBtAGkAcwBzAGkAbwBuAHMAQwByAG8AcABBAG4AZABQAGEAcwB0AHUAcgBlAFIAZQBzAGkAZAB1AGUAXABuAE4AaQB0AHIAbwB1AHMAIABvAHgAaQBkAGUAIABsAGUAYQBjAGgAaQBuAGcAIABhAG4AZAAgAHIAdQBuAG8AZgBmACAAZQBtAGkAcwBzAGkAbwBuAHMAIABmAHIAbwBtACAAYwByAG8AcAAgAGEAbgBkACAAcABhAHMAdAB1AHIAZQAgAHIAZQBzAGkAZAB1AGUAcwAgAHIAZQB0AHUAcgBuAGUAZAAgAHQAbwAgAHQAaABlACAAcwBvAGkAbAAsACAAYQBjAHIAbwBzAHMAIABhAGwAbAAgAGMAcgBvAHAAIAByAGUAcwBpAGQAdQBlAHMAIABjACAAYQBuAGQAIABwAGEAcwB0AHUAcgBlACAAcgBlAHMAaQBkAHUAZQBzACAAcABcAG4ARQBOADIATwBcAG4AdAAgAE4AMgBPAFwAbgBFAF8AewBOADIATwB9AD0AXABcAHMAdQBtAF8AewBjAH0AXABcAHMAdQBtAF8AewBwAH0AKABNAF8AewBsAGUAYQBjAGgALABjAHAAfQBcAFwAdABpAG0AZQBzACAARQBGAF8AewBsAGUAYQBjAGgAfQBcAFwAdABpAG0AZQBzACAAQwBfAHsATgAyAE8AfQBcAFwAdABpAG0AZQBzACAAMQAwAF4AewAtADMAfQApAFwAbgBNAF8AbABlAGEAYwBoAGMAcAAgAD0AIABtAGEAcwBzACAAbwBmACAAbgBpAHQAcgBvAGcAZQBuACAAbABvAHMAdAAgAHQAaAByAG8AdQBnAGgAIABsAGUAYQBjAGgAaQBuAGcAIABhAG4AZAAgAHIAdQBuAG8AZgBmACAAZgByAG8AbQAgAHQAaABlACAAYwByAG8AcAAgAHIAZQBzAGkAZAB1AGUAIABjACAAbwByACAAcABhAHMAdAB1AHIAZQAgAHIAZQBzAGkAZAB1AGUAIABwACAAKABrAGcAIABOACkAXABuAEUARgBfAGwAZQBhAGMAaAAgAD0AIABlAG0AaQBzAHMAaQBvAG4AIABmAGEAYwB0AG8AcgAgAGYAbwByACAAbABlAGEAYwBoAGkAbgBnACAAYQBuAGQAIAByAHUAbgBvAGYAZg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YwAgAD0AIABDAHIAbwBwACAAcgBlAHMAaQBkAHUAZQAgAHQAeQBwAGUAXABuAHAAIAA9ACAAUABhAHMAdAB1AHIAZQAgAHIAZQBzAGkAZAB1AGUAIAB0AHkAcABlAFwAbgAtAC0ALQAtAC0ALQAtAC0ALQAtAC0ALQAtAC0ALQAtAC0ALQAtAC0ALQAtAC0ALQAtAC0ALQAtAC0ALQAtAC0ALQAtAC0ALQAtAC0AXABuACoALwBcAG4AXABuAFYARQBFAFIARwBfADYAXwAzAF8AMQBfADEAXwBfADEAXwBfAEwAZQBhAGMAaABpAG4AZwBBAG4AZABSAHUAbgBvAGYAZgBFAG0AaQBzAHMAaQBvAG4AcwBDAHIAbwBwAEEAbgBkAFAAYQBzAHQAdQByAGUAUgBlAHMAaQBkAHUAZQBcAG4AIAAgAD0ATABBAE0AQgBEAEEAKABcAG4AIAAgACAAIABNAF8AbABlAGEAYwBoAGMAcAAsACAARQBGAF8AbABlAGEAYwBoACwAIABDAF8ATgAyAE8ALABcAG4AIAAgACAAIAAoAE0AXwBsAGUAYQBjAGgAYwBwACAAKgAgAEUARgBfAGwAZQBhAGMAaAApACAAKgAgAEMAXwBOADIATwAgACoAIAAxADAAXgAoAC0AMwApAFwAbgAgACAAKQBcAG4AOwBcAG4AXABuAFYARQBFAFIARwBfADYAXwAzAF8AMQBfADEAXwBfADEAXwBfAEwAZQBhAGMAaABpAG4AZwBBAG4AZABSAHUAbgBvAGYAZgBFAG0AaQBzAHMAaQBvAG4AcwBDAHIAbwBwAEEAbgBkAFAAYQBzAHQAdQByAGUAUgBlAHMAaQBkAHUAZQBfAFQAaQB0AGwAZQBcAG4AIAAgAD0ATABBAE0AQgBEAEEAKABcACIATgBpAHQAcgBvAHUAcwAgAG8AeABpAGQAZQAgAGwAZQBhAGMAaABpAG4AZwAgAGEAbgBkACAAcgB1AG4AbwBmAGYAIABlAG0AaQBzAHMAaQBvAG4AcwAgAGYAcgBvAG0AIABjAHIAbwBwACAAYQBuAGQAIABwAGEAcwB0AHUAcgBlACAAcgBlAHMAaQBkAHUAZQBzACAAcgBlAHQAdQByAG4AZQBkACAAdABvACAAdABoAGUAIABzAG8AaQBsAFwAIgApADsAXABuAFwAbgBWAEUARQBSAEcAXwA2AF8AMwBfADEAXwAxAF8AXwAxAF8AXwBMAGUAYQBjAGgAaQBuAGcAQQBuAGQAUgB1AG4AbwBmAGYARQBtAGkAcwBzAGkAbwBuAHMAQwByAG8AcABBAG4AZABQAGEAcwB0AHUAcgBlAFIAZQBzAGkAZAB1AGUAXwBWAGEAcgBpAGEAYgBsAGUAXABuACAAIAA9AEwAQQBNAEIARABBACgAXAAiAEUATgAyAE8AXAAiACkAOwBcAG4AXABuAFYARQBFAFIARwBfADYAXwAzAF8AMQBfADEAXwBfADEAXwBfAEwAZQBhAGMAaABpAG4AZwBBAG4AZABSAHUAbgBvAGYAZgBFAG0AaQBzAHMAaQBvAG4AcwBDAHIAbwBwAEEAbgBkAFAAYQBzAHQAdQByAGUAUgBlAHMAaQBkAHUAZQBfAFUAbgBpAHQAXABuACAAIAA9AEwAQQBNAEIARABBACgAXAAiAHQAIABOADIATwBcACIAKQA7AFwAbgBcAG4AVgBFAEUAUgBHAF8ANgBfADMAXwAxAF8AMQBfAF8AMQBfAF8ATABlAGEAYwBoAGkAbgBnAEEAbgBkAFIAdQBuAG8AZgBmAEUAbQBpAHMAcwBpAG8AbgBzAEMAcgBvAHAAQQBuAGQAUABhAHMAdAB1AHIAZQBSAGUAcwBpAGQAdQBlAF8AUwBvAHUAcgBjAGUAXABuACAAIAA9AEwAQQBNAEIARABBACgAXAAiAFYARQBFAFIARwAgADIAMAAyADYAOgAgADYALgAzAC4AMQAuADEALAAgAEUAcQB1AGEAdABpAG8AbgAgACgAMQApAFwAIgApADsAXABuAFwAbgBWAEUARQBSAEcAXwA2AF8AMwBfADEAXwAxAF8AXwAxAF8AXwBMAGUAYQBjAGgAaQBuAGcAQQBuAGQAUgB1AG4AbwBmAGYARQBtAGkAcwBzAGkAbwBuAHMAQwByAG8AcABBAG4AZABQAGEAcwB0AHUAcgBlAFIAZQBzAGkAZAB1AGUAXwBOAEkAUgBSAGUAZgBlAHIAZQBuAGMAZQBcAG4AIAAgAD0ATABBAE0AQgBEAEEAKABcACIAXAAiACkAOwBcAG4AXABuAFYARQBFAFIARwBfADYAXwAzAF8AMQBfADEAXwBfADEAXwBfAEwAZQBhAGMAaABpAG4AZwBBAG4AZABSAHUAbgBvAGYAZgBFAG0AaQBzAHMAaQBvAG4AcwBDAHIAbwBwAEEAbgBkAFAAYQBzAHQAdQByAGUAUgBlAHMAaQBkAHUAZQBfAEwAYQB0AGUAeABFAHEAdQBhAHQAaQBvAG4AXABuACAAIAA9AEwAQQBNAEIARABBACgAXAAiAEUAXwB7AE4AMgBPAH0APQBcAFwAcwB1AG0AXABcAG4AbwBsAGkAbQBpAHQAcwBfAGMAXABcAHMAdQBtAFwAXABuAG8AbABpAG0AaQB0AHMAXwBwACgATQBfAHsAbABlAGEAYwBoACwAYwBwAH0AXABcAHQAaQBtAGUAcwAgAEUARgBfAHsAbABlAGEAYwBoAH0AXABcAHQAaQBtAGUAcwAgAEMAXwB7AE4AMgBPAH0AXABcAHQAaQBtAGUAcwAgADEAMABeAHsALQAzAH0AKQBcACIAKQA7AFwAbgBcAG4AVgBFAEUAUgBHAF8ANgBfADMAXwAxAF8AMQBfAF8AMQBfAF8ATABlAGEAYwBoAGkAbgBnAEEAbgBkAFIAdQBuAG8AZgBmAEUAbQBpAHMAcwBpAG8AbgBzAEMAcgBvAHAAQQBuAGQAUABhAHMAdAB1AHIAZQBSAGUAcwBpAGQAdQBlAF8AQQByAGcAdQBtAGUAbgB0AHMAXABuACAAIAA9AEwAQQBNAEIARABBACgAXABuACAAIAAgACAATQBBAEsARQBBAFIAUgBBAFkAKAA1ACwAIAA0ACwAIABcAG4AIAAgACAAIAAgACAATABBAE0AQgBEAEEAKAByACwAYwAsACAAXABuACAAIAAgACAAIAAgACAAIABJAE4ARABFAFgAKAB7AFwAbgAgACAAIAAgACAAIAAgACAAIAAgAFwAIgBNAF8AbABlAGEAYwBoAGMAcABcACIALABcACIAbQBhAHMAcwAgAG8AZgAgAG4AaQB0AHIAbwBnAGUAbgAgAGwAbwBzAHQAIAB0AGgAcgBvAHUAZwBoACAAbABlAGEAYwBoAGkAbgBnACAAYQBuAGQAIAByAHUAbgBvAGYAZgAgAGYAcgBvAG0AIAB0AGgAZQAgAGMAcgBvAHAAIAByAGUAcwBpAGQAdQBlACAAYwAgAG8AcgAgAHAAYQBzAHQAdQByAGUAIAByAGUAcwBpAGQAdQBlACAAcABcACIALAAgAFwAIgBrAGcAIABOAFwAIgAsACAAXAAiAEMAYQBsAGMAdQBsAGEAdABlAGQAIABmAHIAbwBtACAANgAuADMALgAxAC4AMQ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wBfADEAXwAxAF8AXwAyAF8AXwBNAGEAcwBzAE8AZgBOAGkAdAByAG8AZwBlAG4ATABvAHMAdABUAGgAcgBvAHUAZwBoAEwAZQBhAGMAaABpAG4AZwBBAG4AZABSAHUAbgBvAGYAZgBcAG4ATQBhAHMAcwAgAG8AZgAgAG4AaQB0AHIAbwBnAGUAbgAgAGwAbwBzAHQAIAB0AGgAcgBvAHUAZwBoACAAbABlAGEAYwBoAGkAbgBnACAAYQBuAGQAIAByAHUAbgBvAGYAZgBcAG4ATQBfAGwAZQBhAGMAaABjAHAAXABuAGsAZwAgAE4AXABuAE0AXwB7AGwAZQBhAGMAaAAsAGMAcAB9AD0ATQBfAHsAYwBwAH0AXABcAHQAaQBtAGUAcwAgAEYAcgBhAGMAVwBFAFQAXwB7AGoAfQBcAFwAdABpAG0AZQBzACAARgByAGEAYwBMAEUAQQBDAEgAXABuAE0AXwBjAHAAIAA9ACAAbQBhAHMAcwAgAG8AZgAgAG4AaQB0AHIAbwBnAGUAbgAgAGkAbgAgAGMAcgBvAHAAIAByAGUAcwBpAGQAdQBlAHMAIABjACAAbwByACAAcABhAHMAdAB1AHIAZQAgAHIAZQBzAGkAZAB1AGUAcwAgAHAAIABhAHAAcABsAGkAZQBkACAAdABvACAAcwBvAGkAbABzACAAKABrAGcAIABOACkAXABuAEYAcgBhAGMAVwBFAFQAagAgAD0AIABmAHIAYQBjAHQAaQBvAG4AIABvAGYAIABOACAAdABoAGEAdAAgAGkAcwAgAGEAdgBhAGkAbABhAGIAbABlACAAZgBvAHIAIABsAGUAYQBjAGgAaQBuAGcAIABhAG4AZAAgAHIAdQBuAG8AZgBmACAAZgByAG8AbQAgAHAAcgBvAGQAdQBjAHQAaQBvAG4AIABzAHkAcwB0AGUAbQAgAGoAIAAoAGQAaQBtAGUAbgBzAGkAbwBuAGwAZQBzAHMAKQBcAG4ARgByAGEAYwBMAEUAQQBDAEgAIAA9ACAAZgByAGEAYwB0AGkAbwBuACAAbwBmACAATgAgAHQAaABhAHQAIABpAHMAIABsAG8AcwB0ACAAdABoAHIAbwB1AGcAaAAgAGwAZQBhAGMAaABpAG4AZwAgAGEAbgBkACAAcgB1AG4AbwBmAGYAIAAoAGQAaQBtAGUAbgBzAGkAbwBuAGwAZQBzAHMAKQBcAG4AYwAgAD0AIABDAHIAbwBwACAAcgBlAHMAaQBkAHUAZQAgAHQAeQBwAGUAXABuAHAAIAA9ACAAUABhAHMAdAB1AHIAZQAgAHIAZQBzAGkAZAB1AGUAIAB0AHkAcABlAFwAbgBpAHIAIAA9ACAAaQByAHIAaQBnAGEAdABpAG8AbgAgAHQAeQBwAGUAXABuAC0ALQAtAC0ALQAtAC0ALQAtAC0ALQAtAC0ALQAtAC0ALQAtAC0ALQAtAC0ALQAtAC0ALQAtAC0ALQAtAC0ALQAtAC0ALQAtAC0ALQBcAG4AKgAvAFwAbgBcAG4AVgBFAEUAUgBHAF8ANgBfADMAXwAxAF8AMQBfAF8AMgBfAF8ATQBhAHMAcwBPAGYATgBpAHQAcgBvAGcAZQBuAEwAbwBzAHQAVABoAHIAbwB1AGcAaABMAGUAYQBjAGgAaQBuAGcAQQBuAGQAUgB1AG4AbwBmAGYAXABuACAAIAA9AEwAQQBNAEIARABBACgAXABuACAAIAAgACAATQBfAGMAcAAsACAARgByAGEAYwBXAEUAVABfAGoALAAgAEYAcgBhAGMATABFAEEAQwBIACwAXABuACAAIAAgACAATQBfAGMAcAAgACoAIABGAHIAYQBjAFcARQBUAF8AagAgACoAIABGAHIAYQBjAEwARQBBAEMASABcAG4AIAAgACkAXABuADsAXABuAFwAbgBWAEUARQBSAEcAXwA2AF8AMwBfADEAXwAxAF8AXwAyAF8AXwBNAGEAcwBzAE8AZgBOAGkAdAByAG8AZwBlAG4ATABvAHMAdABUAGgAcgBvAHUAZwBoAEwAZQBhAGMAaABpAG4AZwBBAG4AZABSAHUAbgBvAGYAZgBfAFQAaQB0AGwAZQBcAG4AIAAgAD0ATABBAE0AQgBEAEEAKABcACIATQBhAHMAcwAgAG8AZgAgAG4AaQB0AHIAbwBnAGUAbgAgAGwAbwBzAHQAIAB0AGgAcgBvAHUAZwBoACAAbABlAGEAYwBoAGkAbgBnACAAYQBuAGQAIAByAHUAbgBvAGYAZgBcACIAKQA7AFwAbgBcAG4AVgBFAEUAUgBHAF8ANgBfADMAXwAxAF8AMQBfAF8AMgBfAF8ATQBhAHMAcwBPAGYATgBpAHQAcgBvAGcAZQBuAEwAbwBzAHQAVABoAHIAbwB1AGcAaABMAGUAYQBjAGgAaQBuAGcAQQBuAGQAUgB1AG4AbwBmAGYAXwBWAGEAcgBpAGEAYgBsAGUAXABuACAAIAA9AEwAQQBNAEIARABBACgAXAAiAE0AXwBsAGUAYQBjAGgAYwBwAFwAIgApADsAXABuAFwAbgBWAEUARQBSAEcAXwA2AF8AMwBfADEAXwAxAF8AXwAyAF8AXwBNAGEAcwBzAE8AZgBOAGkAdAByAG8AZwBlAG4ATABvAHMAdABUAGgAcgBvAHUAZwBoAEwAZQBhAGMAaABpAG4AZwBBAG4AZABSAHUAbgBvAGYAZgBfAFUAbgBpAHQAXABuACAAIAA9AEwAQQBNAEIARABBACgAXAAiAGsAZwAgAE4AXAAiACkAOwBcAG4AXABuAFYARQBFAFIARwBfADYAXwAzAF8AMQBfADEAXwBfADIAXwBfAE0AYQBzAHMATwBmAE4AaQB0AHIAbwBnAGUAbgBMAG8AcwB0AFQAaAByAG8AdQBnAGgATABlAGEAYwBoAGkAbgBnAEEAbgBkAFIAdQBuAG8AZgBmAF8AUwBvAHUAcgBjAGUAXABuACAAIAA9AEwAQQBNAEIARABBACgAXAAiAFYARQBFAFIARwAgADIAMAAyADYAOgAgADYALgAzAC4AMQAuADEALAAgAEUAcQB1AGEAdABpAG8AbgAgACgAMgApAFwAIgApADsAXABuAFwAbgBWAEUARQBSAEcAXwA2AF8AMwBfADEAXwAxAF8AXwAyAF8AXwBNAGEAcwBzAE8AZgBOAGkAdAByAG8AZwBlAG4ATABvAHMAdABUAGgAcgBvAHUAZwBoAEwAZQBhAGMAaABpAG4AZwBBAG4AZABSAHUAbgBvAGYAZgBfAE4ASQBSAFIAZQBmAGUAcgBlAG4AYwBlAFwAbgAgACAAPQBMAEEATQBCAEQAQQAoAFwAIgBcACIAKQA7AFwAbgBcAG4AVgBFAEUAUgBHAF8ANgBfADMAXwAxAF8AMQBfAF8AMgBfAF8ATQBhAHMAcwBPAGYATgBpAHQAcgBvAGcAZQBuAEwAbwBzAHQAVABoAHIAbwB1AGcAaABMAGUAYQBjAGgAaQBuAGcAQQBuAGQAUgB1AG4AbwBmAGYAXwBMAGEAdABlAHgARQBxAHUAYQB0AGkAbwBuAFwAbgAgACAAPQBMAEEATQBCAEQAQQAoAFwAIgBNAF8AewBsAGUAYQBjAGgALABjAHAAfQA9AE0AXwB7AGMAcAB9AFwAXAB0AGkAbQBlAHMAIABGAHIAYQBjAFcARQBUAF8AewBqAH0AXABcAHQAaQBtAGUAcwAgAEYAcgBhAGMATABFAEEAQwBIAFwAIgApADsAXABuAFwAbgBWAEUARQBSAEcAXwA2AF8AMwBfADEAXwAxAF8AXwAyAF8AXwBNAGEAcwBzAE8AZgBOAGkAdAByAG8AZwBlAG4ATABvAHMAdABUAGgAcgBvAHUAZwBoAEwAZQBhAGMAaABpAG4AZwBBAG4AZABSAHUAbgBvAGYAZgBfAEEAcgBnAHUAbQBlAG4AdABzAFwAbgAgACAAPQBMAEEATQBCAEQAQQAoAFwAbgAgACAAIAAgAE0AQQBLAEUAQQBSAFIAQQBZACgANwAsACAANAAsACAAXABuACAAIAAgACAAIAAgAEwAQQBNAEIARABBACgAcgAsAGMALAAgAFwAbgAgACAAIAAgACAAIAAgACAASQBOAEQARQBYACgAewBcAG4AIAAgACAAIAAgACAAIAAgACAAIABcACIATQBfAGMAcABcACIALABcACIAbQBhAHMAcwAgAG8AZgAgAG4AaQB0AHIAbwBnAGUAbgAgAGkAbgAgAGMAcgBvAHAAIAByAGUAcwBpAGQAdQBlAHMAIABjACAAbwByACAAcABhAHMAdAB1AHIAZQAgAHIAZQBzAGkAZAB1AGUAcwAgAHAAIABhAHAAcABsAGkAZQBkACAAdABvACAAcwBvAGkAbABzAFwAIgAsACAAXAAiAGsAZwAgAE4AXAAiACwAIABcACIAQwBhAGwAYwAgAGYAcgBvAG0AIAA2AC4AMQAuADEALgAxACAAKAAyACkAIABhAG4AZAAgADYALgAyAC4AMQAuADEAIAAoADIAKQBcACIAOwBcAG4AIAAgACAAIAAgACAAIAAgACAAIABcACIARgByAGEAYwBXAEUAVABfAGoAXAAiACw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TABvAGMAYQB0AGkAbwBuACAAaQBuACAAbABlAGEAYwBoAGkAbgBnACAAegBvAG4AZQBcACIALAAgAFwAIgBcACIALAAgAFwAIgBJAG4AcAB1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DsAXABuACAAIAAgACAAIAAgACAAIAAgACAAXAAiAGkAcgBcACIALAAgAFwAIgBJAHIAcgBpAGcAYQB0AGkAbwBuACAAdAB5AHAAZQBcACIALAAgAFwAIgBcACIALAAgAFwAIgBJAG4AcAB1AHQAXAAiAFwAbgAgACAAIAAgACAAIAAgACAAfQAsACAAcgAsACAAYwApAFwAbgAgACAAIAAgACAAIAApAFwAbgAgACAAIAAgACkAXABuACAAIAApADsAXABuAFwAbgAgACAAVgBFAEUAUgBHAF8ANgBfADMAXwAxAF8AMQBfAF8AMgBfAF8ATQBhAHMAcwBPAGYATgBpAHQAcgBvAGcAZQBuAEwAbwBzAHQAVABoAHIAbwB1AGcAaABMAGUAYQBjAGgAaQBuAGcAQQBuAGQAUgB1AG4AbwBmAGYAXwBWAGEAcgBpAGEAdABpAG8AbgBcAG4AIAAgAD0ATABBAE0AQgBEAEEAKABcACIAXAAiACkAOwBcAG4AXABuAFwAbgBcAG4AIgB9ACwAewAiAHAAYQB0AGgAIgA6ACIALwBwAHIAbwBqAGUAYwB0AHMALwBBAGcAUgBlAHMAaQBkAHUAZQBfAEUAcQB1AGEAdABpAG8AbgBzAF8ARgBpAGUAbABkAEIAdQByAG4AaQBuAGcAIgAsACIAdABlAHgAdAAiADoAIgAvACoAIABcAG4ALQAtAC0ALQAtAC0ALQAtAC0ALQAtAC0ALQAtAC0ALQAtAC0ALQAtAC0ALQAtAC0ALQAtAC0ALQAtAC0ALQAtAC0ALQAtAC0ALQAtAFwAbgBWAEUARQBSAEcAXwA2AF8ANABfADEAXwAxAF8AXwAxAF8AXwBNAGUAdABoAGEAbgBlAEUAbQBpAHMAcwBpAG8AbgBzAEYAcgBvAG0AQgB1AHIAbgBpAG4AZwBPAGYAQwByAG8AcABSAGUAcwBpAGQAdQBlAHMAXABuAE0AZQB0AGgAYQBuAGUAIABlAG0AaQBzAHMAaQBvAG4AcwAgAGYAcgBvAG0AIAB0AGgAZQAgAGIAdQByAG4AaQBuAGcAIABvAGYAIABjAHIAbwBwACAAcgBlAHMAaQBkAHUAZQBzAFwAbgBFAEMASAA0AFwAbgB0ACAAQwBIADQAXABuAEUAXwB7AEMASAA0AH0APQBcAG4AXABcAHMAdQBtAF8AewBjAH0AKABNAF8AewBiAHUAcgBuACwAYwB9AFwAXAB0AGkAbQBlAHMAIABDAEMAXwB7AGMAfQBcAFwAdABpAG0AZQBzACAARQBGAF8AewBDAEgANAB9AFwAXAB0AGkAbQBlAHMAIABDAF8AewBDAEgANAB9AFwAXAB0AGkAbQBlAHMAIAAxADAAXgB7AC0AMwB9ACkAXABuAE0AXwBiAHUAcgBuAGMAIAA9ACAAbQBhAHMAcwAgAG8AZgAgAHIAZQBzAGkAZAB1AGUAIABiAHUAcgBuAHQAIABmAG8AcgAgAGMAcgBvAHAAIAB0AHkAcABlACAAYwAgACgAawBnACkAXABuAEMAQwBfAGMAIAA9ACAAYwBhAHIAYgBvAG4AIABtAGEAcwBzACAAZgByAGEAYwB0AGkAbwBuACAAaQBuACAAdABoAGUAIAByAGUAcwBpAGQAdQBlAHMAIABvAGYAIABjAHIAbwBwACAAdAB5AHAAZQAgAGMAIAAoAGQAaQBtAGUAbgBzAGkAbwBuAGwAZQBzAHMAKQBcAG4ARQBGAF8AQwBIADQAIAA9ACAAZQBtAGkAcwBzAGkAbwBuACAAZgBhAGMAdABvAHIAIABmAG8AcgAgAG0AZQB0AGgAYQBuAGUAIABmAHIAbwBtACAAYgB1AHIAbgBpAG4AZwAgAG8AZgAgAGMAcgBvAHAAIAByAGUAcwBpAGQAdQBlAHMAIAAoAGsAZwAgAEMASAA0AC8AawBnACAAQwBIADQAIABiAHUAcgBuAHQAKQBcAG4AQwBDAEgANAAgAD0AIABmAGEAYwB0AG8AcgAgAHQAbwAgAGMAbwBuAHYAZQByAHQAIABlAGwAZQBtAGUAbgB0AGEAbAAgAG0AYQBzAHMAIABvAGYAIABtAGUAdABoAGEAbg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QBfAF8ATQBlAHQAaABhAG4AZQBFAG0AaQBzAHMAaQBvAG4AcwBGAHIAbwBtAEIAdQByAG4AaQBuAGcATwBmAEMAcgBvAHAAUgBlAHMAaQBkAHUAZQBzAFwAbgAgACAAPQBMAEEATQBCAEQAQQAoAFwAbgAgACAAIAAgAE0AXwBiAHUAcgBuAGMALAAgAEMAQwBfAGMALAAgAEUARgBfAEMASAA0ACwAIABDAF8AQwBIADQALABcAG4AIAAgACAAIAAoAE0AXwBiAHUAcgBuAGMAIAAqACAAQwBDAF8AYwApACAAKgAgAEUARgBfAEMASAA0ACAAKgAgAEMAXwBDAEgANAAgACoAIAAxADAAXgAoAC0AMwApAFwAbgAgACAAKQA7AFwAbgBcAG4AVgBFAEUAUgBHAF8ANgBfADQAXwAxAF8AMQBfAF8AMQBfAF8ATQBlAHQAaABhAG4AZQBFAG0AaQBzAHMAaQBvAG4AcwBGAHIAbwBtAEIAdQByAG4AaQBuAGcATwBmAEMAcgBvAHAAUgBlAHMAaQBkAHUAZQBzAF8ARgB1AG4AYwB0AGkAbwBuAE4AYQBtAGUAXABuACAAIAA9AEwAQQBNAEIARABBACgAXAAiAFYARQBFAFIARwBfADYAXwA0AF8AMQBfADEAXwBfADEAXwBfAE0AZQB0AGgAYQBuAGUARQBtAGkAcwBzAGkAbwBuAHMARgByAG8AbQBCAHUAcgBuAGkAbgBnAE8AZgBDAHIAbwBwAFIAZQBzAGkAZAB1AGUAcwBcACIAKQA7AFwAbgBcAG4AVgBFAEUAUgBHAF8ANgBfADQAXwAxAF8AMQBfAF8AMQBfAF8ATQBlAHQAaABhAG4AZQBFAG0AaQBzAHMAaQBvAG4AcwBGAHIAbwBtAEIAdQByAG4AaQBuAGcATwBmAEMAcgBvAHAAUgBlAHMAaQBkAHUAZQBzAF8AVABpAHQAbABlAFwAbgAgACAAPQBMAEEATQBCAEQAQQAoAFwAIgBNAGUAdABoAGEAbgBlACAAZQBtAGkAcwBzAGkAbwBuAHMAIABmAHIAbwBtACAAdABoAGUAIABiAHUAcgBuAGkAbgBnACAAbwBmACAAYwByAG8AcAAgAHIAZQBzAGkAZAB1AGUAcwBcACIAKQA7AFwAbgBcAG4AVgBFAEUAUgBHAF8ANgBfADQAXwAxAF8AMQBfAF8AMQBfAF8ATQBlAHQAaABhAG4AZQBFAG0AaQBzAHMAaQBvAG4AcwBGAHIAbwBtAEIAdQByAG4AaQBuAGcATwBmAEMAcgBvAHAAUgBlAHMAaQBkAHUAZQBzAF8AVgBhAHIAaQBhAGIAbABlAFwAbgAgACAAPQBMAEEATQBCAEQAQQAoAFwAIgBFAEMASAA0AFwAIgApADsAXABuAFwAbgBWAEUARQBSAEcAXwA2AF8ANABfADEAXwAxAF8AXwAxAF8AXwBNAGUAdABoAGEAbgBlAEUAbQBpAHMAcwBpAG8AbgBzAEYAcgBvAG0AQgB1AHIAbgBpAG4AZwBPAGYAQwByAG8AcABSAGUAcwBpAGQAdQBlAHMAXwBVAG4AaQB0AFwAbgAgACAAPQBMAEEATQBCAEQAQQAoAFwAIgB0ACAAQwBIADQAXAAiACkAOwBcAG4AXABuAFYARQBFAFIARwBfADYAXwA0AF8AMQBfADEAXwBfADEAXwBfAE0AZQB0AGgAYQBuAGUARQBtAGkAcwBzAGkAbwBuAHMARgByAG8AbQBCAHUAcgBuAGkAbgBnAE8AZgBDAHIAbwBwAFIAZQBzAGkAZAB1AGUAcwBfAFMAbwB1AHIAYwBlAFwAbgAgACAAPQBMAEEATQBCAEQAQQAoAFwAIgBWAEUARQBSAEcAIAAyADAAMgA2ADoAIAA2AC4ANAAuADEALgAxACwAIABFAHEAdQBhAHQAaQBvAG4AIAAoADEAKQBcACIAKQA7AFwAbgBcAG4AVgBFAEUAUgBHAF8ANgBfADQAXwAxAF8AMQBfAF8AMQBfAF8ATQBlAHQAaABhAG4AZQBFAG0AaQBzAHMAaQBvAG4AcwBGAHIAbwBtAEIAdQByAG4AaQBuAGcATwBmAEMAcgBvAHAAUgBlAHMAaQBkAHUAZQBzAF8ATgBJAFIAUgBlAGYAZQByAGUAbgBjAGUAXABuACAAIAA9AEwAQQBNAEIARABBACgAXAAiAFwAIgApADsAXABuAFwAbgBWAEUARQBSAEcAXwA2AF8ANABfADEAXwAxAF8AXwAxAF8AXwBNAGUAdABoAGEAbgBlAEUAbQBpAHMAcwBpAG8AbgBzAEYAcgBvAG0AQgB1AHIAbgBpAG4AZwBPAGYAQwByAG8AcABSAGUAcwBpAGQAdQBlAHMAXwBMAGEAdABlAHgARQBxAHUAYQB0AGkAbwBuAFwAbgAgACAAPQBMAEEATQBCAEQAQQAoAFwAIgBFAF8AewBDAEgANAB9AD0AXABcAHMAdQBtAFwAXABuAG8AbABpAG0AaQB0AHMAXwBjACgATQBfAHsAYgB1AHIAbgAsAGMAfQBcAFwAdABpAG0AZQBzACAAQwBDAF8AewBjAH0AKQBcAFwAdABpAG0AZQBzACAARQBGAF8AewBDAEgANAB9AFwAXAB0AGkAbQBlAHMAIABDAF8AewBDAEgANAB9AFwAXAB0AGkAbQBlAHMAIAAxADAAXgB7AC0AMwB9AFwAIgApADsAXABuAFwAbgBWAEUARQBSAEcAXwA2AF8ANABfADEAXwAxAF8AXwAxAF8AXwBNAGUAdABoAGEAbg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MAQwBfAGMAXAAiACwAXAAiAGMAYQByAGIAbwBuACAAbQBhAHMAcwAgAGYAcgBhAGMAdABpAG8AbgAgAGkAbgAgAHQAaABlACAAcgBlAHMAaQBkAHUAZQBzACAAbwBmACAAYwByAG8AcAAgAHQAeQBwAGUAIABjAFwAIgAsACAAXAAiAGYAcgBhAGMAdABpAG8AbgBcACIALAAgAFwAIgBDAG8AbgBzAHQAYQBuAHQAXAAiADsAXABuACAAIAAgACAAIAAgACAAIAAgACAAXAAiAEUARgBfAEMASAA0AFwAIgAsAFwAIgBlAG0AaQBzAHMAaQBvAG4AIABmAGEAYwB0AG8AcgAgAGYAbwByACAAbQBlAHQAaABhAG4AZQAgAGYAcgBvAG0AIABiAHUAcgBuAGkAbgBnACAAbwBmACAAYwByAG8AcAAgAHIAZQBzAGkAZAB1AGUAcwBcACIALAAgAFwAIgBrAGcAIABDAEgANAAgAC8AIABrAGcAIABDAEgANAAgAGIAdQByAG4AdABcACIALAAgAFwAIgBDAG8AbgBzAHQAYQBuAHQAXAAiADsAXABuACAAIAAgACAAIAAgACAAIAAgACAAXAAiAEMAXwBDAEgANABcACIALABcACIAZgBhAGMAdABvAHIAIAB0AG8AIABjAG8AbgB2AGUAcgB0ACAAZQBsAGUAbQBlAG4AdABhAGwAIABtAGEAcwBzACAAbwBmACAAbQBlAHQAaABhAG4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gBfAF8ATgBpAHQAcgBvAHUAcwBPAHgAaQBkAGUARQBtAGkAcwBzAGkAbwBuAHMARgByAG8AbQBCAHUAcgBuAGkAbgBnAE8AZgBDAHIAbwBwAFIAZQBzAGkAZAB1AGUAcwBcAG4ATgBpAHQAcgBvAHUAcwAgAG8AeABpAGQAZQAgAGUAbQBpAHMAcwBpAG8AbgBzACAAZgByAG8AbQAgAHQAaABlACAAYgB1AHIAbgBpAG4AZwAgAG8AZgAgAGMAcgBvAHAAIAByAGUAcwBpAGQAdQBlAHMAXABuAEUATgAyAE8AXABuAHQAIABOADIATwBcAG4ARQBfAHsATgAyAE8AfQA9AFwAXABzAHUAbQBfAHsAYwB9ACgATQBfAHsAYgB1AHIAbgAsAGMAfQBcAFwAdABpAG0AZQBzACAATgBDAF8AewBBAEcAYwB9AFwAXAB0AGkAbQBlAHMAIABFAEYAXwB7AE4AMgBPAH0AXABcAHQAaQBtAGUAcwAgAEMAXwB7AE4AMgBPAH0AXABcAHQAaQBtAGUAcwAgADEAMABeAHsALQAzAH0AKQBcAG4ATQBfAGIAdQByAG4AYwAgAD0AIABtAGEAcwBzACAAbwBmACAAcgBlAHMAaQBkAHUAZQAgAGIAdQByAG4AdAAgAGYAbwByACAAYwByAG8AcAAgAHQAeQBwAGUAIABjACAAKABrAGcAKQBcAG4ATgBDAF8AQQBHAGMAIAA9ACAAbgBpAHQAcgBvAGcAZQBuACAAYwBvAG4AdABlAG4AdAAgAGkAbgAgAHQAaABlACAAYQBiAG8AdgBlAC0AZwByAG8AdQBuAGQAIAByAGUAcwBpAGQAdQBlACAAbwBmACAAYwByAG8AcAAgAHQAeQBwAGUAIABjACAAKABrAGcAIABOAC8AawBnACAARABNACkAXABuAEUARgBfAE4AMgBPACAAPQAgAGUAbQBpAHMAcwBpAG8AbgAgAGYAYQBjAHQAbwByACAAZgBvAHIAIABuAGkAdAByAG8AdQBzACAAbwB4AGkAZABlACAAZgByAG8AbQAgAGIAdQByAG4AaQBuAGcAIABvAGYAIABjAHIAbwBwACAAcgBlAHMAaQBkAHUAZQBzACAAKABrAGcAIABOADIATwAvAGsAZwAgAE4AMgBPACAAYgB1AHIAbgB0ACkAXABuAEMAXwBOADIATwAgAD0AIABmAGEAYwB0AG8AcgAgAHQAbwAgAGMAbwBuAHYAZQByAHQAIABlAGwAZQBtAGUAbgB0AGEAbAAgAG0AYQBzAHMAIABvAGYAIABuAGkAdAByAG8AdQBzACAAbwB4AGkAZA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gBfAF8ATgBpAHQAcgBvAHUAcwBPAHgAaQBkAGUARQBtAGkAcwBzAGkAbwBuAHMARgByAG8AbQBCAHUAcgBuAGkAbgBnAE8AZgBDAHIAbwBwAFIAZQBzAGkAZAB1AGUAcwBcAG4AIAAgAD0ATABBAE0AQgBEAEEAKABcAG4AIAAgACAAIABNAF8AYgB1AHIAbgBjACwAIABOAEMAXwBBAEcAYwAsACAARQBGAF8ATgAyAE8ALAAgAEMAXwBOADIATwAsAFwAbgAgACAAIAAgACgATQBfAGIAdQByAG4AYwAgACoAIABOAEMAXwBBAEcAYwApACAAKgAgAEUARgBfAE4AMgBPACAAKgAgAEMAXwBOADIATwAgACoAIAAxADAAXgAoAC0AMwApAFwAbgAgACAAKQA7AFwAbgBcAG4AVgBFAEUAUgBHAF8ANgBfADQAXwAxAF8AMQBfAF8AMgBfAF8ATgBpAHQAcgBvAHUAcwBPAHgAaQBkAGUARQBtAGkAcwBzAGkAbwBuAHMARgByAG8AbQBCAHUAcgBuAGkAbgBnAE8AZgBDAHIAbwBwAFIAZQBzAGkAZAB1AGUAcwBfAEYAdQBuAGMAdABpAG8AbgBOAGEAbQBlAFwAbgAgACAAPQBMAEEATQBCAEQAQQAoAFwAIgBWAEUARQBSAEcAXwA2AF8ANABfADEAXwAxAF8AXwAyAF8AXwBOAGkAdAByAG8AdQBzAE8AeABpAGQAZQBFAG0AaQBzAHMAaQBvAG4AcwBGAHIAbwBtAEIAdQByAG4AaQBuAGcATwBmAEMAcgBvAHAAUgBlAHMAaQBkAHUAZQBzAFwAIgApADsAXABuAFwAbgBWAEUARQBSAEcAXwA2AF8ANABfADEAXwAxAF8AXwAyAF8AXwBOAGkAdAByAG8AdQBzAE8AeABpAGQAZQBFAG0AaQBzAHMAaQBvAG4AcwBGAHIAbwBtAEIAdQByAG4AaQBuAGcATwBmAEMAcgBvAHAAUgBlAHMAaQBkAHUAZQBzAF8AVABpAHQAbABlAFwAbgAgACAAPQBMAEEATQBCAEQAQQAoAFwAIgBOAGkAdAByAG8AdQBzACAAbwB4AGkAZABlACAAZQBtAGkAcwBzAGkAbwBuAHMAIABmAHIAbwBtACAAdABoAGUAIABiAHUAcgBuAGkAbgBnACAAbwBmACAAYwByAG8AcAAgAHIAZQBzAGkAZAB1AGUAcwBcACIAKQA7AFwAbgBcAG4AVgBFAEUAUgBHAF8ANgBfADQAXwAxAF8AMQBfAF8AMgBfAF8ATgBpAHQAcgBvAHUAcwBPAHgAaQBkAGUARQBtAGkAcwBzAGkAbwBuAHMARgByAG8AbQBCAHUAcgBuAGkAbgBnAE8AZgBDAHIAbwBwAFIAZQBzAGkAZAB1AGUAcwBfAFYAYQByAGkAYQBiAGwAZQBcAG4AIAAgAD0ATABBAE0AQgBEAEEAKABcACIARQBOADIATwBcACIAKQA7AFwAbgBcAG4AVgBFAEUAUgBHAF8ANgBfADQAXwAxAF8AMQBfAF8AMgBfAF8ATgBpAHQAcgBvAHUAcwBPAHgAaQBkAGUARQBtAGkAcwBzAGkAbwBuAHMARgByAG8AbQBCAHUAcgBuAGkAbgBnAE8AZgBDAHIAbwBwAFIAZQBzAGkAZAB1AGUAcwBfAFUAbgBpAHQAXABuACAAIAA9AEwAQQBNAEIARABBACgAXAAiAHQAIABOADIATwBcACIAKQA7AFwAbgBcAG4AVgBFAEUAUgBHAF8ANgBfADQAXwAxAF8AMQBfAF8AMgBfAF8ATgBpAHQAcgBvAHUAcwBPAHgAaQBkAGUARQBtAGkAcwBzAGkAbwBuAHMARgByAG8AbQBCAHUAcgBuAGkAbgBnAE8AZgBDAHIAbwBwAFIAZQBzAGkAZAB1AGUAcwBfAFMAbwB1AHIAYwBlAFwAbgAgACAAPQBMAEEATQBCAEQAQQAoAFwAIgBWAEUARQBSAEcAIAAyADAAMgA2ADoAIAA2AC4ANAAuADEALgAxACwAIABFAHEAdQBhAHQAaQBvAG4AIAAoADIAKQBcACIAKQA7AFwAbgBcAG4AVgBFAEUAUgBHAF8ANgBfADQAXwAxAF8AMQBfAF8AMgBfAF8ATgBpAHQAcgBvAHUAcwBPAHgAaQBkAGUARQBtAGkAcwBzAGkAbwBuAHMARgByAG8AbQBCAHUAcgBuAGkAbgBnAE8AZgBDAHIAbwBwAFIAZQBzAGkAZAB1AGUAcwBfAE4ASQBSAFIAZQBmAGUAcgBlAG4AYwBlAFwAbgAgACAAPQBMAEEATQBCAEQAQQAoAFwAIgBcACIAKQA7AFwAbgBcAG4AVgBFAEUAUgBHAF8ANgBfADQAXwAxAF8AMQBfAF8AMgBfAF8ATgBpAHQAcgBvAHUAcwBPAHgAaQBkAGUARQBtAGkAcwBzAGkAbwBuAHMARgByAG8AbQBCAHUAcgBuAGkAbgBnAE8AZgBDAHIAbwBwAFIAZQBzAGkAZAB1AGUAcwBfAEwAYQB0AGUAeABFAHEAdQBhAHQAaQBvAG4AXABuACAAIAA9AEwAQQBNAEIARABBACgAXAAiAEUAXwB7AE4AMgBPAH0APQBcAFwAcwB1AG0AXABcAG4AbwBsAGkAbQBpAHQAcwBfAGMAKABNAF8AewBiAHUAcgBuACwAYwB9AFwAXAB0AGkAbQBlAHMAIABOAEMAXwB7AEEARwBjAH0AKQBcAFwAdABpAG0AZQBzACAARQBGAF8AewBOADIATwB9AFwAXAB0AGkAbQBlAHMAIABDAF8AewBOADIATwB9AFwAXAB0AGkAbQBlAHMAIAAxADAAXgB7AC0AMwB9AFwAIgApADsAXABuAFwAbgBWAEUARQBSAEcAXwA2AF8ANABfADEAXwAxAF8AXwAyAF8AXwBOAGkAdAByAG8AdQBzAE8AeABpAGQ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OAEMAXwBBAEcAYwBcACIALABcACIAbgBpAHQAcgBvAGcAZQBuACAAYwBvAG4AdABlAG4AdAAgAGkAbgAgAHQAaABlACAAYQBiAG8AdgBlAC0AZwByAG8AdQBuAGQAIAByAGUAcwBpAGQAdQBlACAAbwBmACAAYwByAG8AcAAgAHQAeQBwAGUAIABjAFwAIgAsACAAXAAiAGsAZwAgAE4ALwBrAGcAIABEAE0AXAAiACwAIABcACIAQwBvAG4AcwB0AGEAbgB0AFwAIgA7AFwAbgAgACAAIAAgACAAIAAgACAAIAAgAFwAIgBFAEYAXwBOADIATwBcACIALABcACIAZQBtAGkAcwBzAGkAbwBuACAAZgBhAGMAdABvAHIAIABmAG8AcgAgAG4AaQB0AHIAbwB1AHMAIABvAHgAaQBkAGUAIABmAHIAbwBtACAAYgB1AHIAbgBpAG4AZwAgAG8AZgAgAGMAcgBvAHAAIAByAGUAcwBpAGQAdQBlAHMAXAAiACwAIABcACIAawBnACAATgAyAE8ALwBrAGcAIABOADIATwAgAGIAdQByAG4Ad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wBfAF8ATQBhAHMAcwBPAGYAQwByAG8AcABSAGUAcwBpAGQAdQBlAEIAdQByAG4AdABcAG4ATQBhAHMAcwAgAG8AZgAgAHIAZQBzAGkAZAB1AGUAIABvAGYAIABjAHIAbwBwACAAYwAgAGIAdQByAG4AdABcAG4ATQBfAGIAdQByAG4AYwBcAG4AawBnAFwAbgBNAF8AewBiAHUAcgBuACwAYwB9AD0AUABfAHsAYwB9AFwAXAB0AGkAbQBlAHMAIABSAF8AewBBAEcAYwB9AFwAXAB0AGkAbQBlAHMAIABTAF8AewBjAH0AXABcAHQAaQBtAGUAcwAgAEQATQBfAHsAYwB9AFwAXAB0AGkAbQBlAHMAIABaAF8AewBjAH0AXABcAHQAaQBtAGUAcwAgAEYAXwB7AGMAfQBcAG4AUABfAGMAIAA9ACAAYQBuAG4AdQBhAGwAIABwAHIAbwBkAHUAYwB0AGkAbwBuACAAbwBmACAAYwByAG8AcAAgAHQAeQBwAGUAIABjACAAKABrAGcAKQBcAG4AUgBfAEEARwBjACAAPQAgAHIAZQBzAGkAZAB1AGUAIAB0AG8AIABjAHIAbwBwACAAcgBhAHQAaQBvACAAbwBmACAAYwByAG8AcAAgAHQAeQBwAGUAIABjACAAKABrAGcAIABjAHIAbwBwACAAcgBlAHMAaQBkAHUAZQAvAGsAZwAgAGMAcgBvAHAAKQBcAG4AUwBfAGMAIAA9ACAAZgByAGEAYwB0AGkAbwBuACAAbwBmACAAcgBlAHMAaQBkAHUAZQBzACAAbwBmACAAYwByAG8AcAAgAHQAeQBwAGUAIABjACAAcgBlAG0AYQBpAG4AaQBuAGcAIABhAHQAIABiAHUAcgBuAGkAbgBnACAAKABkAGkAbQBlAG4AcwBpAG8AbgBsAGUAcwBzACkAXABuAEQATQBfAGMAIAA9ACAAZAByAHkAIABtAGEAdAB0AGUAcgAgAGMAbwBuAHQAZQBuAHQAIABvAGYAIABjAHIAbwBwACAAdAB5AHAAZQAgAGMAIAAoAGsAZwAgAGQAcgB5ACAAdwBlAGkAZwBoAHQALwBrAGcAIABjAHIAbwBwACAAcgBlAHMAaQBkAHUAZQApAFwAbgBaAF8AYwAgAD0AIABiAHUAcgBuAGkAbgBnACAAZQBmAGYAaQBjAGkAZQBuAGMAeQAgACgAcgBhAHQAaQBvACAAbwBmACAAZgB1AGUAbAAgAGIAdQByAG4AdAAgAHQAbwAgAGYAdQBlAGwAIABsAG8AYQBkACkAIABvAGYAIABjAHIAbwBwACAAdAB5AHAAZQAgAGMAIAAoAGQAaQBtAGUAbgBzAGkAbwBuAGwAZQBzAHMAKQBcAG4ARgBfAGMAIAA9ACAAZgByAGEAYwB0AGkAbwBuACAAbwBmACAAdABoAGUAIABhAG4AbgB1AGEAbAAgAHAAcgBvAGQAdQBjAHQAaQBvAG4AIABvAGYAIABjAHIAbwBwACAAdAB5AHAAZQAgAGMAIAB0AGgAYQB0ACAAaQBzACAAYgB1AHIAbgB0ACAAKABkAGkAbQBlAG4AcwBpAG8AbgBsAGUAcwBzACkAXABuAGMAIAA9ACAAQwByAG8AcAAgAHQAeQBwAGUAXABuAC0ALQAtAC0ALQAtAC0ALQAtAC0ALQAtAC0ALQAtAC0ALQAtAC0ALQAtAC0ALQAtAC0ALQAtAC0ALQAtAC0ALQAtAC0ALQAtAC0ALQBcAG4AKgAvAFwAbgBcAG4AVgBFAEUAUgBHAF8ANgBfADQAXwAxAF8AMQBfAF8AMwBfAF8ATQBhAHMAcwBPAGYAQwByAG8AcABSAGUAcwBpAGQAdQBlAEIAdQByAG4AdABcAG4AIAAgAD0ATABBAE0AQgBEAEEAKABcAG4AIAAgACAAIABQAF8AYwAsACAAUgBfAEEARwBjACwAIABTAF8AYwAsACAARABNAF8AYwAsACAAWgBfAGMALAAgAEYAXwBjACwAXABuACAAIAAgACAAUABfAGMAIAAqACAAUgBfAEEARwBjACAAKgAgAFMAXwBjACAAKgAgAEQATQBfAGMAIAAqACAAWgBfAGMAIAAqACAARgBfAGMAXABuACAAIAApADsAXABuAFwAbgBWAEUARQBSAEcAXwA2AF8ANABfADEAXwAxAF8AXwAzAF8AXwBNAGEAcwBzAE8AZgBDAHIAbwBwAFIAZQBzAGkAZAB1AGUAQgB1AHIAbgB0AF8ARgB1AG4AYwB0AGkAbwBuAE4AYQBtAGUAXABuACAAIAA9AEwAQQBNAEIARABBACgAXAAiAFYARQBFAFIARwBfADYAXwA0AF8AMQBfADEAXwBfADMAXwBfAE0AYQBzAHMATwBmAEMAcgBvAHAAUgBlAHMAaQBkAHUAZQBCAHUAcgBuAHQAXAAiACkAOwBcAG4AXABuAFYARQBFAFIARwBfADYAXwA0AF8AMQBfADEAXwBfADMAXwBfAE0AYQBzAHMATwBmAEMAcgBvAHAAUgBlAHMAaQBkAHUAZQBCAHUAcgBuAHQAXwBUAGkAdABsAGUAXABuACAAIAA9AEwAQQBNAEIARABBACgAXAAiAE0AYQBzAHMAIABvAGYAIAByAGUAcwBpAGQAdQBlACAAbwBmACAAYwByAG8AcAAgAGMAIABiAHUAcgBuAHQAXAAiACkAOwBcAG4AXABuAFYARQBFAFIARwBfADYAXwA0AF8AMQBfADEAXwBfADMAXwBfAE0AYQBzAHMATwBmAEMAcgBvAHAAUgBlAHMAaQBkAHUAZQBCAHUAcgBuAHQAXwBWAGEAcgBpAGEAYgBsAGUAXABuACAAIAA9AEwAQQBNAEIARABBACgAXAAiAE0AXwBiAHUAcgBuAGMAXAAiACkAOwBcAG4AXABuAFYARQBFAFIARwBfADYAXwA0AF8AMQBfADEAXwBfADMAXwBfAE0AYQBzAHMATwBmAEMAcgBvAHAAUgBlAHMAaQBkAHUAZQBCAHUAcgBuAHQAXwBVAG4AaQB0AFwAbgAgACAAPQBMAEEATQBCAEQAQQAoAFwAIgBrAGcAXAAiACkAOwBcAG4AXABuAFYARQBFAFIARwBfADYAXwA0AF8AMQBfADEAXwBfADMAXwBfAE0AYQBzAHMATwBmAEMAcgBvAHAAUgBlAHMAaQBkAHUAZQBCAHUAcgBuAHQAXwBTAG8AdQByAGMAZQBcAG4AIAAgAD0ATABBAE0AQgBEAEEAKABcACIAVgBFAEUAUgBHACAAMgAwADIANgA6ACAANgAuADQALgAxAC4AMQAsACAARQBxAHUAYQB0AGkAbwBuACAAKAAzACkAXAAiACkAOwBcAG4AXABuAFYARQBFAFIARwBfADYAXwA0AF8AMQBfADEAXwBfADMAXwBfAE0AYQBzAHMATwBmAEMAcgBvAHAAUgBlAHMAaQBkAHUAZQBCAHUAcgBuAHQAXwBOAEkAUgBSAGUAZgBlAHIAZQBuAGMAZQBcAG4AIAAgAD0ATABBAE0AQgBEAEEAKABcACIAXAAiACkAOwBcAG4AXABuAFYARQBFAFIARwBfADYAXwA0AF8AMQBfADEAXwBfADMAXwBfAE0AYQBzAHMATwBmAEMAcgBvAHAAUgBlAHMAaQBkAHUAZQBCAHUAcgBuAHQAXwBMAGEAdABlAHgARQBxAHUAYQB0AGkAbwBuAFwAbgAgACAAPQBMAEEATQBCAEQAQQAoAFwAIgBNAF8AewBiAHUAcgBuACwAYwB9AD0AUABfAHsAYwB9AFwAXAB0AGkAbQBlAHMAIABSAF8AewBBAEcAYwB9AFwAXAB0AGkAbQBlAHMAIABTAF8AewBjAH0AXABcAHQAaQBtAGUAcwAgAEQATQBfAHsAYwB9AFwAXAB0AGkAbQBlAHMAIABaAF8AewBjAH0AXABcAHQAaQBtAGUAcwAgAEYAXwB7AGMAfQBcACIAKQA7AFwAbgBcAG4AVgBFAEUAUgBHAF8ANgBfADQAXwAxAF8AMQBfAF8AMwBfAF8ATQBhAHMAcwBPAGYAQwByAG8AcABSAGUAcwBpAGQAdQBlAEIAdQByAG4AdABfAEEAcgBnAHUAbQBlAG4AdABzAFwAbgAgACAAPQBMAEEATQBCAEQAQQAoAFwAbgAgACAAIAAgAE0AQQBLAEUAQQBSAFIAQQBZACgANwAsACAANAAsAFwAbgAgACAAIAAgACAAIABMAEEATQBCAEQAQQAoAHIALABjACwAXABuACAAIAAgACAAIAAgACAAIABJAE4ARABFAFgAKAB7AFwAbgAgACAAIAAgACAAIAAgACAAIAAgAFwAIgBQAF8AYwBcACIALABcACIAYQBuAG4AdQBhAGwAIABwAHIAbwBkAHUAYwB0AGkAbwBuACAAbwBmACAAYwByAG8AcAAgAHQAeQBwAGUAIABjAFwAIgAsACAAXAAiAGsAZwBcACIALAAgAFwAIgBJAG4AcAB1AHQAXAAiADsAXABuACAAIAAgACAAIAAgACAAIAAgACAAXAAiAFIAXwBBAEcAYwBcACIALABcACIAcgBlAHMAaQBkAHUAZQAgAHQAbwAgAGMAcgBvAHAAIAByAGEAdABpAG8AIABvAGYAIABjAHIAbwBwACAAdAB5AHAAZQAgAGMAXAAiACwAIABcACIAawBnACAAYwByAG8AcAAgAHIAZQBzAGkAZAB1AGUALwBrAGcAIABjAHIAbwBwAFwAIgAsACAAXAAiAEMAbwBuAHMAdABhAG4AdABcACIAOwBcAG4AIAAgACAAIAAgACAAIAAgACAAIABcACIAUwBfAGMAXAAiACwAXAAiAGYAcgBhAGMAdABpAG8AbgAgAG8AZgAgAHIAZQBzAGkAZAB1AGUAcwAgAG8AZgAgAGMAcgBvAHAAIAB0AHkAcABlACAAYwAgAHIAZQBtAGEAaQBuAGkAbgBnACAAYQB0ACAAYgB1AHIAbgBpAG4AZwBcACIALAAgAFwAIgBmAHIAYQBjAHQAaQBvAG4AXAAiACwAIABcACIAQwBvAG4AcwB0AGEAbgB0AFwAIgA7AFwAbgAgACAAIAAgACAAIAAgACAAIAAgAFwAIgBEAE0AXwBjAFwAIgAsAFwAIgBkAHIAeQAgAG0AYQB0AHQAZQByACAAYwBvAG4AdABlAG4AdAAgAG8AZgAgAGMAcgBvAHAAIAB0AHkAcABlACAAYwBcACIALAAgAFwAIgBrAGcAIABkAHIAeQAgAHcAZQBpAGcAaAB0AC8AawBnACAAYwByAG8AcAAgAHIAZQBzAGkAZAB1AGUAXAAiACwAIABcACIAQwBvAG4AcwB0AGEAbgB0AFwAIgA7AFwAbgAgACAAIAAgACAAIAAgACAAIAAgAFwAIgBaAF8AYwBcACIALABcACIAYgB1AHIAbgBpAG4AZwAgAGUAZgBmAGkAYwBpAGUAbgBjAHkAIAAoAHIAYQB0AGkAbwAgAG8AZgAgAGYAdQBlAGwAIABiAHUAcgBuAHQAIAB0AG8AIABmAHUAZQBsACAAbABvAGEAZAApACAAbwBmACAAYwByAG8AcAAgAHQAeQBwAGUAIABjAFwAIgAsACAAXAAiAFwAIgAsACAAXAAiAEMAbwBuAHMAdABhAG4AdABcACIAOwBcAG4AIAAgACAAIAAgACAAIAAgACAAIABcACIARgBfAGMAXAAiACwAXAAiAGYAcgBhAGMAdABpAG8AbgAgAG8AZgAgAHQAaABlACAAYQBuAG4AdQBhAGwAIABwAHIAbwBkAHUAYwB0AGkAbwBuACAAbwBmACAAYwByAG8AcAAgAHQAeQBwAGUAIABjACAAdABoAGEAdAAgAGkAcwAgAGIAdQByAG4AdABcACIALAAgAFwAIgBmAHIAYQBjAHQAaQBvAG4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IgB9ACwAewAiAHAAYQB0AGgAIgA6ACIALwBwAHIAbwBqAGUAYwB0AHMALwBBAGcAcgBlAHMAaQBkAHUAZQBfAFMAbwB1AHIAYwBlAEQAYQB0AGEAIgAsACIAdABlAHgAdAAiADoAIgAvACoAXABuAD0APQA9AD0APQA9AD0APQA9AD0APQA9AD0APQA9AD0APQA9AD0APQA9AD0APQA9AD0APQA9AD0APQA9AD0APQA9AD0APQA9AD0APQA9AD0APQA9AD0APQA9AD0APQA9AD0APQA9AD0APQA9AD0APQA9AD0APQA9AD0APQA9AD0APQA9AD0APQA9AD0APQA9AD0APQA9AD0AXABuAEMAcgBvAHAAIABwAHUAcgBwAG8AcwBlACAAYQBuAGQAIAB5AGkAZQBsAGQAXABuAD0APQA9AD0APQA9AD0APQA9AD0APQA9AD0APQA9AD0APQA9AD0APQA9AD0APQA9AD0APQA9AD0APQA9AD0APQA9AD0APQA9AD0APQA9AD0APQA9AD0APQA9AD0APQA9AD0APQA9AD0APQA9AD0APQA9AD0APQA9AD0APQA9AD0APQA9AD0APQA9AD0APQA9AD0APQA9AD0AXABuACoALwBcAG4AXABuAEMAcgBvAHAAUAB1AHIAcABvAHMAZQBBAG4AZABZAGkAZQBsAGQAXwBUAGkAdABsAGUAXABuAD0ATABBAE0AQgBEAEEAKAAoAFwAIgBDAHIAbwBwACAAcAB1AHIAcABvAHMAZQAgAGEAbgBkACAAeQBpAGUAbABkAFwAIgApACkAOwBcAG4AXABuAEMAcgBvAHAAUAB1AHIAcABvAHMAZQBBAG4AZABZAGkAZQBsAGQAXwBEAGEAdABhAFwAbgA9AEwAQQBNAEIARABBACgAXABuACAAIABNAEEASwBFAEEAUgBSAEEAWQAoADQALAAgADgALABcAG4AIAAgACAAIABMAEEATQBCAEQAQQAoAHIALABjACwAXABuACAAIAAgACAAIAAgAEkATgBEAEUAWAAoAHsAXABuACAAIAAgACAAIAAgACAAIABcACIAUAB1AHIAcABvAHMAZQBcACIALAAgAFwAIgBQAGUAcgAgAGgAZQBjAHQAYQByAGUAIAB1AG4AaQB0AFwAIgAsACAAXAAiAGgAYQByAHYAZQBzAHQAIAB0AGUAcgBtAFwAIgAsACAAXAAiAGgAYQByAHYAZQBzAHQAIABlAG4AZABwAG8AaQBuAHQAXAAiACwAIABcACIASABhAHIAdgBlAHMAdAAgAHUAaQB0AFwAIgAsACAAXAAiAFkAaQBlAGwAZAAgAG4AbwB0AGUAXAAiACwAIABcACIAUgBlAHMAaQBkAHUAZQAgAGMAcgBvAHAAIAByAGEAdABpAG8AIABuAG8AdABlAFwAIgAsACAAXAAiAFQAbwB0AGEAbAAgAHAAcgBvAGQAdQBjAHQAaQBvAG4AIABuAG8AdABlAFwAIgA7AFwAbgAgACAAIAAgACAAIAAgACAAXAAiAEMAYQBzAGgAIABnAHIAYQBpAG4AIABjAHIAbwBwAFwAIgAsACAAXAAiAGcAcgBhAGkAbgBcACIALAAgAFwAIgB5AGkAZQBsAGQAXAAiACwAIABcACIAaABhAHIAdgBlAHMAdABcACIALAAgAFwAIgBnAHIAYQBpAG4AXAAiACwAIABcACIAWQBpAGUAbABkACAAaQBzACAAdABoAGUAIABnAHIAYQBpAG4AIABoAGEAcgB2AGUAcwB0AGUAZAAgAGYAcgBvAG0AIAB0AGgAZQAgAHAAbABhAG4AdABcACIALAAgAFwAIgBSAGUAcwBpAGQAdQBlACAAdABvACAAYwByAG8AcAAgAHIAYQB0AGkAbwAgAGkAcwAgAHAAcgBvAHYAaQBkAGUAZAAgAGYAcgBvAG0AIABkAGUAZgBhAHUAbAB0ACAAdgBhAGwAdQBlAHMAXAAiACwAIABcACIAVABvAHQAYQBsACAAcAByAG8AZAB1AGMAdABpAG8AbgAgAGkAcwAgAHQAaABlACAAdABvAHQAYQBsACAAZwByAGEAaQBuACAAaABhAHIAdgBlAHMAdABlAGQAXAAiADsAXABuACAAIAAgACAAIAAgACAAIABcACIAQwBhAHMAaAAgAGMAcgBvAHAAIABmAG8AcgAgAGgAYQB5AC8AcwBpAGwAYQBnAGUAXAAiACwAIABcACIAYQBiAG8AdgBlACAAZwByAG8AdQBuAGQAIABiAGkAbwBtAGEAcwBzAFwAIgAsACAAXAAiAHkAaQBlAGwAZABcACIALAAgAFwAIgBoAGEAcgB2AGUAcwB0AFwAIgAsACAAXAAiAHAAbABhAG4AdAAgAGIAaQBvAG0AYQBzAHMAXAAiACwAIABcACIAWQBpAGUAbABkACAAaQBzACAAdABoAGUAIAB3AGgAbwBsAGUAIABwAGwAYQBuAHQAIABoAGEAcgB2AGUAcwB0AGUAZAAgAGYAbwByACAAaABhAHkALwBzAGkAbABhAGcAZQBcACIALAAgAFwAIgBSAGUAcwBpAGQAdQBlACAAdABvACAAYwByAG8AcAAgAHIAYQB0AGkAbwAgAGkAcwAgADAAIABhAHMAcwB1AG0AaQBuAGcAIAB0AGgAZQAgAHcAaABvAGwAZQAgAHAAbABhAG4AdAAgAGkAcwAgAGgAYQByAHYAZQBzAHQAZQBkACAAZgBvAHIAIABoAGEAeQAvAHMAaQBsAGEAZwBlAFwAIgAsACAAXAAiAFQAbwB0AGEAbAAgAHAAcgBvAGQAdQBjAHQAaQBvAG4AIABpAHMAIAB0AGgAZQAgAHQAbwB0AGEAbAAgAHcAaABvAGwAZQAgAHAAbABhAG4AdAAgAGIAaQBvAG0AYQBzAHMAIABoAGEAcgB2AGUAcwB0AGUAZAAgAGEAcwAgAGgAYQB5AC8AcwBpAGwAYQBnAGUAXAAiADsAXABuACAAIAAgACAAIAAgACAAIABcACIAQwBvAHYAZQByACAAYwByAG8AcABcACIALAAgAFwAIgBhAGIAbwB2AGUAIABnAHIAbwB1AG4AZAAgAGIAaQBvAG0AYQBzAHMAXAAiACwAIABcACIAbQBhAHMAcwBcACIALAAgAFwAIgBlAG4AZAAgAG8AZgAgAGMAcgBvAHAAIABjAHkAYwBsAGUAXAAiACwAIABcACIAYQBiAG8AdgBlACAAZwByAG8AdQBuAGQAIABiAGkAbwBtAGEAcwBzAFwAIgAsACAAXAAiAFkAaQBlAGwAZAAgAGkAcwAgAHQAaABlACAAdwBoAG8AbABlACAAcABsAGEAbgB0ACAAawBlAHAAdAAgAGEAcwAgAGMAbwB2AGUAcgAgAGMAcgBvAHAAXAAiACwAIABcACIAUgBlAHMAaQBkAHUAZQAgAHQAbwAgAGMAcgBvAHAAIAByAGEAdABpAG8AIABpAHMAIAAxACAAYQBzAHMAdQBtAGkAbgBnACAAdABoAGUAIAB3AGgAbwBsAGUAIABwAGwAYQBuAHQAIABpAHMAIABrAGUAcAB0ACAAYQBzACAAYwBvAHYAZQByACAAYwByAG8AcABcACIALAAgAFwAIgBUAG8AdABhAGwAIABwAHIAbwBkAHUAYwB0AGkAbwBuACAAaQBzACAAdABoAGUAIAB0AG8AdABhAGwAIAB3AGgAbwBsAGUAIABwAGwAYQBuAHQAIABiAGkAbwBtAGEAcwBzACAAawBlAHAAdAAgAGEAcwAgAGMAbwB2AGUAcgAgAGMAcgBvAHAAXAAiAFwAbgAgACAAIAAgACAAIAB9ACwAIAByACwAIABjACkAXABuACkAKQApADsAXABuAFwAbgAvACoAXABuAD0APQA9AD0APQA9AD0APQA9AD0APQA9AD0APQA9AD0APQA9AD0APQA9AD0APQA9AD0APQA9AD0APQA9AD0APQA9AD0APQA9AD0APQA9AD0APQA9AD0APQA9AD0APQA9AD0APQA9AD0APQA9AD0APQA9AD0APQA9AD0APQA9AD0APQA9AD0APQA9AD0APQA9AD0APQA9AD0AXABuAEMAcgBvAHAAIABhAHQAdAByAGkAYgB1AHQAZQBzAFwAbgA9AD0APQA9AD0APQA9AD0APQA9AD0APQA9AD0APQA9AD0APQA9AD0APQA9AD0APQA9AD0APQA9AD0APQA9AD0APQA9AD0APQA9AD0APQA9AD0APQA9AD0APQA9AD0APQA9AD0APQA9AD0APQA9AD0APQA9AD0APQA9AD0APQA9AD0APQA9AD0APQA9AD0APQA9AD0APQA9AFwAbgAqAC8AXABuAFwAbgBDAHIAbwBwAEEAdAB0AHIAaQBiAHUAdABlAHMAXwBUAGkAdABsAGUAXABuAD0ATABBAE0AQgBEAEEAKAAoAFwAIgBUAGEAYgBsAGUAIABBAC4AMgAuADEALgAxADoAIABDAHIAbwBwACAAYQB0AHQAcgBpAGIAdQB0AGUAcwBcACIAKQApADsAXABuAFwAbgBDAHIAbwBwAEEAdAB0AHIAaQBiAHUAdABlAHMAXwBEAGUAcwBjAHIAaQBwAHQAaQBvAG4AXABuAD0ATABBAE0AQgBEAEEAKAAoAFwAIgBDAHIAbwBwACAAYQB0AHQAcgBpAGIAdQB0AGUAcwBcACIAKQApADsAXABuAFwAbgBDAHIAbwBwAEEAdAB0AHIAaQBiAHUAdABlAHMAXwBTAG8AdQByAGMAZQBcAG4APQBMAEEATQBCAEQAQQAoACgAXAAiAFYARQBFAFIARwAgADIAMAAyADYAOgAgAFQAYQBiAGwAZQAgAEEALgAyAC4AMQAuADEAOgAgAEMAcgBvAHAAIABhAHQAdAByAGkAYgB1AHQAZQBzAFwAIgApACkAOwBcAG4AXABuAEMAcgBvAHAAQQB0AHQAcgBpAGIAdQB0AGUAcwBfAEQAYQB0AGEAXABuAD0ATABBAE0AQgBEAEEAKABcAG4AIAAgAE0AQQBLAEUAQQBSAFIAQQBZACgAMgAwACwAIAA5ACwAXABuACAAIAAgACAATABBAE0AQgBEAEEAKAByACwAYwAsAFwAbgAgACAAIAAgACAAIABJAE4ARABFAFgAKAB7AFwAbgAgACAAIAAgACAAIAAgACAAXAAiAEMAcgBvAHAAIAB0AHkAcABlAFwAIgAsACAAXAAiAFIAZQBzAGkAZAB1AGUAOgAgAEMAcgBvAHAAIAByAGEAdABpAG8AXAAiACwAIABcACIAQgBlAGwAbwB3AC0AZwByAG8AdQBuAGQAOgAgAGEAYgBvAHYAZQAtAGcAcgBvAHUAbgBkACAAcgBlAHMAaQBkAHUAZQAgAHIAYQB0AGkAbwBcACIALAAgAFwAIgBEAHIAeQAgAG0AYQB0AHQAZQByACAAYwBvAG4AdABlAG4AdABcACIALAAgAFwAIgBDAGEAcgBiAG8AbgAgAGYAcgBhAGMAdABpAG8AbgAgAGkAbgAgAGQAcgB5ACAAbQBhAHQAdABlAHIAXAAiACwAIABcACIATgAgAGMAbwBuAHQAZQBuAHQAIABhAGIAbwB2AGUALQBnAHIAbwB1AG4AZABcACIALAAgAFwAIgBOACAAYwBvAG4AdABlAG4AdAAgAGIAZQBsAG8AdwAtAGcAcgBvAHUAbgBkAFwAIgAsACAAXAAiAEYAcgBhAGMAdABpAG8AbgAgAG8AZgAgAHIAZQBzAGkAZAB1AGUAIAByAGUAbQBhAGkAbgBpAG4AZwAgAGEAdAAgAHQAaQBtAGUAIABvAGYAIABiAHUAcgBuAGkAbgBnAFwAIgAsACAAXAAiAEIAdQByAG4AaQBuAGcAIABlAGYAZgBpAGMAaQBlAG4AYwB5AHQAXAAiADsAXABuACAAIAAgACAAIAAgACAAIABcACIAYwBcACIALAAgAFwAIgBSAEEARwBjAFwAIgAsACAAXAAiAFIAQgBHAGMAXAAiACwAIABcACIARABNAGMAXAAiACwAIABcACIAQwBDAGMAXAAiACwAIABcACIATgBDAEEARwBjAFwAIgAsACAAXAAiAE4AQwBCAEcAYwBcACIALAAgAFwAIgBTAGMAXAAiACwAIABcACIAWgBjAFwAIgA7AFwAbgAgACAAIAAgACAAIAAgACAAXAAiAFcAaABlAGEAdABcACIALAAgADEALgA1ADAALAAgADAALgAyADkALAAgADAALgA4ADgALAAgADAALgA0ADAALAAgADAALgAwADAANgAsACAAMAAuADAAMQAwACwAIAAwAC4ANQAsACAAMAAuADkAMAA7AFwAbgAgACAAIAAgACAAIAAgACAAXAAiAEIAYQByAGwAZQB5AFwAIgAsACAAMQAuADIANAAsACAAMAAuADMAMgAsACAAMAAuADgAOAAsACAAMAAuADQAMAAsACAAMAAuADAAMAA3ACwAIAAwAC4AMAAxADAALAAgADAALgA1ACwAIAAwAC4AOAA1ADsAXABuACAAIAAgACAAIAAgACAAIABcACIATQBhAGkAegBlAFwAIgAsACAAMAAuADgAMQAsACAAMAAuADMAOQAsACAAMAAuADgANQAsACAAMAAuADQAMgAsACAAMAAuADAAMAA1ACwAIAAwAC4AMAAwADcALAAgADEALgAwACwAIAAwAC4AOAAwADsAXABuACAAIAAgACAAIAAgACAAIABcACIATwBhAHQAcwBcACIALAAgADEALgA0ADIALAAgADAALgA0ADMALAAgADAALgA4ADgALAAgADAALgA0ADAALAAgADAALgAwADAANgAsACAAMAAuADAAMQAwACwAIAAwAC4ANQAsACAAMAAuADgANQA7AFwAbgAgACAAIAAgACAAIAAgACAAXAAiAFIAaQBjAGUAXAAiACwAIAAxAC4AMwAxACwAIAAwAC4AMQA2ACwAIAAwAC4AOAAwACwAIAAwAC4ANAAyACwAIAAwAC4AMAAwADcALAAgADAALgAwADEAMAAsACAAMQAuADAALAAgADAALgA4ADAAOwBcAG4AIAAgACAAIAAgACAAIAAgAFwAIgBTAG8AcgBnAGgAdQBtAFwAIgAsACAAMQAuADUAMAAsACAAMAAuADIAMgAsACAAMAAuADgAMAAsACAAMAAuADQAMAAsACAAMAAuADAAMAA4ACwAIAAwAC4AMAAwADcALAAgADAALgA1ACwAIAAwAC4AOAA1ADsAXABuACAAIAAgACAAIAAgACAAIABcACIAVAByAGkAdABpAGMAYQBsAGUAXAAiACwAIAAxAC4ANQAwACwAIAAwAC4ANAAyACwAIAAwAC4AOAA4ACwAIAAwAC4ANAAwACwAIAAwAC4AMAAwADYALAAgADAALgAwADEAMAAsACAAMAAuADUALAAgADAALgA4ADUAOwBcAG4AIAAgACAAIAAgACAAIAAgAFwAIgBPAHQAaABlAHIAIABjAGUAcgBlAGEAbABzAFwAIgAsACAAMQAuADQANgAsACAAMAAuADMANgAsACAAMAAuADgAOAAsACAAMAAuADQAMAAsACAAMAAuADAAMAA2ACwAIAAwAC4AMAAxADAALAAgADAALgA1ACwAIAAwAC4AOAA1ADsAXABuACAAIAAgACAAIAAgACAAIABcACIAUAB1AGwAcwBlAHMAXAAiACwAIAAxAC4AMwA3ACwAIAAwAC4ANQAxACwAIAAwAC4AOAA3ACwAIAAwAC4ANAAwACwAIAAwAC4AMAAwADkALAAgADAALgAwADEAMAAsACAAMAAuADUALAAgADAALgA4ADUAOwBcAG4AIAAgACAAIAAgACAAIAAgAFwAIgBUAHUAYgBlAHIAcwAgAGEAbgBkACAAcgBvAG8AdABzAFwAIgAsACAAMAAuADMANAAsACAAMAAuADQAMwAsACAAMAAuADIANQAsACAAMAAuADQAMAAsACAAMAAuADAAMgAwACwAIAAwAC4AMAAxADAALAAgAFwAIgBuAC8AYQBcACIALAAgADAALgA4ADUAOwBcAG4AIAAgACAAIAAgACAAIAAgAFwAIgBQAGUAYQBuAHUAdABzAFwAIgAsACAAMQAuADAANwAsACAAMAAuADIAMAAsACAAMAAuADgAMAAsACAAMAAuADQAMgAsACAAMAAuADAAMQA2ACwAIAAwAC4AMAAxADQALAAgADAALgA1ACwAIAAwAC4AOAA1ADsAXABuACAAIAAgACAAIAAgACAAIABcACIAUwB1AGcAYQByACAAYwBhAG4AZQBcACIALAAgADAALgAyADUALAAgADAALgA0ADUALAAgADAALgAyADAALAAgADAALgA0ADAALAAgADAALgAwADAANQAsACAAMAAuADAAMAA3ACwAIAAxAC4AMAAsACAAMAAuADgAMAA7AFwAbgAgACAAIAAgACAAIAAgACAAXAAiAEMAbwB0AHQAbwBuAFwAIgAsACAAMQAuADkAMAAsACAAMAAuADMAMAAsACAAMAAuADkAMAAsACAAMAAuADQAMAAsACAAMAAuADAAMQAsACAAMAAuADAAMQAsACAAXAAiAG4ALwBhAFwAIgAsACAAMAAuADgANQA7AFwAbgAgACAAIAAgACAAIAAgACAAXAAiAEgAbwBwAHMAXAAiACwAIAAxAC4ANQAwACwAIAAwAC4AMgA5ACwAIAAwAC4AOAA4ACwAIAAwAC4ANAAwACwAIAAwAC4AMAAwADYALAAgAFwAIgBuAC8AYQBcACIALAAgAFwAIgBuAC8AYQBcACIALAAgADAALgA4ADUAOwBcAG4AIAAgACAAIAAgACAAIAAgAFwAIgBPAGkAbABzAGUAZQBkAHMAXAAiACwAIAAyAC4AMAA4ACwAIAAwAC4AMwAzACwAIAAwAC4AOQA2ACwAIAAwAC4ANAAwACwAIAAwAC4AMAAwADkALAAgADAALgAwADEAMAAsACAAMAAuADUALAAgADAALgA4ADUAOwBcAG4AIAAgACAAIAAgACAAIAAgAFwAIgBGAG8AcgBhAGcAZQAgAGMAcgBvAHAAcwBcACIALAAgADEALgAzADQALAAgADAALgAzADcALAAgADAALgA4ADgALAAgADAALgA0ADAALAAgADAALgAwADAANgAsACAAMAAuADAAMQAwACwAIABcACIAbgAvAGEAXAAiACwAIAAwAC4AOAA1ADsAXABuACAAIAAgACAAIAAgACAAIABcACIATwB0AGgAZQByACAAYQBuAG4AdQBhAGwAIABjAHIAbwBwAHMAXAAiACwAIAAxAC4AMAAwACwAIAAwAC4AMgAyACwAIAAwAC4AOAA1ACwAIAAwAC4ANAAwACwAIAAwAC4AMAAwADgALAAgADAALgAwADAAOQAsACAAXAAiAG4ALwBhAFwAIgAsACAAXAAiAG4ALwBhAFwAIgA7AFwAbgAgACAAIAAgACAAIAAgACAAXAAiAE8AdABoAGUAcgAgAHAAZQByAGUAbgBuAGkAYQBsACAAYwByAG8AcABzAFwAIgAsACAAMQAuADUALAAgADAALgAyADkALAAgADAALgA4ADgALAAgADAALgA0ACwAIAAwAC4AMAAwADYALAAgAFwAIgBuAC8AYQBcACIALAAgAFwAIgBuAC8AYQBcACIALAAgAFwAIgBuAC8AYQBcACIAXABuACAAIAAgACAAIAAgAH0ALAAgAHIALAAgAGMAKQBcAG4AKQApACkAOwBcAG4AXABuAEMAcgBvAHAAQQB0AHQAcgBpAGIAdQB0AGUAcwBfAFYAYQByAGkAYQB0AGkAbwBuAFwAbgA9AEwAQQBNAEIARABBACgAKABcACIAVgBBAFIASQBBAFQASQBPAE4AIABGAFIATwBNACAAUwBPAFUAUgBDAEUAOgAgAFwAdQAwADAAMgA3AE4ALwBBAFwAdQAwADAAMgA3ACAAdgBhAGwAdQBlAHMAIABwAGEAcwBzAGUAZAAgAGEAcwAgAHoAZQByAG8AIABmAG8AcgAgAGMAYQBsAGMAdQBsAGEAdABpAG8AbgBzAC4AXAAiACkAKQA7AFwAbgBcAG4ALwAqAFwAbgA9AD0APQA9AD0APQA9AD0APQA9AD0APQA9AD0APQA9AD0APQA9AD0APQA9AD0APQA9AD0APQA9AD0APQA9AD0APQA9AD0APQA9AD0APQA9AD0APQA9AD0APQA9AD0APQA9AD0APQA9AD0APQA9AD0APQA9AD0APQA9AD0APQA9AD0APQA9AD0APQA9AD0APQA9AD0APQA9AFwAbgBDAHIAbwBwACAAYQB0AHQAcgBpAGIAdQB0AGUAcwAgAC0AIABGAHIAYQBjAHQAaQBvAG4AIAByAGUAbQBvAHYAZQBkACAAKABGAEYATwBEAGMAKQBcAG4APQA9AD0APQA9AD0APQA9AD0APQA9AD0APQA9AD0APQA9AD0APQA9AD0APQA9AD0APQA9AD0APQA9AD0APQA9AD0APQA9AD0APQA9AD0APQA9AD0APQA9AD0APQA9AD0APQA9AD0APQA9AD0APQA9AD0APQA9AD0APQA9AD0APQA9AD0APQA9AD0APQA9AD0APQA9AD0APQBcAG4AKgAvAFwAbgBcAG4AQwByAG8AcABGAHIAYQBjAHQAaQBvAG4AUgBlAG0AbwB2AGUAZABfAFQAaQB0AGwAZQBcAG4APQBMAEEATQBCAEQAQQAoACgAXAAiAFQAYQBiAGwAZQAgAEEALgAyAC4AMQAuADIAOgAgAEMAcgBvAHAAIABhAHQAdAByAGkAYgB1AHQAZQBzACAALQAgAEYAcgBhAGMAdABpAG8AbgAgAHIAZQBtAG8AdgBlAGQAIAAoAEYARgBPAEQAYwApAFwAIgApACkAOwBcAG4AXABuAEMAcgBvAHAARgByAGEAYwB0AGkAbwBuAFIAZQBtAG8AdgBlAGQAXwBEAGUAcwBjAHIAaQBwAHQAaQBvAG4AXABuAD0ATABBAE0AQgBEAEEAKAAoAFwAIgBDAHIAbwBwACAAYQB0AHQAcgBpAGIAdQB0AGUAcwAgAC0AIABGAHIAYQBjAHQAaQBvAG4AIAByAGUAbQBvAHYAZQBkACAAKABGAEYATwBEAGMAKQBcACIAKQApADsAXABuAFwAbgBDAHIAbwBwAEYAcgBhAGMAdABpAG8AbgBSAGUAbQBvAHYAZQBkAF8AUwBvAHUAcgBjAGUAXABuAD0ATABBAE0AQgBEAEEAKAAoAFwAIgBWAEUARQBSAEcAIAAyADAAMgA2ADoAIABUAGEAYgBsAGUAIABBAC4AMgAuADEALgAyADoAIABDAHIAbwBwACAAYQB0AHQAcgBpAGIAdQB0AGUAcwAgAC0AIABGAHIAYQBjAHQAaQBvAG4AIAByAGUAbQBvAHYAZQBkACAAKABGAEYATwBEAGMAKQBcACIAKQApADsAXABuAFwAbgBDAHIAbwBwAEYAcgBhAGMAdABpAG8AbgBSAGUAbQBvAHYAZQBkAF8ARABhAHQAYQBcAG4APQBMAEEATQBCAEQAQQAoAFwAbgAgACAATQBBAEsARQBBAFIAUgBBAFkAKAAxADc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QQBsAGwAIABzAHQAYQB0AGUAcwBcACIALAAgADAALgAwADYAOwBcAG4AIAAgACAAIAAgACAAIAAgAFwAIgBUAHUAYgBlAHIAcwAgAGEAbgBkACAAcgBvAG8AdABzAFwAIgAsACAAXAAiAEEAbABsACAAcwB0AGEAdABlAHMAXAAiACwAIAAxADsAXABuACAAIAAgACAAIAAgACAAIABcACIAQwBvAHQAdABvAG4AXAAiACwAIABcACIAQQBsAGwAIABzAHQAYQB0AGUAcwBcACIALAAgADAAOwBcAG4AIAAgACAAIAAgACAAIAAgAFwAIgBIAG8AcABzAFwAIgAsACAAXAAiAEEAbABsACAAcwB0AGEAdABlAHMAXAAiACwAIAAwADsAXABuACAAIAAgACAAIAAgACAAIABcACIARgBvAHIAYQBnAGUAIABjAHIAbwBwAHMAXAAiACwAIABcACIAQQBsAGwAIABzAHQAYQB0AGUAcwBcACIALAAgADAALgA4ADsAXABuACAAIAAgACAAIAAgACAAIABcACIAUwB1AGcAYQByACAAQwBhAG4AZQBcACIALAAgAFwAIgBOAFMAVwBcACIALAAgADAAOwBcAG4AIAAgACAAIAAgACAAIAAgAFwAIgBTAHUAZwBhAHIAIABDAGEAbgBlAFwAIgAsACAAXAAiAFEATABEAFwAIgAsACAAMAAuADAAMwA7AFwAbgAgACAAIAAgACAAIAAgACAAXAAiAFMAdQBnAGEAcgAgAEMAYQBuAGUAXAAiACwAIABcACIAVwBBAFwAIgAsACAAMAA7AFwAbgAgACAAIAAgACAAIAAgACAAXAAiAEEAbABsACAAbwB0AGgAZQByACAAYwByAG8AcAAgAHQAeQBwAGUAcwBcACIALAAgAFwAIgBOAFMAVwBcACIALAAgADAALgAwADUAOwBcAG4AIAAgACAAIAAgACAAIAAgAFwAIgBBAGwAbAAgAG8AdABoAGUAcgAgAGMAcgBvAHAAIAB0AHkAcABlAHMAXAAiACwAIABcACIAVgBJAEMAXAAiACwAIAAwAC4AMAA3ADsAXABuACAAIAAgACAAIAAgACAAIABcACIAQQBsAGwAIABvAHQAaABlAHIAIABjAHIAbwBwACAAdAB5AHAAZQBzAFwAIgAsACAAXAAiAFEATABEAFwAIgAsACAAMAAuADAANAA7AFwAbgAgACAAIAAgACAAIAAgACAAXAAiAEEAbABsACAAbwB0AGgAZQByACAAYwByAG8AcAAgAHQAeQBwAGUAcwBcACIALAAgAFwAIgBTAEEAXAAiACwAIAAwAC4AMAA5ADsAXABuACAAIAAgACAAIAAgACAAIABcACIAQQBsAGwAIABvAHQAaABlAHIAIABjAHIAbwBwACAAdAB5AHAAZQBzAFwAIgAsACAAXAAiAFcAQQBcACIALAAgADAALgAxADEAOwBcAG4AIAAgACAAIAAgACAAIAAgAFwAIgBBAGwAbAAgAG8AdABoAGUAcgAgAGMAcgBvAHAAIAB0AHkAcABlAHMAXAAiACwAIABcACIAVABBAFMAXAAiACwAIAAwAC4AMQA2ADsAXABuACAAIAAgACAAIAAgACAAIABcACIAQQBsAGwAIABvAHQAaABlAHIAIABjAHIAbwBwACAAdAB5AHAAZQBzAFwAIgAsACAAXAAiAE4AVABcACIALAAgADAALgAwADEAOwBcAG4AIAAgACAAIAAgACAAIAAgAFwAIgBBAGwAbAAgAG8AdABoAGUAcgAgAGMAcgBvAHAAIAB0AHkAcABlAHMAXAAiACwAIABcACIAQQBDAFQAXAAiACwAIAAwAC4AMAAwAFwAbgAgACAAIAAgACAAIAB9ACwAIAByACwAIABjACkAXABuACkAKQApADsAXABuAFwAbgBDAHIAbwBwAEYAcgBhAGMAdABpAG8AbgBSAGUAbQBvAHYAZQBkAF8AQwB1AHMAdABvAG0AaQBzAGUAZABEAGEAdABhAFwAbgA9AEwAQQBNAEIARABBACgAXABuACAAIABNAEEASwBFAEEAUgBSAEEAWQAoADEANAA0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4AUwBXAFwAIgAsACAAMAAuADAANgA7AFwAbgAgACAAIAAgACAAIAAgACAAXAAiAFIAaQBjAGUAXAAiACwAIABcACIAVgBJAEMAXAAiACwAIAAwAC4AMAA2ADsAXABuACAAIAAgACAAIAAgACAAIABcACIAUgBpAGMAZQBcACIALAAgAFwAIgBRAEwARABcACIALAAgADAALgAwADYAOwBcAG4AIAAgACAAIAAgACAAIAAgAFwAIgBSAGkAYwBlAFwAIgAsACAAXAAiAFMAQQBcACIALAAgADAALgAwADYAOwBcAG4AIAAgACAAIAAgACAAIAAgAFwAIgBSAGkAYwBlAFwAIgAsACAAXAAiAFcAQQBcACIALAAgADAALgAwADYAOwBcAG4AIAAgACAAIAAgACAAIAAgAFwAIgBSAGkAYwBlAFwAIgAsACAAXAAiAFQAQQBTAFwAIgAsACAAMAAuADAANgA7AFwAbgAgACAAIAAgACAAIAAgACAAXAAiAFIAaQBjAGUAXAAiACwAIABcACIATgBUAFwAIgAsACAAMAAuADAANgA7AFwAbgAgACAAIAAgACAAIAAgACAAXAAiAFIAaQBjAGUAXAAiACwAIABcACIAQQBDAFQAXAAiACwAIAAwAC4AMAA2ADsAXABuACAAIAAgACAAIAAgACAAIABcACIAVAB1AGIAZQByAHMAIABhAG4AZAAgAHIAbwBvAHQAcwBcACIALAAgAFwAIgBOAFMAVwBcACIALAAgADEAOwBcAG4AIAAgACAAIAAgACAAIAAgAFwAIgBUAHUAYgBlAHIAcwAgAGEAbgBkACAAcgBvAG8AdABzAFwAIgAsACAAXAAiAFYASQBDAFwAIgAsACAAMQA7AFwAbgAgACAAIAAgACAAIAAgACAAXAAiAFQAdQBiAGUAcgBzACAAYQBuAGQAIAByAG8AbwB0AHMAXAAiACwAIABcACIAUQBMAEQAXAAiACwAIAAxADsAXABuACAAIAAgACAAIAAgACAAIABcACIAVAB1AGIAZQByAHMAIABhAG4AZAAgAHIAbwBvAHQAcwBcACIALAAgAFwAIgBTAEEAXAAiACwAIAAxADsAXABuACAAIAAgACAAIAAgACAAIABcACIAVAB1AGIAZQByAHMAIABhAG4AZAAgAHIAbwBvAHQAcwBcACIALAAgAFwAIgBXAEEAXAAiACwAIAAxADsAXABuACAAIAAgACAAIAAgACAAIABcACIAVAB1AGIAZQByAHMAIABhAG4AZAAgAHIAbwBvAHQAcwBcACIALAAgAFwAIgBUAEEAUwBcACIALAAgADEAOwBcAG4AIAAgACAAIAAgACAAIAAgAFwAIgBUAHUAYgBlAHIAcwAgAGEAbgBkACAAcgBvAG8AdABzAFwAIgAsACAAXAAiAE4AVABcACIALAAgADEAOwBcAG4AIAAgACAAIAAgACAAIAAgAFwAIgBUAHUAYgBlAHIAcwAgAGEAbgBkACAAcgBvAG8AdABzAFwAIgAsACAAXAAiAEEAQwBUAFwAIgAsACAAMQA7AFwAbgAgACAAIAAgACAAIAAgACAAXAAiAEMAbwB0AHQAbwBuAFwAIgAsACAAXAAiAE4AUwBXAFwAIgAsACAAMAA7AFwAbgAgACAAIAAgACAAIAAgACAAXAAiAEMAbwB0AHQAbwBuAFwAIgAsACAAXAAiAFYASQBDAFwAIgAsACAAMAA7AFwAbgAgACAAIAAgACAAIAAgACAAXAAiAEMAbwB0AHQAbwBuAFwAIgAsACAAXAAiAFEATABEAFwAIgAsACAAMAA7AFwAbgAgACAAIAAgACAAIAAgACAAXAAiAEMAbwB0AHQAbwBuAFwAIgAsACAAXAAiAFMAQQBcACIALAAgADAAOwBcAG4AIAAgACAAIAAgACAAIAAgAFwAIgBDAG8AdAB0AG8AbgBcACIALAAgAFwAIgBXAEEAXAAiACwAIAAwADsAXABuACAAIAAgACAAIAAgACAAIABcACIAQwBvAHQAdABvAG4AXAAiACwAIABcACIAVABBAFMAXAAiACwAIAAwADsAXABuACAAIAAgACAAIAAgACAAIABcACIAQwBvAHQAdABvAG4AXAAiACwAIABcACIATgBUAFwAIgAsACAAMAA7AFwAbgAgACAAIAAgACAAIAAgACAAXAAiAEMAbwB0AHQAbwBuAFwAIgAsACAAXAAiAEEAQwBUAFwAIgAsACAAMAA7AFwAbgAgACAAIAAgACAAIAAgACAAXAAiAEgAbwBwAHMAXAAiACwAIABcACIATgBTAFcAXAAiACwAIAAwADsAXABuACAAIAAgACAAIAAgACAAIABcACIASABvAHAAcwBcACIALAAgAFwAIgBWAEkAQwBcACIALAAgADAAOwBcAG4AIAAgACAAIAAgACAAIAAgAFwAIgBIAG8AcABzAFwAIgAsACAAXAAiAFEATABEAFwAIgAsACAAMAA7AFwAbgAgACAAIAAgACAAIAAgACAAXAAiAEgAbwBwAHMAXAAiACwAIABcACIAUwBBAFwAIgAsACAAMAA7AFwAbgAgACAAIAAgACAAIAAgACAAXAAiAEgAbwBwAHMAXAAiACwAIABcACIAVwBBAFwAIgAsACAAMAA7AFwAbgAgACAAIAAgACAAIAAgACAAXAAiAEgAbwBwAHMAXAAiACwAIABcACIAVABBAFMAXAAiACwAIAAwADsAXABuACAAIAAgACAAIAAgACAAIABcACIASABvAHAAcwBcACIALAAgAFwAIgBOAFQAXAAiACwAIAAwADsAXABuACAAIAAgACAAIAAgACAAIABcACIASABvAHAAcwBcACIALAAgAFwAIgBBAEMAVABcACIALAAgADAAOwBcAG4AIAAgACAAIAAgACAAIAAgAFwAIgBGAG8AcgBhAGcAZQAgAGMAcgBvAHAAcwBcACIALAAgAFwAIgBOAFMAVwBcACIALAAgADAALgA4ADsAXABuACAAIAAgACAAIAAgACAAIABcACIARgBvAHIAYQBnAGUAIABjAHIAbwBwAHMAXAAiACwAIABcACIAVgBJAEMAXAAiACwAIAAwAC4AOAA7AFwAbgAgACAAIAAgACAAIAAgACAAXAAiAEYAbwByAGEAZwBlACAAYwByAG8AcABzAFwAIgAsACAAXAAiAFEATABEAFwAIgAsACAAMAAuADgAOwBcAG4AIAAgACAAIAAgACAAIAAgAFwAIgBGAG8AcgBhAGcAZQAgAGMAcgBvAHAAcwBcACIALAAgAFwAIgBTAEEAXAAiACwAIAAwAC4AOAA7AFwAbgAgACAAIAAgACAAIAAgACAAXAAiAEYAbwByAGEAZwBlACAAYwByAG8AcABzAFwAIgAsACAAXAAiAFcAQQBcACIALAAgADAALgA4ADsAXABuACAAIAAgACAAIAAgACAAIABcACIARgBvAHIAYQBnAGUAIABjAHIAbwBwAHMAXAAiACwAIABcACIAVABBAFMAXAAiACwAIAAwAC4AOAA7AFwAbgAgACAAIAAgACAAIAAgACAAXAAiAEYAbwByAGEAZwBlACAAYwByAG8AcABzAFwAIgAsACAAXAAiAE4AVABcACIALAAgADAALgA4ADsAXABuACAAIAAgACAAIAAgACAAIABcACIARgBvAHIAYQBnAGUAIABjAHIAbwBwAHMAXAAiACwAIABcACIAQQBDAFQAXAAiACwAIAAwAC4AOAA7AFwAbgAgACAAIAAgACAAIAAgACAAXAAiAFMAdQBnAGEAcgAgAEMAYQBuAGUAXAAiACwAIABcACIATgBTAFcAXAAiACwAIAAwADsAXABuACAAIAAgACAAIAAgACAAIABcACIAUwB1AGcAYQByACAAQwBhAG4AZQBcACIALAAgAFwAIgBWAEkAQwBcACIALAAgAFwAIgBOAC8AQQBcACIAOwBcAG4AIAAgACAAIAAgACAAIAAgAFwAIgBTAHUAZwBhAHIAIABDAGEAbgBlAFwAIgAsACAAXAAiAFEATABEAFwAIgAsACAAMAAuADAAMwA7AFwAbgAgACAAIAAgACAAIAAgACAAXAAiAFMAdQBnAGEAcgAgAEMAYQBuAGUAXAAiACwAIABcACIAUwBBAFwAIgAsACAAXAAiAE4ALwBBAFwAIgA7AFwAbgAgACAAIAAgACAAIAAgACAAXAAiAFMAdQBnAGEAcgAgAEMAYQBuAGUAXAAiACwAIABcACIAVwBBAFwAIgAsACAAMAA7AFwAbgAgACAAIAAgACAAIAAgACAAXAAiAFMAdQBnAGEAcgAgAEMAYQBuAGUAXAAiACwAIABcACIAVABBAFMAXAAiACwAIABcACIATgAvAEEAXAAiADsAXABuACAAIAAgACAAIAAgACAAIABcACIAUwB1AGcAYQByACAAQwBhAG4AZQBcACIALAAgAFwAIgBOAFQAXAAiACwAIABcACIATgAvAEEAXAAiADsAXABuACAAIAAgACAAIAAgACAAIABcACIAUwB1AGcAYQByACAAQwBhAG4AZQBcACIALAAgAFwAIgBBAEMAVABcACIALAAgAFwAIgBOAC8AQQBcACIAOwBcAG4AIAAgACAAIAAgACAAIAAgAFwAIgBXAGgAZQBhAHQAXAAiACwAIABcACIATgBTAFcAXAAiACwAIAAwAC4AMAA1ADsAXABuACAAIAAgACAAIAAgACAAIABcACIAVwBoAGUAYQB0AFwAIgAsACAAXAAiAFYASQBDAFwAIgAsACAAMAAuADAANwA7AFwAbgAgACAAIAAgACAAIAAgACAAXAAiAFcAaABlAGEAdABcACIALAAgAFwAIgBRAEwARABcACIALAAgADAALgAwADQAOwBcAG4AIAAgACAAIAAgACAAIAAgAFwAIgBXAGgAZQBhAHQAXAAiACwAIABcACIAUwBBAFwAIgAsACAAMAAuADAAOQA7AFwAbgAgACAAIAAgACAAIAAgACAAXAAiAFcAaABlAGEAdABcACIALAAgAFwAIgBXAEEAXAAiACwAIAAwAC4AMQAxADsAXABuACAAIAAgACAAIAAgACAAIABcACIAVwBoAGUAYQB0AFwAIgAsACAAXAAiAFQAQQBTAFwAIgAsACAAMAAuADEANgA7AFwAbgAgACAAIAAgACAAIAAgACAAXAAiAFcAaABlAGEAdABcACIALAAgAFwAIgBOAFQAXAAiACwAIAAwAC4AMAAxADsAXABuACAAIAAgACAAIAAgACAAIABcACIAVwBoAGUAYQB0AFwAIgAsACAAXAAiAEEAQwBUAFwAIgAsACAAMAAuADAAMAA7AFwAbgAgACAAIAAgACAAIAAgACAAXAAiAEIAYQByAGwAZQB5AFwAIgAsACAAXAAiAE4AUwBXAFwAIgAsACAAMAAuADAANQA7AFwAbgAgACAAIAAgACAAIAAgACAAXAAiAEIAYQByAGwAZQB5AFwAIgAsACAAXAAiAFYASQBDAFwAIgAsACAAMAAuADAANwA7AFwAbgAgACAAIAAgACAAIAAgACAAXAAiAEIAYQByAGwAZQB5AFwAIgAsACAAXAAiAFEATABEAFwAIgAsACAAMAAuADAANAA7AFwAbgAgACAAIAAgACAAIAAgACAAXAAiAEIAYQByAGwAZQB5AFwAIgAsACAAXAAiAFMAQQBcACIALAAgADAALgAwADkAOwBcAG4AIAAgACAAIAAgACAAIAAgAFwAIgBCAGEAcgBsAGUAeQBcACIALAAgAFwAIgBXAEEAXAAiACwAIAAwAC4AMQAxADsAXABuACAAIAAgACAAIAAgACAAIABcACIAQgBhAHIAbABlAHkAXAAiACwAIABcACIAVABBAFMAXAAiACwAIAAwAC4AMQA2ADsAXABuACAAIAAgACAAIAAgACAAIABcACIAQgBhAHIAbABlAHkAXAAiACwAIABcACIATgBUAFwAIgAsACAAMAAuADAAMQA7AFwAbgAgACAAIAAgACAAIAAgACAAXAAiAEIAYQByAGwAZQB5AFwAIgAsACAAXAAiAEEAQwBUAFwAIgAsACAAMAAuADAAMAA7AFwAbgAgACAAIAAgACAAIAAgACAAXAAiAE0AYQBpAHoAZQBcACIALAAgAFwAIgBOAFMAVwBcACIALAAgADAALgAwADUAOwBcAG4AIAAgACAAIAAgACAAIAAgAFwAIgBNAGEAaQB6AGUAXAAiACwAIABcACIAVgBJAEMAXAAiACwAIAAwAC4AMAA3ADsAXABuACAAIAAgACAAIAAgACAAIABcACIATQBhAGkAegBlAFwAIgAsACAAXAAiAFEATABEAFwAIgAsACAAMAAuADAANAA7AFwAbgAgACAAIAAgACAAIAAgACAAXAAiAE0AYQBpAHoAZQBcACIALAAgAFwAIgBTAEEAXAAiACwAIAAwAC4AMAA5ADsAXABuACAAIAAgACAAIAAgACAAIABcACIATQBhAGkAegBlAFwAIgAsACAAXAAiAFcAQQBcACIALAAgADAALgAxADEAOwBcAG4AIAAgACAAIAAgACAAIAAgAFwAIgBNAGEAaQB6AGUAXAAiACwAIABcACIAVABBAFMAXAAiACwAIAAwAC4AMQA2ADsAXABuACAAIAAgACAAIAAgACAAIABcACIATQBhAGkAegBlAFwAIgAsACAAXAAiAE4AVABcACIALAAgADAALgAwADEAOwBcAG4AIAAgACAAIAAgACAAIAAgAFwAIgBNAGEAaQB6AGUAXAAiACwAIABcACIAQQBDAFQAXAAiACwAIAAwAC4AMAAwADsAXABuACAAIAAgACAAIAAgACAAIABcACIATwBhAHQAcwBcACIALAAgAFwAIgBOAFMAVwBcACIALAAgADAALgAwADUAOwBcAG4AIAAgACAAIAAgACAAIAAgAFwAIgBPAGEAdABzAFwAIgAsACAAXAAiAFYASQBDAFwAIgAsACAAMAAuADAANwA7AFwAbgAgACAAIAAgACAAIAAgACAAXAAiAE8AYQB0AHMAXAAiACwAIABcACIAUQBMAEQAXAAiACwAIAAwAC4AMAA0ADsAXABuACAAIAAgACAAIAAgACAAIABcACIATwBhAHQAcwBcACIALAAgAFwAIgBTAEEAXAAiACwAIAAwAC4AMAA5ADsAXABuACAAIAAgACAAIAAgACAAIABcACIATwBhAHQAcwBcACIALAAgAFwAIgBXAEEAXAAiACwAIAAwAC4AMQAxADsAXABuACAAIAAgACAAIAAgACAAIABcACIATwBhAHQAcwBcACIALAAgAFwAIgBUAEEAUwBcACIALAAgADAALgAxADYAOwBcAG4AIAAgACAAIAAgACAAIAAgAFwAIgBPAGEAdABzAFwAIgAsACAAXAAiAE4AVABcACIALAAgADAALgAwADEAOwBcAG4AIAAgACAAIAAgACAAIAAgAFwAIgBPAGEAdABzAFwAIgAsACAAXAAiAEEAQwBUAFwAIgAsACAAMAAuADAAMAA7AFwAbgAgACAAIAAgACAAIAAgACAAXAAiAFMAbwByAGcAaAB1AG0AXAAiACwAIABcACIATgBTAFcAXAAiACwAIAAwAC4AMAA1ADsAXABuACAAIAAgACAAIAAgACAAIABcACIAUwBvAHIAZwBoAHUAbQBcACIALAAgAFwAIgBWAEkAQwBcACIALAAgADAALgAwADcAOwBcAG4AIAAgACAAIAAgACAAIAAgAFwAIgBTAG8AcgBnAGgAdQBtAFwAIgAsACAAXAAiAFEATABEAFwAIgAsACAAMAAuADAANAA7AFwAbgAgACAAIAAgACAAIAAgACAAXAAiAFMAbwByAGcAaAB1AG0AXAAiACwAIABcACIAUwBBAFwAIgAsACAAMAAuADAAOQA7AFwAbgAgACAAIAAgACAAIAAgACAAXAAiAFMAbwByAGcAaAB1AG0AXAAiACwAIABcACIAVwBBAFwAIgAsACAAMAAuADEAMQA7AFwAbgAgACAAIAAgACAAIAAgACAAXAAiAFMAbwByAGcAaAB1AG0AXAAiACwAIABcACIAVABBAFMAXAAiACwAIAAwAC4AMQA2ADsAXABuACAAIAAgACAAIAAgACAAIABcACIAUwBvAHIAZwBoAHUAbQBcACIALAAgAFwAIgBOAFQAXAAiACwAIAAwAC4AMAAxADsAXABuACAAIAAgACAAIAAgACAAIABcACIAUwBvAHIAZwBoAHUAbQBcACIALAAgAFwAIgBBAEMAVABcACIALAAgADAALgAwADAAOwBcAG4AIAAgACAAIAAgACAAIAAgAFwAIgBUAHIAaQB0AGkAYwBhAGwAZQBcACIALAAgAFwAIgBOAFMAVwBcACIALAAgADAALgAwADUAOwBcAG4AIAAgACAAIAAgACAAIAAgAFwAIgBUAHIAaQB0AGkAYwBhAGwAZQBcACIALAAgAFwAIgBWAEkAQwBcACIALAAgADAALgAwADcAOwBcAG4AIAAgACAAIAAgACAAIAAgAFwAIgBUAHIAaQB0AGkAYwBhAGwAZQBcACIALAAgAFwAIgBRAEwARABcACIALAAgADAALgAwADQAOwBcAG4AIAAgACAAIAAgACAAIAAgAFwAIgBUAHIAaQB0AGkAYwBhAGwAZQBcACIALAAgAFwAIgBTAEEAXAAiACwAIAAwAC4AMAA5ADsAXABuACAAIAAgACAAIAAgACAAIABcACIAVAByAGkAdABpAGMAYQBsAGUAXAAiACwAIABcACIAVwBBAFwAIgAsACAAMAAuADEAMQA7AFwAbgAgACAAIAAgACAAIAAgACAAXAAiAFQAcgBpAHQAaQBjAGEAbABlAFwAIgAsACAAXAAiAFQAQQBTAFwAIgAsACAAMAAuADEANgA7AFwAbgAgACAAIAAgACAAIAAgACAAXAAiAFQAcgBpAHQAaQBjAGEAbABlAFwAIgAsACAAXAAiAE4AVABcACIALAAgADAALgAwADEAOwBcAG4AIAAgACAAIAAgACAAIAAgAFwAIgBUAHIAaQB0AGkAYwBhAGwAZQBcACIALAAgAFwAIgBBAEMAVABcACIALAAgADAALgAwADAAOwBcAG4AIAAgACAAIAAgACAAIAAgAFwAIgBPAHQAaABlAHIAIABjAGUAcgBlAGEAbABzAFwAIgAsACAAXAAiAE4AUwBXAFwAIgAsACAAMAAuADAANQA7AFwAbgAgACAAIAAgACAAIAAgACAAXAAiAE8AdABoAGUAcgAgAGMAZQByAGUAYQBsAHMAXAAiACwAIABcACIAVgBJAEMAXAAiACwAIAAwAC4AMAA3ADsAXABuACAAIAAgACAAIAAgACAAIABcACIATwB0AGgAZQByACAAYwBlAHIAZQBhAGwAcwBcACIALAAgAFwAIgBRAEwARABcACIALAAgADAALgAwADQAOwBcAG4AIAAgACAAIAAgACAAIAAgAFwAIgBPAHQAaABlAHIAIABjAGUAcgBlAGEAbABzAFwAIgAsACAAXAAiAFMAQQBcACIALAAgADAALgAwADkAOwBcAG4AIAAgACAAIAAgACAAIAAgAFwAIgBPAHQAaABlAHIAIABjAGUAcgBlAGEAbABzAFwAIgAsACAAXAAiAFcAQQBcACIALAAgADAALgAxADEAOwBcAG4AIAAgACAAIAAgACAAIAAgAFwAIgBPAHQAaABlAHIAIABjAGUAcgBlAGEAbABzAFwAIgAsACAAXAAiAFQAQQBTAFwAIgAsACAAMAAuADEANgA7AFwAbgAgACAAIAAgACAAIAAgACAAXAAiAE8AdABoAGUAcgAgAGMAZQByAGUAYQBsAHMAXAAiACwAIABcACIATgBUAFwAIgAsACAAMAAuADAAMQA7AFwAbgAgACAAIAAgACAAIAAgACAAXAAiAE8AdABoAGUAcgAgAGMAZQByAGUAYQBsAHMAXAAiACwAIABcACIAQQBDAFQAXAAiACwAIAAwAC4AMAAwADsAXABuACAAIAAgACAAIAAgACAAIABcACIAUAB1AGwAcwBlAHMAXAAiACwAIABcACIATgBTAFcAXAAiACwAIAAwAC4AMAA1ADsAXABuACAAIAAgACAAIAAgACAAIABcACIAUAB1AGwAcwBlAHMAXAAiACwAIABcACIAVgBJAEMAXAAiACwAIAAwAC4AMAA3ADsAXABuACAAIAAgACAAIAAgACAAIABcACIAUAB1AGwAcwBlAHMAXAAiACwAIABcACIAUQBMAEQAXAAiACwAIAAwAC4AMAA0ADsAXABuACAAIAAgACAAIAAgACAAIABcACIAUAB1AGwAcwBlAHMAXAAiACwAIABcACIAUwBBAFwAIgAsACAAMAAuADAAOQA7AFwAbgAgACAAIAAgACAAIAAgACAAXAAiAFAAdQBsAHMAZQBzAFwAIgAsACAAXAAiAFcAQQBcACIALAAgADAALgAxADEAOwBcAG4AIAAgACAAIAAgACAAIAAgAFwAIgBQAHUAbABzAGUAcwBcACIALAAgAFwAIgBUAEEAUwBcACIALAAgADAALgAxADYAOwBcAG4AIAAgACAAIAAgACAAIAAgAFwAIgBQAHUAbABzAGUAcwBcACIALAAgAFwAIgBOAFQAXAAiACwAIAAwAC4AMAAxADsAXABuACAAIAAgACAAIAAgACAAIABcACIAUAB1AGwAcwBlAHMAXAAiACwAIABcACIAQQBDAFQAXAAiACwAIAAwAC4AMAAwADsAXABuACAAIAAgACAAIAAgACAAIABcACIAUABlAGEAbgB1AHQAcwBcACIALAAgAFwAIgBOAFMAVwBcACIALAAgADAALgAwADUAOwBcAG4AIAAgACAAIAAgACAAIAAgAFwAIgBQAGUAYQBuAHUAdABzAFwAIgAsACAAXAAiAFYASQBDAFwAIgAsACAAMAAuADAANwA7AFwAbgAgACAAIAAgACAAIAAgACAAXAAiAFAAZQBhAG4AdQB0AHMAXAAiACwAIABcACIAUQBMAEQAXAAiACwAIAAwAC4AMAA0ADsAXABuACAAIAAgACAAIAAgACAAIABcACIAUABlAGEAbgB1AHQAcwBcACIALAAgAFwAIgBTAEEAXAAiACwAIAAwAC4AMAA5ADsAXABuACAAIAAgACAAIAAgACAAIABcACIAUABlAGEAbgB1AHQAcwBcACIALAAgAFwAIgBXAEEAXAAiACwAIAAwAC4AMQAxADsAXABuACAAIAAgACAAIAAgACAAIABcACIAUABlAGEAbgB1AHQAcwBcACIALAAgAFwAIgBUAEEAUwBcACIALAAgADAALgAxADYAOwBcAG4AIAAgACAAIAAgACAAIAAgAFwAIgBQAGUAYQBuAHUAdABzAFwAIgAsACAAXAAiAE4AVABcACIALAAgADAALgAwADEAOwBcAG4AIAAgACAAIAAgACAAIAAgAFwAIgBQAGUAYQBuAHUAdABzAFwAIgAsACAAXAAiAEEAQwBUAFwAIgAsACAAMAAuADAAMAA7AFwAbgAgACAAIAAgACAAIAAgACAAXAAiAE8AaQBsAHMAZQBlAGQAcwBcACIALAAgAFwAIgBOAFMAVwBcACIALAAgADAALgAwADUAOwBcAG4AIAAgACAAIAAgACAAIAAgAFwAIgBPAGkAbABzAGUAZQBkAHMAXAAiACwAIABcACIAVgBJAEMAXAAiACwAIAAwAC4AMAA3ADsAXABuACAAIAAgACAAIAAgACAAIABcACIATwBpAGwAcwBlAGUAZABzAFwAIgAsACAAXAAiAFEATABEAFwAIgAsACAAMAAuADAANAA7AFwAbgAgACAAIAAgACAAIAAgACAAXAAiAE8AaQBsAHMAZQBlAGQAcwBcACIALAAgAFwAIgBTAEEAXAAiACwAIAAwAC4AMAA5ADsAXABuACAAIAAgACAAIAAgACAAIABcACIATwBpAGwAcwBlAGUAZABzAFwAIgAsACAAXAAiAFcAQQBcACIALAAgADAALgAxADEAOwBcAG4AIAAgACAAIAAgACAAIAAgAFwAIgBPAGkAbABzAGUAZQBkAHMAXAAiACwAIABcACIAVABBAFMAXAAiACwAIAAwAC4AMQA2ADsAXABuACAAIAAgACAAIAAgACAAIABcACIATwBpAGwAcwBlAGUAZABzAFwAIgAsACAAXAAiAE4AVABcACIALAAgADAALgAwADEAOwBcAG4AIAAgACAAIAAgACAAIAAgAFwAIgBPAGkAbABzAGUAZQBkAHMAXAAiACwAIABcACIAQQBDAFQAXAAiACwAIAAwAC4AMAAwADsAXABuACAAIAAgACAAIAAgACAAIABcACIATwB0AGgAZQByACAAYQBuAG4AdQBhAGwAIABjAHIAbwBwAHMAXAAiACwAIABcACIATgBTAFcAXAAiACwAIAAwAC4AMAA1ADsAXABuACAAIAAgACAAIAAgACAAIABcACIATwB0AGgAZQByACAAYQBuAG4AdQBhAGwAIABjAHIAbwBwAHMAXAAiACwAIABcACIAVgBJAEMAXAAiACwAIAAwAC4AMAA3ADsAXABuACAAIAAgACAAIAAgACAAIABcACIATwB0AGgAZQByACAAYQBuAG4AdQBhAGwAIABjAHIAbwBwAHMAXAAiACwAIABcACIAUQBMAEQAXAAiACwAIAAwAC4AMAA0ADsAXABuACAAIAAgACAAIAAgACAAIABcACIATwB0AGgAZQByACAAYQBuAG4AdQBhAGwAIABjAHIAbwBwAHMAXAAiACwAIABcACIAUwBBAFwAIgAsACAAMAAuADAAOQA7AFwAbgAgACAAIAAgACAAIAAgACAAXAAiAE8AdABoAGUAcgAgAGEAbgBuAHUAYQBsACAAYwByAG8AcABzAFwAIgAsACAAXAAiAFcAQQBcACIALAAgADAALgAxADEAOwBcAG4AIAAgACAAIAAgACAAIAAgAFwAIgBPAHQAaABlAHIAIABhAG4AbgB1AGEAbAAgAGMAcgBvAHAAcwBcACIALAAgAFwAIgBUAEEAUwBcACIALAAgADAALgAxADYAOwBcAG4AIAAgACAAIAAgACAAIAAgAFwAIgBPAHQAaABlAHIAIABhAG4AbgB1AGEAbAAgAGMAcgBvAHAAcwBcACIALAAgAFwAIgBOAFQAXAAiACwAIAAwAC4AMAAxADsAXABuACAAIAAgACAAIAAgACAAIABcACIATwB0AGgAZQByACAAYQBuAG4AdQBhAGwAIABjAHIAbwBwAHMAXAAiACwAIABcACIAQQBDAFQAXAAiACwAIAAwAC4AMAAwADsAXABuACAAIAAgACAAIAAgACAAIABcACIATwB0AGgAZQByACAAcABlAHIAZQBuAG4AaQBhAGwAIABjAHIAbwBwAHMAXAAiACwAIABcACIATgBTAFcAXAAiACwAIAAwAC4AMAA1ADsAXABuACAAIAAgACAAIAAgACAAIABcACIATwB0AGgAZQByACAAcABlAHIAZQBuAG4AaQBhAGwAIABjAHIAbwBwAHMAXAAiACwAIABcACIAVgBJAEMAXAAiACwAIAAwAC4AMAA3ADsAXABuACAAIAAgACAAIAAgACAAIABcACIATwB0AGgAZQByACAAcABlAHIAZQBuAG4AaQBhAGwAIABjAHIAbwBwAHMAXAAiACwAIABcACIAUQBMAEQAXAAiACwAIAAwAC4AMAA0ADsAXABuACAAIAAgACAAIAAgACAAIABcACIATwB0AGgAZQByACAAcABlAHIAZQBuAG4AaQBhAGwAIABjAHIAbwBwAHMAXAAiACwAIABcACIAUwBBAFwAIgAsACAAMAAuADAAOQA7AFwAbgAgACAAIAAgACAAIAAgACAAXAAiAE8AdABoAGUAcgAgAHAAZQByAGUAbgBuAGkAYQBsACAAYwByAG8AcABzAFwAIgAsACAAXAAiAFcAQQBcACIALAAgADAALgAxADEAOwBcAG4AIAAgACAAIAAgACAAIAAgAFwAIgBPAHQAaABlAHIAIABwAGUAcgBlAG4AbgBpAGEAbAAgAGMAcgBvAHAAcwBcACIALAAgAFwAIgBUAEEAUwBcACIALAAgADAALgAxADYAOwBcAG4AIAAgACAAIAAgACAAIAAgAFwAIgBPAHQAaABlAHIAIABwAGUAcgBlAG4AbgBpAGEAbAAgAGMAcgBvAHAAcwBcACIALAAgAFwAIgBOAFQAXAAiACwAIAAwAC4AMAAxADsAXABuACAAIAAgACAAIAAgACAAIABcACIATwB0AGgAZQByACAAcABlAHIAZQBuAG4AaQBhAGwAIABjAHIAbwBwAHMAXAAiACwAIABcACIAQQBDAFQAXAAiACwAIAAwAC4AMAAwAFwAbgAgACAAIAAgACAAIAB9ACwAIAByACwAIABjACkAXABuACkAKQApADsAXABuAFwAbgBDAHIAbwBwAEYAcgBhAGMAdABpAG8AbgBSAGUAbQBvAHYAZQBkAF8AVgBhAHIAaQBhAHQAaQBvAG4AXABuAD0ATABBAE0AQgBEAEEAKAAoAFwAIgBWAEEAUgBJAEEAVABJAE8ATgAgAE8ARgAgAFMATwBVAFIAQwBFACAARABBAFQAQQA6ACAAUwBwAGwAaQB0ACAAXAB1ADAAMAAyADcAQQBsAGwAIABvAHQAaABlAHIAIABjAHIAbwBwACAAdAB5AHAAZQBzAFwAdQAwADAAMgA3ACAAaQBuAHQAbwAgAGkAbgBkAGkAdgBpAGQAdQBhAGwAIABjAHIAbwBwACAAdAB5AHAAZQBzACAAZgBvAHIAIABlAGEAYwBoACAAcwB0AGEAdABlAC4AIABMAGkAcwB0AGUAZAAgAGEAbABsACAAcwB0AGEAdABlAHMAIABmAG8AcgAgAFMAdQBnAGEAcgAgAEMAYQBuAGUALAAgAHcAaQB0AGgAIABcAHUAMAAwADIANwBOAC8AQQBcAHUAMAAwADIANwAgAGYAbwByACAAcwB0AGEAdABlAHMAIAB3AGgAZQByAGUAIABpAHQAIABpAHMAIABuAG8AdAAgAGcAcgBvAHcAbgAuAFwAIgApACkAOwBcAG4AXABuAFwAbgAvACoAXABuAD0APQA9AD0APQA9AD0APQA9AD0APQA9AD0APQA9AD0APQA9AD0APQA9AD0APQA9AD0APQA9AD0APQA9AD0APQA9AD0APQA9AD0APQA9AD0APQA9AD0APQA9AD0APQA9AD0APQA9AD0APQA9AD0APQA9AD0APQA9AD0APQA9AD0APQA9AD0APQA9AD0APQA9AD0APQA9AD0AXABuAFAAYQBzAHQAdQByAGUAIABhAHQAdAByAGkAYgB1AHQAZQBzAFwAbgA9AD0APQA9AD0APQA9AD0APQA9AD0APQA9AD0APQA9AD0APQA9AD0APQA9AD0APQA9AD0APQA9AD0APQA9AD0APQA9AD0APQA9AD0APQA9AD0APQA9AD0APQA9AD0APQA9AD0APQA9AD0APQA9AD0APQA9AD0APQA9AD0APQA9AD0APQA9AD0APQA9AD0APQA9AD0APQA9AFwAbgAqAC8AXABuAFwAbgBQAGEAcwB0AHUAcgBlAEEAdAB0AHIAaQBiAHUAdABlAHMAXwBUAGkAdABsAGUAXABuAD0ATABBAE0AQgBEAEEAKAAoAFwAIgBUAGEAYgBsAGUAIABBAC4AMgAuADEALgAzACAAUABhAHMAdAB1AHIAZQAgAGEAdAB0AHIAaQBiAHUAdABlAHMAXAAiACkAKQA7AFwAbgBcAG4AUABhAHMAdAB1AHIAZQBBAHQAdAByAGkAYgB1AHQAZQBzAF8ARABlAHMAYwByAGkAcAB0AGkAbwBuAFwAbgA9AEwAQQBNAEIARABBACgAKABcACIAUABhAHMAdAB1AHIAZQAgAGEAdAB0AHIAaQBiAHUAdABlAHMAXAAiACkAKQA7AFwAbgBcAG4AUABhAHMAdAB1AHIAZQBBAHQAdAByAGkAYgB1AHQAZQBzAF8AUwBvAHUAcgBjAGUAXABuAD0ATABBAE0AQgBEAEEAKAAoAFwAIgBWAEUARQBSAEcAIAAyADAAMgA2ADoAIABUAGEAYgBsAGUAIABBAC4AMgAuADEALgAzADoAIABQAGEAcwB0AHUAcgBlACAAYQB0AHQAcgBpAGIAdQB0AGUAcwBcACIAKQApADsAXABuAFwAbgBQAGEAcwB0AHUAcgBlAEEAdAB0AHIAaQBiAHUAdABlAHMAXwBEAGEAdABhAFwAbgA9AEwAQQBNAEIARABBACgAXABuACAAIABNAEEASwBFAEEAUgBSAEEAWQAoADYALAAgADYALABcAG4AIAAgACAAIABMAEEATQBCAEQAQQAoAHIALABjACwAXABuACAAIAAgACAAIAAgAEkATgBEAEUAWAAoAHsAXABuACAAIAAgACAAIAAgACAAIABcACIAUABhAHMAdAB1AHIAZQAgAHQAeQBwAGUAXAAiACwAIABcACIAQQB2AGUAcgBhAGcAZQAgAFkAaQBlAGwAZAAgACgAdAAgAEQATQAgAGgAYQApACAAWQBwAFwAIgAsACAAXAAiAEIAZQBsAG8AdwAtAGcAcgBvAHUAbgBkADoAIABhAGIAbwB2AGUALQBnAHIAbwB1AG4AZAAgAHIAZQBzAGkAZAB1AGUAIAByAGEAdABpAG8AIABSAEIARwBwAFwAIgAsACAAXAAiAE4AIABjAG8AbgB0AGUAbgB0ACAAQQBiAG8AdgBlAC0AZwByAG8AdQBuAGQAIABOAEMAQQBHAHAAXAAiACwAIABcACIATgAgAGMAbwBuAHQAZQBuAHQAIABCAGUAbABvAHcALQBnAHIAbwB1AG4AZAAgAE4AQwBCAEcAcABcACIALAAgAFwAIgBGAHIAYQBjAHQAaQBvAG4AIABvAGYAIABwAGEAcwB0AHUAcgBlACAAeQBpAGUAbABkACAAdABoAGEAdAAgAGkAcwAgAHIAZQBtAG8AdgBlAGQAIABGAEYATwBEAHAAXAAiADsAXABuACAAIAAgACAAIAAgACAAIABcACIAQQBuAG4AdQBhAGwAIABnAHIAYQBzAHMAXAAiACwAIAA0AC4ANAAxACwAIAAwAC4ANAAsACAAMAAuADAAMQA1ACwAIAAwAC4AMAAxADIALAAgADAALgA4ADsAXABuACAAIAAgACAAIAAgACAAIABcACIARwByAGEAcwBzACAAYwBsAG8AdgBlAHIAIABtAGkAeAB0AHUAcgBlAFwAIgAsACAAOAAuADMANAAsACAAMAAuADgALAAgADAALgAwADIANQAsACAAMAAuADAAMQA2ACwAIAAwAC4AOAA7AFwAbgAgACAAIAAgACAAIAAgACAAXAAiAEwAdQBjAGUAcgBuAGUAXAAiACwAIAA4AC4ANgAyACwAIAAwAC4ANAAsACAAMAAuADAAMgA3ACwAIAAwAC4AMAAxADkALAAgADAALgA4ADsAXABuACAAIAAgACAAIAAgACAAIABcACIATwB0AGgAZQByACAAbABlAGcAdQBtAGUAXAAiACwAIAA1AC4ANgAyACwAIAAwAC4ANAAsACAAMAAuADAAMgA3ACwAIAAwAC4AMAAyADIALAAgADAALgA4ADsAXABuACAAIAAgACAAIAAgACAAIABcACIAUABlAHIAZQBuAG4AaQBhAGwAIABwAGEAcwB0AHUAcgBlAFwAIgAsACAAOAAuADMANQAsACAAMAAuADgALAAgADAALgAwADEANQAsACAAMAAuADAAMQAyACwAIAAwAC4AOA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NQAuADMAMQAgAEIAdQByAG4AaQBuAGcAIABvAGYAIABhAGcAcgBpAGMAdQBsAHQAdQByAGEAbAAgAHIAZQBzAGkAZAB1AGUAcwAgAC0AIABFAEYAcwBcAG4APQA9AD0APQA9AD0APQA9AD0APQA9AD0APQA9AD0APQA9AD0APQA9AD0APQA9AD0APQA9AD0APQA9AD0APQA9AD0APQA9AD0APQA9AD0APQA9AD0APQA9AD0APQA9AD0APQA9AD0APQA9AD0APQA9AD0APQA9AD0APQA9AD0APQA9AD0APQA9AD0APQA9AD0APQA9AD0APQBcAG4AKgAvAFwAbgBcAG4AQgB1AHIAbgBpAG4AZwBPAGYAQQBnAHIAaQBjAHUAbAB0AHUAcgBhAGwAUgBlAHMAaQBkAHUAZQBzAEUARgBzAF8AVABpAHQAbABlAFwAbgA9AEwAQQBNAEIARABBACgAKABcACIAVABhAGIAbABlACAANQAuADMAMQAgAEIAdQByAG4AaQBuAGcAIABvAGYAIABhAGcAcgBpAGMAdQBsAHQAdQByAGEAbAAgAHIAZQBzAGkAZAB1AGUAcwAgAC0AIABFAEYAcwBcACIAKQApADsAXABuAFwAbgBCAHUAcgBuAGkAbgBnAE8AZgBBAGcAcgBpAGMAdQBsAHQAdQByAGEAbABSAGUAcwBpAGQAdQBlAHMARQBGAHMAXwBEAGUAcwBjAHIAaQBwAHQAaQBvAG4AXABuAD0ATABBAE0AQgBEAEEAKAAoAFwAIgBCAHUAcgBuAGkAbgBnACAAbwBmACAAYQBnAHIAaQBjAHUAbAB0AHUAcgBhAGwAIAByAGUAcwBpAGQAdQBlAHMAIAAtACAARQBGAHMAXAAiACkAKQA7AFwAbgBcAG4AQgB1AHIAbgBpAG4AZwBPAGYAQQBnAHIAaQBjAHUAbAB0AHUAcgBhAGwAUgBlAHMAaQBkAHUAZQBzAEUARgBzAF8AUwBvAHUAcgBjAGUAXABuAD0ATABBAE0AQgBEAEEAKAAoAFwAIgBOAGEAdABpAG8AbgBhAGwAIABJAG4AdgBlAG4AdABvAHIAeQAgAFIAZQBwAG8AcgB0ACAAMgAwADIAMwAgAHYAbwBsAHUAbQBlACAAMgA6ACAAVABhAGIAbABlACAANQAuADMAMQA6ACAAQgB1AHIAbgBpAG4AZwAgAG8AZgAgAGEAZwByAGkAYwB1AGwAdAB1AHIAYQBsACAAcgBlAHMAaQBkAHUAZQBzACAALQAgAEUARgBzAFwAIgApACkAOwBcAG4AXABuAEIAdQByAG4AaQBuAGcATwBmAEEAZwByAGkAYwB1AGwAdAB1AHIAYQBsAFIAZQBzAGkAZAB1AGUAcwBFAEYAcwBfAEQAYQB0AGEAXABuAD0ATABBAE0AQgBEAEEAKABcAG4AIAAgAE0AQQBLAEUAQQBSAFIAQQBZACgANgAsACAAMwAsAFwAbgAgACAAIAAgAEwAQQBNAEIARABBACgAcgAsAGMALABcAG4AIAAgACAAIAAgACAASQBOAEQARQBYACgAewBcAG4AIAAgACAAIAAgACAAIAAgAFwAIgBHAGEAcwAgAHMAcABlAGMAaQBlAHMAXAAiACwAIABcACIARQBtAGkAcwBzAGkAbwBuACAAZgBhAGMAdABvAHIAIABFAEYAZwAgACgARwBnACAAZQBsAGUAbQBlAG4AdAAgAGkAbgAgAHMAcABlAGMAaQBlAHMALwAgAEcAZwAgAGUAbABlAG0AZQBuAHQAIABpAG4AIABmAHUAZQBsACAAYgB1AHIAbgB0ACkAXAAiACwAIABcACIARQBsAGUAbQBlAG4AdABhAGwAIAB0AG8AIABtAG8AbABlAGMAdQBsAGEAcgAgAG0AYQBzAHMAIABjAG8AbgB2AGUAcgBzAGkAbwBuACAAZgBhAGMAdABvAHIAIAAoAEMAZwApAFwAIgA7AFwAbgAgACAAIAAgACAAIAAgACAAXAAiAEMASAA0AFwAIgAsACAAMAAuADAAMAAzADUALAAgAFwAIgAxADYALwAxADIAXAAiADsAXABuACAAIAAgACAAIAAgACAAIABcACIATgAyAE8AXAAiACwAIAAwAC4AMAAwADcANgAsACAAXAAiADQANAAvADIAOABcACIAOwBcAG4AIAAgACAAIAAgACAAIAAgAFwAIgBOAE8AeABcACIALAAgADAALgAyADEAMAAwACwAIABcACIANAA2AC8AMQA0AFwAIgA7AFwAbgAgACAAIAAgACAAIAAgACAAXAAiAEMATwBcACIALAAgADAALgAwADcAOAAwACwAIABcACIAMgA4AC8AMQAyAFwAIgA7AFwAbgAgACAAIAAgACAAIAAgACAAXAAiAE4ATQBWAE8AQwBcACIALAAgADAALgAwADAAOQAxACwAIABcACIAMQA0AC8AMQAyAFwAIgBcAG4AIAAgACAAIAAgACAAfQAsACAAcgAsACAAYwApAFwAbgApACkAKQA7AFwAbgBcAG4AXABuAC8AKgAgAFwAbgAtAC0ALQAtAC0ALQAtAC0ALQAtAC0ALQAtAC0ALQAtAC0ALQAtAC0ALQAtAC0ALQAtAC0ALQAtAC0ALQAtAC0ALQAtAC0ALQAtAC0AXABuAE4AMgBPAEUARgBPAHIAZwBhAG4AaQBjAEYAZQByAHQAaQBsAGkAcwBlAHIAXABuAFYARQBFAFIARwAgADIAMAAyADYAOgAgAFQAYQBiAGwAZQAgAEEALgAyAC4AMQAuADQAIABFAG0AaQBzAHMAaQBvAG4AIABmAGEAYwB0AG8AcgAgAGYAbwByACAAbwByAGcAYQBuAGkAYwAgAGYAZQByAHQAaQBsAGkAcwBlAHIAIABhAG4AZAAgAGMAcgBvAHAAIAByAGUAcwBpAGQAdQBlAHMAIAByAGUAdAB1AHIAbgBlAGQAIAB0AG8AIAB0AGgAZQAgAHMAbwBpAGwAXABuAC0ALQAtAC0ALQAtAC0ALQAtAC0ALQAtAC0ALQAtAC0ALQAtAC0ALQAtAC0ALQAtAC0ALQAtAC0ALQAtAC0ALQAtAC0ALQAtAC0ALQBcAG4AKgAvAFwAbgBcAG4ATgAyAE8ARQBGAE8AcgBnAGEAbgBpAGMARgBlAHIAdABpAGwAaQBzAGUAcg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OADIATwBFAEYATwByAGcAYQBuAGkAYwBGAGUAcgB0AGkAbABpAHMAZQByAF8AVQBuAGkAdABcAG4AIAAgAD0ATABBAE0AQgBEAEEAKABcACIAawBnACAATgAyAE8AIAAtACAATgAgAC8AIABrAGcAIABOAFwAIgApADsAXABuAFwAbgBOADIATwBFAEYATwByAGcAYQBuAGkAYwBGAGUAcgB0AGkAbABpAHMAZQByAF8AUwBvAHUAcgBjAGUAXABuACAAIAA9AEwAQQBNAEIARABBACgAXAAiAFYARQBFAFIARwAgADIAMAAyADYAOgAgAFQAYQBiAGwAZQAgAEEALgAyAC4AMQAuADQAXAAiACkAOwBcAG4AXABuAE4AMgBPAEUARgBPAHIAZwBhAG4AaQBjAEYAZQByAHQAaQBsAGkAcwBlAHIAXwBOAEkAUgBSAGUAZgBlAHIAZQBuAGMAZQBcAG4AIAAgAD0ATABBAE0AQgBEAEEAKABcACIASQBQAEMAQwAgADIAMAAxADkAIABSAGUAZgBpAG4AZQBtAGUAbgB0ACAAVgBvAGwAdQBtAGUAIAA0ACAAVABhAGIAbABlACAAMQAxAC4AMQAgAFsAMQAsACAAcAAuACAAMQAxAF0AXAAiACkAOwBcAG4AXABuAE4AMgBPAEUARgBPAHIAZwBhAG4AaQBjAEYAZQByAHQAaQBsAGkAcwBlAHIAXwBEAGEAdABhAFwAbgAgACAAPQBMAEEATQBCAEQAQQAoAFwAbgAgACAAIAAgAE0AQQBLAEUAQQBSAFIAQQBZACgAMwAsACAAMgAsACAAXABuACAAIAAgACAAIAAgAEwAQQBNAEIARABBACgAcgAsAGMALAAgAFwAbgAgACAAIAAgACAAIAAgACAASQBOAEQARQBYACgAewBcAG4AIAAgACAAIAAgACAAIAAgACAAIABcACIAQwBsAGkAbQBhAHQAZQAgAHoAbwBuAGUAIABpAFwAIgAsACAAXAAiAEUARgAgAGkAIABOADIATwBcACIAOwBcAG4AIAAgACAAIAAgACAAIAAgACAAIAAgACAAXAAiAFcAZQB0ACAAYwBsAGkAbQBhAHQAZQAgAHoAbwBuAGUAXAAiACwAIAAwAC4AMAAwADYAOwBcAG4AIAAgACAAIAAgACAAIAAgACAAIAAgACAAXAAiAEQAcgB5ACAAYwBsAGkAbQBhAHQAZQAgAHoAbwBuAGUAXAAiACwAIAAwAC4AMAAwADUAXABuACAAIAAgACAAIAAgACAAIAB9ACwAIAByACwAIABjACkAXABuACAAIAAgACAAIAAgACkAXABuACAAIAAgACAAKQBcAG4AIAAgACkAOwBcAG4AXABuAFwAbgBcAG4AIgB9ACwAewAiAHAAYQB0AGgAIgA6ACIALwBwAHIAbwBqAGUAYwB0AHMALwBTAGMAbwBwAGUAMwBfAEUAcQB1AGEAdABpAG8AbgBzACIALAAiAHQAZQB4AHQAIgA6ACIALwAqAFwAbgA9AD0APQA9AD0APQA9AD0APQA9AD0APQA9AD0APQA9AD0APQA9AD0APQA9AD0APQA9AD0APQA9AD0APQA9AD0APQA9AD0APQA9AD0APQA9AD0APQA9AD0APQA9AD0APQA9AD0APQA9AD0APQA9AD0APQA9AD0APQA9AD0APQA9AD0APQA9AD0APQA9AD0APQA9AD0APQA9AFwAbgAxADUAOgAgAFMAYwBvAHAAZQAgADM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QBfADEAXwAxAF8AMQBfAF8AMQBfAEUAbQBpAHMAcwBpAG8AbgBzAEYAcgBvAG0AUAB1AHIAYwBoAGEAcwBlAGQATABpAHYAZQBzAHQAbwBjAGsAXABuAFQAbwB0AGEAbAAgAGUAbQBpAHMAcwBpAG8AbgBzACAAZgByAG8AbQAgAHAAdQByAGMAaABhAHMAZQBkACAAbABpAHYAZQBzAHQAbwBjAGsAXABuAEUAXABuAHQAIABDAE8AMgBlAFwAbgBFAD0AXABcAHMAdQBtAFwAXABuAG8AbABpAG0AaQB0AHMAXwBjAFwAXABzAHUAbQBcAFwAbgBvAGwAaQBtAGkAdABzAF8AbwBcAFwAbABlAGYAdAAoAE4AXwB7AGMAbwB9AFwAXAB0AGkAbQBlAHMAIABXAF8AewBjAG8AfQBcAFwAdABpAG0AZQBzACAARQBGAF8AewBjAG8AfQBcAFwAcgBpAGcAaAB0ACkAXABcAHQAaQBtAGUAcwAgADEAMABeAHsALQAzAH0AXABuAE4AXwBjAG8AIAA9ACAAbgB1AG0AYgBlAHIAIABvAGYAIABhAG4AaQBtAGEAbABzACAAcAB1AHIAYwBoAGEAcwBlAGQAIABpAG4AIABsAGkAdgBlAHMAdABvAGMAawAgAHQAeQBwAGUAIABjACAAZgByAG8AbQAgAG8AcgBpAGcAaQBuACAAbwBcAG4AVwBfAGMAbwAgAD0AIABhAHYAZQByAGEAZwBlACAAbABpAHYAZQB3AGUAaQBnAGgAdAAgAG8AZgAgAHAAdQByAGMAaABhAHMAZQBkACAAbABpAHYAZQBzAHQAbwBjAGsAIABhAHQAIABwAG8AaQBuAHQAIABvAGYAIABwAHUAcgBjAGgAYQBzAGUAXABuAEUARgBfAGMAbwAgAD0AIABlAG0AaQBzAHMAaQBvAG4AIABmAGEAYwB0AG8AcgAgAHAAZQByACAAbABpAHYAZQBzAHQAbwBjAGsAIAB0AHkAcABlACAAYQBuAGQAIABvAHIAaQBnAGkAbgBcAG4ALQAtAC0ALQAtAC0ALQAtAC0ALQAtAC0ALQAtAC0ALQAtAC0ALQAtAC0ALQAtAC0ALQAtAC0ALQAtAC0ALQAtAC0ALQAtAC0ALQAtAFwAbgAqAC8AXABuAFwAbgBWAEUARQBSAEcAXwAxADUAXwAxAF8AMQBfADEAXwBfADEAXwBFAG0AaQBzAHMAaQBvAG4AcwBGAHIAbwBtAFAAdQByAGMAaABhAHMAZQBkAEwAaQB2AGUAcwB0AG8AYwBrAFwAbgAgACAAPQBMAEEATQBCAEQAQQAoAFwAbgAgACAAIAAgAE4AXwBjAG8ALAAgAFcAXwBjAG8ALAAgAEUARgBfAGMAbwAsAFwAbgAgACAAIAAgACgATgBfAGMAbwAgACoAIABXAF8AYwBvACAAKgAgAEUARgBfAGMAbwApACAAKgAgADEAMAAgAF4AIAAtADMAXABuACAAIAApADsAXABuAFwAbgBWAEUARQBSAEcAXwAxADUAXwAxAF8AMQBfADEAXwBfADEAXwBFAG0AaQBzAHMAaQBvAG4AcwBGAHIAbwBtAFAAdQByAGMAaABhAHMAZQBkAEwAaQB2AGUAcwB0AG8AYwBrAF8AVABpAHQAbABlAFwAbgAgACAAPQBMAEEATQBCAEQAQQAoAFwAIgBUAG8AdABhAGwAIABlAG0AaQBzAHMAaQBvAG4AcwAgAGYAcgBvAG0AIABwAHUAcgBjAGgAYQBzAGUAZAAgAGwAaQB2AGUAcwB0AG8AYwBrAFwAIgApADsAXABuAFwAbgBWAEUARQBSAEcAXwAxADUAXwAxAF8AMQBfADEAXwBfADEAXwBFAG0AaQBzAHMAaQBvAG4AcwBGAHIAbwBtAFAAdQByAGMAaABhAHMAZQBkAEwAaQB2AGUAcwB0AG8AYwBrAF8AVgBhAHIAaQBhAGIAbABlAFwAbgAgACAAPQBMAEEATQBCAEQAQQAoAFwAIgBFAFwAIgApADsAXABuAFwAbgBWAEUARQBSAEcAXwAxADUAXwAxAF8AMQBfADEAXwBfADEAXwBFAG0AaQBzAHMAaQBvAG4AcwBGAHIAbwBtAFAAdQByAGMAaABhAHMAZQBkAEwAaQB2AGUAcwB0AG8AYwBrAF8AVQBuAGkAdABcAG4AIAAgAD0ATABBAE0AQgBEAEEAKABcACIAdAAgAEMATwAyAGUAXAAiACkAOwBcAG4AXABuAFYARQBFAFIARwBfADEANQBfADEAXwAxAF8AMQBfAF8AMQBfAEUAbQBpAHMAcwBpAG8AbgBzAEYAcgBvAG0AUAB1AHIAYwBoAGEAcwBlAGQATABpAHYAZQBzAHQAbwBjAGsAXwBTAG8AdQByAGMAZQBcAG4AIAAgAD0ATABBAE0AQgBEAEEAKABcACIAVgBFAEUAUgBHACAAMgAwADIANgA6ACAAMQA1AC4AMQAuADEALgAxACwAIABFAHEAdQBhAHQAaQBvAG4AIAAoADEAKQBcACIAKQA7AFwAbgBcAG4AVgBFAEUAUgBHAF8AMQA1AF8AMQBfADEAXwAxAF8AXwAxAF8ARQBtAGkAcwBzAGkAbwBuAHMARgByAG8AbQBQAHUAcgBjAGgAYQBzAGUAZABMAGkAdgBlAHMAdABvAGMAawBfAE4ASQBSAFIAZQBmAGUAcgBlAG4AYwBlAFwAbgAgACAAPQBMAEEATQBCAEQAQQAoAFwAIgBcACIAKQA7AFwAbgBcAG4AVgBFAEUAUgBHAF8AMQA1AF8AMQBfADEAXwAxAF8AXwAxAF8ARQBtAGkAcwBzAGkAbwBuAHMARgByAG8AbQBQAHUAcgBjAGgAYQBzAGUAZABMAGkAdgBlAHMAdABvAGMAawBfAEwAYQB0AGUAeABFAHEAdQBhAHQAaQBvAG4AXABuACAAIAA9AEwAQQBNAEIARABBACgAXAAiAEUAPQBcAFwAcwB1AG0AXABcAG4AbwBsAGkAbQBpAHQAcwBfAGMAXABcAHMAdQBtAFwAXABuAG8AbABpAG0AaQB0AHMAXwBvAFwAXABsAGUAZgB0ACgATgBfAHsAYwBvAH0AXABcAHQAaQBtAGUAcwAgAFcAXwB7AGMAbwB9AFwAXAB0AGkAbQBlAHMAIABFAEYAXwB7AGMAbwB9AFwAXAByAGkAZwBoAHQAKQBcAFwAdABpAG0AZQBzACAAMQAwAF4AewAtADMAfQBcACIAKQA7AFwAbgBcAG4AVgBFAEUAUgBHAF8AMQA1AF8AMQBfADEAXwAxAF8AXwAxAF8ARQBtAGkAcwBzAGkAbwBuAHMARgByAG8AbQBQAHUAcgBjAGgAYQBzAGUAZABMAGkAdgBlAHMAdABvAGMAawBfAEEAcgBnAHUAbQBlAG4AdABzAFwAbgAgACAAPQBMAEEATQBCAEQAQQAoAFwAbgAgACAAIAAgAE0AQQBLAEUAQQBSAFIAQQBZACgANQAsACAANAAsAFwAbgAgACAAIAAgACAAIABMAEEATQBCAEQAQQAoAHIALABjACwAXABuACAAIAAgACAAIAAgACAAIABJAE4ARABFAFgAKAB7AFwAbgAgACAAIAAgACAAIAAgACAAIAAgAFwAIgBOAF8AYwBvAFwAIgAsACAAXAAiAG4AdQBtAGIAZQByACAAbwBmACAAYQBuAGkAbQBhAGwAcwAgAHAAdQByAGMAaABhAHMAZQBkACAAaQBuACAAbABpAHYAZQBzAHQAbwBjAGsAIAB0AHkAcABlACAAYwAgAGYAcgBvAG0AIABvAHIAaQBnAGkAbgAgAG8AXAAiACwAIABcACIAaABlAGEAZABcACIALAAgAFwAIgBJAG4AcAB1AHQAXAAiADsAXABuACAAIAAgACAAIAAgACAAIAAgACAAXAAiAFcAXwBjAG8AXAAiACwAIABcACIAYQB2AGUAcgBhAGcAZQAgAGwAaQB2AGUAdwBlAGkAZwBoAHQAIABvAGYAIABwAHUAcgBjAGgAYQBzAGUAZAAgAGwAaQB2AGUAcwB0AG8AYwBrACAAYQB0ACAAcABvAGkAbgB0ACAAbwBmACAAcAB1AHIAYwBoAGEAcwBlAFwAIgAsACAAXAAiAGsAZwAvAGgAZQBhAGQAXAAiACwAIABcACIASQBuAHAAdQB0AFwAIgA7AFwAbgAgACAAIAAgACAAIAAgACAAIAAgAFwAIgBFAEYAXwBjAG8AXAAiACwAIABcACIAZQBtAGkAcwBzAGkAbwBuACAAZgBhAGMAdABvAHIAIABwAGUAcgAgAGwAaQB2AGUAcwB0AG8AYwBrACAAdAB5AHAAZQAgAGEAbgBkACAAbwByAGkAZwBpAG4AXAAiACwAIABcACIAawBnACAAQwBPADIAZQAvAGsAZwBcACIALAAgAFwAIgBDAG8AbgBzAHQAYQBuAHQAXAAiADsAXABuACAAIAAgACAAIAAgACAAIAAgACAAXAAiAGMAXAAiACwAIABcACIAbABpAHYAZQBzAHQAbwBjAGsAIAB0AHkAcABlAFwAIgAsACAAXAAiAFwAIgAsACAAXAAiAEkAbgBwAHUAdABcACIAOwBcAG4AIAAgACAAIAAgACAAIAAgACAAIABcACIAbwBcACIALAAgAFwAIgBvAHIAaQBnAGk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gBfADEAXwAxAF8AXwAxAF8ARQBtAGkAcwBzAGkAbwBuAHMARgByAG8AbQBQAHUAcgBjAGgAYQBzAGUAZABGAGUAZQBkAFwAbgBFAG0AaQBzAHMAaQBvAG4AcwAgAGYAcgBvAG0AIABwAHUAcgBjAGgAYQBzAGUAZAAgAGYAZQBlAGQAXABuAEUAXABuAHQAIABDAE8AMgBlAFwAbgBFAD0AXABcAHMAdQBtAFwAXABuAG8AbABpAG0AaQB0AHMAXwBqAFwAXABsAGUAZgB0ACgAUQBfAGoAXABcAHQAaQBtAGUAcwAgAEUARgBfAGoAXABcAHIAaQBnAGgAdAApAFwAbgBRAF8AagAgAD0AIABxAHUAYQBuAHQAaQB0AHkAIABvAGYAIABmAGUAZQBkACAAdAB5AHAAZQAgAGoAIABwAHUAcgBjAGgAYQBzAGUAZABcAG4ARQBGAF8AagAgAD0AIABlAG0AaQBzAHMAaQBvAG4AIABmAGEAYwB0AG8AcgAgAG8AZgAgAHAAdQByAGMAaABhAHMAZQBkACAAZgBlAGUAZABcAG4ALQAtAC0ALQAtAC0ALQAtAC0ALQAtAC0ALQAtAC0ALQAtAC0ALQAtAC0ALQAtAC0ALQAtAC0ALQAtAC0ALQAtAC0ALQAtAC0ALQAtAFwAbgAqAC8AXABuAFwAbgBWAEUARQBSAEcAXwAxADUAXwAyAF8AMQBfADEAXwBfADEAXwBFAG0AaQBzAHMAaQBvAG4AcwBGAHIAbwBtAFAAdQByAGMAaABhAHMAZQBkAEYAZQBlAGQAXABuACAAIAA9AEwAQQBNAEIARABBACgAXABuACAAIAAgACAAUQBfAGoALAAgAEUARgBfAGoALABcAG4AIAAgACAAIABRAF8AagAgACoAIABFAEYAXwBq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EAcgBnAHUAbQBlAG4AdABz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0AFwAIgAsACAAXAAiAEkAbgBwAHUAdABcACIAOwBcAG4AIAAgACAAIAAgACAAIAAgACAAIABcACIARQBGAF8AagBcACIALAAgAFwAIgBlAG0AaQBzAHMAaQBvAG4AIABmAGEAYwB0AG8AcgAgAG8AZgAgAHAAdQByAGMAaABhAHMAZQBkACAAZgBlAGUAZABcACIALAAgAFwAIgBrAGcAIABDAE8AMgBlAC8AawBnAFwAIgAsACAAXAAiAEMAbwBuAHMAdABhAG4AdABcACIAOwBcAG4AIAAgACAAIAAgACAAIAAgACAAIABcACIAagBcACIALAAgAFwAIgBmAGUAZQBk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wBfADEAXwAxAF8AXwAxAF8ARQBtAGkAcwBzAGkAbwBuAHMARgByAG8AbQBQAHUAcgBjAGgAYQBzAGUAZABNAGkAbgBlAHIAYQBsAFMAdQBwAHAAbABlAG0AZQBuAHQAcwBcAG4AVABvAHQAYQBsACAAZQBtAGkAcwBzAGkAbwBuAHMAIABmAHIAbwBtACAAcAB1AHIAYwBoAGEAcwBlAGQAIABtAGkAbgBlAHIAYQBsACAAcwB1AHAAcABsAGUAbQBlAG4AdABzAFwAbgBFAFwAbgB0ACAAQwBPADIAZQBcAG4ARQA9AFwAXABzAHUAbQBcAFwAbgBvAGwAaQBtAGkAdABzAF8AbQBcAFwAbABlAGYAdAAoAFEAXwBtAFwAXAB0AGkAbQBlAHMAIABFAEYAXwBtAFwAXAByAGkAZwBoAHQAKQBcAG4AUQBfAG0AIAA9ACAAdABvAHQAYQBsACAAcQB1AGEAbgB0AGkAdAB5ACAAbwBmACAAbQBpAG4AZQByAGEAbAAgAHMAdQBwAHAAbABlAG0AZQBuAHQAIAB0AHkAcABlACAAbQAgAHUAcwBlAGQAXABuAEUARgBfAG0AIAA9ACAAZQBtAGkAcwBzAGkAbwBuACAAZgBhAGMAdABvAHIAIABvAGYAIABwAHUAcgBjAGgAYQBzAGUAZAAgAG0AaQBuAGUAcgBhAGwAIABzAHUAcABwAGwAZQBtAGUAbgB0AFwAbgAtAC0ALQAtAC0ALQAtAC0ALQAtAC0ALQAtAC0ALQAtAC0ALQAtAC0ALQAtAC0ALQAtAC0ALQAtAC0ALQAtAC0ALQAtAC0ALQAtAC0AXABuACoALwBcAG4AXABuAFYARQBFAFIARwBfADEANQBfADMAXwAxAF8AMQBfAF8AMQBfAEUAbQBpAHMAcwBpAG8AbgBzAEYAcgBvAG0AUAB1AHIAYwBoAGEAcwBlAGQATQBpAG4AZQByAGEAbABTAHUAcABwAGwAZQBtAGUAbgB0AHMAXABuACAAIAA9AEwAQQBNAEIARABBACgAXABuACAAIAAgACAAUQBfAG0ALAAgAEUARgBfAG0ALABcAG4AIAAgACAAIABRAF8AbQAgACoAIABFAEYAXwBtAFwAbgAgACAAKQA7AFwAbgBcAG4AVgBFAEUAUgBHAF8AMQA1AF8AMwBfADEAXwAxAF8AXwAxAF8ARQBtAGkAcwBzAGkAbwBuAHMARgByAG8AbQBQAHUAcgBjAGgAYQBzAGUAZABNAGkAbgBlAHIAYQBsAFMAdQBwAHAAbABlAG0AZQBuAHQAcwBfAFQAaQB0AGwAZQBcAG4AIAAgAD0ATABBAE0AQgBEAEEAKABcACIAVABvAHQAYQBsACAAZQBtAGkAcwBzAGkAbwBuAHMAIABmAHIAbwBtACAAcAB1AHIAYwBoAGEAcwBlAGQAIABtAGkAbgBlAHIAYQBsACAAcwB1AHAAcABsAGUAbQBlAG4AdABzAFwAIgApADsAXABuAFwAbgBWAEUARQBSAEcAXwAxADUAXwAzAF8AMQBfADEAXwBfADEAXwBFAG0AaQBzAHMAaQBvAG4AcwBGAHIAbwBtAFAAdQByAGMAaABhAHMAZQBkAE0AaQBuAGUAcgBhAGwAUwB1AHAAcABsAGUAbQBlAG4AdABzAF8AVgBhAHIAaQBhAGIAbABlAFwAbgAgACAAPQBMAEEATQBCAEQAQQAoAFwAIgBFAFwAIgApADsAXABuAFwAbgBWAEUARQBSAEcAXwAxADUAXwAzAF8AMQBfADEAXwBfADEAXwBFAG0AaQBzAHMAaQBvAG4AcwBGAHIAbwBtAFAAdQByAGMAaABhAHMAZQBkAE0AaQBuAGUAcgBhAGwAUwB1AHAAcABsAGUAbQBlAG4AdABzAF8AVQBuAGkAdABcAG4AIAAgAD0ATABBAE0AQgBEAEEAKABcACIAdAAgAEMATwAyAGUAXAAiACkAOwBcAG4AXABuAFYARQBFAFIARwBfADEANQBfADMAXwAxAF8AMQBfAF8AMQBfAEUAbQBpAHMAcwBpAG8AbgBzAEYAcgBvAG0AUAB1AHIAYwBoAGEAcwBlAGQATQBpAG4AZQByAGEAbABTAHUAcABwAGwAZQBtAGUAbgB0AHMAXwBTAG8AdQByAGMAZQBcAG4AIAAgAD0ATABBAE0AQgBEAEEAKABcACIAVgBFAEUAUgBHACAAMgAwADIANgA6ACAAMQA1AC4AMwAuADEALgAxACwAIABFAHEAdQBhAHQAaQBvAG4AIAAoADEAKQBcACIAKQA7AFwAbgBcAG4AVgBFAEUAUgBHAF8AMQA1AF8AMwBfADEAXwAxAF8AXwAxAF8ARQBtAGkAcwBzAGkAbwBuAHMARgByAG8AbQBQAHUAcgBjAGgAYQBzAGUAZABNAGkAbgBlAHIAYQBsAFMAdQBwAHAAbABlAG0AZQBuAHQAcwBfAE4ASQBSAFIAZQBmAGUAcgBlAG4AYwBlAFwAbgAgACAAPQBMAEEATQBCAEQAQQAoAFwAIgBcACIAKQA7AFwAbgBcAG4AVgBFAEUAUgBHAF8AMQA1AF8AMwBfADEAXwAxAF8AXwAxAF8ARQBtAGkAcwBzAGkAbwBuAHMARgByAG8AbQBQAHUAcgBjAGgAYQBzAGUAZABNAGkAbgBlAHIAYQBsAFMAdQBwAHAAbABlAG0AZQBuAHQAcwBfAEwAYQB0AGUAeABFAHEAdQBhAHQAaQBvAG4AXABuACAAIAA9AEwAQQBNAEIARABBACgAXAAiAEUAPQBcAFwAcwB1AG0AXABcAG4AbwBsAGkAbQBpAHQAcwBfAG0AXABcAGwAZQBmAHQAKABRAF8AbQBcAFwAdABpAG0AZQBzACAARQBGAF8AbQBcAFwAcgBpAGcAaAB0ACkAXAAiACkAOwBcAG4AXABuAFYARQBFAFIARwBfADEANQBfADMAXwAxAF8AMQBfAF8AMQBfAEUAbQBpAHMAcwBpAG8AbgBzAEYAcgBvAG0AUAB1AHIAYwBoAGEAcwBlAGQATQBpAG4AZQByAGEAbABTAHUAcABwAGwAZQBtAGUAbgB0AHMAXwBBAHIAZwB1AG0AZQBuAHQAcw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dABcACIALAAgAFwAIgBJAG4AcAB1AHQAXAAiADsAXABuACAAIAAgACAAIAAgACAAIAAgACAAXAAiAEUARgBfAG0AXAAiACwAIABcACIAZQBtAGkAcwBzAGkAbwBuACAAZgBhAGMAdABvAHIAIABvAGYAIABwAHUAcgBjAGgAYQBzAGUAZAAgAG0AaQBuAGUAcgBhAGwAIABzAHUAcABwAGwAZQBtAGUAbgB0AFwAIgAsACAAXAAiAGsAZwAgAEMATwAyAGUALwBrAGcAXAAiACwAIABcACIAQwBvAG4AcwB0AGEAbgB0AFwAIgA7AFwAbgAgACAAIAAgACAAIAAgACAAIAAgAFwAIgBtAFwAIgAsACAAXAAiAG0AaQBuAGUAcgBhAGwAIABzAHUAcABwAGwAZQBtAGUAbgB0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XAB1ADAAMAAyADcAdQBuAGkAdABzAFwAdQAwADAAMgA3ACAAdABvACAAXAB1ADAAMAAyADcAawBnAFwAdQAwADAAMgA3ACAAYQBzACAARQBGACAAZABhAHQAYQAgAGkAcwAgAGkAbgAgAGsAZwAuAFwAIgApADsAXABuACAAIABcAG4AXABuAC8AKgBcAG4ALQAtAC0ALQAtAC0ALQAtAC0ALQAtAC0ALQAtAC0ALQAtAC0ALQAtAC0ALQAtAC0ALQAtAC0ALQAtAC0ALQAtAC0ALQAtAC0ALQAtAFwAbgBWAEUARQBSAEcAXwAxADUAXwA5AF8AMQBfADEAXwBfADEAXwBFAG0AaQBzAHMAaQBvAG4AcwBGAHIAbwBtAFAAdQByAGMAaABhAHMAZQBkAEcAcgBvAHcATQBlAGQAaQBhAFwAbgBFAG0AYgBlAGQAZABlAGQAIABlAG0AaQBzAHMAaQBvAG4AcwAgAGYAcgBvAG0AIAB1AHMAZQAgAG8AZgAgAGcAcgBvAHcAIABtAGUAZABpAGEAIABwAHIAbwBkAHUAYwB0AHMAXABuAEUAXABuAHQAIABDAE8AMgBlAFwAbgBFAD0AXABcAHMAdQBtAFwAXABuAG8AbABpAG0AaQB0AHMAXwBnAFwAXABsAGUAZgB0ACgAUQBfAGcAXABcAHQAaQBtAGUAcwAgAEUARgBfAGcAXABcAHIAaQBnAGgAdAApAFwAXAB0AGkAbQBlAHMAIAAxADAAXgB7AC0AMwB9AFwAbgBRAF8AZwAgAD0AIAB0AG8AdABhAGwAIABxAHUAYQBuAHQAaQB0AHkAIABvAGYAIABnAHIAbwB3ACAAbQBlAGQAaQBhACAAdAB5AHAAZQAgAGcAXABuAEUARgBfAGcAIAA9ACAAZQBtAGkAcwBzAGkAbwBuACAAZgBhAGMAdABvAHIAIABmAG8AcgAgAGcAcgBvAHcAIABtAGUAZABpAGEAIAB0AHkAcABlACAAZwBcAG4ALQAtAC0ALQAtAC0ALQAtAC0ALQAtAC0ALQAtAC0ALQAtAC0ALQAtAC0ALQAtAC0ALQAtAC0ALQAtAC0ALQAtAC0ALQAtAC0ALQAtAFwAbgAqAC8AXABuAFwAbgBWAEUARQBSAEcAXwAxADUAXwA5AF8AMQBfADEAXwBfADEAXwBFAG0AaQBzAHMAaQBvAG4AcwBGAHIAbwBtAFAAdQByAGMAaABhAHMAZQBkAEcAcgBvAHcATQBlAGQAaQBhAFwAbgAgACAAPQBMAEEATQBCAEQAQQAoAFwAbgAgACAAIAAgAFEAXwBnACwAIABFAEYAXwBnACwAXABuACAAIAAgACAAKABRAF8AZwAgACoAIABFAEYAXwBnACkAIAAqACAAMQAwACAAXgAgAC0AMwBcAG4AIAAgACkAOwBcAG4AXABuAFYARQBFAFIARwBfADEANQBfADkAXwAxAF8AMQBfAF8AMQBfAEUAbQBpAHMAcwBpAG8AbgBzAEYAcgBvAG0AUAB1AHIAYwBoAGEAcwBlAGQARwByAG8AdwBNAGUAZABpAGEAXwBUAGkAdABsAGUAXABuACAAIAA9AEwAQQBNAEIARABBACgAXAAiAEUAbQBiAGUAZABkAGUAZAAgAGUAbQBpAHMAcwBpAG8AbgBzACAAZgByAG8AbQAgAHUAcwBlACAAbwBmACAAZwByAG8AdwAgAG0AZQBkAGkAYQAgAHAAcgBvAGQAdQBjAHQAcwBcACIAKQA7AFwAbgBcAG4AVgBFAEUAUgBHAF8AMQA1AF8AOQBfADEAXwAxAF8AXwAxAF8ARQBtAGkAcwBzAGkAbwBuAHMARgByAG8AbQBQAHUAcgBjAGgAYQBzAGUAZABHAHIAbwB3AE0AZQBkAGkAYQBfAFYAYQByAGkAYQBiAGwAZQBcAG4AIAAgAD0ATABBAE0AQgBEAEEAKABcACIARQBcACIAKQA7AFwAbgBcAG4AVgBFAEUAUgBHAF8AMQA1AF8AOQBfADEAXwAxAF8AXwAxAF8ARQBtAGkAcwBzAGkAbwBuAHMARgByAG8AbQBQAHUAcgBjAGgAYQBzAGUAZABHAHIAbwB3AE0AZQBkAGkAYQBfAFUAbgBpAHQAXABuACAAIAA9AEwAQQBNAEIARABBACgAXAAiAHQAIABDAE8AMgBlAFwAIgApADsAXABuAFwAbgBWAEUARQBSAEcAXwAxADUAXwA5AF8AMQBfADEAXwBfADEAXwBFAG0AaQBzAHMAaQBvAG4AcwBGAHIAbwBtAFAAdQByAGMAaABhAHMAZQBkAEcAcgBvAHcATQBlAGQAaQBhAF8AUwBvAHUAcgBjAGUAXABuACAAIAA9AEwAQQBNAEIARABBACgAXAAiAFYARQBFAFIARwAgADIAMAAyADYAOgAgADEANQAuADkALgAxAC4AMQAsACAARQBxAHUAYQB0AGkAbwBuACAAKAAxACkAXAAiACkAOwBcAG4AXABuAFYARQBFAFIARwBfADEANQBfADkAXwAxAF8AMQBfAF8AMQBfAEUAbQBpAHMAcwBpAG8AbgBzAEYAcgBvAG0AUAB1AHIAYwBoAGEAcwBlAGQARwByAG8AdwBNAGUAZABpAGEAXwBOAEkAUgBSAGUAZgBlAHIAZQBuAGMAZQBcAG4AIAAgAD0ATABBAE0AQgBEAEEAKABcACIAXAAiACkAOwBcAG4AXABuAFYARQBFAFIARwBfADEANQBfADkAXwAxAF8AMQBfAF8AMQBfAEUAbQBpAHMAcwBpAG8AbgBzAEYAcgBvAG0AUAB1AHIAYwBoAGEAcwBlAGQARwByAG8AdwBNAGUAZABpAGEAXwBMAGEAdABlAHgARQBxAHUAYQB0AGkAbwBuAFwAbgAgACAAPQBMAEEATQBCAEQAQQAoAFwAIgBFAD0AXABcAHMAdQBtAFwAXABuAG8AbABpAG0AaQB0AHMAXwBnAFwAXABsAGUAZgB0ACgAUQBfAGcAXABcAHQAaQBtAGUAcwAgAEUARgBfAGcAXABcAHIAaQBnAGgAdAApAFwAXAB0AGkAbQBlAHMAIAAxADAAXgB7AC0AMwB9AFwAIgApADsAXABuAFwAbgBWAEUARQBSAEcAXwAxADUAXwA5AF8AMQBfADEAXwBfADEAXwBFAG0AaQBzAHMAaQBvAG4AcwBGAHIAbwBtAFAAdQByAGMAaABhAHMAZQBkAEcAcgBvAHcATQBlAGQAaQBhAF8AQQByAGcAdQBtAGUAbgB0AHMAXABuACAAIAA9AEwAQQBNAEIARABBACgAXABuACAAIAAgACAATQBBAEsARQBBAFIAUgBBAFkAKAAzACwAIAA0ACwAXABuACAAIAAgACAAIAAgAEwAQQBNAEIARABBACgAcgAsAGMALABcAG4AIAAgACAAIAAgACAAIAAgAEkATgBEAEUAWAAoAHsAXABuACAAIAAgACAAIAAgACAAIAAgACAAXAAiAFEAXwBnAFwAIgAsACAAXAAiAHQAbwB0AGEAbAAgAHEAdQBhAG4AdABpAHQAeQAgAG8AZgAgAGcAcgBvAHcAIABtAGUAZABpAGEAIAB0AHkAcABlACAAZwBcACIALAAgAFwAIgBrAGcAIABvAHIAIABtADMAXAAiACwAIABcACIASQBuAHAAdQB0AFwAIgA7AFwAbgAgACAAIAAgACAAIAAgACAAIAAgAFwAIgBFAEYAXwBnAFwAIgAsACAAXAAiAGUAbQBpAHMAcwBpAG8AbgAgAGYAYQBjAHQAbwByACAAZgBvAHIAIABnAHIAbwB3ACAAbQBlAGQAaQBhACAAdAB5AHAAZQAgAGcAXAAiACwAIABcACIAawBnACAAQwBPADIAZQAvAGsAZwAgAG8AcgAgAGsAZwAgAEMATwAyAGUALwBtADMAXAAiACwAIABcACIAQwBvAG4AcwB0AGEAbgB0AFwAIgA7AFwAbgAgACAAIAAgACAAIAAgACAAIAAgAFwAIgBnAFwAIgAsACAAXAAiAGcAcgBvAHcAIABtAGUAZABpAGE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AAXwAxAF8AMQBfAF8AMQBfAE8AdABoAGUAcgBQAHUAcgBjAGgAYQBzAGUAZABHAG8AbwBkAHMAQQBuAGQAUwBlAHIAdgBpAGMAZQBzAFwAbgBPAHQAaABlAHIAIABwAHUAcgBjAGgAYQBzAGUAZAAgAGcAbwBvAGQAcwAgAGEAbgBkACAAcwBlAHIAdgBpAGMAZQBzACAAZwBlAG4AZQByAGkAYwAgAGUAcwB0AGkAbQBhAHQAZQBcAG4AZQBtAGkAcwBzAGkAbwBuAHMAXABuAHQAIABDAE8AMgBlAFwAbgBlAG0AaQBzAHMAaQBvAG4AcwA9AGEAYwB0AGkAdgBpAHQAeQBfAGQAYQB0AGEAXABcAHQAaQBtAGUAcwAgAGUAbQBpAHMAcwBpAG8AbgBfAGYAYQBjAHQAbwByAFwAbgBhAGMAdABpAHYAaQB0AHkAXwBkAGEAdABhACAAPQAgAG0AZQBhAHMAdQByAGUAZAAgAGEAYwB0AGkAdgBpAHQAeQAgAGYAbwByACAAdABoAGUAIABwAHUAcgBjAGgAYQBzAGUAZAAgAGcAbwBvAGQAIABvAHIAIABzAGUAcgB2AGkAYwBlAFwAbgBlAG0AaQBzAHMAaQBvAG4AXwBmAGEAYwB0AG8AcgAgAD0AIABsAGkAZgBlAGMAeQBjAGwAZQAgAGUAbQBpAHMAcwBpAG8AbgBzACAAcABlAHIAIAB1AG4AaQB0ACAAbwBmACAAYQBjAHQAaQB2AGkAdAB5AFwAbgAtAC0ALQAtAC0ALQAtAC0ALQAtAC0ALQAtAC0ALQAtAC0ALQAtAC0ALQAtAC0ALQAtAC0ALQAtAC0ALQAtAC0ALQAtAC0ALQAtAC0AXABuACoALwBcAG4AXABuAFYARQBFAFIARwBfADEANQBfADEAMABfADEAXwAxAF8AXwAxAF8ATwB0AGgAZQByAFAAdQByAGMAaABhAHMAZQBkAEcAbwBvAGQAcwBBAG4AZABTAGUAcgB2AGkAYwBlAHMAXABuACAAIAA9AEwAQQBNAEIARABBACgAXABuACAAIAAgACAAYQBjAHQAaQB2AGkAdAB5AF8AZABhAHQAYQAsACAAZQBtAGkAcwBzAGkAbwBuAF8AZgBhAGMAdABvAHIALABcAG4AIAAgACAAIABhAGMAdABpAHYAaQB0AHkAXwBkAGEAdABhACAAKgAgAGUAbQBpAHMAcwBpAG8AbgBfAGYAYQBjAHQAbwByAFwAbgAgACAAKQA7AFwAbgBcAG4AVgBFAEUAUgBHAF8AMQA1AF8AMQAwAF8AMQBfADEAXwBfADEAXwBPAHQAaABlAHIAUAB1AHIAYwBoAGEAcwBlAGQARwBvAG8AZABzAEEAbgBkAFMAZQByAHYAaQBjAGUAcwBfAFQAaQB0AGwAZQBcAG4AIAAgAD0ATABBAE0AQgBEAEEAKABcACIATwB0AGgAZQByACAAcAB1AHIAYwBoAGEAcwBlAGQAIABnAG8AbwBkAHMAIABhAG4AZAAgAHMAZQByAHYAaQBjAGUAcwAgAGcAZQBuAGUAcgBpAGMAIABlAHMAdABpAG0AYQB0AGUAXAAiACkAOwBcAG4AXABuAFYARQBFAFIARwBfADEANQBfADEAMABfADEAXwAxAF8AXwAxAF8ATwB0AGgAZQByAFAAdQByAGMAaABhAHMAZQBkAEcAbwBvAGQAcwBBAG4AZABTAGUAcgB2AGkAYwBlAHMAXwBWAGEAcgBpAGEAYgBsAGUAXABuACAAIAA9AEwAQQBNAEIARABBACgAXAAiAGUAbQBpAHMAcwBpAG8AbgBzAFwAIgApADsAXABuAFwAbgBWAEUARQBSAEcAXwAxADUAXwAxADAAXwAxAF8AMQBfAF8AMQBfAE8AdABoAGUAcgBQAHUAcgBjAGgAYQBzAGUAZABHAG8AbwBkAHMAQQBuAGQAUwBlAHIAdgBpAGMAZQBzAF8AVQBuAGkAdABcAG4AIAAgAD0ATABBAE0AQgBEAEEAKABcACIAdAAgAEMATwAyAGUAXAAiACkAOwBcAG4AXABuAFYARQBFAFIARwBfADEANQBfADEAMABfADEAXwAxAF8AXwAxAF8ATwB0AGgAZQByAFAAdQByAGMAaABhAHMAZQBkAEcAbwBvAGQAcwBBAG4AZABTAGUAcgB2AGkAYwBlAHMAXwBTAG8AdQByAGMAZQBcAG4AIAAgAD0ATABBAE0AQgBEAEEAKABcACIAVgBFAEUAUgBHACAAMgAwADIANgA6ACAAMQA1AC4AMQAwACwAIABnAGUAbgBlAHIAaQBjACAAcABsAGEAYwBlAGgAbwBsAGQAZQByACAAZQBxAHUAYQB0AGkAbwBuAFwAIgApADsAXABuAFwAbgBWAEUARQBSAEcAXwAxADUAXwAxADAAXwAxAF8AMQBfAF8AMQBfAE8AdABoAGUAcgBQAHUAcgBjAGgAYQBzAGUAZABHAG8AbwBkAHMAQQBuAGQAUwBlAHIAdgBpAGMAZQBzAF8ATgBJAFIAUgBlAGYAZQByAGUAbgBjAGUAXABuACAAIAA9AEwAQQBNAEIARABBACgAXAAiAFwAIgApADsAXABuAFwAbgBWAEUARQBSAEcAXwAxADUAXwAxADAAXwAxAF8AMQBfAF8AMQBfAE8AdABoAGUAcgBQAHUAcgBjAGgAYQBzAGUAZABHAG8AbwBkAHMAQQBuAGQAUwBlAHIAdgBpAGMAZQBzAF8ATABhAHQAZQB4AEUAcQB1AGEAdABpAG8AbgBcAG4AIAAgAD0ATABBAE0AQgBEAEEAKABcACIAZQBtAGkAcwBzAGkAbwBuAHMAPQBhAGMAdABpAHYAaQB0AHkAXABcAF8AZABhAHQAYQBcAFwAdABpAG0AZQBzACAAZQBtAGkAcwBzAGkAbwBuAFwAXABfAGYAYQBjAHQAbwByAFwAIgApADsAXABuAFwAbgBWAEUARQBSAEcAXwAxADUAXwAxADAAXwAxAF8AMQBfAF8AMQBfAE8AdABoAGUAcgBQAHUAcgBjAGgAYQBzAGUAZABHAG8AbwBkAHMAQQBuAGQAUwBlAHIAdgBpAGMAZQBzAF8AQQByAGcAdQBtAGUAbgB0AHMAXABuACAAIAA9AEwAQQBNAEIARABBACgAXABuACAAIAAgACAATQBBAEsARQBBAFIAUgBBAFkAKAAyACwAIAA0ACwAXABuACAAIAAgACAAIAAgAEwAQQBNAEIARABBACgAcgAsAGMALABcAG4AIAAgACAAIAAgACAAIAAgAEkATgBEAEUAWAAoAHsAXABuACAAIAAgACAAIAAgACAAIAAgACAAXAAiAGEAYwB0AGkAdgBpAHQAeQBfAGQAYQB0AGEAXAAiACwAIABcACIAbQBlAGEAcwB1AHIAZQBkACAAYQBjAHQAaQB2AGkAdAB5ACAAZgBvAHIAIAB0AGgAZQAgAHAAdQByAGMAaABhAHMAZQBkACAAZwBvAG8AZAAgAG8AcgAgAHMAZQByAHYAaQBjAGUAXAAiACwAIABcACIAdgBhAHIAaQBlAHMAXAAiACwAIABcACIASQBuAHAAdQB0AFwAIgA7AFwAbgAgACAAIAAgACAAIAAgACAAIAAgAFwAIgBlAG0AaQBzAHMAaQBvAG4AXwBmAGEAYwB0AG8AcgBcACIALAAgAFwAIgBsAGkAZgBlAGMAeQBjAGwAZQAgAGUAbQBpAHMAcwBpAG8AbgBzACAAcABlAHIAIAB1AG4AaQB0ACAAbwBmACAAYQBjAHQAaQB2AGkAdAB5AFwAIgAsACAAXAAiAHYAYQByAGkAZQB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QBfAFQAbwB0AGEAbABVAHAAcwB0AHIAZQBhAG0ARQBtAGkAcwBzAGkAbwBuAHMARgByAG8AbQBGAHUAZQBsAFwAbgBUAG8AdABhAGwAIAB1AHAAcwB0AHIAZQBhAG0AIABlAG0AaQBzAHMAaQBvAG4AcwAgAGYAcgBvAG0AIABzAGMAbwBwAGUAIAAxACAAZgB1AGUAbAAgAGMAbwBuAHMAdQBtAHAAdABpAG8AbgBcAG4ARQBcAG4AdAAgAEMATwAyAGUAXABuAEUAPQBcAFwAcwB1AG0AXABcAG4AbwBsAGkAbQBpAHQAcwBfAHEARQBfAHsAVwBUAFQALAB0AHIAYQBuAHMALABxAH0AKwBcAFwAcwB1AG0AXABcAG4AbwBsAGkAbQBpAHQAcwBfAHEARQBfAHsAVwBUAFQALABTAEMALABxAH0AXABuAEUAXwBXAFQAVAB0AHIAYQBuAHMAcQAgAD0AIAB1AHAAcwB0AHIAZQBhAG0AIABlAG0AaQBzAHMAaQBvAG4AcwAgAGYAcgBvAG0AIABzAGMAbwBwAGUAIAAxACAAdAByAGEAbgBzAHAAbwByAHQAIABmAHUAZQBsACAAdQBzAGUAXABuAEUAXwBXAFQAVABTAEMAcQAgAD0AIAB1AHAAcwB0AHIAZQBhAG0AIABlAG0AaQBzAHMAaQBvAG4AcwAgAGYAcgBvAG0AIABzAGMAbwBwAGUAIAAxACAAcwB0AGEAdABpAG8AbgBhAHIAeQAgAGMAbwBtAGIAdQBzAHQAaQBvAG4AIABmAHUAZQBsACAAdQBzAGUAXABuAC0ALQAtAC0ALQAtAC0ALQAtAC0ALQAtAC0ALQAtAC0ALQAtAC0ALQAtAC0ALQAtAC0ALQAtAC0ALQAtAC0ALQAtAC0ALQAtAC0ALQBcAG4AKgAvAFwAbgBcAG4AVgBFAEUAUgBHAF8AMQA1AF8AMQAxAF8AMQBfADEAXwBfADEAXwBUAG8AdABhAGwAVQBwAHMAdAByAGUAYQBtAEUAbQBpAHMAcwBpAG8AbgBzAEYAcgBvAG0ARgB1AGUAbABcAG4AIAAgAD0ATABBAE0AQgBEAEEAKABcAG4AIAAgACAAIABFAF8AVwBUAFQAdAByAGEAbgBzAHEALAAgAEUAXwBXAFQAVABTAEMAcQAsAFwAbgAgACAAIAAgAEUAXwBXAFQAVAB0AHIAYQBuAHMAcQAgACsAIABFAF8AVwBUAFQAUwBDAHEAXABuACAAIAApADsAXABuAFwAbgBWAEUARQBSAEcAXwAxADUAXwAxADEAXwAxAF8AMQBfAF8AMQBfAFQAbwB0AGEAbABVAHAAcwB0AHIAZQBhAG0ARQBtAGkAcwBzAGkAbwBuAHMARgByAG8AbQBGAHUAZQBsAF8AVABpAHQAbABlAFwAbgAgACAAPQBMAEEATQBCAEQAQQAoAFwAIgBUAG8AdABhAGwAIAB1AHAAcwB0AHIAZQBhAG0AIABlAG0AaQBzAHMAaQBvAG4AcwAgAGYAcgBvAG0AIABzAGMAbwBwAGUAIAAxACAAZgB1AGUAbAAgAGMAbwBuAHMAdQBtAHAAdABpAG8AbgBcACIAKQA7AFwAbgBcAG4AVgBFAEUAUgBHAF8AMQA1AF8AMQAxAF8AMQBfADEAXwBfADEAXwBUAG8AdABhAGwAVQBwAHMAdAByAGUAYQBtAEUAbQBpAHMAcwBpAG8AbgBzAEYAcgBvAG0ARgB1AGUAbABfAFYAYQByAGkAYQBiAGwAZQBcAG4AIAAgAD0ATABBAE0AQgBEAEEAKABcACIARQBcACIAKQA7AFwAbgBcAG4AVgBFAEUAUgBHAF8AMQA1AF8AMQAxAF8AMQBfADEAXwBfADEAXwBUAG8AdABhAGwAVQBwAHMAdAByAGUAYQBtAEUAbQBpAHMAcwBpAG8AbgBzAEYAcgBvAG0ARgB1AGUAbABfAFUAbgBpAHQAXABuACAAIAA9AEwAQQBNAEIARABBACgAXAAiAHQAIABDAE8AMgBlAFwAIgApADsAXABuAFwAbgBWAEUARQBSAEcAXwAxADUAXwAxADEAXwAxAF8AMQBfAF8AMQBfAFQAbwB0AGEAbABVAHAAcwB0AHIAZQBhAG0ARQBtAGkAcwBzAGkAbwBuAHMARgByAG8AbQBGAHUAZQBsAF8AUwBvAHUAcgBjAGUAXABuACAAIAA9AEwAQQBNAEIARABBACgAXAAiAFYARQBFAFIARwAgADIAMAAyADYAOgAgADEANQAuADEAMQAuADEALgAxACwAIABFAHEAdQBhAHQAaQBvAG4AIAAoADEAKQBcACIAKQA7AFwAbgBcAG4AVgBFAEUAUgBHAF8AMQA1AF8AMQAxAF8AMQBfADEAXwBfADEAXwBUAG8AdABhAGwAVQBwAHMAdAByAGUAYQBtAEUAbQBpAHMAcwBpAG8AbgBzAEYAcgBvAG0ARgB1AGUAbABfAE4ASQBSAFIAZQBmAGUAcgBlAG4AYwBlAFwAbgAgACAAPQBMAEEATQBCAEQAQQAoAFwAIgBcACIAKQA7AFwAbgBcAG4AVgBFAEUAUgBHAF8AMQA1AF8AMQAxAF8AMQBfADEAXwBfADEAXwBUAG8AdABhAGwAVQBwAHMAdAByAGUAYQBtAEUAbQBpAHMAcwBpAG8AbgBzAEYAcgBvAG0ARgB1AGUAbABfAEwAYQB0AGUAeABFAHEAdQBhAHQAaQBvAG4AXABuACAAIAA9AEwAQQBNAEIARABBACgAXAAiAEUAPQBcAFwAcwB1AG0AXABcAG4AbwBsAGkAbQBpAHQAcwBfAHEARQBfAHsAVwBUAFQALAB0AHIAYQBuAHMALABxAH0AKwBcAFwAcwB1AG0AXABcAG4AbwBsAGkAbQBpAHQAcwBfAHEARQBfAHsAVwBUAFQALABTAEMALABxAH0AXAAiACkAOwBcAG4AXABuAFYARQBFAFIARwBfADEANQBfADEAMQBfADEAXwAxAF8AXwAxAF8AVABvAHQAYQBsAFUAcABzAHQAcgBlAGEAbQBFAG0AaQBzAHMAaQBvAG4AcwBGAHIAbwBtAEYAdQBlAGwAXwBBAHIAZwB1AG0AZQBuAHQAcwBcAG4AIAAgAD0ATABBAE0AQgBEAEEAKABcAG4AIAAgACAAIABNAEEASwBFAEEAUgBSAEEAWQAoADIALAAgADQALABcAG4AIAAgACAAIAAgACAATABBAE0AQgBEAEEAKAByACwAYwAsAFwAbgAgACAAIAAgACAAIAAgACAASQBOAEQARQBYACgAewBcAG4AIAAgACAAIAAgACAAIAAgACAAIABcACIARQBfAFcAVABUAHQAcgBhAG4AcwBxAFwAIgAsACAAXAAiAHUAcABzAHQAcgBlAGEAbQAgAGUAbQBpAHMAcwBpAG8AbgBzACAAZgByAG8AbQAgAHMAYwBvAHAAZQAgADEAIAB0AHIAYQBuAHMAcABvAHIAdAAgAGYAdQBlAGwAIAB1AHMAZQBcACIALAAgAFwAIgB0ACAAQwBPADIAZQBcACIALAAgAFwAIgBDAGEAbABjAHUAbABhAHQAZQBkACAAYgB5ACAAMQA1AC4AMQAxAC4AMQAuADEAIAAoADIAKQBcACIAOwBcAG4AIAAgACAAIAAgACAAIAAgACAAIABcACIARQBfAFcAVABUAFMAQwBxAFwAIgAsACAAXAAiAHUAcABzAHQAcgBlAGEAbQAgAGUAbQBpAHMAcwBpAG8AbgBzACAAZgByAG8AbQAgAHMAYwBvAHAAZQAgADEAIABzAHQAYQB0AGkAbwBuAGEAcgB5ACAAYwBvAG0AYgB1AHMAdABpAG8AbgAgAGYAdQBlAGwAIAB1AHMAZQBcACIALAAgAFwAIgB0ACAAQwBPADIAZQBcACIALAAgAFwAIgBDAGEAbABjAHUAbABhAHQAZQBkACAAYgB5ACAAMQA1AC4AMQAxAC4AMQAuADEAIAAoADMAKQ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gBfAFUAcABzAHQAcgBlAGEAbQBUAHIAYQBuAHMAcABvAHIAdABGAHUAZQBsAEUAbQBpAHMAcwBpAG8AbgBzAFwAbgBVAHAAcwB0AHIAZQBhAG0AIABlAG0AaQBzAHMAaQBvAG4AcwAgAGYAcgBvAG0AIABzAGMAbwBwAGUAIAAxACAAZgB1AGUAbAAgAHUAcwBlACAAZgBvAHIAIAB0AHIAYQBuAHMAcABvAHIAdAAgAHAAdQByAHAAbwBzAGUAcwBcAG4ARQBfAFcAVABUAHQAcgBhAG4AcwBxAFwAbgB0ACAAQwBPADIAZQBcAG4ARQBfAHsAVwBUAFQALAB0AHIAYQBuAHMALABxAH0APQBRAF8AewBUAHIAYQBuAHMALABxAH0AXABcAHQAaQBtAGUAcwAgAEUAQwBfAHsAVAByAGEAbgBzACwAcQB9AFwAXAB0AGkAbQBlAHMAIABFAEYAXwB7AFQAcgBhAG4AcwAsADMALABxAH0AXABcAHQAaQBtAGUAcwAgADEAMABeAHsALQAzAH0AXABuAFEAXwBUAHIAYQBuAHMAcQAgAD0AIABhAG0AbwB1AG4AdAAgAG8AZgAgAGYAdQBlAGwAIABxACAAYwBvAG0AYgB1AHMAdABlAGQAIABmAG8AcgAgAHQAcgBhAG4AcwBwAG8AcgB0ACAAZQBuAGUAcgBnAHkAIABwAHUAcgBwAG8AcwBlAHMAXABuAEUAQwBfAFQAcgBhAG4AcwBxACAAPQAgAGUAbgBlAHIAZwB5ACAAYwBvAG4AdABlAG4AdAAgAGYAYQBjAHQAbwByACAAZgBvAHIAIAB0AHIAYQBuAHMAcABvAHIAdAAgAGUAbgBlAHIAZwB5ACAAcAB1AHIAcABvAHMAZQBzAFwAbgBFAEYAXwBUAHIAYQBuAHMAMwBxACAAPQAgAHMAYwBvAHAAZQAgADMAIABlAG0AaQBzAHMAaQBvAG4AIABmAGEAYwB0AG8AcgAgAGYAbwByACAAdAByAGEAbgBzAHAAbwByAHQAIABlAG4AZQByAGcAeQAgAHAAdQByAHAAbwBzAGUAcwBcAG4ALQAtAC0ALQAtAC0ALQAtAC0ALQAtAC0ALQAtAC0ALQAtAC0ALQAtAC0ALQAtAC0ALQAtAC0ALQAtAC0ALQAtAC0ALQAtAC0ALQAtAFwAbgAqAC8AXABuAFwAbgBWAEUARQBSAEcAXwAxADUAXwAxADEAXwAxAF8AMQBfAF8AMgBfAFUAcABzAHQAcgBlAGEAbQBUAHIAYQBuAHMAcABvAHIAdABGAHUAZQBsAEUAbQBpAHMAcwBpAG8AbgBzAFwAbgAgACAAPQBMAEEATQBCAEQAQQAoAFwAbgAgACAAIAAgAFEAXwBUAHIAYQBuAHMAcQAsACAARQBDAF8AVAByAGEAbgBzAHEALAAgAEUARgBfAFQAcgBhAG4AcwAzAHEALABcAG4AIAAgACAAIAAoAFEAXwBUAHIAYQBuAHMAcQAgACoAIABFAEMAXwBUAHIAYQBuAHMAcQAgACoAIABFAEYAXwBUAHIAYQBuAHMAMwBxACkAIAAqACAAMQAwACAAXgAgAC0AMwBcAG4AIAAgACkAOwBcAG4AXABuAFYARQBFAFIARwBfADEANQBfADEAMQBfADEAXwAxAF8AXwAyAF8AVQBwAHMAdAByAGUAYQBtAFQAcgBhAG4AcwBwAG8AcgB0AEYAdQBlAGwARQBtAGkAcwBzAGkAbwBuAHMAXwBUAGkAdABsAGUAXABuACAAIAA9AEwAQQBNAEIARABBACgAXAAiAFUAcABzAHQAcgBlAGEAbQAgAGUAbQBpAHMAcwBpAG8AbgBzACAAZgByAG8AbQAgAHMAYwBvAHAAZQAgADEAIABmAHUAZQBsACAAdQBzAGUAIABmAG8AcgAgAHQAcgBhAG4AcwBwAG8AcgB0ACAAcAB1AHIAcABvAHMAZQBzAFwAIgApADsAXABuAFwAbgBWAEUARQBSAEcAXwAxADUAXwAxADEAXwAxAF8AMQBfAF8AMgBfAFUAcABzAHQAcgBlAGEAbQBUAHIAYQBuAHMAcABvAHIAdABGAHUAZQBsAEUAbQBpAHMAcwBpAG8AbgBzAF8AVgBhAHIAaQBhAGIAbABlAFwAbgAgACAAPQBMAEEATQBCAEQAQQAoAFwAIgBFAF8AVwBUAFQAdAByAGEAbgBzAHEAXAAiACkAOwBcAG4AXABuAFYARQBFAFIARwBfADEANQBfADEAMQBfADEAXwAxAF8AXwAyAF8AVQBwAHMAdAByAGUAYQBtAFQAcgBhAG4AcwBwAG8AcgB0AEYAdQBlAGwARQBtAGkAcwBzAGkAbwBuAHMAXwBVAG4AaQB0AFwAbgAgACAAPQBMAEEATQBCAEQAQQAoAFwAIgB0ACAAQwBPADIAZQBcACIAKQA7AFwAbgBcAG4AVgBFAEUAUgBHAF8AMQA1AF8AMQAxAF8AMQBfADEAXwBfADIAXwBVAHAAcwB0AHIAZQBhAG0AVAByAGEAbgBzAHAAbwByAHQARgB1AGUAbABFAG0AaQBzAHMAaQBvAG4AcwBfAFMAbwB1AHIAYwBlAFwAbgAgACAAPQBMAEEATQBCAEQAQQAoAFwAIgBWAEUARQBSAEcAIAAyADAAMgA2ADoAIAAxADUALgAxADEALgAxAC4AMQAsACAARQBxAHUAYQB0AGkAbwBuACAAKAAyACkAXAAiACkAOwBcAG4AXABuAFYARQBFAFIARwBfADEANQBfADEAMQBfADEAXwAxAF8AXwAyAF8AVQBwAHMAdAByAGUAYQBtAFQAcgBhAG4AcwBwAG8AcgB0AEYAdQBlAGwARQBtAGkAcwBzAGkAbwBuAHMAXwBOAEkAUgBSAGUAZgBlAHIAZQBuAGMAZQBcAG4AIAAgAD0ATABBAE0AQgBEAEEAKABcACIAXAAiACkAOwBcAG4AXABuAFYARQBFAFIARwBfADEANQBfADEAMQBfADEAXwAxAF8AXwAyAF8AVQBwAHMAdAByAGUAYQBtAFQAcgBhAG4AcwBwAG8AcgB0AEYAdQBlAGwARQBtAGkAcwBzAGkAbwBuAHMAXwBMAGEAdABlAHgARQBxAHUAYQB0AGkAbwBuAFwAbgAgACAAPQBMAEEATQBCAEQAQQAoAFwAIgBFAF8AewBXAFQAVAAsAHQAcgBhAG4AcwAsAHEAfQA9AFEAXwB7AFQAcgBhAG4AcwAsAHEAfQBcAFwAdABpAG0AZQBzACAARQBDAF8AewBUAHIAYQBuAHMALABxAH0AXABcAHQAaQBtAGUAcwAgAEUARgBfAHsAVAByAGEAbgBzACwAMwAsAHEAfQBcAFwAdABpAG0AZQBzACAAMQAwAF4AewAtADMAfQBcACIAKQA7AFwAbgBcAG4AVgBFAEUAUgBHAF8AMQA1AF8AMQAxAF8AMQBfADEAXwBfADIAXwBVAHAAcwB0AHIAZQBhAG0AVAByAGEAbgBzAHAAbwByAHQARgB1AGUAbABFAG0AaQBzAHMAaQBvAG4AcwBfAEEAcgBnAHUAbQBlAG4AdABzAFwAbgAgACAAPQBMAEEATQBCAEQAQQAoAFwAbgAgACAAIAAgAE0AQQBLAEUAQQBSAFIAQQBZACgAMwAsACAANAAsAFwAbgAgACAAIAAgACAAIABMAEEATQBCAEQAQQAoAHIALABjACwAXABuACAAIAAgACAAIAAgACAAIABJAE4ARABFAFgAKAB7AFwAbgAgACAAIAAgACAAIAAgACAAIAAgAFwAIgBRAF8AVAByAGEAbgBzAHEAXAAiACwAIABcACIAYQBtAG8AdQBuAHQAIABvAGYAIABmAHUAZQBsACAAcQAgAGMAbwBtAGIAdQBzAHQAZQBkACAAZgBvAHIAIAB0AHIAYQBuAHMAcABvAHIAdAAgAGUAbgBlAHIAZwB5ACAAcAB1AHIAcABvAHMAZQBzAFwAIgAsACAAXAAiAGsATABcACIALAAgAFwAIgBJAG4AcAB1AHQAXAAiADsAXABuACAAIAAgACAAIAAgACAAIAAgACAAXAAiAEUAQwBfAFQAcgBhAG4AcwBxAFwAIgAsACAAXAAiAGUAbgBlAHIAZwB5ACAAYwBvAG4AdABlAG4AdAAgAGYAYQBjAHQAbwByACAAZgBvAHIAIAB0AHIAYQBuAHMAcABvAHIAdAAgAGUAbgBlAHIAZwB5ACAAcAB1AHIAcABvAHMAZQBzAFwAIgAsACAAXAAiAEcASgAvAGsATAAgAG8AcgAgAEcASgAvAG0AMwBcACIALAAgAFwAIgBDAG8AbgBzAHQAYQBuAHQAXAAiADsAXABuACAAIAAgACAAIAAgACAAIAAgACAAXAAiAEUARgBfAFQAcgBhAG4AcwAzAHEAXAAiACwAIABcACIAcwBjAG8AcABlACAAMwAgAGUAbQBpAHMAcwBpAG8AbgAgAGYAYQBjAHQAbwByACAAZgBvAHIAIAB0AHIAYQBuAHMAcABvAHIAdAAgAGUAbgBlAHIAZwB5ACAAcAB1AHIAcABvAHMAZQBzAFwAIgAsACAAXAAiAGsAZwAgAEMATwAyAGUALwBHAEo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zAF8AVQBwAHMAdAByAGUAYQBtAFMAdABhAHQAaQBvAG4AYQByAHkARgB1AGUAbABFAG0AaQBzAHMAaQBvAG4AcwBcAG4AVQBwAHMAdAByAGUAYQBtACAAZQBtAGkAcwBzAGkAbwBuAHMAIABmAHIAbwBtACAAcwBjAG8AcABlACAAMQAgAHMAdABhAHQAaQBvAG4AYQByAHkAIABjAG8AbQBiAHUAcwB0AGkAbwBuACAAZgB1AGUAbAAgAHUAcwBlAFwAbgBFAF8AVwBUAFQAUwBDAHEAXABuAHQAIABDAE8AMgBlAFwAbgBFAF8AewBXAFQAVAAsAFMAQwAsAHEAfQA9AFEAXwB7AFMAQwAsAHEAfQBcAFwAdABpAG0AZQBzACAARQBDAF8AewBTAEMALABxAH0AXABcAHQAaQBtAGUAcwAgAEUARgBfAHsAUwBDACwAMwAsAHEAfQBcAFwAdABpAG0AZQBzACAAMQAwAF4AewAtADMAfQBcAG4AUQBfAFMAQwBxACAAPQAgAGEAbQBvAHUAbgB0ACAAbwBmACAAZgB1AGUAbAAgAHEAIAB1AHMAZQBkACAAZgBvAHIAIABzAHQAYQB0AGkAbwBuAGEAcgB5ACAAYwBvAG0AYgB1AHMAdABpAG8AbgAgAG8AcABlAHIAYQB0AGkAbwBuAHMAXABuAEUAQwBfAFMAQwBxACAAPQAgAGUAbgBlAHIAZwB5ACAAYwBvAG4AdABlAG4AdAAgAGYAYQBjAHQAbwByACAAZgBvAHIAIABzAHQAYQB0AGkAbwBuAGEAcgB5ACAAYwBvAG0AYgB1AHMAdABpAG8AbgAgAG8AcABlAHIAYQB0AGkAbwBuAHMAXABuAEUARgBfAFMAQwAzAHEAIAA9ACAAcwBjAG8AcABlACAAMwAgAGUAbQBpAHMAcwBpAG8AbgAgAGYAYQBjAHQAbwByACAAZgBvAHIAIABzAHQAYQB0AGkAbwBuAGEAcgB5ACAAYwBvAG0AYgB1AHMAdABpAG8AbgAgAG8AcABlAHIAYQB0AGkAbwBuAHMAXABuAC0ALQAtAC0ALQAtAC0ALQAtAC0ALQAtAC0ALQAtAC0ALQAtAC0ALQAtAC0ALQAtAC0ALQAtAC0ALQAtAC0ALQAtAC0ALQAtAC0ALQBcAG4AKgAvAFwAbgBcAG4AVgBFAEUAUgBHAF8AMQA1AF8AMQAxAF8AMQBfADEAXwBfADMAXwBVAHAAcwB0AHIAZQBhAG0AUwB0AGEAdABpAG8AbgBhAHIAeQBGAHUAZQBsAEUAbQBpAHMAcwBpAG8AbgBzAFwAbgAgACAAPQBMAEEATQBCAEQAQQAoAFwAbgAgACAAIAAgAFEAXwBTAEMAcQAsACAARQBDAF8AUwBDAHEALAAgAEUARgBfAFMAQwAzAHEALABcAG4AIAAgACAAIAAoAFEAXwBTAEMAcQAgACoAIABFAEMAXwBTAEMAcQAgACoAIABFAEYAXwBTAEMAMwBxACkAIAAqACAAMQAwACAAXgAgAC0AMwBcAG4AIAAgACkAOwBcAG4AXABuAFYARQBFAFIARwBfADEANQBfADEAMQBfADEAXwAxAF8AXwAzAF8AVQBwAHMAdAByAGUAYQBtAFMAdABhAHQAaQBvAG4AYQByAHkARgB1AGUAbABFAG0AaQBzAHMAaQBvAG4AcwBfAFQAaQB0AGwAZQBcAG4AIAAgAD0ATABBAE0AQgBEAEEAKABcACIAVQBwAHMAdAByAGUAYQBtACAAZQBtAGkAcwBzAGkAbwBuAHMAIABmAHIAbwBtACAAcwBjAG8AcABlACAAMQAgAHMAdABhAHQAaQBvAG4AYQByAHkAIABjAG8AbQBiAHUAcwB0AGkAbwBuACAAZgB1AGUAbAAgAHUAcwBlAFwAIgApADsAXABuAFwAbgBWAEUARQBSAEcAXwAxADUAXwAxADEAXwAxAF8AMQBfAF8AMwBfAFUAcABzAHQAcgBlAGEAbQBTAHQAYQB0AGkAbwBuAGEAcgB5AEYAdQBlAGwARQBtAGkAcwBzAGkAbwBuAHMAXwBWAGEAcgBpAGEAYgBsAGUAXABuACAAIAA9AEwAQQBNAEIARABBACgAXAAiAEUAXwBXAFQAVABTAEMAcQBcACIAKQA7AFwAbgBcAG4AVgBFAEUAUgBHAF8AMQA1AF8AMQAxAF8AMQBfADEAXwBfADMAXwBVAHAAcwB0AHIAZQBhAG0AUwB0AGEAdABpAG8AbgBhAHIAeQBGAHUAZQBsAEUAbQBpAHMAcwBpAG8AbgBzAF8AVQBuAGkAdABcAG4AIAAgAD0ATABBAE0AQgBEAEEAKABcACIAdAAgAEMATwAyAGUAXAAiACkAOwBcAG4AXABuAFYARQBFAFIARwBfADEANQBfADEAMQBfADEAXwAxAF8AXwAzAF8AVQBwAHMAdAByAGUAYQBtAFMAdABhAHQAaQBvAG4AYQByAHkARgB1AGUAbABFAG0AaQBzAHMAaQBvAG4AcwBfAFMAbwB1AHIAYwBlAFwAbgAgACAAPQBMAEEATQBCAEQAQQAoAFwAIgBWAEUARQBSAEcAIAAyADAAMgA2ADoAIAAxADUALgAxADEALgAxAC4AMQAsACAARQBxAHUAYQB0AGkAbwBuACAAKAAzACkAXAAiACkAOwBcAG4AXABuAFYARQBFAFIARwBfADEANQBfADEAMQBfADEAXwAxAF8AXwAzAF8AVQBwAHMAdAByAGUAYQBtAFMAdABhAHQAaQBvAG4AYQByAHkARgB1AGUAbABFAG0AaQBzAHMAaQBvAG4AcwBfAE4ASQBSAFIAZQBmAGUAcgBlAG4AYwBlAFwAbgAgACAAPQBMAEEATQBCAEQAQQAoAFwAIgBcACIAKQA7AFwAbgBcAG4AVgBFAEUAUgBHAF8AMQA1AF8AMQAxAF8AMQBfADEAXwBfADMAXwBVAHAAcwB0AHIAZQBhAG0AUwB0AGEAdABpAG8AbgBhAHIAeQBGAHUAZQBsAEUAbQBpAHMAcwBpAG8AbgBzAF8ATABhAHQAZQB4AEUAcQB1AGEAdABpAG8AbgBcAG4AIAAgAD0ATABBAE0AQgBEAEEAKABcACIARQBfAHsAVwBUAFQALABTAEMALABxAH0APQBRAF8AewBTAEMALABxAH0AXABcAHQAaQBtAGUAcwAgAEUAQwBfAHsAUwBDACwAcQB9AFwAXAB0AGkAbQBlAHMAIABFAEYAXwB7AFMAQwAsADMALABxAH0AXABcAHQAaQBtAGUAcwAgADEAMABeAHsALQAzAH0AXAAiACkAOwBcAG4AXABuAFYARQBFAFIARwBfADEANQBfADEAMQBfADEAXwAxAF8AXwAzAF8AVQBwAHMAdAByAGUAYQBtAFMAdABhAHQAaQBvAG4AYQByAHkARgB1AGUAbABFAG0AaQBzAHMAaQBvAG4AcwBfAEEAcgBnAHUAbQBlAG4AdABzAFwAbgAgACAAPQBMAEEATQBCAEQAQQAoAFwAbgAgACAAIAAgAE0AQQBLAEUAQQBSAFIAQQBZACgANQAsACAANAAsAFwAbgAgACAAIAAgACAAIABMAEEATQBCAEQAQQAoAHIALABjACwAXABuACAAIAAgACAAIAAgACAAIABJAE4ARABFAFgAKAB7AFwAbgAgACAAIAAgACAAIAAgACAAIAAgAFwAIgBRAF8AUwBDAHEAXAAiACwAIABcACIAYQBtAG8AdQBuAHQAIABvAGYAIABmAHUAZQBsACAAcQAgAHUAcwBlAGQAIABmAG8AcgAgAHMAdABhAHQAaQBvAG4AYQByAHkAIABjAG8AbQBiAHUAcwB0AGkAbwBuACAAbwBwAGUAcgBhAHQAaQBvAG4AcwBcACIALAAgAFwAIgBrAEwAXAAiACwAIABcACIASQBuAHAAdQB0AFwAIgA7AFwAbgAgACAAIAAgACAAIAAgACAAIAAgAFwAIgBFAEMAXwBTAEMAcQBcACIALAAgAFwAIgBlAG4AZQByAGcAeQAgAGMAbwBuAHQAZQBuAHQAIABmAGEAYwB0AG8AcgAgAGYAbwByACAAcwB0AGEAdABpAG8AbgBhAHIAeQAgAGMAbwBtAGIAdQBzAHQAaQBvAG4AIABvAHAAZQByAGEAdABpAG8AbgBzAFwAIgAsACAAXAAiAEcASgAvAGsATABcACIALAAgAFwAIgBDAG8AbgBzAHQAYQBuAHQAXAAiADsAXABuACAAIAAgACAAIAAgACAAIAAgACAAXAAiAEUARgBfAFMAQwAzAHEAXAAiACwAIABcACIAcwBjAG8AcABlACAAMwAgAGUAbQBpAHMAcwBpAG8AbgAgAGYAYQBjAHQAbwByACAAZgBvAHIAIABzAHQAYQB0AGkAbwBuAGEAcgB5ACAAYwBvAG0AYgB1AHMAdABpAG8AbgAgAG8AcABlAHIAYQB0AGkAbwBuAHMAXAAiACwAIABcACIAawBnACAAQwBPADIAZQAvAEcASgBcACIALAAgAFwAIgBDAG8AbgBzAHQAYQBuAHQAXAAiADsAXABuACAAIAAgACAAIAAgACAAIAAgACAAXAAiAGkAXAAiACwAIABcACIAcwB0AGEAdABlAFwAIgAsACAAXAAiAFwAIgAsACAAXAAiAEkAbgBwAHUAdABcACIAOwBcAG4AIAAgACAAIAAgACAAIAAgACAAIABcACIAbQBcACIALAAgAFwAIgBtAGUAdAByAG8AcABvAGwAaQB0AGEAbgAvAG4AbwBuAC0AbQBlAHQAcgBvAHAAbwBsAGkAdABhAG4AIABsAG8AYwBhAHQAaQBvAG4AXAAiACwAIABcACIAXAAiACwAIABcACIASQBuAHAAdQB0AFwAIgBcAG4AIAAgACAAIAAgACAAIAAgAH0ALAAgAHIALAAgAGMAKQBcAG4AIAAgACAAIAAgACAAKQBcAG4AIAAgACAAIAApAFwAbgAgACAAKQA7AFwAbgBcAG4AVgBFAEUAUgBHAF8AMQA1AF8AMQAxAF8AMQBfADEAXwBfADMAXwBVAHAAcwB0AHIAZQBhAG0AUwB0AGEAdABpAG8AbgBhAHIAeQBGAHUAZQBsAEUAbQBpAHMAcwBpAG8AbgBzAF8AVgBhAHIAaQBhAHQAaQBvAG4AXABuACAAIAA9AEwAQQBNAEIARABBACgAXAAiAFYAQQBSAEkAQQBUAEkATwBOACAATwBOACAAUwBPAFUAUgBDAEUAOgAgAEEAZABkAGUAZAAgAFwAdQAwADAAMgA3AHMAdABhAHQAZQBcAHUAMAAwADIANwAgAGEAbgBkACAAXAB1ADAAMAAyADcAbQBlAHQAcgBvAC8AbgBvAG4ALQBtAGUAdAByAG8AXAB1ADAAMAAyADcAIABhAHIAZwB1AG0AZQBuAHQAcwAgAGEAcwAgAGcAYQBzAGUAbwB1AHMAIABzAGMAbwBwAGUAIAAzACAARQBGAHMAIABhAHIAZQAgAHMAdABhAHQAZQAgAGEAbgBkACAAbQBlAHQAcgBvAC8AbgBvAG4ALQBtAGUAdAByAG8AIABsAG8AYwBhAHQAaQBvAG4ALQBiAGEAcwBlAGQALgBcACIAKQA7AFwAbgBcAG4ALwAqAFwAbgAtAC0ALQAtAC0ALQAtAC0ALQAtAC0ALQAtAC0ALQAtAC0ALQAtAC0ALQAtAC0ALQAtAC0ALQAtAC0ALQAtAC0ALQAtAC0ALQAtAC0AXABuAFYARQBFAFIARwBfADEANQBfADEAMgBfADEAXwAxAF8AXwAxAF8AVQBwAHMAdAByAGUAYQBtAFAAdQByAGMAaABhAHMAZQBkAEUAbABlAGMAdAByAGkAYwBpAHQAeQBMAG8AYwBhAHQAaQBvAG4AQgBhAHMAZQBkAFwAbgBTAGMAbwBwAGUAIAAzACAAZQBtAGkAcwBzAGkAbwBuAHMAIABmAHIAbwBtACAAcAB1AHIAYwBoAGEAcwBlAGQAIABlAGwAZQBjAHQAcgBpAGMAaQB0AHkAIABsAG8AYwBhAHQAaQBvAG4AIABiAGEAcwBlAGQAXABuAEUAXwAzAGUAbABlAGMAXABuAHQAIABDAE8AMgBlAFwAbgBFAF8AewAzACwAZQBsAGUAYwB9AD0AUQBfAHsAZQBsAGUAYwB9AFwAXAB0AGkAbQBlAHMAIABFAEYAXwB7ADMALABlAGwAZQBjAH0AXABcAHQAaQBtAGUAcwAgADEAMABeAHsALQAzAH0AXABuAFEAXwBlAGwAZQBjACAAPQAgAGEAbQBvAHUAbgB0ACAAbwBmACAAZQBsAGUAYwB0AHIAaQBjAGkAdAB5ACAAcAB1AHIAYwBoAGEAcwBlAGQAIABmAHIAbwBtACAAdABoAGUAIABnAHIAaQBkAFwAbgBFAEYAXwAzAGUAbABlAGMAIAA9ACAAcwBjAG8AcABlACAAMwAgAGUAbQBpAHMAcwBpAG8AbgAgAGYAYQBjAHQAbwByACAAZgBvAHIAIABwAHUAcgBjAGgAYQBzAGUAZAAgAGUAbABlAGMAdAByAGkAYwBpAHQAeQBcAG4ALQAtAC0ALQAtAC0ALQAtAC0ALQAtAC0ALQAtAC0ALQAtAC0ALQAtAC0ALQAtAC0ALQAtAC0ALQAtAC0ALQAtAC0ALQAtAC0ALQAtAFwAbgAqAC8AXABuAFwAbgBWAEUARQBSAEcAXwAxADUAXwAxADIAXwAxAF8AMQBfAF8AMQBfAFUAcABzAHQAcgBlAGEAbQBQAHUAcgBjAGgAYQBzAGUAZABFAGwAZQBjAHQAcgBpAGMAaQB0AHkATABvAGMAYQB0AGkAbwBuAEIAYQBzAGUAZABcAG4AIAAgAD0ATABBAE0AQgBEAEEAKABcAG4AIAAgACAAIABRAF8AZQBsAGUAYwAsACAARQBGAF8AMwBlAGwAZQBjACwAXABuACAAIAAgACAAKABRAF8AZQBsAGUAYwAgACoAIABFAEYAXwAzAGUAbABlAGMAKQAgACoAIAAxADAAIABeACAALQAzAFwAbgAgACAAKQA7AFwAbgBcAG4AVgBFAEUAUgBHAF8AMQA1AF8AMQAyAF8AMQBfADEAXwBfADEAXwBVAHAAcwB0AHIAZQBhAG0AUAB1AHIAYwBoAGEAcwBlAGQARQBsAGUAYwB0AHIAaQBjAGkAdAB5AEwAbwBjAGEAdABpAG8AbgBCAGEAcwBlAGQAXwBUAGkAdABsAGUAXABuACAAIAA9AEwAQQBNAEIARABBACgAXAAiAFMAYwBvAHAAZQAgADMAIABlAG0AaQBzAHMAaQBvAG4AcwAgAGYAcgBvAG0AIABwAHUAcgBjAGgAYQBzAGUAZAAgAGUAbABlAGMAdAByAGkAYwBpAHQAeQAgAGwAbwBjAGEAdABpAG8AbgAgAGIAYQBzAGUAZABcACIAKQA7AFwAbgBcAG4AVgBFAEUAUgBHAF8AMQA1AF8AMQAyAF8AMQBfADEAXwBfADEAXwBVAHAAcwB0AHIAZQBhAG0AUAB1AHIAYwBoAGEAcwBlAGQARQBsAGUAYwB0AHIAaQBjAGkAdAB5AEwAbwBjAGEAdABpAG8AbgBCAGEAcwBlAGQAXwBWAGEAcgBpAGEAYgBsAGUAXABuACAAIAA9AEwAQQBNAEIARABBACgAXAAiAEUAXwAzAGUAbABlAGMAXAAiACkAOwBcAG4AXABuAFYARQBFAFIARwBfADEANQBfADEAMgBfADEAXwAxAF8AXwAxAF8AVQBwAHMAdAByAGUAYQBtAFAAdQByAGMAaABhAHMAZQBkAEUAbABlAGMAdAByAGkAYwBpAHQAeQBMAG8AYwBhAHQAaQBvAG4AQgBhAHMAZQBkAF8AVQBuAGkAdABcAG4AIAAgAD0ATABBAE0AQgBEAEEAKABcACIAdAAgAEMATwAyAGUAXAAiACkAOwBcAG4AXABuAFYARQBFAFIARwBfADEANQBfADEAMgBfADEAXwAxAF8AXwAxAF8AVQBwAHMAdAByAGUAYQBtAFAAdQByAGMAaABhAHMAZQBkAEUAbABlAGMAdAByAGkAYwBpAHQAeQBMAG8AYwBhAHQAaQBvAG4AQgBhAHMAZQBkAF8AUwBvAHUAcgBjAGUAXABuACAAIAA9AEwAQQBNAEIARABBACgAXAAiAFYARQBFAFIARwAgADIAMAAyADYAOgAgADEANQAuADEAMgAuADEALgAxACwAIABFAHEAdQBhAHQAaQBvAG4AIAAoADEAKQBcACIAKQA7AFwAbgBcAG4AVgBFAEUAUgBHAF8AMQA1AF8AMQAyAF8AMQBfADEAXwBfADEAXwBVAHAAcwB0AHIAZQBhAG0AUAB1AHIAYwBoAGEAcwBlAGQARQBsAGUAYwB0AHIAaQBjAGkAdAB5AEwAbwBjAGEAdABpAG8AbgBCAGEAcwBlAGQAXwBOAEkAUgBSAGUAZgBlAHIAZQBuAGMAZQBcAG4AIAAgAD0ATABBAE0AQgBEAEEAKABcACIAXAAiACkAOwBcAG4AXABuAFYARQBFAFIARwBfADEANQBfADEAMgBfADEAXwAxAF8AXwAxAF8AVQBwAHMAdAByAGUAYQBtAFAAdQByAGMAaABhAHMAZQBkAEUAbABlAGMAdAByAGkAYwBpAHQAeQBMAG8AYwBhAHQAaQBvAG4AQgBhAHMAZQBkAF8ATABhAHQAZQB4AEUAcQB1AGEAdABpAG8AbgBcAG4AIAAgAD0ATABBAE0AQgBEAEEAKABcACIARQBfAHsAMwAsAGUAbABlAGMAfQA9AFEAXwB7AGUAbABlAGMAfQBcAFwAdABpAG0AZQBzACAARQBGAF8AewAzACwAZQBsAGUAYwB9AFwAXAB0AGkAbQBlAHMAIAAxADAAXgB7AC0AMwB9AFwAIgApADsAXABuAFwAbgBWAEUARQBSAEcAXwAxADUAXwAxADIAXwAxAF8AMQBfAF8AMQBfAFUAcABzAHQAcgBlAGEAbQBQAHUAcgBjAGgAYQBzAGUAZABFAGwAZQBjAHQAcgBpAGMAaQB0AHkATABvAGMAYQB0AGkAbwBuAEIAYQBzAGUAZA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MAZQBsAGUAYwBcACIALAAgAFwAIgBzAGMAbwBwAGUAIAAzACAAZQBtAGkAcwBzAGkAbwBuACAAZgBhAGMAdABvAHIAIABmAG8AcgAgAHAAdQByAGMAaABhAHMAZQBkACAAZQBsAGUAYwB0AHIAaQBjAGkAdAB5AFwAIgAsACAAXAAiAGsAZwAgAEMATwAyAGUALwBrAFcAaABcACIALAAgAFwAIgBDAG8AbgBzAHQAYQBuAHQAXAAiADsAXABuACAAIAAgACAAIAAgACAAIAAgACAAXAAiAGcAXAAiACwAIABcACIAZwByAGkAZAAgAGUAbABlAGMAdAByAGkAYwBpAHQAeQAgAHcAYQBzACAAcAB1AHIAYwBoAGEAcwBlAGQAIABmAHIAbwBt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IAXwAxAF8AMgBfAF8AMQBfAFUAcABzAHQAcgBlAGEAbQBQAHUAcgBjAGgAYQBzAGUAZABFAGwAZQBjAHQAcgBpAGMAaQB0AHkATQBhAHIAawBlAHQAQgBhAHMAZQBkAFwAbgBTAGMAbwBwAGUAIAAzACAAZQBtAGkAcwBzAGkAbwBuAHMAIABmAHIAbwBtACAAcAB1AHIAYwBoAGEAcwBlAGQAIABlAGwAZQBjAHQAcgBpAGMAaQB0AHkAIABtAGEAcgBrAGUAdAAgAGIAYQBzAGUAZABcAG4ARQBfADMAZQBsAGUAYwBcAG4AdAAgAEMATwAyAGUAXABuAEUAXwB7ADMALABlAGwAZQBjAH0APQBcAFwAbABlAGYAdABbAFEAXwB7AGUAbABlAGMAfQBcAFwAdABpAG0AZQBzAFwAXABsAGUAZgB0ACgAMQAtACgAUgBQAFAAKwBKAFIAUABQACkAXABcAHIAaQBnAGgAdAApAC0AXABcAGwAZQBmAHQAKABSAEUAQwBfAHsAcwB1AHIAcgBlAG4AZABlAHIAZQBkAH0ALQBSAEUAQwBfAHsAbwBuAHMAaQB0AGUAfQBcAFwAcgBpAGcAaAB0ACkAXABcAHQAaQBtAGUAcwAgADEAMABeAHsALQAzAH0AXABcAHIAaQBnAGgAdABdAFwAXAB0AGkAbQBlAHMAIABFAEYAXwB7AFIATQBGADMALABlAGwAZQBjAH0AXABcAHQAaQBtAGUAcwAgADEAMABeAHsALQAzAH0AXABuAFEAXwBlAGwAZQBjACAAPQAgAGEAbQBvAHUAbgB0ACAAbwBmACAAZQBsAGUAYwB0AHIAaQBjAGkAdAB5ACAAcAB1AHIAYwBoAGEAcwBlAGQAIABmAHIAbwBtACAAdABoAGUAIABnAHIAaQBkAFwAbgBSAFAAUAAgAD0AIAByAGUAbgBlAHcAYQBiAGwAZQAgAHAAbwB3AGUAcgAgAHAAZQByAGMAZQBuAHQAYQBnAGUAIAB1AG4AZABlAHIAIABMAFIARQBUACAAZgBvAHIAIAB0AGgAZQAgAGEAcABwAGwAaQBjAGEAYgBsAGUAIABwAGUAcgBpAG8AZABcAG4ASgBSAFAAUAAgAD0AIABqAHUAcgBpAHMAZABpAGMAdABpAG8AbgBhAGwAIAByAGUAbgBlAHcAYQBiAGwAZQAgAHAAbwB3AGUAcgAgAHAAZQByAGMAZQBuAHQAYQBnAGUAIABmAG8AcgAgAHQAaABlACAAYQBwAHAAbABpAGMAYQBiAGwAZQAgAHAAZQByAGkAbwBkAFwAbgBSAEUAQwBfAHMAdQByAHIAZQBuAGQAZQByAGUAZAAgAD0AIABlAGwAaQBnAGkAYgBsAGUAIAByAGUAbgBlAHcAYQBiAGwAZQAgAGUAbgBlAHIAZwB5ACAAYwBlAHIAdABpAGYAaQBjAGEAdABlAHMAIAB2AG8AbAB1AG4AdABhAHIAaQBsAHkAIABzAHUAcgByAGUAbgBkAGUAcgBlAGQAXABuAFIARQBDAF8AbwBuAHMAaQB0AGUAIAA9ACAAZQBsAGkAZwBpAGIAbABlACAAcgBlAG4AZQB3AGEAYgBsAGUAIABlAG4AZQByAGcAeQAgAGMAZQByAHQAaQBmAGkAYwBhAHQAZQBzACAAaQBzAHMAdQBlAGQAIABmAG8AcgAgAG8AbgBzAGkAdABlACAAZwBlAG4AZQByAGEAdABlAGQAIABlAGwAZQBjAHQAcgBpAGMAaQB0AHkAXABuAEUARgBfAFIATQBGADMAZQBsAGUAYwAgAD0AIABzAGMAbwBwAGUAIAAzACAAcgBlAHMAaQBkAHUAYQBsACAAbQBpAHgAIABlAG0AaQBzAHMAaQBvAG4AIABmAGEAYwB0AG8AcgAgAGYAbwByACAAZQBsAGUAYwB0AHIAaQBjAGkAdAB5AFwAbgAtAC0ALQAtAC0ALQAtAC0ALQAtAC0ALQAtAC0ALQAtAC0ALQAtAC0ALQAtAC0ALQAtAC0ALQAtAC0ALQAtAC0ALQAtAC0ALQAtAC0AXABuACoALwBcAG4AXABuAFYARQBFAFIARwBfADEANQBfADEAMgBfADEAXwAyAF8AXwAxAF8AVQBwAHMAdAByAGUAYQBtAFAAdQByAGMAaABhAHMAZQBkAEUAbABlAGMAdAByAGkAYwBpAHQAeQBNAGEAcgBrAGUAdABCAGEAcwBlAGQ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LQAzACkAKQAgACoAIABFAEYAXwBSAE0ARgAzAGUAbABlAGMAIAAqACAAMQAwACAAXgAgAC0AMwBcAG4AIAAgACkAOwBcAG4AXABuAFYARQBFAFIARwBfADEANQBfADEAMgBfADEAXwAyAF8AXwAxAF8AVQBwAHMAdAByAGUAYQBtAFAAdQByAGMAaABhAHMAZQBkAEUAbABlAGMAdAByAGkAYwBpAHQAeQBNAGEAcgBrAGUAdABCAGEAcwBlAGQAVgBhAHIAaQBhAHQAaQBvAG4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MwApACkAIAAqACAARQBGAF8AUgBNAEYAMwBlAGwAZQBjACAAKgAgADEAMAAgAF4AIAAtADMAXABuACAAIAApADsAXABuAFwAbgBWAEUARQBSAEcAXwAxADUAXwAxADIAXwAxAF8AMgBfAF8AMQBfAFUAcABzAHQAcgBlAGEAbQBQAHUAcgBjAGgAYQBzAGUAZABFAGwAZQBjAHQAcgBpAGMAaQB0AHkATQBhAHIAawBlAHQAQgBhAHMAZQBkAF8AVABpAHQAbABlAFwAbgAgACAAPQBMAEEATQBCAEQAQQAoAFwAIgBTAGMAbwBwAGUAIAAzACAAZQBtAGkAcwBzAGkAbwBuAHMAIABmAHIAbwBtACAAcAB1AHIAYwBoAGEAcwBlAGQAIABlAGwAZQBjAHQAcgBpAGMAaQB0AHkAIABtAGEAcgBrAGUAdAAgAGIAYQBzAGUAZABcACIAKQA7AFwAbgBcAG4AVgBFAEUAUgBHAF8AMQA1AF8AMQAyAF8AMQBfADIAXwBfADEAXwBVAHAAcwB0AHIAZQBhAG0AUAB1AHIAYwBoAGEAcwBlAGQARQBsAGUAYwB0AHIAaQBjAGkAdAB5AE0AYQByAGsAZQB0AEIAYQBzAGUAZABfAFYAYQByAGkAYQBiAGwAZQBcAG4AIAAgAD0ATABBAE0AQgBEAEEAKABcACIARQBfADMAZQBsAGUAYwBcACIAKQA7AFwAbgBcAG4AVgBFAEUAUgBHAF8AMQA1AF8AMQAyAF8AMQBfADIAXwBfADEAXwBVAHAAcwB0AHIAZQBhAG0AUAB1AHIAYwBoAGEAcwBlAGQARQBsAGUAYwB0AHIAaQBjAGkAdAB5AE0AYQByAGsAZQB0AEIAYQBzAGUAZABfAFUAbgBpAHQAXABuACAAIAA9AEwAQQBNAEIARABBACgAXAAiAHQAIABDAE8AMgBlAFwAIgApADsAXABuAFwAbgBWAEUARQBSAEcAXwAxADUAXwAxADIAXwAxAF8AMgBfAF8AMQBfAFUAcABzAHQAcgBlAGEAbQBQAHUAcgBjAGgAYQBzAGUAZABFAGwAZQBjAHQAcgBpAGMAaQB0AHkATQBhAHIAawBlAHQAQgBhAHMAZQBkAF8AUwBvAHUAcgBjAGUAXABuACAAIAA9AEwAQQBNAEIARABBACgAXAAiAFYARQBFAFIARwAgADIAMAAyADYAOgAgADEANQAuADEAMgAuADEALgAyACwAIABFAHEAdQBhAHQAaQBvAG4AIAAoADEAKQBcACIAKQA7AFwAbgBcAG4AVgBFAEUAUgBHAF8AMQA1AF8AMQAyAF8AMQBfADIAXwBfADEAXwBVAHAAcwB0AHIAZQBhAG0AUAB1AHIAYwBoAGEAcwBlAGQARQBsAGUAYwB0AHIAaQBjAGkAdAB5AE0AYQByAGsAZQB0AEIAYQBzAGUAZABfAE4ASQBSAFIAZQBmAGUAcgBlAG4AYwBlAFwAbgAgACAAPQBMAEEATQBCAEQAQQAoAFwAIgBcACIAKQA7AFwAbgBcAG4AVgBFAEUAUgBHAF8AMQA1AF8AMQAyAF8AMQBfADIAXwBfADEAXwBVAHAAcwB0AHIAZQBhAG0AUAB1AHIAYwBoAGEAcwBlAGQARQBsAGUAYwB0AHIAaQBjAGkAdAB5AE0AYQByAGsAZQB0AEIAYQBzAGUAZABfAEwAYQB0AGUAeABFAHEAd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LQ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TABhAHQAZQB4AEUAcQB1AGEAdABpAG8AbgBWAGEAcgBp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cgBlAG4AZQB3AGEAYgBsAGUAIABwAG8AdwBlAHIAIABwAGUAcgBjAGUAbgB0AGEAZwBlACAAdQBuAGQAZQByACAATABSAEUAVAAgAGYAbwByACAAdABoAGUAIABhAHAAcABsAGkAYwBhAGIAbABlACAAcABlAHIAaQBvAGQAXAAiACwAIABcACIAZgByAGEAYwB0AGkAbwBu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FwAIgAsACAAXAAiAGYAcgBhAGMAdABpAG8AbgBcACIALAAgAFwAIgBJAG4AcAB1AHQAXAAiADsAXABuACAAIAAgACAAIAAgACAAIAAgACAAXAAiAFIARQBDAF8AcwB1AHIAcgBlAG4AZABlAHIAZQBkAFwAIgAsACAAXAAiAGUAbABpAGcAaQBiAGwAZQAgAHIAZQBuAGUAdwBhAGIAbABlACAAZQBuAGUAcgBnAHkAIABjAGUAcgB0AGkAZgBpAGMAYQB0AGUAcwAgAHYAbwBsAHUAbgB0AGEAcgBpAGwAeQAgAHMAdQByAHIAZQBuAGQAZQByAGUAZABcACIALAAgAFwAIgBNAFcAaABcACIALAAgAFwAIgBJAG4AcAB1AHQAXAAiADsAXABuACAAIAAgACAAIAAgACAAIAAgACAAXAAiAFIARQBDAF8AbwBuAHMAaQB0AGUAXAAiACwAIABcACIAZQBsAGkAZwBpAGIAbABlACAAcgBlAG4AZQB3AGEAYgBsAGUAIABlAG4AZQByAGcAeQAgAGMAZQByAHQAaQBmAGkAYwBhAHQAZQBzACAAaQBzAHMAdQBlAGQAIABmAG8AcgAgAG8AbgBzAGkAdABlACAAZwBlAG4AZQByAGEAdABlAGQAIABlAGwAZQBjAHQAcgBpAGMAaQB0AHkAXAAiACwAIABcACIATQBXAGgAXAAiACwAIABcACIASQBuAHAAdQB0AFwAIgA7AFwAbgAgACAAIAAgACAAIAAgACAAIAAgAFwAIgBFAEYAXwBSAE0ARgAzAGUAbABlAGMAXAAiACwAIABcACIAcwBjAG8AcABlACAAMw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UAXwAxADIAXwAxAF8AMgBfAF8AMQBfAFUAcABzAHQAcgBlAGEAbQBQAHUAcgBjAGgAYQBzAGUAZABFAGwAZQBjAHQAcgBpAGMAaQB0AHkATQBhAHIAawBlAHQAQgBhAHMAZQBk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XABuAC8AKgBcAG4ALQAtAC0ALQAtAC0ALQAtAC0ALQAtAC0ALQAtAC0ALQAtAC0ALQAtAC0ALQAtAC0ALQAtAC0ALQAtAC0ALQAtAC0ALQAtAC0ALQAtAFwAbgBWAEUARQBSAEcAXwAxADUAXwAxADMAXwAxAF8AMQBfAF8AMQBfAEUAbQBpAHMAcwBpAG8AbgBzAEYAcgBvAG0ATQBhAG4AdQByAGUAUwBlAG4AdABPAGYAZgBTAGkAdABlAFwAbgBFAG0AaQBzAHMAaQBvAG4AcwAgAGYAcgBvAG0AIABtAGEAbgB1AHIAZQAgAHMAZQBuAHQAIABvAGYAZgAgAHMAaQB0AGUAIABhAHAAcABsAGkAZQBkACAAdABvACAAcwBvAGkAbABzACAAaQBuACAAYQBuAG8AdABoAGUAcgAgAGYAYQByAG0AaQBuAGcAIABzAHkAcwB0AGUAbQAgAG8AcgAgAGUAbgB0AGUAcgBwAHIAaQBzAGUAXABuAEUAXABuAHQAIABOADIATwBcAG4ARQA9AEUAXwB7AE4AMgBPAH0AKwBFAF8AewBhAGQAfQArAEUAXwB7AGwAZQBhAGMAaAB9AFwAbgBFAF8ATgAyAE8AIAA9ACAAZABpAHIAZQBjAHQAIABuAGkAdAByAG8AdQBzACAAbwB4AGkAZABlACAAZQBtAGkAcwBzAGkAbwBuAHMAIABmAHIAbwBtACAAYQBwAHAAbABpAGMAYQB0AGkAbwBuACAAbwBmACAAbQBhAG4AdQByAGUAIAB0AG8AIABzAG8AaQBsAHMAIABvAHUAdABzAGkAZABlACAAbwBmACAAcwBjAG8AcABlACAAMQAgAGIAbwB1AG4AZABhAHIAeQBcAG4ARQBfAGEAZAAgAD0AIABuAGkAdAByAG8AdQBzACAAbwB4AGkAZABlACAAZQBtAGkAcwBzAGkAbwBuAHMAIABmAHIAbwBtACAAYQB0AG0AbwBzAHAAaABlAHIAaQBjACAAZABlAHAAbwBzAGkAdABpAG8AbgAgAG8AZgAgAG0AYQBuAHUAcgBlACAAdABvACAAcwBvAGkAbABzAFwAbgBFAF8AbABlAGEAYwBoACAAPQAgAG4AaQB0AHIAbwB1AHMAIABvAHgAaQBkAGUAIABlAG0AaQBzAHMAaQBvAG4AcwAgAGYAcgBvAG0AIABuAGkAdAByAG8AZwBlAG4AIABsAGUAYQBjAGgAaQBuAGcAIABhAG4AZAAgAHIAdQBuAG8AZgBmACAAbwBmACAAbQBhAG4AdQByAGUAIAB0AG8AIABzAG8AaQBsAHMAXABuAC0ALQAtAC0ALQAtAC0ALQAtAC0ALQAtAC0ALQAtAC0ALQAtAC0ALQAtAC0ALQAtAC0ALQAtAC0ALQAtAC0ALQAtAC0ALQAtAC0ALQBcAG4AKgAvAFwAbgBcAG4AVgBFAEUAUgBHAF8AMQA1AF8AMQAzAF8AMQBfADEAXwBfADEAXwBFAG0AaQBzAHMAaQBvAG4AcwBGAHIAbwBtAE0AYQBuAHUAcgBlAFMAZQBuAHQATwBmAGYAUwBpAHQAZQBcAG4AIAAgAD0ATABBAE0AQgBEAEEAKABcAG4AIAAgACAAIABFAF8ATgAyAE8ALAAgAEUAXwBhAGQALAAgAEUAXwBsAGUAYQBjAGgALABcAG4AIAAgACAAIABFAF8ATgAyAE8AIAArACAARQBfAGEAZAAgACsAIABFAF8AbABlAGEAYwBoAFwAbgAgACAAKQA7AFwAbgBcAG4AVgBFAEUAUgBHAF8AMQA1AF8AMQAzAF8AMQBfADEAXwBfADEAXwBFAG0AaQBzAHMAaQBvAG4AcwBGAHIAbwBtAE0AYQBuAHUAcgBlAFMAZQBuAHQATwBmAGYAUwBpAHQAZQBfAFQAaQB0AGwAZQBcAG4AIAAgAD0ATABBAE0AQgBEAEEAKABcACIARQBtAGkAcwBzAGkAbwBuAHMAIABmAHIAbwBtACAAbQBhAG4AdQByAGUAIABzAGUAbgB0ACAAbwBmAGYAIABzAGkAdABlACAAYQBwAHAAbABpAGUAZAAgAHQAbwAgAHMAbwBpAGwAcwAgAGkAbgAgAGEAbgBvAHQAaABlAHIAIABmAGEAcgBtAGkAbgBnACAAcwB5AHMAdABlAG0AIABvAHIAIABlAG4AdABlAHIAcAByAGkAcwBlAFwAIgApADsAXABuAFwAbgBWAEUARQBSAEcAXwAxADUAXwAxADMAXwAxAF8AMQBfAF8AMQBfAEUAbQBpAHMAcwBpAG8AbgBzAEYAcgBvAG0ATQBhAG4AdQByAGUAUwBlAG4AdABPAGYAZgBTAGkAdABlAF8AVgBhAHIAaQBhAGIAbABlAFwAbgAgACAAPQBMAEEATQBCAEQAQQAoAFwAIgBFAFwAIgApADsAXABuAFwAbgBWAEUARQBSAEcAXwAxADUAXwAxADMAXwAxAF8AMQBfAF8AMQBfAEUAbQBpAHMAcwBpAG8AbgBzAEYAcgBvAG0ATQBhAG4AdQByAGUAUwBlAG4AdABPAGYAZgBTAGkAdABlAF8AVQBuAGkAdABcAG4AIAAgAD0ATABBAE0AQgBEAEEAKABcACIAdAAgAE4AMgBPAFwAIgApADsAXABuAFwAbgBWAEUARQBSAEcAXwAxADUAXwAxADMAXwAxAF8AMQBfAF8AMQBfAEUAbQBpAHMAcwBpAG8AbgBzAEYAcgBvAG0ATQBhAG4AdQByAGUAUwBlAG4AdABPAGYAZgBTAGkAdABlAF8AUwBvAHUAcgBjAGUAXABuACAAIAA9AEwAQQBNAEIARABBACgAXAAiAFYARQBFAFIARwAgADIAMAAyADYAOgAgADEANQAuADEAMwAuADEALgAxACwAIABFAHEAdQBhAHQAaQBvAG4AIAAoADEAKQBcACIAKQA7AFwAbgBcAG4AVgBFAEUAUgBHAF8AMQA1AF8AMQAzAF8AMQBfADEAXwBfADEAXwBFAG0AaQBzAHMAaQBvAG4AcwBGAHIAbwBtAE0AYQBuAHUAcgBlAFMAZQBuAHQATwBmAGYAUwBpAHQAZQBfAE4ASQBSAFIAZQBmAGUAcgBlAG4AYwBlAFwAbgAgACAAPQBMAEEATQBCAEQAQQAoAFwAIgBcACIAKQA7AFwAbgBcAG4AVgBFAEUAUgBHAF8AMQA1AF8AMQAzAF8AMQBfADEAXwBfADEAXwBFAG0AaQBzAHMAaQBvAG4AcwBGAHIAbwBtAE0AYQBuAHUAcgBlAFMAZQBuAHQATwBmAGYAUwBpAHQAZQBfAEwAYQB0AGUAeABFAHEAdQBhAHQAaQBvAG4AXABuACAAIAA9AEwAQQBNAEIARABBACgAXAAiAEUAPQBFAF8AewBOADIATwB9ACsARQBfAHsAYQBkAH0AKwBFAF8AewBsAGUAYQBjAGgAfQBcACIAKQA7AFwAbgBcAG4AVgBFAEUAUgBHAF8AMQA1AF8AMQAzAF8AMQBfADEAXwBfADEAXwBFAG0AaQBzAHMAaQBvAG4AcwBGAHIAbwBtAE0AYQBuAHUAcgBlAFMAZQBuAHQATwBmAGYAUwBpAHQAZQBfAEEAcgBnAHUAbQBlAG4AdABzAFwAbgAgACAAPQBMAEEATQBCAEQAQQAoAFwAbgAgACAAIAAgAE0AQQBLAEUAQQBSAFIAQQBZACgAMwAsACAANAAsAFwAbgAgACAAIAAgACAAIABMAEEATQBCAEQAQQAoAHIALABjACwAXABuACAAIAAgACAAIAAgACAAIABJAE4ARABFAFgAKAB7AFwAbgAgACAAIAAgACAAIAAgACAAIAAgAFwAIgBFAF8ATgAyAE8AXAAiACwAIABcACIAZABpAHIAZQBjAHQAIABuAGkAdAByAG8AdQBzACAAbwB4AGkAZABlACAAZQBtAGkAcwBzAGkAbwBuAHMAIABmAHIAbwBtACAAYQBwAHAAbABpAGMAYQB0AGkAbwBuACAAbwBmACAAbQBhAG4AdQByAGUAIAB0AG8AIABzAG8AaQBsAHMAIABvAHUAdABzAGkAZABlACAAbwBmACAAcwBjAG8AcABlACAAMQAgAGIAbwB1AG4AZABhAHIAeQBcACIALAAgAFwAIgB0ACAATgAyAE8AXAAiACwAIABcACIAQwBhAGwAYwB1AGwAYQB0AGUAZABcACIAOwBcAG4AIAAgACAAIAAgACAAIAAgACAAIABcACIARQBfAGEAZABcACIALAAgAFwAIgBuAGkAdAByAG8AdQBzACAAbwB4AGkAZABlACAAZQBtAGkAcwBzAGkAbwBuAHMAIABmAHIAbwBtACAAYQB0AG0AbwBzAHAAaABlAHIAaQBjACAAZABlAHAAbwBzAGkAdABpAG8AbgAgAG8AZgAgAG0AYQBuAHUAcgBlACAAdABvACAAcwBvAGkAbABzAFwAIgAsACAAXAAiAHQAIABOADIATwBcACIALAAgAFwAIgBDAGEAbABjAHUAbABhAHQAZQBkAFwAIgA7AFwAbgAgACAAIAAgACAAIAAgACAAIAAgAFwAIgBFAF8AbABlAGEAYwBoAFwAIgAsACAAXAAiAG4AaQB0AHIAbwB1AHMAIABvAHgAaQBkAGUAIABlAG0AaQBzAHMAaQBvAG4AcwAgAGYAcgBvAG0AIABuAGkAdAByAG8AZwBlAG4AIABsAGUAYQBjAGgAaQBuAGcAIABhAG4AZAAgAHIAdQBuAG8AZgBmACAAbwBmACAAbQBhAG4AdQByAGUAIAB0AG8AIABzAG8AaQBsAHMAXAAiACwAIABcACIAdAAgAE4AMgBPAFwAIgAsACAAXAAiAEMAYQBsAGMAdQBsAGEAdABlAGQAXAAiAFwAbgAgACAAIAAgACAAIAAgACAAfQAsACAAcgAsACAAYwApAFwAbgAgACAAIAAgACAAIAApAFwAbgAgACAAIAAgACkAXABuACAAIAApADsAXABuAFwAbgBcAG4ALwAqAFwAbgAtAC0ALQAtAC0ALQAtAC0ALQAtAC0ALQAtAC0ALQAtAC0ALQAtAC0ALQAtAC0ALQAtAC0ALQAtAC0ALQAtAC0ALQAtAC0ALQAtAC0AXABuAFYARQBFAFIARwBfADEANQBfADEAMwBfADEAXwAzAF8AXwAxAF8ARQBtAGkAcwBzAGkAbwBuAHMARgByAG8AbQBTAG8AbABpAGQAVwBhAHMAdABlAFQAcgBlAGEAdABtAGUAbgB0AEYAYQBjAGkAbABpAHQAeQBcAG4ALQAtAC0ALQAtAC0ALQAtAC0ALQAtAC0ALQAtAC0ALQAtAC0ALQAtAC0ALQAtAC0ALQAtAC0ALQAtAC0ALQAtAC0ALQAtAC0ALQAtAFwAbgAqAC8AXABuAFwAbgBWAEUARQBSAEcAXwAxADUAXwAxADMAXwAxAF8AMwBfAF8AMQBfAEUAbQBpAHMAcwBpAG8AbgBzAEYAcgBvAG0AUwBvAGwAaQBkAFcAYQBzAHQAZQBUAHIAZQBhAHQAbQBlAG4AdABGAGEAYwBpAGwAaQB0AHkAXABuACAAIAA9AEwAQQBNAEIARABBACgAXABuACAAIAAgACAARQBfAE4AMgBPACwAIABFAF8AYQBkACwAIABFAF8AbABlAGEAYwBoACwAXABuACAAIAAgACAARQBfAE4AMgBPACAAKwAgAEUAXwBhAGQAIAArACAARQBfAGwAZQBhAGMAaABcAG4AIAAgACkAOwBcAG4AXABuAFYARQBFAFIARwBfADEANQBfADEAMwBfADEAXwAzAF8AXwAxAF8ARQBtAGkAcwBzAGkAbwBuAHMARgByAG8AbQBTAG8AbABpAGQAVwBhAHMAdABlAFQAcgBlAGEAdABtAGUAbgB0AEYAYQBjAGkAbABpAHQAeQBfAFQAaQB0AGwAZQBcAG4AIAAgAD0ATABBAE0AQgBEAEEAKABcACIARQBtAGkAcwBzAGkAbwBuAHMAIABmAHIAbwBtACAAcwBvAGwAaQBkACAAdwBhAHMAdABlACAAcwBlAG4AdAAgAHQAbwAgAGEAIAB0AHIAZQBhAHQAbQBlAG4AdAAgAGYAYQBjAGkAbABpAHQAeQBcACIAKQA7AFwAbgBcAG4AVgBFAEUAUgBHAF8AMQA1AF8AMQAzAF8AMQBfADMAXwBfADEAXwBFAG0AaQBzAHMAaQBvAG4AcwBGAHIAbwBtAFMAbwBsAGkAZABXAGEAcwB0AGUAVAByAGUAYQB0AG0AZQBuAHQARgBhAGMAaQBsAGkAdAB5AF8AVgBhAHIAaQBhAGIAbABlAFwAbgAgACAAPQBMAEEATQBCAEQAQQAoAFwAIgBFAFwAIgApADsAXABuAFwAbgBWAEUARQBSAEcAXwAxADUAXwAxADMAXwAxAF8AMwBfAF8AMQBfAEUAbQBpAHMAcwBpAG8AbgBzAEYAcgBvAG0AUwBvAGwAaQBkAFcAYQBzAHQAZQBUAHIAZQBhAHQAbQBlAG4AdABGAGEAYwBpAGwAaQB0AHkAXwBVAG4AaQB0AFwAbgAgACAAPQBMAEEATQBCAEQAQQAoAFwAIgB0ACAAQwBPADIAZQBcACIAKQA7AFwAbgBcAG4AVgBFAEUAUgBHAF8AMQA1AF8AMQAzAF8AMQBfADMAXwBfADEAXwBFAG0AaQBzAHMAaQBvAG4AcwBGAHIAbwBtAFMAbwBsAGkAZABXAGEAcwB0AGUAVAByAGUAYQB0AG0AZQBuAHQARgBhAGMAaQBsAGkAdAB5AF8AUwBvAHUAcgBjAGUAXABuACAAIAA9AEwAQQBNAEIARABBACgAXAAiAFYARQBFAFIARwAgADIAMAAyADYAOgAgADEANQAuADEAMwAuADEALgAzAFwAIgApADsAXABuAFwAbgBWAEUARQBSAEcAXwAxADUAXwAxADMAXwAxAF8AMwBfAF8AMQBfAEUAbQBpAHMAcwBpAG8AbgBzAEYAcgBvAG0AUwBvAGwAaQBkAFcAYQBzAHQAZQBUAHIAZQBhAHQAbQBlAG4AdABGAGEAYwBpAGwAaQB0AHkAXwBOAEkAUgBSAGUAZgBlAHIAZQBuAGMAZQBcAG4AIAAgAD0ATABBAE0AQgBEAEEAKABcACIAXAAiACkAOwBcAG4AXABuAFYARQBFAFIARwBfADEANQBfADEAMwBfADEAXwAzAF8AXwAxAF8ARQBtAGkAcwBzAGkAbwBuAHMARgByAG8AbQBTAG8AbABpAGQAVwBhAHMAdABlAFQAcgBlAGEAdABtAGUAbgB0AEYAYQBjAGkAbABpAHQAeQBfAEwAYQB0AGUAeABFAHEAdQBhAHQAaQBvAG4AXABuACAAIAA9AEwAQQBNAEIARABBACgAXAAiAFwAIgApADsAXABuAFwAbgBWAEUARQBSAEcAXwAxADUAXwAxADMAXwAxAF8AMwBfAF8AMQBfAEUAbQBpAHMAcwBpAG8AbgBzAEYAcgBvAG0AUwBvAGwAaQBkAFcAYQBzAHQAZQBUAHIAZQBhAHQAbQBlAG4AdABGAGEAYwBpAGwAaQB0AHkAXwBBAHIAZwB1AG0AZQBuAHQAcwBcAG4AIAAgAD0ATABBAE0AQgBEAEEAKABcACIAXAAiACkAOwBcAG4AXABuAFwAbgAvACoAXABuAC0ALQAtAC0ALQAtAC0ALQAtAC0ALQAtAC0ALQAtAC0ALQAtAC0ALQAtAC0ALQAtAC0ALQAtAC0ALQAtAC0ALQAtAC0ALQAtAC0ALQBcAG4AVgBFAEUAUgBHAF8AMQA1AF8AMQA0AF8AMQBfADEAXwBfADEAXwBFAG0AYgBlAGQAZABlAGQARQBtAGkAcwBzAGkAbwBuAHMARgByAG8AbQBVAHAAcwB0AHIAZQBhAG0ARgByAGUAaQBnAGgAdABcAG4ARQBtAGIAZQBkAGQAZQBkACAAZQBtAGkAcwBzAGkAbwBuAHMAIABmAHIAbwBtACAAdQBwAHMAdAByAGUAYQBtACAAZgByAGUAaQBnAGgAdABcAG4ARQBcAG4AdAAgAEMATwAyAGUAXABuAEUAPQBcAFwAcwB1AG0AXABcAG4AbwBsAGkAbQBpAHQAcwBfAGYAXABcAGwAZQBmAHQAKAAoAFcAXwBmAFwAXAB0AGkAbQBlAHMAIABEAF8AZgApAFwAXAB0AGkAbQBlAHMAIABFAEYAXwBmAFwAXAByAGkAZwBoAHQAKQBcAG4AVwBfAGYAIAA9ACAAdABvAHQAYQBsACAAbQBhAHMAcwAgAG8AZgAgAGcAbwBvAGQAcwAgAHQAcgBhAG4AcwBwAG8AcgB0AGUAZAAgAHAAZQByACAAZgByAGUAaQBnAGgAdAAgAHQAeQBwAGUAIABmAFwAbgBEAF8AZgAgAD0AIAB0AG8AdABhAGwAIABkAGkAcwB0AGEAbgBjAGUAIAB0AHIAYQBuAHMAcABvAHIAdABlAGQAIABwAGUAcgAgAGYAcgBlAGkAZwBoAHQAIAB0AHkAcABlACAAZgBcAG4ARQBGAF8AZgAgAD0AIABlAG0AaQBzAHMAaQBvAG4AIABmAGEAYwB0AG8AcgAgAGYAbwByACAAZgByAGUAaQBnAGgAdAAgAHQAeQBwAGUAIABmAFwAbgAtAC0ALQAtAC0ALQAtAC0ALQAtAC0ALQAtAC0ALQAtAC0ALQAtAC0ALQAtAC0ALQAtAC0ALQAtAC0ALQAtAC0ALQAtAC0ALQAtAC0AXABuACoALwBcAG4AXABuAFYARQBFAFIARwBfADEANQBfADEANABfADEAXwAxAF8AXwAxAF8ARQBtAGIAZQBkAGQAZQBkAEUAbQBpAHMAcwBpAG8AbgBzAEYAcgBvAG0AVQBwAHMAdAByAGUAYQBtAEYAcgBlAGkAZwBoAHQAXABuACAAIAA9AEwAQQBNAEIARABBACgAXABuACAAIAAgACAAVwBfAGYALAAgAEQAXwBmACwAIABFAEYAXwBmACwAXABuACAAIAAgACAAKABXAF8AZgAgACoAIABEAF8AZgApACAAKgAgAEUARgBfAGYAXABuACAAIAApADsAXABuAFwAbgBWAEUARQBSAEcAXwAxADUAXwAxADQAXwAxAF8AMQBfAF8AMQBfAEUAbQBiAGUAZABkAGUAZABFAG0AaQBzAHMAaQBvAG4AcwBGAHIAbwBtAFUAcABzAHQAcgBlAGEAbQBGAHIAZQBpAGcAaAB0AF8AVABpAHQAbABlAFwAbgAgACAAPQBMAEEATQBCAEQAQQAoAFwAIgBFAG0AYgBlAGQAZABlAGQAIABlAG0AaQBzAHMAaQBvAG4AcwAgAGYAcgBvAG0AIAB1AHAAcwB0AHIAZQBhAG0AIABmAHIAZQBpAGcAaAB0AFwAIgApADsAXABuAFwAbgBWAEUARQBSAEcAXwAxADUAXwAxADQAXwAxAF8AMQBfAF8AMQBfAEUAbQBiAGUAZABkAGUAZABFAG0AaQBzAHMAaQBvAG4AcwBGAHIAbwBtAFUAcABzAHQAcgBlAGEAbQBGAHIAZQBpAGcAaAB0AF8AVgBhAHIAaQBhAGIAbABlAFwAbgAgACAAPQBMAEEATQBCAEQAQQAoAFwAIgBFAFwAIgApADsAXABuAFwAbgBWAEUARQBSAEcAXwAxADUAXwAxADQAXwAxAF8AMQBfAF8AMQBfAEUAbQBiAGUAZABkAGUAZABFAG0AaQBzAHMAaQBvAG4AcwBGAHIAbwBtAFUAcABzAHQAcgBlAGEAbQBGAHIAZQBpAGcAaAB0AF8AVQBuAGkAdABcAG4AIAAgAD0ATABBAE0AQgBEAEEAKABcACIAdAAgAEMATwAyAGUAXAAiACkAOwBcAG4AXABuAFYARQBFAFIARwBfADEANQBfADEANABfADEAXwAxAF8AXwAxAF8ARQBtAGIAZQBkAGQAZQBkAEUAbQBpAHMAcwBpAG8AbgBzAEYAcgBvAG0AVQBwAHMAdAByAGUAYQBtAEYAcgBlAGkAZwBoAHQAXwBTAG8AdQByAGMAZQBcAG4AIAAgAD0ATABBAE0AQgBEAEEAKABcACIAVgBFAEUAUgBHACAAMgAwADIANgA6ACAAMQA1AC4AMQA0AC4AMQAuADEALAAgAEUAcQB1AGEAdABpAG8AbgAgACgAMQApAFwAIgApADsAXABuAFwAbgBWAEUARQBSAEcAXwAxADUAXwAxADQAXwAxAF8AMQBfAF8AMQBfAEUAbQBiAGUAZABkAGUAZABFAG0AaQBzAHMAaQBvAG4AcwBGAHIAbwBtAFUAcABzAHQAcgBlAGEAbQBGAHIAZQBpAGcAaAB0AF8ATgBJAFIAUgBlAGYAZQByAGUAbgBjAGUAXABuACAAIAA9AEwAQQBNAEIARABBACgAXAAiAFwAIgApADsAXABuAFwAbgBWAEUARQBSAEcAXwAxADUAXwAxADQAXwAxAF8AMQBfAF8AMQBfAEUAbQBiAGUAZABkAGUAZABFAG0AaQBzAHMAaQBvAG4AcwBGAHIAbwBtAFUAcABzAHQAcgBlAGEAbQBGAHIAZQBpAGcAaAB0AF8ATABhAHQAZQB4AEUAcQB1AGEAdABpAG8AbgBcAG4AIAAgAD0ATABBAE0AQgBEAEEAKABcACIARQA9AFwAXABzAHUAbQBcAFwAbgBvAGwAaQBtAGkAdABzAF8AZgBcAFwAbABlAGYAdAAoACgAVwBfAGYAXABcAHQAaQBtAGUAcwAgAEQAXwBmACkAXABcAHQAaQBtAGUAcwAgAEUARgBfAGYAXABcAHIAaQBnAGgAdAApAFwAIgApADsAXABuAFwAbgBWAEUARQBSAEcAXwAxADUAXwAxADQAXwAxAF8AMQBfAF8AMQBfAEUAbQBiAGUAZABkAGUAZABFAG0AaQBzAHMAaQBvAG4AcwBGAHIAbwBtAFUAcABzAHQAcgBlAGEAbQBGAHIAZQBpAGcAaAB0AF8AQQByAGcAdQBtAGUAbgB0AHMAXABuACAAIAA9AEwAQQBNAEIARABBACgAXABuACAAIAAgACAATQBBAEsARQBBAFIAUgBBAFkAKAA0ACwAIAA0ACwAXABuACAAIAAgACAAIAAgAEwAQQBNAEIARABBACgAcgAsAGMALABcAG4AIAAgACAAIAAgACAAIAAgAEkATgBEAEUAWAAoAHsAXABuACAAIAAgACAAIAAgACAAIAAgACAAXAAiAFcAXwBmAFwAIgAsACAAXAAiAHQAbwB0AGEAbAAgAG0AYQBzAHMAIABvAGYAIABnAG8AbwBkAHMAIAB0AHIAYQBuAHMAcABvAHIAdABlAGQAIABwAGUAcgAgAGYAcgBlAGkAZwBoAHQAIAB0AHkAcABlACAAZgBcACIALAAgAFwAIgB0AFwAIgAsACAAXAAiAEkAbgBwAHUAdABcACIAOwBcAG4AIAAgACAAIAAgACAAIAAgACAAIABcACIARABfAGYAXAAiACwAIABcACIAdABvAHQAYQBsACAAZABpAHMAdABhAG4AYwBlACAAdAByAGEAbgBzAHAAbwByAHQAZQBkACAAcABlAHIAIABmAHIAZQBpAGcAaAB0ACAAdAB5AHAAZQAgAGYAXAAiACwAIABcACIAawBtAFwAIgAsACAAXAAiAEkAbgBwAHUAdABcACIAOwBcAG4AIAAgACAAIAAgACAAIAAgACAAIABcACIARQBGAF8AZgBcACIALAAgAFwAIgBlAG0AaQBzAHMAaQBvAG4AIABmAGEAYwB0AG8AcgAgAGYAbwByACAAZgByAGUAaQBnAGgAdAAgAHQAeQBwAGUAIABmAFwAIgAsACAAXAAiAHQAIABDAE8AMgBlAC8AKAB0ACAAawBtACkAXAAiACwAIABcACIAQwBvAG4AcwB0AGEAbgB0AFwAIgA7AFwAbgAgACAAIAAgACAAIAAgACAAIAAgAFwAIgBmAFwAIgAsACAAXAAiAGYAcgBlAGkAZwBoAHQAIAB0AHkAcABlAFwAIgAsACAAXAAiAFwAIgAsACAAXAAiAEkAbgBwAHUAdABcACIAXABuACAAIAAgACAAIAAgACAAIAB9ACwAIAByACwAIABjACkAXABuACAAIAAgACAAIAAgACkAXABuACAAIAAgACAAKQBcAG4AIAAgACkAOwBcAG4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BcAHUAMAAwADMAYwA9ACAAMgAsACAAIABcACIAUwB1AG0AbQBlAHIAXAAiACwAXABuACAAIAAgACAAIAAgAE0ATwBOAFQASAAoAFAAdQByAGMAaABhAHMAZQBEAGEAdABlACkAIABcAHUAMAAwADMAYwA9ACAANQAsACAAIABcACIAQQB1AHQAdQBtAG4AXAAiACwAXABuACAAIAAgACAAIAAgAE0ATwBOAFQASAAoAFAAdQByAGMAaABhAHMAZQBEAGEAdABlACkAIABcAHUAMAAwADMAYwA9ACAAOAAsACAAIABcACIAVwBpAG4AdABlAHIAXAAiACwAXABuACAAIAAgACAAIAAgAE0ATwBOAFQASAAoAFAAdQByAGMAaABhAHMAZQBEAGEAdABlACkAIABcAHUAMAAwADMAYw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CwAewAiAHAAYQB0AGgAIgA6ACIALwBwAHIAbwBqAGUAYwB0AHMALwBTAGMAbwBwAGUAMwBfAFMAbwB1AHIAYwBlAEQAYQB0AGEAIgAsACIAdABlAHgAdAAiADoAIgBcAG4ALwAqAFwAbgA9AD0APQA9AD0APQA9AD0APQA9AD0APQA9AD0APQA9AD0APQA9AD0APQA9AD0APQA9AD0APQA9AD0APQA9AD0APQA9AD0APQA9AD0APQA9AD0APQA9AD0APQA9AD0APQA9AD0APQA9AD0APQA9AD0APQA9AD0APQA9AD0APQA9AD0APQA9AD0APQA9AD0APQA9AD0APQA9AFwAbgBBAG4AaQBtAGEAbABzAFwAbgA9AD0APQA9AD0APQA9AD0APQA9AD0APQA9AD0APQA9AD0APQA9AD0APQA9AD0APQA9AD0APQA9AD0APQA9AD0APQA9AD0APQA9AD0APQA9AD0APQA9AD0APQA9AD0APQA9AD0APQA9AD0APQA9AD0APQA9AD0APQA9AD0APQA9AD0APQA9AD0APQA9AD0APQA9AD0APQA9AFwAbgAqAC8AXABuAFwAbgBTAGMAbwBwAGUAMwBfAEwAaQB2AGUAcwB0AG8AYwBrAF8AVABpAHQAbABlAFwAbgA9AEwAQQBNAEIARABBACgAKABcACIATABpAHYAZQBzAHQAbwBjAGsAIABzAGMAbwBwAGUAIAAzAFwAIgApACkAOwBcAG4AXABuAFMAYwBvAHAAZQAzAF8ATABpAHYAZQBzAHQAbwBjAGs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MAGkAdgBlAHMAdABvAGMAawBfAFYAYQByAGkAYQB0AGkAbwBuAFwAbgA9AEwAQQBNAEIARABBACgAKABcACIAXAAiACkAKQA7AFwAbgBcAG4AUwBjAG8AcABlADMAXwBMAGkAdgBlAHMAdABvAGMAawBfAEQAYQB0AGEAXABuAD0ATABBAE0AQgBEAEEAKABcAG4AIAAgAE0AQQBLAEUAQQBSAFIAQQBZACgANAAy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QBuAGkAbQBhAGwAcwBcACIALAAgAFwAIgBCAGUAZQBmACAAYwBhAHQAdABsAGUAXAAiACwAIABcACIAQwBhAHQAdABsAGUALAAgAGYAbwByACAAbQBhAG4AdQBmAGEAYwB0AHUAcgBpAG4AZwAgAGIAZQBlAGYAXAAiACwAIABcACIAQQB1AHMAdAByAGEAbABpAGEAXAAiACwAIABcACIAawBnACAAbABpAHYAZQB3AGUAaQBnAGgAdABcACIALAAgADEAMQAsACAAXAAiAGEAdAAgAG0AYQByAGsAZQB0AFwAIgA7AFwAbgAgACAAIAAgACAAIAAgACAAXAAiAEEAbgBpAG0AYQBsAHMAXAAiACwAIABcACIAQgBlAGUAZgAgAGMAYQB0AHQAbABlAFwAIgAsACAAXAAiAEMAYQB0AHQAbABlACwAIABmAG8AcgAgAG0AYQBuAHUAZgBhAGMAdAB1AHIAaQBuAGcAIABiAGUAZQBmAFwAIgAsACAAXAAiAE4AUwBXAFwAIgAsACAAXAAiAGsAZwAgAGwAaQB2AGUAdwBlAGkAZwBoAHQAXAAiACwAIAA4AC4AMgAxACwAIABcACIAYQB0ACAAbQBhAHIAawBlAHQAXAAiADsAXABuACAAIAAgACAAIAAgACAAIABcACIAQQBuAGkAbQBhAGwAcwBcACIALAAgAFwAIgBCAGUAZQBmACAAYwBhAHQAdABsAGUAXAAiACwAIABcACIAQwBhAHQAdABsAGUALAAgAGYAbwByACAAbQBhAG4AdQBmAGEAYwB0AHUAcgBpAG4AZwAgAGIAZQBlAGYAXAAiACwAIABcACIATgBUAFwAIgAsACAAXAAiAGsAZwAgAGwAaQB2AGUAdwBlAGkAZwBoAHQAXAAiACwAIAAxADIALgAyACwAIABcACIAYQB0ACAAbQBhAHIAawBlAHQAXAAiADsAXABuACAAIAAgACAAIAAgACAAIABcACIAQQBuAGkAbQBhAGwAcwBcACIALAAgAFwAIgBCAGUAZQBmACAAYwBhAHQAdABsAGUAXAAiACwAIABcACIAQwBhAHQAdABsAGUALAAgAGYAbwByACAAbQBhAG4AdQBmAGEAYwB0AHUAcgBpAG4AZwAgAGIAZQBlAGYAXAAiACwAIABcACIAUQBMAEQAXAAiACwAIABcACIAawBnACAAbABpAHYAZQB3AGUAaQBnAGgAdABcACIALAAgADEAMAAuADkALAAgAFwAIgBhAHQAIABtAGEAcgBrAGUAdABcACIAOwBcAG4AIAAgACAAIAAgACAAIAAgAFwAIgBBAG4AaQBtAGEAbABzAFwAIgAsACAAXAAiAEIAZQBlAGYAIABjAGEAdAB0AGwAZQBcACIALAAgAFwAIgBDAGEAdAB0AGwAZQAsACAAZgBvAHIAIABtAGEAbgB1AGYAYQBjAHQAdQByAGkAbgBnACAAYgBlAGUAZgBcACIALAAgAFwAIgBTAEEAXAAiACwAIABcACIAawBnACAAbABpAHYAZQB3AGUAaQBnAGgAdABcACIALAAgADcALgA2ADMALAAgAFwAIgBhAHQAIABtAGEAcgBrAGUAdABcACIAOwBcAG4AIAAgACAAIAAgACAAIAAgAFwAIgBBAG4AaQBtAGEAbABzAFwAIgAsACAAXAAiAEIAZQBlAGYAIABjAGEAdAB0AGwAZQBcACIALAAgAFwAIgBDAGEAdAB0AGwAZQAsACAAZgBvAHIAIABtAGEAbgB1AGYAYQBjAHQAdQByAGkAbgBnACAAYgBlAGUAZgBcACIALAAgAFwAIgBUAEEAUwBcACIALAAgAFwAIgBrAGcAIABsAGkAdgBlAHcAZQBpAGcAaAB0AFwAIgAsACAAOAAuADcANQAsACAAXAAiAGEAdAAgAG0AYQByAGsAZQB0AFwAIgA7AFwAbgAgACAAIAAgACAAIAAgACAAXAAiAEEAbgBpAG0AYQBsAHMAXAAiACwAIABcACIAQgBlAGUAZgAgAGMAYQB0AHQAbABlAFwAIgAsACAAXAAiAEMAYQB0AHQAbABlACwAIABmAG8AcgAgAG0AYQBuAHUAZgBhAGMAdAB1AHIAaQBuAGcAIABiAGUAZQBmAFwAIgAsACAAXAAiAFYASQBDAFwAIgAsACAAXAAiAGsAZwAgAGwAaQB2AGUAdwBlAGkAZwBoAHQAXAAiACwAIAA4AC4AMQA3ACwAIABcACIAYQB0ACAAbQBhAHIAawBlAHQAXAAiADsAXABuACAAIAAgACAAIAAgACAAIABcACIAQQBuAGkAbQBhAGwAcwBcACIALAAgAFwAIgBCAGUAZQBmACAAYwBhAHQAdABsAGUAXAAiACwAIABcACIAQwBhAHQAdABsAGUALAAgAGYAbwByACAAbQBhAG4AdQBmAGEAYwB0AHUAcgBpAG4AZwAgAGIAZQBlAGYAXAAiACwAIABcACIAVwBBAFwAIgAsACAAXAAiAGsAZwAgAGwAaQB2AGUAdwBlAGkAZwBoAHQAXAAiACwAIAAxADMALgAxACwAIABcACIAYQB0ACAAbQBhAHIAawBlAHQAXAAiADsAXABuACAAIAAgACAAIAAgACAAIABcACIAQQBuAGkAbQBhAGwAcwBcACIALAAgAFwAIgBCAGUAZQBmACAAYwBhAHQAdABsAGUAXAAiACwAIABcACIAQwBhAHQAdABsAGUALAAgAGYAbwByACAAcAByAGkAbQBlACAAYgBlAGUAZgBcACIALAAgAFwAIgBBAHUAcwB0AHIAYQBsAGkAYQBcACIALAAgAFwAIgBrAGcAIABsAGkAdgBlAHcAZQBpAGcAaAB0AFwAIgAsACAAMQA0AC4ANQAsACAAXAAiAGEAdAAgAG0AYQByAGsAZQB0AFwAIgA7AFwAbgAgACAAIAAgACAAIAAgACAAXAAiAEEAbgBpAG0AYQBsAHMAXAAiACwAIABcACIAQgBlAGUAZgAgAGMAYQB0AHQAbABlAFwAIgAsACAAXAAiAEMAYQB0AHQAbABlACwAIABmAG8AcgAgAHAAcgBpAG0AZQAgAGIAZQBlAGYAXAAiACwAIABcACIATgBTAFcAXAAiACwAIABcACIAawBnACAAbABpAHYAZQB3AGUAaQBnAGgAdABcACIALAAgADEAMQAuADMALAAgAFwAIgBhAHQAIABtAGEAcgBrAGUAdABcACIAOwBcAG4AIAAgACAAIAAgACAAIAAgAFwAIgBBAG4AaQBtAGEAbABzAFwAIgAsACAAXAAiAEIAZQBlAGYAIABjAGEAdAB0AGwAZQBcACIALAAgAFwAIgBDAGEAdAB0AGwAZQAsACAAZgBvAHIAIABwAHIAaQBtAGUAIABiAGUAZQBmAFwAIgAsACAAXAAiAE4AVABcACIALAAgAFwAIgBrAGcAIABsAGkAdgBlAHcAZQBpAGcAaAB0AFwAIgAsACAAMQA4AC4AOQAsACAAXAAiAGEAdAAgAG0AYQByAGsAZQB0AFwAIgA7AFwAbgAgACAAIAAgACAAIAAgACAAXAAiAEEAbgBpAG0AYQBsAHMAXAAiACwAIABcACIAQgBlAGUAZgAgAGMAYQB0AHQAbABlAFwAIgAsACAAXAAiAEMAYQB0AHQAbABlACwAIABmAG8AcgAgAHAAcgBpAG0AZQAgAGIAZQBlAGYAXAAiACwAIABcACIAUQBMAEQAXAAiACwAIABcACIAawBnACAAbABpAHYAZQB3AGUAaQBnAGgAdABcACIALAAgADEAMwAuADkALAAgAFwAIgBhAHQAIABtAGEAcgBrAGUAdABcACIAOwBcAG4AIAAgACAAIAAgACAAIAAgAFwAIgBBAG4AaQBtAGEAbABzAFwAIgAsACAAXAAiAEIAZQBlAGYAIABjAGEAdAB0AGwAZQBcACIALAAgAFwAIgBDAGEAdAB0AGwAZQAsACAAZgBvAHIAIABwAHIAaQBtAGUAIABiAGUAZQBmAFwAIgAsACAAXAAiAFMAQQBcACIALAAgAFwAIgBrAGcAIABsAGkAdgBlAHcAZQBpAGcAaAB0AFwAIgAsACAAMQAyAC4AMwAsACAAXAAiAGEAdAAgAG0AYQByAGsAZQB0AFwAIgA7AFwAbgAgACAAIAAgACAAIAAgACAAXAAiAEEAbgBpAG0AYQBsAHMAXAAiACwAIABcACIAQgBlAGUAZgAgAGMAYQB0AHQAbABlAFwAIgAsACAAXAAiAEMAYQB0AHQAbABlACwAIABmAG8AcgAgAHAAcgBpAG0AZQAgAGIAZQBlAGYAXAAiACwAIABcACIAVABBAF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YASQBD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XAEEAXAAiACwAIABcACIAawBnACAAbABpAHYAZQB3AGUAaQBnAGgAdABcACIALAAgADIAMAAuADgALAAgAFwAIgBhAHQAIABtAGEAcgBrAGUAdABcACIAOwBcAG4AIAAgACAAIAAgACAAIAAgAFwAIgBBAG4AaQBtAGEAbABzAFwAIgAsACAAXAAiAEIAZQBlAGYAIABjAGEAdAB0AGwAZQBcACIALAAgAFwAIgBDAGEAdAB0AGwAZQAsACAAdwBlAGEAbgBlAHIAcwBcACIALAAgAFwAIgBBAHUAcwB0AHIAYQBsAGkAYQBcACIALAAgAFwAIgBrAGcAIABsAGkAdgBlAHcAZQBpAGcAaAB0AFwAIgAsACAAMQA1AC4ANQAsACAAXAAiAGEAdAAgAG0AYQByAGsAZQB0AFwAIgA7AFwAbgAgACAAIAAgACAAIAAgACAAXAAiAEEAbgBpAG0AYQBsAHMAXAAiACwAIABcACIAQgBlAGUAZgAgAGMAYQB0AHQAbABlAFwAIgAsACAAXAAiAEMAYQB0AHQAbABlACwAIAB3AGUAYQBuAGUAcgBzAFwAIgAsACAAXAAiAE4AUwBXAFwAIgAsACAAXAAiAGsAZwAgAGwAaQB2AGUAdwBlAGkAZwBoAHQAXAAiACwAIAAxADIALgA3ACwAIABcACIAYQB0ACAAbQBhAHIAawBlAHQAXAAiADsAXABuACAAIAAgACAAIAAgACAAIABcACIAQQBuAGkAbQBhAGwAcwBcACIALAAgAFwAIgBCAGUAZQBmACAAYwBhAHQAdABsAGUAXAAiACwAIABcACIAQwBhAHQAdABsAGUALAAgAHcAZQBhAG4AZQByAHMAXAAiACwAIABcACIATgBUAFwAIgAsACAAXAAiAGsAZwAgAGwAaQB2AGUAdwBlAGkAZwBoAHQAXAAiACwAIAAxADkALgAxACwAIABcACIAYQB0ACAAbQBhAHIAawBlAHQAXAAiADsAXABuACAAIAAgACAAIAAgACAAIABcACIAQQBuAGkAbQBhAGwAcwBcACIALAAgAFwAIgBCAGUAZQBmACAAYwBhAHQAdABsAGUAXAAiACwAIABcACIAQwBhAHQAdABsAGUALAAgAHcAZQBhAG4AZQByAHMAXAAiACwAIABcACIAUQBMAEQAXAAiACwAIABcACIAawBnACAAbABpAHYAZQB3AGUAaQBnAGgAdABcACIALAAgADIAMAAuADUALAAgAFwAIgBhAHQAIABtAGEAcgBrAGUAdABcACIAOwBcAG4AIAAgACAAIAAgACAAIAAgAFwAIgBBAG4AaQBtAGEAbABzAFwAIgAsACAAXAAiAEIAZQBlAGYAIABjAGEAdAB0AGwAZQBcACIALAAgAFwAIgBDAGEAdAB0AGwAZQAsACAAdwBlAGEAbgBlAHIAcwBcACIALAAgAFwAIgBTAEEAXAAiACwAIABcACIAawBnACAAbABpAHYAZQB3AGUAaQBnAGgAdABcACIALAAgADEAMAAuADgALAAgAFwAIgBhAHQAIABtAGEAcgBrAGUAdABcACIAOwBcAG4AIAAgACAAIAAgACAAIAAgAFwAIgBBAG4AaQBtAGEAbABzAFwAIgAsACAAXAAiAEIAZQBlAGYAIABjAGEAdAB0AGwAZQBcACIALAAgAFwAIgBDAGEAdAB0AGwAZQAsACAAdwBlAGEAbgBlAHIAcwBcACIALAAgAFwAIgBUAEEAUwBcACIALAAgAFwAIgBrAGcAIABsAGkAdgBlAHcAZQBpAGcAaAB0AFwAIgAsACAAMQAzAC4ANAAsACAAXAAiAGEAdAAgAG0AYQByAGsAZQB0AFwAIgA7AFwAbgAgACAAIAAgACAAIAAgACAAXAAiAEEAbgBpAG0AYQBsAHMAXAAiACwAIABcACIAQgBlAGUAZgAgAGMAYQB0AHQAbABlAFwAIgAsACAAXAAiAEMAYQB0AHQAbABlACwAIAB3AGUAYQBuAGUAcgBzAFwAIgAsACAAXAAiAFYASQBDAFwAIgAsACAAXAAiAGsAZwAgAGwAaQB2AGUAdwBlAGkAZwBoAHQAXAAiACwAIAAxADIALAAgAFwAIgBhAHQAIABtAGEAcgBrAGUAdABcACIAOwBcAG4AIAAgACAAIAAgACAAIAAgAFwAIgBBAG4AaQBtAGEAbABzAFwAIgAsACAAXAAiAEIAZQBlAGYAIABjAGEAdAB0AGwAZQBcACIALAAgAFwAIgBDAGEAdAB0AGwAZQAsACAAdwBlAGEAbgBlAHIAcwBcACIALAAgAFwAIgBXAEEAXAAiACwAIABcACIAawBnACAAbABpAHYAZQB3AGUAaQBnAGgAdABcACIALAAgADEAMgAuADQALAAgAFwAIgBhAHQAIABtAGEAcgBrAGUAdABcACIAOwBcAG4AIAAgACAAIAAgACAAIAAgAFwAIgBBAG4AaQBtAGEAbABzAFwAIgAsACAAXAAiAEMAaABpAGMAawBlAG4AcwBcACIALAAgAFwAIgBDAGgAaQBjAGsAZQBuAHMAXAAiACwAIABcACIAQQB1AHMAdAByAGEAbABpAGEAXAAiACwAIABcACIAawBnACAAbABpAHYAZQB3AGUAaQBnAGgAdABcACIALAAgADEALgAzADYALAAgAFwAIgBhAHQAIABtAGEAcgBrAGUAdABcACIAOwBcAG4AIAAgACAAIAAgACAAIAAgAFwAIgBBAG4AaQBtAGEAbABzAFwAIgAsACAAXAAiAEQAYQBpAHIAeQAgAGMAYQB0AHQAbABlAFwAIgAsACAAXAAiAEQAYQBpAHIAeQAgAGMAbwB3AHMAXAAiACwAIABcACIAVgBJAEMAXAAiACwAIABcACIAawBnACAAbABpAHYAZQB3AGUAaQBnAGgAdABcACIALAAgADQALgA0ADEALAAgAFwAIgBhAHQAIABtAGEAcgBrAGUAdABcACIAOwBcAG4AIAAgACAAIAAgACAAIAAgAFwAIgBBAG4AaQBtAGEAbABzAFwAIgAsACAAXAAiAFAAaQBnAHMAXAAiACwAIABcACIAUABpAGcAcwBcACIALAAgAFwAIgBBAHUAcwB0AHIAYQBsAGkAYQBcACIALAAgAFwAIgBrAGcAIABsAGkAdgBlAHcAZQBpAGcAaAB0AFwAIgAsACAAMwAuADMAOAAsACAAXAAiAGEAdAAgAG0AYQByAGsAZQB0AFwAIgA7AFwAbgAgACAAIAAgACAAIAAgACAAXAAiAEEAbgBpAG0AYQBsAHMAXAAiACwAIABcACIAUwBoAGUAZQBwAFwAIgAsACAAXAAiAFMAaABlAGUAcAAsACAAZgBvAHIAIABtAHUAdAB0AG8AbgBcACIALAAgAFwAIgBBAHUAcwB0AHIAYQBsAGkAYQBcACIALAAgAFwAIgBrAGcAIABsAGkAdgBlAHcAZQBpAGcAaAB0AFwAIgAsACAANgAuADgAMQAsACAAXAAiAGEAdAAgAG0AYQByAGsAZQB0AFwAIgA7AFwAbgAgACAAIAAgACAAIAAgACAAXAAiAEEAbgBpAG0AYQBsAHMAXAAiACwAIABcACIAUwBoAGUAZQBwAFwAIgAsACAAXAAiAFMAaABlAGUAcAAsACAAZgBvAHIAIABtAHUAdAB0AG8AbgBcACIALAAgAFwAIgBOAFMAVwBcACIALAAgAFwAIgBrAGcAIABsAGkAdgBlAHcAZQBpAGcAaAB0AFwAIgAsACAAMgAuADIANgAsACAAXAAiAGEAdAAgAG0AYQByAGsAZQB0AFwAIgA7AFwAbgAgACAAIAAgACAAIAAgACAAXAAiAEEAbgBpAG0AYQBsAHMAXAAiACwAIABcACIAUwBoAGUAZQBwAFwAIgAsACAAXAAiAFMAaABlAGUAcAAsACAAZgBvAHIAIABtAHUAdAB0AG8AbgBcACIALAAgAFwAIgBRAEwARABcACIALAAgAFwAIgBrAGcAIABsAGkAdgBlAHcAZQBpAGcAaAB0AFwAIgAsACAANgAuADMAMwAsACAAXAAiAGEAdAAgAG0AYQByAGsAZQB0AFwAIgA7AFwAbgAgACAAIAAgACAAIAAgACAAXAAiAEEAbgBpAG0AYQBsAHMAXAAiACwAIABcACIAUwBoAGUAZQBwAFwAIgAsACAAXAAiAFMAaABlAGUAcAAsACAAZgBvAHIAIABtAHUAdAB0AG8AbgBcACIALAAgAFwAIgBTAEEAXAAiACwAIABcACIAawBnACAAbABpAHYAZQB3AGUAaQBnAGgAdABcACIALAAgADYALgAxADgALAAgAFwAIgBhAHQAIABtAGEAcgBrAGUAdABcACIAOwBcAG4AIAAgACAAIAAgACAAIAAgAFwAIgBBAG4AaQBtAGEAbABzAFwAIgAsACAAXAAiAFMAaABlAGUAcABcACIALAAgAFwAIgBTAGgAZQBlAHAALAAgAGYAbwByACAAbQB1AHQAdABvAG4AXAAiACwAIABcACIAVABBAFMAXAAiACwAIABcACIAawBnACAAbABpAHYAZQB3AGUAaQBnAGgAdABcACIALAAgADcALgA1ACwAIABcACIAYQB0ACAAbQBhAHIAawBlAHQAXAAiADsAXABuACAAIAAgACAAIAAgACAAIABcACIAQQBuAGkAbQBhAGwAcwBcACIALAAgAFwAIgBTAGgAZQBlAHAAXAAiACwAIABcACIAUwBoAGUAZQBwACwAIABmAG8AcgAgAG0AdQB0AHQAbwBuAFwAIgAsACAAXAAiAFYASQBDAFwAIgAsACAAXAAiAGsAZwAgAGwAaQB2AGUAdwBlAGkAZwBoAHQAXAAiACwAIAA4AC4AMAA4ACwAIABcACIAYQB0ACAAbQBhAHIAawBlAHQAXAAiADsAXABuACAAIAAgACAAIAAgACAAIABcACIAQQBuAGkAbQBhAGwAcwBcACIALAAgAFwAIgBTAGgAZQBlAHAAXAAiACwAIABcACIAUwBoAGUAZQBwACwAIABmAG8AcgAgAG0AdQB0AHQAbwBuAFwAIgAsACAAXAAiAFcAQQBcACIALAAgAFwAIgBrAGcAIABsAGkAdgBlAHcAZQBpAGcAaAB0AFwAIgAsACAANQAuADQANQAsACAAXAAiAGEAdAAgAG0AYQByAGsAZQB0AFwAIgA7AFwAbgAgACAAIAAgACAAIAAgACAAXAAiAEEAbgBpAG0AYQBsAHMAXAAiACwAIABcACIAUwBoAGUAZQBwAFwAIgAsACAAXAAiAFMAaABlAGUAcAAsACAAZgBvAHIAIABwAHIAaQBtAGUAIABsAGEAbQBiAFwAIgAsACAAXAAiAEEAdQBzAHQAcgBhAGwAaQBhAFwAIgAsACAAXAAiAGsAZwAgAGwAaQB2AGUAdwBlAGkAZwBoAHQAXAAiACwAIAA3AC4AMQA1ACwAIABcACIAYQB0ACAAbQBhAHIAawBlAHQAXAAiADsAXABuACAAIAAgACAAIAAgACAAIABcACIAQQBuAGkAbQBhAGwAcwBcACIALAAgAFwAIgBTAGgAZQBlAHAAXAAiACwAIABcACIAUwBoAGUAZQBwACwAIABmAG8AcgAgAHAAcgBpAG0AZQAgAGwAYQBtAGIAXAAiACwAIABcACIATgBTAFcAXAAiACwAIABcACIAawBnACAAbABpAHYAZQB3AGUAaQBnAGgAdABcACIALAAgADgALgAyADkALAAgAFwAIgBhAHQAIABtAGEAcgBrAGUAdABcACIAOwBcAG4AIAAgACAAIAAgACAAIAAgAFwAIgBBAG4AaQBtAGEAbABzAFwAIgAsACAAXAAiAFMAaABlAGUAcABcACIALAAgAFwAIgBTAGgAZQBlAHAALAAgAGYAbwByACAAcAByAGkAbQBlACAAbABhAG0AYgBcACIALAAgAFwAIgBRAEwARABcACIALAAgAFwAIgBrAGcAIABsAGkAdgBlAHcAZQBpAGcAaAB0AFwAIgAsACAANgAuADMAOQAsACAAXAAiAGEAdAAgAG0AYQByAGsAZQB0AFwAIgA7AFwAbgAgACAAIAAgACAAIAAgACAAXAAiAEEAbgBpAG0AYQBsAHMAXAAiACwAIABcACIAUwBoAGUAZQBwAFwAIgAsACAAXAAiAFMAaABlAGUAcAAsACAAZgBvAHIAIABwAHIAaQBtAGUAIABsAGEAbQBiAFwAIgAsACAAXAAiAFMAQQBcACIALAAgAFwAIgBrAGcAIABsAGkAdgBlAHcAZQBpAGcAaAB0AFwAIgAsACAANgAuADgANwAsACAAXAAiAGEAdAAgAG0AYQByAGsAZQB0AFwAIgA7AFwAbgAgACAAIAAgACAAIAAgACAAXAAiAEEAbgBpAG0AYQBsAHMAXAAiACwAIABcACIAUwBoAGUAZQBwAFwAIgAsACAAXAAiAFMAaABlAGUAcAAsACAAZgBvAHIAIABwAHIAaQBtAGUAIABsAGEAbQBiAFwAIgAsACAAXAAiAFQAQQBTAFwAIgAsACAAXAAiAGsAZwAgAGwAaQB2AGUAdwBlAGkAZwBoAHQAXAAiACwAIAA4AC4ANgA2ACwAIABcACIAYQB0ACAAbQBhAHIAawBlAHQAXAAiADsAXABuACAAIAAgACAAIAAgACAAIABcACIAQQBuAGkAbQBhAGwAcwBcACIALAAgAFwAIgBTAGgAZQBlAHAAXAAiACwAIABcACIAUwBoAGUAZQBwACwAIABmAG8AcgAgAHAAcgBpAG0AZQAgAGwAYQBtAGIAXAAiACwAIABcACIAVgBJAEMAXAAiACwAIABcACIAawBnACAAbABpAHYAZQB3AGUAaQBnAGgAdABcACIALAAgADEAMAAsACAAXAAiAGEAdAAgAG0AYQByAGsAZQB0AFwAIgA7AFwAbgAgACAAIAAgACAAIAAgACAAXAAiAEEAbgBpAG0AYQBsAHMAXAAiACwAIABcACIAUwBoAGUAZQBwAFwAIgAsACAAXAAiAFMAaABlAGUAcAAsACAAZgBvAHIAIABwAHIAaQBtAGUAIABsAGEAbQBiAFwAIgAsACAAXAAiAFcAQQBcACIALAAgAFwAIgBrAGcAIABsAGkAdgBlAHcAZQBpAGcAaAB0AFwAIgAsACAANQAuADYANw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QwBoAGUAbQBpAGMAYQBsAHMAXABuAD0APQA9AD0APQA9AD0APQA9AD0APQA9AD0APQA9AD0APQA9AD0APQA9AD0APQA9AD0APQA9AD0APQA9AD0APQA9AD0APQA9AD0APQA9AD0APQA9AD0APQA9AD0APQA9AD0APQA9AD0APQA9AD0APQA9AD0APQA9AD0APQA9AD0APQA9AD0APQA9AD0APQA9AD0APQA9AD0AXABuACoALwBcAG4AXABuAFMAYwBvAHAAZQAzAF8AQwBoAGUAbQBpAGMAYQBsAHMAXwBUAGkAdABsAGUAXABuAD0ATABBAE0AQgBEAEEAKAAoAFwAIgBDAGgAZQBtAGkAYwBhAGwAcwAgAHMAYwBvAHAAZQAgADMAXAAiACkAKQA7AFwAbgBcAG4AUwBjAG8AcABlADMAXwBDAGgAZQBtAGkAYwBhAGw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MAaABlAG0AaQBjAGEAbABzAF8AVgBhAHIAaQBhAHQAaQBvAG4AXABuAD0ATABBAE0AQgBEAEEAKAAoAFwAIgBcACIAKQApADsAXABuAFwAbgBTAGMAbwBwAGUAMwBfAEMAaABlAG0AaQBjAGEAbABzAF8ARABhAHQAYQBcAG4APQBMAEEATQBCAEQAQQAoAFwAbgAgACAATQBBAEsARQBBAFIAUgBBAFkAKA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wBoAGUAbQBpAGMAYQBsAHMAXAAiACwAIABcACIAQwBsAGUAYQBuAGkAbgBnACAAYwBoAGUAbQBpAGMAYQBsAHMAXAAiACwAIABcACIAQQBsAGsAYQBsAGkAbgBlACAAYwBsAGUAYQBuAGUAcgBcACIALAAgAFwAIgBHAGwAbwBiAGEAbABcACIALAAgAFwAIgBrAGcAXAAiACwAIAAwAC4ANwAyADIALAAgAFwAIgBhAHQAIABtAGEAbgB1AGYAYQBjAHQAdQByAGUAcgBcACIAOwBcAG4AIAAgACAAIAAgACAAIAAgAFwAIgBDAGgAZQBtAGkAYwBhAGwAcwBcACIALAAgAFwAIgBDAGwAZQBhAG4AaQBuAGcAIABjAGgAZQBtAGkAYwBhAGwAcwBcACIALAAgAFwAIgBCAGwAZQBhAGMAaABcACIALAAgAFwAIgBHAGwAbwBiAGEAbABcACIALAAgAFwAIgBrAGcAXAAiACwAIAAwAC4AOAAwADQALAAgAFwAIgBhAHQAIABtAGEAbgB1AGYAYQBjAHQAdQByAGUAcgBcACIAOwBcAG4AIAAgACAAIAAgACAAIAAgAFwAIgBDAGgAZQBtAGkAYwBhAGwAcwBcACIALAAgAFwAIgBDAGwAZQBhAG4AaQBuAGcAIABjAGgAZQBtAGkAYwBhAGwAcwBcACIALAAgAFwAIgBQAGgAbwBzAHAAaABvAHIAaQBjACAAYQBjAGkAZABcACIALAAgAFwAIgBHAGwAbwBiAGEAbABcACIALAAgAFwAIgBrAGcAXAAiACwAIAAwAC4AOQAwADcALAAgAFwAIgBhAHQAIABtAGEAbgB1AGYAYQBjAHQAdQByAGUAcgBcACIAOwBcAG4AIAAgACAAIAAgACAAIAAgAFwAIgBDAGgAZQBtAGkAYwBhAGwAcwBcACIALAAgAFwAIgBQAGgAYQByAG0AYQBjAHkAIABjAGgAZQBtAGkAYwBhAGwAcwBcACIALAAgAFwAIgBQAGEAcgBhAHMAaQB0AGUAIABjAG8AbgB0AHIAbwBsACAAZgBvAHIAIABjAGEAdAB0AGwAZQAgACgAZQB4AHQAZQByAG4AYQBsACkALAAgAGQAaQBwAHAAaQBuAGcAXAAiACwAIABcACIARwBsAG8AYgBhAGwAXAAiACwAIABcACIAcAAgACgAaABlAGEAZAApAFwAIgAsACAAMAAuADAANQA0ADcALAAgAFwAIgBhAHQAIABtAGEAbgB1AGYAYQBjAHQAdQByAGUAcgBcACIAOwBcAG4AIAAgACAAIAAgACAAIAAgAFwAIgBDAGgAZQBtAGkAYwBhAGwAcwBcACIALAAgAFwAIgBQAGgAYQByAG0AYQBjAHkAIABjAGgAZQBtAGkAYwBhAGwAcwBcACIALAAgAFwAIgBQAGEAcgBhAHMAaQB0AGUAIABjAG8AbgB0AHIAbwBsACAAZgBvAHIAIABjAGEAdAB0AGwAZQAgACgAaQBuAHQAZQByAG4AYQBsACkAXAAiACwAIABcACIARwBsAG8AYgBhAGwAXAAiACwAIABcACIAcAAgACgAaABlAGEAZAApAFwAIgAsACAAMAAuADAAMQA0ADIALAAgAFwAIgBhAHQAIABtAGEAbgB1AGYAYQBjAHQAdQByAGUAcgBcACIAOwBcAG4AIAAgACAAIAAgACAAIAAgAFwAIgBDAGgAZQBtAGkAYwBhAGwAcwBcACIALAAgAFwAIgBQAGgAYQByAG0AYQBjAHkAIABjAGgAZQBtAGkAYwBhAGwAcwBcACIALAAgAFwAIgBQAGEAcgBhAHMAaQB0AGUAIABjAG8AbgB0AHIAbwBsACAAZgBvAHIAIABzAGgAZQBlAHAAIAAoAGUAeAB0AGUAcgBuAGEAbAApAFwAIgAsACAAXAAiAEcAbABvAGIAYQBsAFwAIgAsACAAXAAiAHAAIAAoAGgAZQBhAGQAKQBcACIALAAgADAALgAwADEANAAzACwAIABcACIAYQB0ACAAbQBhAG4AdQBmAGEAYwB0AHUAcgBlAHIAXAAiADsAXABuACAAIAAgACAAIAAgACAAIABcACIAQwBoAGUAbQBpAGMAYQBsAHMAXAAiACwAIABcACIAUABoAGEAcgBtAGEAYwB5ACAAYwBoAGUAbQBpAGMAYQBsAHMAXAAiACwAIABcACIAUABhAHIAYQBzAGkAdABlACAAYwBvAG4AdAByAG8AbAAgAGYAbwByACAAcwBoAGUAZQBwACAAKABpAG4AdABlAHIAbgBhAGwAKQBcACIALAAgAFwAIgBHAGwAbwBiAGEAbABcACIALAAgAFwAIgBwACAAKABoAGUAYQBkACkAXAAiACwAIAAwAC4AMAAwADQAMgA2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GUAZQBkAFwAbgA9AD0APQA9AD0APQA9AD0APQA9AD0APQA9AD0APQA9AD0APQA9AD0APQA9AD0APQA9AD0APQA9AD0APQA9AD0APQA9AD0APQA9AD0APQA9AD0APQA9AD0APQA9AD0APQA9AD0APQA9AD0APQA9AD0APQA9AD0APQA9AD0APQA9AD0APQA9AD0APQA9AD0APQA9AD0APQA9AFwAbgAqAC8AXABuAFwAbgBTAGMAbwBwAGUAMwBfAEYAZQBlAGQAXwBUAGkAdABsAGUAXABuAD0ATABBAE0AQgBEAEEAKAAoAFwAIgBGAGUAZQBkACAAcwBjAG8AcABlACAAMwBcACIAKQApADsAXABuAFwAbgBTAGMAbwBwAGUAMwBfAEYAZQBlAGQ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GAGUAZQBkAF8AVgBhAHIAaQBhAHQAaQBvAG4AXABuAD0ATABBAE0AQgBEAEEAKAAoAFwAIgBcACIAKQApADsAXABuAFwAbgBTAGMAbwBwAGUAMwBfAEYAZQBlAGQAXwBEAGEAdABhAFwAbgA9AEwAQQBNAEIARABBACgAXABuACAAIABNAEEASwBFAEEAUgBSAEEAWQAoADc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lAGQAXAAiACwAIABcACIAQQBxAHUAYQBjAHUAbAB0AHUAcgBlACAAZgBlAGUAZABcACIALAAgAFwAIgBTAGEAcgBkAGkAbgBlAHMAIAAoAHcAaABvAGwAZQApAFwAIgAsACAAXAAiAFMAQQBcACIALAAgAFwAIgBrAGcAXAAiACwAIAAwAC4AMwA3ADYALAAgAFwAIgBhAHQAIABtAGEAcgBrAGUAdABcACIAOwBcAG4AIAAgACAAIAAgACAAIAAgAFwAIgBGAGUAZQBkAFwAIgAsACAAXAAiAEcAcgBhAGkAbgBcACIALAAgAFwAIgBCAGEAcgBsAGUAeQAgAGcAcgBhAGkAbgBcACIALAAgAFwAIgBBAHUAcwB0AHIAYQBsAGkAYQBcACIALAAgAFwAIgBrAGcAXAAiACwAIAAwAC4AMgAzADkALAAgAFwAIgBhAHQAIABtAGEAcgBrAGUAdABcACIAOwBcAG4AIAAgACAAIAAgACAAIAAgAFwAIgBGAGUAZQBkAFwAIgAsACAAXAAiAEcAcgBhAGkAbgBcACIALAAgAFwAIgBCAGEAcgBsAGUAeQAgAGcAcgBhAGkAbgBcACIALAAgAFwAIgBOAFMAVwBcACIALAAgAFwAIgBrAGcAXAAiACwAIAAwAC4AMgA1ADYALAAgAFwAIgBhAHQAIABtAGEAcgBrAGUAdABcACIAOwBcAG4AIAAgACAAIAAgACAAIAAgAFwAIgBGAGUAZQBkAFwAIgAsACAAXAAiAEcAcgBhAGkAbgBcACIALAAgAFwAIgBCAGEAcgBsAGUAeQAgAGcAcgBhAGkAbgBcACIALAAgAFwAIgBOAFQAXAAiACwAIABcACIAawBnAFwAIgAsACAAMAAuADMAMwAyACwAIABcACIAYQB0ACAAbQBhAHIAawBlAHQAXAAiADsAXABuACAAIAAgACAAIAAgACAAIABcACIARgBlAGUAZABcACIALAAgAFwAIgBHAHIAYQBpAG4AXAAiACwAIABcACIAQgBhAHIAbABlAHkAIABnAHIAYQBpAG4AXAAiACwAIABcACIAUQBMAEQAXAAiACwAIABcACIAawBnAFwAIgAsACAAMAAuADIANgA5ACwAIABcACIAYQB0ACAAbQBhAHIAawBlAHQAXAAiADsAXABuACAAIAAgACAAIAAgACAAIABcACIARgBlAGUAZABcACIALAAgAFwAIgBHAHIAYQBpAG4AXAAiACwAIABcACIAQgBhAHIAbABlAHkAIABnAHIAYQBpAG4AXAAiACwAIABcACIAUwBBAFwAIgAsACAAXAAiAGsAZwBcACIALAAgADAALgAyADIAMwAsACAAXAAiAGEAdAAgAG0AYQByAGsAZQB0AFwAIgA7AFwAbgAgACAAIAAgACAAIAAgACAAXAAiAEYAZQBlAGQAXAAiACwAIABcACIARwByAGEAaQBuAFwAIgAsACAAXAAiAEIAYQByAGwAZQB5ACAAZwByAGEAaQBuAFwAIgAsACAAXAAiAFQAQQBTAFwAIgAsACAAXAAiAGsAZwBcACIALAAgADAALgAzADAANwAsACAAXAAiAGEAdAAgAG0AYQByAGsAZQB0AFwAIgA7AFwAbgAgACAAIAAgACAAIAAgACAAXAAiAEYAZQBlAGQAXAAiACwAIABcACIARwByAGEAaQBuAFwAIgAsACAAXAAiAEIAYQByAGwAZQB5ACAAZwByAGEAaQBuAFwAIgAsACAAXAAiAFYASQBDAFwAIgAsACAAXAAiAGsAZwBcACIALAAgADAALgAyADQAMQAsACAAXAAiAGEAdAAgAG0AYQByAGsAZQB0AFwAIgA7AFwAbgAgACAAIAAgACAAIAAgACAAXAAiAEYAZQBlAGQAXAAiACwAIABcACIARwByAGEAaQBuAFwAIgAsACAAXAAiAEIAYQByAGwAZQB5ACAAZwByAGEAaQBuAFwAIgAsACAAXAAiAFcAQQBcACIALAAgAFwAIgBrAGcAXAAiACwAIAAwAC4AMgAzADYALAAgAFwAIgBhAHQAIABtAGEAcgBrAGUAdABcACIAOwBcAG4AIAAgACAAIAAgACAAIAAgAFwAIgBGAGUAZQBkAFwAIgAsACAAXAAiAEcAcgBhAGkAbgBcACIALAAgAFwAIgBNAGEAaQB6AGUAIABnAHIAYQBpAG4AXAAiACwAIABcACIAQQB1AHMAdAByAGEAbABpAGEAXAAiACwAIABcACIAawBnAFwAIgAsACAAMAAuADEAOAAxACwAIABcACIAYQB0ACAAbQBhAHIAawBlAHQAXAAiADsAXABuACAAIAAgACAAIAAgACAAIABcACIARgBlAGUAZABcACIALAAgAFwAIgBHAHIAYQBpAG4AXAAiACwAIABcACIATQBhAGkAegBlACAAZwByAGEAaQBuAFwAIgAsACAAXAAiAE4AUwBXAFwAIgAsACAAXAAiAGsAZwBcACIALAAgADAALgAxADYAOQAsACAAXAAiAGEAdAAgAG0AYQByAGsAZQB0AFwAIgA7AFwAbgAgACAAIAAgACAAIAAgACAAXAAiAEYAZQBlAGQAXAAiACwAIABcACIARwByAGEAaQBuAFwAIgAsACAAXAAiAE0AYQBpAHoAZQAgAGcAcgBhAGkAbgBcACIALAAgAFwAIgBOAFQAXAAiACwAIABcACIAawBnAFwAIgAsACAAMAAuADIANQA2ACwAIABcACIAYQB0ACAAbQBhAHIAawBlAHQAXAAiADsAXABuACAAIAAgACAAIAAgACAAIABcACIARgBlAGUAZABcACIALAAgAFwAIgBHAHIAYQBpAG4AXAAiACwAIABcACIATQBhAGkAegBlACAAZwByAGEAaQBuAFwAIgAsACAAXAAiAFEATABEAFwAIgAsACAAXAAiAGsAZwBcACIALAAgADAALgAxADgANgAsACAAXAAiAGEAdAAgAG0AYQByAGsAZQB0AFwAIgA7AFwAbgAgACAAIAAgACAAIAAgACAAXAAiAEYAZQBlAGQAXAAiACwAIABcACIARwByAGEAaQBuAFwAIgAsACAAXAAiAE0AYQBpAHoAZQAgAGcAcgBhAGkAbgBcACIALAAgAFwAIgBTAEEAXAAiACwAIABcACIAawBnAFwAIgAsACAAMAAuADEANwA2ACwAIABcACIAYQB0ACAAbQBhAHIAawBlAHQAXAAiADsAXABuACAAIAAgACAAIAAgACAAIABcACIARgBlAGUAZABcACIALAAgAFwAIgBHAHIAYQBpAG4AXAAiACwAIABcACIATQBhAGkAegBlACAAZwByAGEAaQBuAFwAIgAsACAAXAAiAFYASQBDAFwAIgAsACAAXAAiAGsAZwBcACIALAAgADAALgAxADUAOQAsACAAXAAiAGEAdAAgAG0AYQByAGsAZQB0AFwAIgA7AFwAbgAgACAAIAAgACAAIAAgACAAXAAiAEYAZQBlAGQAXAAiACwAIABcACIARwByAGEAaQBuAFwAIgAsACAAXAAiAE0AYQBpAHoAZQAgAGcAcgBhAGkAbgBcACIALAAgAFwAIgBXAEEAXAAiACwAIABcACIAawBnAFwAIgAsACAAMAAuADIAOAA1ACwAIABcACIAYQB0ACAAbQBhAHIAawBlAHQAXAAiADsAXABuACAAIAAgACAAIAAgACAAIABcACIARgBlAGUAZABcACIALAAgAFwAIgBHAHIAYQBpAG4AXAAiACwAIABcACIAUwBvAHIAZwBoAHUAbQAgAGcAcgBhAGkAbgBcACIALAAgAFwAIgBBAHUAcwB0AHIAYQBsAGkAYQBcACIALAAgAFwAIgBrAGcAXAAiACwAIAAwAC4AMgAzADIALAAgAFwAIgBhAHQAIABtAGEAcgBrAGUAdABcACIAOwBcAG4AIAAgACAAIAAgACAAIAAgAFwAIgBGAGUAZQBkAFwAIgAsACAAXAAiAEcAcgBhAGkAbgBcACIALAAgAFwAIgBTAG8AcgBnAGgAdQBtACAAZwByAGEAaQBuAFwAIgAsACAAXAAiAE4AUwBXAFwAIgAsACAAXAAiAGsAZwBcACIALAAgADAALgAyADMAMgAsACAAXAAiAGEAdAAgAG0AYQByAGsAZQB0AFwAIgA7AFwAbgAgACAAIAAgACAAIAAgACAAXAAiAEYAZQBlAGQAXAAiACwAIABcACIARwByAGEAaQBuAFwAIgAsACAAXAAiAFMAbwByAGcAaAB1AG0AIABnAHIAYQBpAG4AXAAiACwAIABcACIAUQBMAEQAXAAiACwAIABcACIAawBnAFwAIgAsACAAMAAuADIAMwAxACwAIABcACIAYQB0ACAAbQBhAHIAawBlAHQAXAAiADsAXABuACAAIAAgACAAIAAgACAAIABcACIARgBlAGUAZABcACIALAAgAFwAIgBHAHIAYQBpAG4AXAAiACwAIABcACIAUwBvAHIAZwBoAHUAbQAgAGcAcgBhAGkAbgBcACIALAAgAFwAIgBTAEEAXAAiACwAIABcACIAawBnAFwAIgAsACAAMAAuADIAMQA4ACwAIABcACIAYQB0ACAAbQBhAHIAawBlAHQAXAAiADsAXABuACAAIAAgACAAIAAgACAAIABcACIARgBlAGUAZABcACIALAAgAFwAIgBHAHIAYQBpAG4AXAAiACwAIABcACIAUwBvAHIAZwBoAHUAbQAgAGcAcgBhAGkAbgBcACIALAAgAFwAIgBWAEkAQwBcACIALAAgAFwAIgBrAGcAXAAiACwAIAAwAC4AMgA0ADYALAAgAFwAIgBhAHQAIABtAGEAcgBrAGUAdABcACIAOwBcAG4AIAAgACAAIAAgACAAIAAgAFwAIgBGAGUAZQBkAFwAIgAsACAAXAAiAEcAcgBhAGkAbgBcACIALAAgAFwAIgBXAGgAZQBhAHQAIABnAHIAYQBpAG4AXAAiACwAIABcACIAQQB1AHMAdAByAGEAbABpAGEAXAAiACwAIABcACIAawBnAFwAIgAsACAAMAAuADIANgA4ACwAIABcACIAYQB0ACAAbQBhAHIAawBlAHQAXAAiADsAXABuACAAIAAgACAAIAAgACAAIABcACIARgBlAGUAZABcACIALAAgAFwAIgBHAHIAYQBpAG4AXAAiACwAIABcACIAVwBoAGUAYQB0ACAAZwByAGEAaQBuAFwAIgAsACAAXAAiAE4AUwBXAFwAIgAsACAAXAAiAGsAZwBcACIALAAgADAALgAyADgAMgAsACAAXAAiAGEAdAAgAG0AYQByAGsAZQB0AFwAIgA7AFwAbgAgACAAIAAgACAAIAAgACAAXAAiAEYAZQBlAGQAXAAiACwAIABcACIARwByAGEAaQBuAFwAIgAsACAAXAAiAFcAaABlAGEAdAAgAGcAcgBhAGkAbgBcACIALAAgAFwAIgBOAFQAXAAiACwAIABcACIAawBnAFwAIgAsACAAMAAuADMAOAA1ACwAIABcACIAYQB0ACAAbQBhAHIAawBlAHQAXAAiADsAXABuACAAIAAgACAAIAAgACAAIABcACIARgBlAGUAZABcACIALAAgAFwAIgBHAHIAYQBpAG4AXAAiACwAIABcACIAVwBoAGUAYQB0ACAAZwByAGEAaQBuAFwAIgAsACAAXAAiAFEATABEAFwAIgAsACAAXAAiAGsAZwBcACIALAAgADAALgAyADkANgAsACAAXAAiAGEAdAAgAG0AYQByAGsAZQB0AFwAIgA7AFwAbgAgACAAIAAgACAAIAAgACAAXAAiAEYAZQBlAGQAXAAiACwAIABcACIARwByAGEAaQBuAFwAIgAsACAAXAAiAFcAaABlAGEAdAAgAGcAcgBhAGkAbgBcACIALAAgAFwAIgBTAEEAXAAiACwAIABcACIAawBnAFwAIgAsACAAMAAuADIANAAxACwAIABcACIAYQB0ACAAbQBhAHIAawBlAHQAXAAiADsAXABuACAAIAAgACAAIAAgACAAIABcACIARgBlAGUAZABcACIALAAgAFwAIgBHAHIAYQBpAG4AXAAiACwAIABcACIAVwBoAGUAYQB0ACAAZwByAGEAaQBuAFwAIgAsACAAXAAiAFQAQQBTAFwAIgAsACAAXAAiAGsAZwBcACIALAAgADAALgAzADMAOAAsACAAXAAiAGEAdAAgAG0AYQByAGsAZQB0AFwAIgA7AFwAbgAgACAAIAAgACAAIAAgACAAXAAiAEYAZQBlAGQAXAAiACwAIABcACIARwByAGEAaQBuAFwAIgAsACAAXAAiAFcAaABlAGEAdAAgAGcAcgBhAGkAbgBcACIALAAgAFwAIgBWAEkAQwBcACIALAAgAFwAIgBrAGcAXAAiACwAIAAwAC4AMgA2ADYALAAgAFwAIgBhAHQAIABtAGEAcgBrAGUAdABcACIAOwBcAG4AIAAgACAAIAAgACAAIAAgAFwAIgBGAGUAZQBkAFwAIgAsACAAXAAiAEcAcgBhAGkAbgBcACIALAAgAFwAIgBXAGgAZQBhAHQAIABnAHIAYQBpAG4AXAAiACwAIABcACIAVwBBAFwAIgAsACAAXAAiAGsAZwBcACIALAAgADAALgAyADYAMQAsACAAXAAiAGEAdAAgAG0AYQByAGsAZQB0AFwAIgA7AFwAbgAgACAAIAAgACAAIAAgACAAXAAiAEYAZQBlAGQAXAAiACwAIABcACIASABhAHkAXAAiACwAIABcACIAQwBlAHIAZQBhAGwAIABoAGEAeQBcACIALAAgAFwAIgBBAHUAcwB0AHIAYQBsAGkAYQBcACIALAAgAFwAIgBrAGcAXAAiACwAIAAwAC4AMQAxADcALAAgAFwAIgBhAHQAIABtAGEAcgBrAGUAdABcACIAOwBcAG4AIAAgACAAIAAgACAAIAAgAFwAIgBGAGUAZQBkAFwAIgAsACAAXAAiAEgAYQB5AFwAIgAsACAAXAAiAEMAZQByAGUAYQBsACAAaABhAHkAXAAiACwAIABcACIATgBTAFcAXAAiACwAIABcACIAawBnAFwAIgAsACAAMAAuADEAMQA2ACwAIABcACIAYQB0ACAAbQBhAHIAawBlAHQAXAAiADsAXABuACAAIAAgACAAIAAgACAAIABcACIARgBlAGUAZABcACIALAAgAFwAIgBIAGEAeQBcACIALAAgAFwAIgBDAGUAcgBlAGEAbAAgAGgAYQB5AFwAIgAsACAAXAAiAFEATABEAFwAIgAsACAAXAAiAGsAZwBcACIALAAgADAALgAxADEAOAAsACAAXAAiAGEAdAAgAG0AYQByAGsAZQB0AFwAIgA7AFwAbgAgACAAIAAgACAAIAAgACAAXAAiAEYAZQBlAGQAXAAiACwAIABcACIASABhAHkAXAAiACwAIABcACIAQwBlAHIAZQBhAGwAIABoAGEAeQBcACIALAAgAFwAIgBTAEEAXAAiACwAIABcACIAawBnAFwAIgAsACAAMAAuADEAMQAxACwAIABcACIAYQB0ACAAbQBhAHIAawBlAHQAXAAiADsAXABuACAAIAAgACAAIAAgACAAIABcACIARgBlAGUAZABcACIALAAgAFwAIgBIAGEAeQBcACIALAAgAFwAIgBDAGUAcgBlAGEAbAAgAGgAYQB5AFwAIgAsACAAXAAiAFQAQQBTAFwAIgAsACAAXAAiAGsAZwBcACIALAAgADAALgAxADMAOQAsACAAXAAiAGEAdAAgAG0AYQByAGsAZQB0AFwAIgA7AFwAbgAgACAAIAAgACAAIAAgACAAXAAiAEYAZQBlAGQAXAAiACwAIABcACIASABhAHkAXAAiACwAIABcACIAQwBlAHIAZQBhAGwAIABoAGEAeQBcACIALAAgAFwAIgBWAEkAQwBcACIALAAgAFwAIgBrAGcAXAAiACwAIAAwAC4AMQAxADYALAAgAFwAIgBhAHQAIABtAGEAcgBrAGUAdABcACIAOwBcAG4AIAAgACAAIAAgACAAIAAgAFwAIgBGAGUAZQBkAFwAIgAsACAAXAAiAEgAYQB5AFwAIgAsACAAXAAiAEMAZQByAGUAYQBsACAAaABhAHkAXAAiACwAIABcACIAVwBBAFwAIgAsACAAXAAiAGsAZwBcACIALAAgADAALgAxADIAMgAsACAAXAAiAGEAdAAgAG0AYQByAGsAZQB0AFwAIgA7AFwAbgAgACAAIAAgACAAIAAgACAAXAAiAEYAZQBlAGQAXAAiACwAIABcACIASABhAHkAXAAiACwAIABcACIAQwBlAHIAZQBhAGwAIABzAGkAbABhAGcAZQBcACIALAAgAFwAIgBBAHUAcwB0AHIAYQBsAGkAYQBcACIALAAgAFwAIgBrAGcAXAAiACwAIAAwAC4AMAA3ADQANAAsACAAXAAiAGEAdAAgAG0AYQByAGsAZQB0AFwAIgA7AFwAbgAgACAAIAAgACAAIAAgACAAXAAiAEYAZQBlAGQAXAAiACwAIABcACIASABhAHkAXAAiACwAIABcACIAQwBlAHIAZQBhAGwAIABzAGkAbABhAGcAZQBcACIALAAgAFwAIgBOAFMAVwBcACIALAAgAFwAIgBrAGcAXAAiACwAIAAwAC4AMAA3ADMAOQAsACAAXAAiAGEAdAAgAG0AYQByAGsAZQB0AFwAIgA7AFwAbgAgACAAIAAgACAAIAAgACAAXAAiAEYAZQBlAGQAXAAiACwAIABcACIASABhAHkAXAAiACwAIABcACIAQwBlAHIAZQBhAGwAIABzAGkAbABhAGcAZQBcACIALAAgAFwAIgBRAEwARABcACIALAAgAFwAIgBrAGcAXAAiACwAIAAwAC4AMAA3ADkALAAgAFwAIgBhAHQAIABtAGEAcgBrAGUAdABcACIAOwBcAG4AIAAgACAAIAAgACAAIAAgAFwAIgBGAGUAZQBkAFwAIgAsACAAXAAiAEgAYQB5AFwAIgAsACAAXAAiAEMAZQByAGUAYQBsACAAcwBpAGwAYQBnAGUAXAAiACwAIABcACIAUwBBAFwAIgAsACAAXAAiAGsAZwBcACIALAAgADAALgAwADcAMAA2ACwAIABcACIAYQB0ACAAbQBhAHIAawBlAHQAXAAiADsAXABuACAAIAAgACAAIAAgACAAIABcACIARgBlAGUAZABcACIALAAgAFwAIgBIAGEAeQBcACIALAAgAFwAIgBDAGUAcgBlAGEAbAAgAHMAaQBsAGEAZwBlAFwAIgAsACAAXAAiAFQAQQBTAFwAIgAsACAAXAAiAGsAZwBcACIALAAgADAALgAwADgAMAA4ACwAIABcACIAYQB0ACAAbQBhAHIAawBlAHQAXAAiADsAXABuACAAIAAgACAAIAAgACAAIABcACIARgBlAGUAZABcACIALAAgAFwAIgBIAGEAeQBcACIALAAgAFwAIgBDAGUAcgBlAGEAbAAgAHMAaQBsAGEAZwBlAFwAIgAsACAAXAAiAFYASQBDAFwAIgAsACAAXAAiAGsAZwBcACIALAAgADAALgAwADcAMwA2ACwAIABcACIAYQB0ACAAbQBhAHIAawBlAHQAXAAiADsAXABuACAAIAAgACAAIAAgACAAIABcACIARgBlAGUAZABcACIALAAgAFwAIgBIAGEAeQBcACIALAAgAFwAIgBMAHUAYwBlAHIAbgBlACAAaABhAHkAXAAiACwAIABcACIAQQB1AHMAdAByAGEAbABpAGEAXAAiACwAIABcACIAawBnAFwAIgAsACAAMAAuADEAMQA3ACwAIABcACIAYQB0ACAAbQBhAHIAawBlAHQAXAAiADsAXABuACAAIAAgACAAIAAgACAAIABcACIARgBlAGUAZABcACIALAAgAFwAIgBIAGEAeQBcACIALAAgAFwAIgBMAHUAYwBlAHIAbgBlACAAaABhAHkAXAAiACwAIABcACIATgBTAFcAXAAiACwAIABcACIAawBnAFwAIgAsACAAMAAuADEAMQAzACwAIABcACIAYQB0ACAAbQBhAHIAawBlAHQAXAAiADsAXABuACAAIAAgACAAIAAgACAAIABcACIARgBlAGUAZABcACIALAAgAFwAIgBIAGEAeQBcACIALAAgAFwAIgBMAHUAYwBlAHIAbgBlACAAaABhAHkAXAAiACwAIABcACIAUQBMAEQAXAAiACwAIABcACIAawBnAFwAIgAsACAAMAAuADEANAAzACwAIABcACIAYQB0ACAAbQBhAHIAawBlAHQAXAAiADsAXABuACAAIAAgACAAIAAgACAAIABcACIARgBlAGUAZABcACIALAAgAFwAIgBIAGEAeQBcACIALAAgAFwAIgBMAHUAYwBlAHIAbgBlACAAaABhAHkAXAAiACwAIABcACIAUwBBAFwAIgAsACAAXAAiAGsAZwBcACIALAAgADAALgAxADAANgAsACAAXAAiAGEAdAAgAG0AYQByAGsAZQB0AFwAIgA7AFwAbgAgACAAIAAgACAAIAAgACAAXAAiAEYAZQBlAGQAXAAiACwAIABcACIASABhAHkAXAAiACwAIABcACIATAB1AGMAZQByAG4AZQAgAGgAYQB5AFwAIgAsACAAXAAiAFQAQQBTAFwAIgAsACAAXAAiAGsAZwBcACIALAAgADAALgAxADEAMwAsACAAXAAiAGEAdAAgAG0AYQByAGsAZQB0AFwAIgA7AFwAbgAgACAAIAAgACAAIAAgACAAXAAiAEYAZQBlAGQAXAAiACwAIABcACIASABhAHkAXAAiACwAIABcACIATAB1AGMAZQByAG4AZQAgAGgAYQB5AFwAIgAsACAAXAAiAFYASQBDAFwAIgAsACAAXAAiAGsAZwBcACIALAAgADAALgAxADAANgAsACAAXAAiAGEAdAAgAG0AYQByAGsAZQB0AFwAIgA7AFwAbgAgACAAIAAgACAAIAAgACAAXAAiAEYAZQBlAGQAXAAiACwAIABcACIASABhAHkAXAAiACwAIABcACIATQBhAGkAegBlACAAcwBpAGwAYQBnAGUAXAAiACwAIABcACIAVgBJAEMAXAAiACwAIABcACIAawBnAFwAIgAsACAAMAAuADEANgAzACwAIABcACIAYQB0ACAAbQBhAHIAawBlAHQAXAAiADsAXABuACAAIAAgACAAIAAgACAAIABcACIARgBlAGUAZABcACIALAAgAFwAIgBIAGEAeQBcACIALAAgAFwAIgBPAGEAdABlAG4AIABoAGEAeQBcACIALAAgAFwAIgBBAHUAcwB0AHIAYQBsAGkAYQBcACIALAAgAFwAIgBrAGcAXAAiACwAIAAwAC4AMQAyACwAIABcACIAYQB0ACAAbQBhAHIAawBlAHQAXAAiADsAXABuACAAIAAgACAAIAAgACAAIABcACIARgBlAGUAZABcACIALAAgAFwAIgBIAGEAeQBcACIALAAgAFwAIgBPAGEAdABlAG4AIABoAGEAeQBcACIALAAgAFwAIgBOAFMAVwBcACIALAAgAFwAIgBrAGcAXAAiACwAIAAwAC4AMQAxADkALAAgAFwAIgBhAHQAIABtAGEAcgBrAGUAdABcACIAOwBcAG4AIAAgACAAIAAgACAAIAAgAFwAIgBGAGUAZQBkAFwAIgAsACAAXAAiAEgAYQB5AFwAIgAsACAAXAAiAE8AYQB0AGUAbgAgAGgAYQB5AFwAIgAsACAAXAAiAFEATABEAFwAIgAsACAAXAAiAGsAZwBcACIALAAgADAALgAxADEANwAsACAAXAAiAGEAdAAgAG0AYQByAGsAZQB0AFwAIgA7AFwAbgAgACAAIAAgACAAIAAgACAAXAAiAEYAZQBlAGQAXAAiACwAIABcACIASABhAHkAXAAiACwAIABcACIATwBhAHQAZQBuACAAaABhAHkAXAAiACwAIABcACIAUwBBAFwAIgAsACAAXAAiAGsAZwBcACIALAAgADAALgAxADEANAAsACAAXAAiAGEAdAAgAG0AYQByAGsAZQB0AFwAIgA7AFwAbgAgACAAIAAgACAAIAAgACAAXAAiAEYAZQBlAGQAXAAiACwAIABcACIASABhAHkAXAAiACwAIABcACIATwBhAHQAZQBuACAAaABhAHkAXAAiACwAIABcACIAVgBJAEMAXAAiACwAIABcACIAawBnAFwAIgAsACAAMAAuADEAMQA4ACwAIABcACIAYQB0ACAAbQBhAHIAawBlAHQAXAAiADsAXABuACAAIAAgACAAIAAgACAAIABcACIARgBlAGUAZABcACIALAAgAFwAIgBIAGEAeQBcACIALAAgAFwAIgBPAGEAdABlAG4AIABoAGEAeQBcACIALAAgAFwAIgBXAEEAXAAiACwAIABcACIAawBnAFwAIgAsACAAMAAuADEAMgA0ACwAIABcACIAYQB0ACAAbQBhAHIAawBlAHQAXAAiADsAXABuACAAIAAgACAAIAAgACAAIABcACIARgBlAGUAZABcACIALAAgAFwAIgBIAGEAeQBcACIALAAgAFwAIgBQAGEAcwB0AHUAcgBlACAAaABhAHkAXAAiACwAIABcACIAQQB1AHMAdAByAGEAbABpAGEAXAAiACwAIABcACIAawBnAFwAIgAsACAAMAAuADMAMwA5ACwAIABcACIAYQB0ACAAbQBhAHIAawBlAHQAXAAiADsAXABuACAAIAAgACAAIAAgACAAIABcACIARgBlAGUAZABcACIALAAgAFwAIgBIAGEAeQBcACIALAAgAFwAIgBQAGEAcwB0AHUAcgBlACAAaABhAHkAXAAiACwAIABcACIATgBTAFcAXAAiACwAIABcACIAawBnAFwAIgAsACAAMAAuADMAMQAxACwAIABcACIAYQB0ACAAbQBhAHIAawBlAHQAXAAiADsAXABuACAAIAAgACAAIAAgACAAIABcACIARgBlAGUAZABcACIALAAgAFwAIgBIAGEAeQBcACIALAAgAFwAIgBQAGEAcwB0AHUAcgBlACAAaABhAHkAXAAiACwAIABcACIAUQBMAEQAXAAiACwAIABcACIAawBnAFwAIgAsACAAMAAuADIANQA0ACwAIABcACIAYQB0ACAAbQBhAHIAawBlAHQAXAAiADsAXABuACAAIAAgACAAIAAgACAAIABcACIARgBlAGUAZABcACIALAAgAFwAIgBIAGEAeQBcACIALAAgAFwAIgBQAGEAcwB0AHUAcgBlACAAaABhAHkAXAAiACwAIABcACIAUwBBAFwAIgAsACAAXAAiAGsAZwBcACIALAAgADAALgAzADEAMwAsACAAXAAiAGEAdAAgAG0AYQByAGsAZQB0AFwAIgA7AFwAbgAgACAAIAAgACAAIAAgACAAXAAiAEYAZQBlAGQAXAAiACwAIABcACIASABhAHkAXAAiACwAIABcACIAUABhAHMAdAB1AHIAZQAgAGgAYQB5AFwAIgAsACAAXAAiAFQAQQBTAFwAIgAsACAAXAAiAGsAZwBcACIALAAgADAALgAzADkAOAAsACAAXAAiAGEAdAAgAG0AYQByAGsAZQB0AFwAIgA7AFwAbgAgACAAIAAgACAAIAAgACAAXAAiAEYAZQBlAGQAXAAiACwAIABcACIASABhAHkAXAAiACwAIABcACIAUABhAHMAdAB1AHIAZQAgAGgAYQB5AFwAIgAsACAAXAAiAFYASQBDAFwAIgAsACAAXAAiAGsAZwBcACIALAAgADAALgAzADQANQAsACAAXAAiAGEAdAAgAG0AYQByAGsAZQB0AFwAIgA7AFwAbgAgACAAIAAgACAAIAAgACAAXAAiAEYAZQBlAGQAXAAiACwAIABcACIASABhAHkAXAAiACwAIABcACIAUABhAHMAdAB1AHIAZQAgAGgAYQB5AFwAIgAsACAAXAAiAFcAQQBcACIALAAgAFwAIgBrAGcAXAAiACwAIAAwAC4AMwA2ADgALAAgAFwAIgBhAHQAIABtAGEAcgBrAGUAdABcACIAOwBcAG4AIAAgACAAIAAgACAAIAAgAFwAIgBGAGUAZQBkAFwAIgAsACAAXAAiAE0AZQBhAGwAXAAiACwAIABcACIAQwBhAG4AbwBsAGEAIABtAGUAYQBsAFwAIgAsACAAXAAiAEEAdQBzAHQAcgBhAGwAaQBhAFwAIgAsACAAXAAiAGsAZwBcACIALAAgADAALgAyADQANAAsACAAXAAiAGEAdAAgAG0AYQByAGsAZQB0AFwAIgA7AFwAbgAgACAAIAAgACAAIAAgACAAXAAiAEYAZQBlAGQAXAAiACwAIABcACIATQBlAGEAbABcACIALAAgAFwAIgBNAGUAYQB0ACAAbQBlAGEAbABcACIALAAgAFwAIgBBAHUAcwB0AHIAYQBsAGkAYQBcACIALAAgAFwAIgBrAGcAXAAiACwAIAAwAC4ANAAwADgALAAgAFwAIgBhAHQAIABtAGEAcgBrAGUAdABcACIAOwBcAG4AIAAgACAAIAAgACAAIAAgAFwAIgBGAGUAZQBkAFwAIgAsACAAXAAiAE0AZQBhAGwAXAAiACwAIABcACIAUwBvAHkAYgBlAGEAbgAgAG0AZQBhAGwAXAAiACwAIABcACIAQgByAGEAegBpAGwAXAAiACwAIABcACIAawBnAFwAIgAsACAAMAAuADQAMgA2ACwAIABcACIAYQB0ACAAbQBhAHIAawBlAHQAXAAiADsAXABuACAAIAAgACAAIAAgACAAIABcACIARgBlAGUAZABcACIALAAgAFwAIgBNAGUAYQBsAFwAIgAsACAAXAAiAFcAaABlAGEAdAAgAGIAcgBhAG4AXAAiACwAIABcACIAQQB1AHMAdAByAGEAbABpAGEAXAAiACwAIABcACIAawBnAFwAIgAsACAAMAAuADEAOQA2ACwAIABcACIAYQB0ACAAbQBhAHIAawBlAHQAXAAiADsAXABuACAAIAAgACAAIAAgACAAIABcACIARgBlAGUAZABcACIALAAgAFwAIgBNAGkAeABlAGQAIAByAGEAdABpAG8AbgBzAFwAIgAsACAAXAAiAEYAZQBlAGQAIABmAG8AcgAgAGMAaABpAGMAawBlAG4AcwBcACIALAAgAFwAIgBBAHUAcwB0AHIAYQBsAGkAYQBcACIALAAgAFwAIgBrAGcAXAAiACwAIAAwAC4ANQA5ADQALAAgAFwAIgBhAHQAIABtAGEAcgBrAGUAdABcACIAOwBcAG4AIAAgACAAIAAgACAAIAAgAFwAIgBGAGUAZQBkAFwAIgAsACAAXAAiAE0AaQB4AGUAZAAgAHIAYQB0AGkAbwBuAHMAXAAiACwAIABcACIARgBlAGUAZAAgAGYAbwByACAAZABhAGkAcgB5ACAAYwBhAGwAdgBlAHMAXAAiACwAIABcACIAQQB1AHMAdAByAGEAbABpAGEAXAAiACwAIABcACIAawBnAFwAIgAsACAAMAAuADQAMQA5ACwAIABcACIAYQB0ACAAbQBhAHIAawBlAHQAXAAiADsAXABuACAAIAAgACAAIAAgACAAIABcACIARgBlAGUAZABcACIALAAgAFwAIgBNAGkAeABlAGQAIAByAGEAdABpAG8AbgBzAFwAIgAsACAAXAAiAEYAZQBlAGQAIABmAG8AcgAgAGQAYQBpAHIAeQAgAGMAbwB3AHMAXAAiACwAIABcACIAQQB1AHMAdAByAGEAbABpAGEAXAAiACwAIABcACIAawBnAFwAIgAsACAAMAAuADMAMwAzACwAIABcACIAYQB0ACAAbQBhAHIAawBlAHQAXAAiADsAXABuACAAIAAgACAAIAAgACAAIABcACIARgBlAGUAZABcACIALAAgAFwAIgBNAGkAeABlAGQAIAByAGEAdABpAG8AbgBzAFwAIgAsACAAXAAiAEYAZQBlAGQAIABmAG8AcgAgAHAAaQBnAHMAXAAiACwAIABcACIAQQB1AHMAdAByAGEAbABpAGEAXAAiACwAIABcACIAawBnAFwAIgAsACAAMAAuADQAMAAzACwAIABcACIAYQB0ACAAbQBhAHIAawBlAHQAXAAiADsAXABuACAAIAAgACAAIAAgACAAIABcACIARgBlAGUAZABcACIALAAgAFwAIgBPAHQAaABlAHIAXAAiACwAIABcACIAQgBlAG4AdABvAG4AaQB0AGUAXAAiACwAIABcACIAQQB1AHMAdAByAGEAbABpAGEAXAAiACwAIABcACIAawBnAFwAIgAsACAAMAAuADAANgA1ADIALAAgAFwAIgBhAHQAIABtAGEAcgBrAGUAdABcACIAOwBcAG4AIAAgACAAIAAgACAAIAAgAFwAIgBGAGUAZQBkAFwAIgAsACAAXAAiAE8AdABoAGUAcgBcACIALAAgAFwAIgBDAGEAbgBvAGwAYQAgAG8AaQBsAFwAIgAsACAAXAAiAEEAdQBzAHQAcgBhAGwAaQBhAFwAIgAsACAAXAAiAGsAZwBcACIALAAgADAALgA4ADcALAAgAFwAIgBhAHQAIABtAGEAcgBrAGUAdABcACIAOwBcAG4AIAAgACAAIAAgACAAIAAgAFwAIgBGAGUAZQBkAFwAIgAsACAAXAAiAE8AdABoAGUAcgBcACIALAAgAFwAIgBDAG8AdAB0AG8AbgAgAHMAZQBlAGQAXAAiACwAIABcACIAQQB1AHMAdAByAGEAbABpAGEAXAAiACwAIABcACIAawBnAFwAIgAsACAAMAAuADEAOQA3ACwAIABcACIAYQB0ACAAbQBhAHIAawBlAHQAXAAiADsAXABuACAAIAAgACAAIAAgACAAIABcACIARgBlAGUAZABcACIALAAgAFwAIgBPAHQAaABlAHIAXAAiACwAIABcACIATABpAGMAawAgAGIAbABvAGMAawAsACAAZAByAHkAIABzAGUAYQBzAG8AbgAgAG0AaQB4AFwAIgAsACAAXAAiAEEAdQBzAHQAcgBhAGwAaQBhAFwAIgAsACAAXAAiAGsAZwBcACIALAAgADAALgA4ADgAMQAsACAAXAAiAGEAdAAgAG0AYQByAGsAZQB0AFwAIgA7AFwAbgAgACAAIAAgACAAIAAgACAAXAAiAEYAZQBlAGQAXAAiACwAIABcACIATwB0AGgAZQByAFwAIgAsACAAXAAiAEwAaQBjAGsAIABiAGwAbwBjAGsALAAgAG0AaQBuAGUAcgBhAGwAXAAiACwAIABcACIAQQB1AHMAdAByAGEAbABpAGEAXAAiACwAIABcACIAawBnAFwAIgAsACAAMAAuADYANwA3ACwAIABcACIAYQB0ACAAbQBhAHIAawBlAHQAXAAiADsAXABuACAAIAAgACAAIAAgACAAIABcACIARgBlAGUAZABcACIALAAgAFwAIgBPAHQAaABlAHIAXAAiACwAIABcACIATABpAGMAawAgAGIAbABvAGMAawAsACAAdwBlAGEAbgBlAHIAXAAiACwAIABcACIAQQB1AHMAdAByAGEAbABpAGEAXAAiACwAIABcACIAawBnAFwAIgAsACAAMAAuADIAMwAxACwAIABcACIAYQB0ACAAbQBhAHIAawBlAHQAXAAiADsAXABuACAAIAAgACAAIAAgACAAIABcACIARgBlAGUAZABcACIALAAgAFwAIgBPAHQAaABlAHIAXAAiACwAIABcACIATQBvAGwAYQBzAHMAZQBzAFwAIgAsACAAXAAiAFEATABEAFwAIgAsACAAXAAiAGsAZwBcACIALAAgADAALgAxADgAN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S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FMAYwBvAHAAZQAzAF8ASQBuAG8AcgBnAGEAbgBpAGMARgBlAHIAdABpAGwAaQBzAGUAcgBzAF8AVABpAHQAbABlAFwAbgA9AEwAQQBNAEIARABBACgAKABcACIASQBuAG8AcgBnAGEAbgBpAGMAIABmAGUAcgB0AGkAbABpAHMAZQByACAAYwBoAGUAbQBpAGMAYQBsACAAYwBvAG0AcABvAHUAbgBkACAAcwBjAG8AcABlACAAMwBcACIAKQApADsAXABuAFwAbgBTAGMAbwBwAGUAMwBfAEkAbgBvAHIAZwBhAG4AaQBjAEYAZQByAHQAaQBsAGkAcwBlAHI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kAbgBvAHIAZwBhAG4AaQBjAEYAZQByAHQAaQBsAGkAcwBlAHIAcwBfAFYAYQByAGkAYQB0AGkAbwBuAFwAbgA9AEwAQQBNAEIARABBACgAKABcACIAXAAiACkAKQA7AFwAbgBcAG4AUwBjAG8AcABlADMAXwBJAG4AbwByAGcAYQBuAGkAYwBGAGUAcgB0AGkAbABpAHMAZQByAHMAXwBEAGEAdABhAFwAbgA9AEwAQQBNAEIARABBACgAXABuACAAIABNAEEASwBFAEEAUgBSAEEAWQAoADIAN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yAHQAaQBsAGkAcwBlAHIAcwBcACIALAAgAFwAIgBJAG4AbwByAGcAYQBuAGkAYwAgAGYAZQByAHQAaQBsAGkAcwBlAHIAcwBcACIALAAgAFwAIgBBAG0AbQBvAG4AaQBhACwAIABBAFUAIABtAGEAcgBrAGUAdAAgAG0AaQB4AFwAIgAsACAAXAAiAEcAbABvAGIAYQBsAFwAIgAsACAAXAAiAGsAZwBcACIALAAgADIALgAzADIALAAgAFwAIgBhAHQAIABtAGEAcgBrAGUAdABcACIAOwBcAG4AIAAgACAAIAAgACAAIAAgAFwAIgBGAGUAcgB0AGkAbABpAHMAZQByAHMAXAAiACwAIABcACIASQBuAG8AcgBnAGEAbgBpAGMAIABmAGUAcgB0AGkAbABpAHMAZQByAHMAXAAiACwAIABcACIAQQBtAG0AbwBuAGkAYQAsACAAQwBhAG4AYQBkAGEAXAAiACwAIABcACIAQwBhAG4AYQBkAGEAXAAiACwAIABcACIAawBnAFwAIgAsACAAMgAuADEAMgAsACAAXAAiAGEAdAAgAG0AYQByAGsAZQB0AFwAIgA7AFwAbgAgACAAIAAgACAAIAAgACAAXAAiAEYAZQByAHQAaQBsAGkAcwBlAHIAcwBcACIALAAgAFwAIgBJAG4AbwByAGcAYQBuAGkAYwAgAGYAZQByAHQAaQBsAGkAcwBlAHIAcwBcACIALAAgAFwAIgBBAG0AbQBvAG4AaQBhACwAIABDAGgAaQBuAGEAXAAiACwAIABcACIAQwBoAGkAbgBhAFwAIgAsACAAXAAiAGsAZwBcACIALAAgADQALgAxADcALAAgAFwAIgBhAHQAIABtAGEAcgBrAGUAdABcACIAOwBcAG4AIAAgACAAIAAgACAAIAAgAFwAIgBGAGUAcgB0AGkAbABpAHMAZQByAHMAXAAiACwAIABcACIASQBuAG8AcgBnAGEAbgBpAGMAIABmAGUAcgB0AGkAbABpAHMAZQByAHMAXAAiACwAIABcACIAQQBtAG0AbwBuAGkAYQAsACAAWQBlAG0AZQBuAFwAIgAsACAAXAAiAFkAZQBtAGUAbgBcACIALAAgAFwAIgBrAGcAXAAiACwAIAAyAC4AMgA2ACwAIABcACIAYQB0ACAAbQBhAHIAawBlAHQAXAAiADsAXABuACAAIAAgACAAIAAgACAAIABcACIARgBlAHIAdABpAGwAaQBzAGUAcgBzAFwAIgAsACAAXAAiAEkAbgBvAHIAZwBhAG4AaQBjACAAZgBlAHIAdABpAGwAaQBzAGUAcgBzAFwAIgAsACAAXAAiAEEAbQBtAG8AbgBpAHUAbQAgAG4AaQB0AHIAYQB0AGUALAAgAEEAVQAgAG0AYQByAGsAZQB0ACAAbQBpAHgAXAAiACwAIABcACIARwBsAG8AYgBhAGwAXAAiACwAIABcACIAawBnAFwAIgAsACAAMgAuADIAMQAsACAAXAAiAGEAdAAgAG0AYQByAGsAZQB0AFwAIgA7AFwAbgAgACAAIAAgACAAIAAgACAAXAAiAEYAZQByAHQAaQBsAGkAcwBlAHIAcwBcACIALAAgAFwAIgBJAG4AbwByAGcAYQBuAGkAYwAgAGYAZQByAHQAaQBsAGkAcwBlAHIAcwBcACIALAAgAFwAIgBDAGEAbABjAGkAdQBtACAAYQBtAG0AbwBuAGkAdQBtACAAbgBpAHQAcgBhAHQAZQAsACAAQQBVACAAbQBhAHIAawBlAHQAIABtAGkAeABcACIALAAgAFwAIgBHAGwAbwBiAGEAbABcACIALAAgAFwAIgBrAGcAXAAiACwAIAAxAC4AMQA1ACwAIABcACIAYQB0ACAAbQBhAHIAawBlAHQAXAAiADsAXABuACAAIAAgACAAIAAgACAAIABcACIARgBlAHIAdABpAGwAaQBzAGUAcgBzAFwAIgAsACAAXAAiAEkAbgBvAHIAZwBhAG4AaQBjACAAZgBlAHIAdABpAGwAaQBzAGUAcgBzAFwAIgAsACAAXAAiAEMAYQBsAGMAaQB1AG0AIABuAGkAdAByAGEAdABlAFwAIgAsACAAXAAiAEcAbABvAGIAYQBsAFwAIgAsACAAXAAiAGsAZwBcACIALAAgADAALgA3ADUALAAgAFwAIgBhAHQAIABtAGEAcgBrAGUAdABcACIAOwBcAG4AIAAgACAAIAAgACAAIAAgAFwAIgBGAGUAcgB0AGkAbABpAHMAZQByAHMAXAAiACwAIABcACIASQBuAG8AcgBnAGEAbgBpAGMAIABmAGUAcgB0AGkAbABpAHMAZQByAHMAXAAiACwAIABcACIARABpAGEAbQBtAG8AbgBpAHUAbQAgAHAAaABvAHMAcABoAGEAdABlACwAIABBAFUAIABtAGEAcgBrAGUAdAAgAG0AaQB4AFwAIgAsACAAXAAiAEcAbABvAGIAYQBsAFwAIgAsACAAXAAiAGsAZwBcACIALAAgADEALgAzADQALAAgAFwAIgBhAHQAIABtAGEAcgBrAGUAdABcACIAOwBcAG4AIAAgACAAIAAgACAAIAAgAFwAIgBGAGUAcgB0AGkAbABpAHMAZQByAHMAXAAiACwAIABcACIASQBuAG8AcgBnAGEAbgBpAGMAIABmAGUAcgB0AGkAbABpAHMAZQByAHMAXAAiACwAIABcACIARABvAHUAYgBsAGUAIABzAHUAcABlAHIAcABoAG8AcwBwAGgAYQB0AGUALAAgAEEAVQAgAG0AYQByAGsAZQB0ACAAbQBpAHgAXAAiACwAIABcACIARwBsAG8AYgBhAGwAXAAiACwAIABcACIAawBnAFwAIgAsACAAMAAuADMAOQAyACwAIABcACIAYQB0ACAAbQBhAHIAawBlAHQAXAAiADsAXABuACAAIAAgACAAIAAgACAAIABcACIARgBlAHIAdABpAGwAaQBzAGUAcgBzAFwAIgAsACAAXAAiAEkAbgBvAHIAZwBhAG4AaQBjACAAZgBlAHIAdABpAGwAaQBzAGUAcgBzAFwAIgAsACAAXAAiAE0AbwBuAG8AYQBtAG0AbwBuAGkAdQBtACAAcABoAG8AcwBwAGgAYQB0AGUALAAgAEEAVQAgAG0AYQByAGsAZQB0ACAAbQBpAHgAXAAiACwAIABcACIARwBsAG8AYgBhAGwAXAAiACwAIABcACIAawBnAFwAIgAsACAAMAAuADgAMgA3ACwAIABcACIAYQB0ACAAbQBhAHIAawBlAHQAXAAiADsAXABuACAAIAAgACAAIAAgACAAIABcACIARgBlAHIAdABpAGwAaQBzAGUAcgBzAFwAIgAsACAAXAAiAEkAbgBvAHIAZwBhAG4AaQBjACAAZgBlAHIAdABpAGwAaQBzAGUAcgBzAFwAIgAsACAAXAAiAE0AdQByAGkAYQB0AGUAIABvAGYAIABwAG8AdABhAHMAaAAsACAAQQBVACAAbQBhAHIAawBlAHQAIABtAGkAeABcACIALAAgAFwAIgBHAGwAbwBiAGEAbABcACIALAAgAFwAIgBrAGcAXAAiACwAIAAwAC4ANQA0ADkALAAgAFwAIgBhAHQAIABtAGEAcgBrAGUAdABcACIAOwBcAG4AIAAgACAAIAAgACAAIAAgAFwAIgBGAGUAcgB0AGkAbABpAHMAZQByAHMAXAAiACwAIABcACIASQBuAG8AcgBnAGEAbgBpAGMAIABmAGUAcgB0AGkAbABpAHMAZQByAHMAXAAiACwAIABcACIATgBpAHQAcgBvAGcAZQBuACAAZgByAG8AbQAgAGEAbQBtAG8AbgBpAGEALAAgAEEAVQAgAG0AYQByAGsAZQB0ACAAbQBpAHgAXAAiACwAIABcACIARwBsAG8AYgBhAGwAXAAiACwAIABcACIAawBnACAATgBcACIALAAgADIALgA4ADMALAAgAFwAIgBhAHQAIABtAGEAcgBrAGUAdABcACIAOwBcAG4AIAAgACAAIAAgACAAIAAgAFwAIgBGAGUAcgB0AGkAbABpAHMAZQByAHMAXAAiACwAIABcACIASQBuAG8AcgBnAGEAbgBpAGMAIABmAGUAcgB0AGkAbABpAHMAZQByAHMAXAAiACwAIABcACIATgBpAHQAcgBvAGcAZQBuACAAZgByAG8AbQAgAGYAZQByAHQAaQBsAGkAegBlAHIALAAgAEEAVQAgAG0AYQByAGsAZQB0ACAAbQBpAHgAXAAiACwAIABcACIARwBsAG8AYgBhAGwAXAAiACwAIABcACIAawBnACAATgBcACIALAAgADQALgAyACwAIABcACIAYQB0ACAAbQBhAHIAawBlAHQAXAAiADsAXABuACAAIAAgACAAIAAgACAAIABcACIARgBlAHIAdABpAGwAaQBzAGUAcgBzAFwAIgAsACAAXAAiAEkAbgBvAHIAZwBhAG4AaQBjACAAZgBlAHIAdABpAGwAaQBzAGUAcgBzAFwAIgAsACAAXAAiAE4AaQB0AHIAbwBnAGUAbgAgAGYAcgBvAG0AIABuAGkAdAByAGEAdABlACAAZgBlAHIAdABpAGwAaQB6AGUAcgAsACAAQQBVACAAbQBhAHIAawBlAHQAIABtAGkAeABcACIALAAgAFwAIgBHAGwAbwBiAGEAbABcACIALAAgAFwAIgBrAGcAIABOAFwAIgAsACAANQAuADQANwAsACAAXAAiAGEAdAAgAG0AYQByAGsAZQB0AFwAIgA7AFwAbgAgACAAIAAgACAAIAAgACAAXAAiAEYAZQByAHQAaQBsAGkAcwBlAHIAcwBcACIALAAgAFwAIgBJAG4AbwByAGcAYQBuAGkAYwAgAGYAZQByAHQAaQBsAGkAcwBlAHIAcwBcACIALAAgAFwAIgBQAGgAbwBzAHAAaABvAHIAdQBzACAAZgByAG8AbQAgAGYAZQByAHQAaQBsAGkAegBlAHIALAAgAEEAVQAgAG0AYQByAGsAZQB0ACAAbQBpAHgAXAAiACwAIABcACIARwBsAG8AYgBhAGwAXAAiACwAIABcACIAawBnACAAUABcACIALAAgADMALgA5ADYALAAgAFwAIgBhAHQAIABtAGEAcgBrAGUAdABcACIAOwBcAG4AIAAgACAAIAAgACAAIAAgAFwAIgBGAGUAcgB0AGkAbABpAHMAZQByAHMAXAAiACwAIABcACIASQBuAG8AcgBnAGEAbgBpAGMAIABmAGUAcgB0AGkAbABpAHMAZQByAHMAXAAiACwAIABcACIAUABvAHQAYQBzAHMAaQB1AG0AIABmAHIAbwBtACAAZgBlAHIAdABpAGwAaQB6AGUAcgAsACAAQQBVACAAbQBhAHIAawBlAHQAIABtAGkAeABcACIALAAgAFwAIgBHAGwAbwBiAGEAbABcACIALAAgAFwAIgBrAGcAIABLAFwAIgAsACAAMAAuADkAMAA5ACwAIABcACIAYQB0ACAAbQBhAHIAawBlAHQAXAAiADsAXABuACAAIAAgACAAIAAgACAAIABcACIARgBlAHIAdABpAGwAaQBzAGUAcgBzAFwAIgAsACAAXAAiAEkAbgBvAHIAZwBhAG4AaQBjACAAZgBlAHIAdABpAGwAaQBzAGUAcgBzAFwAIgAsACAAXAAiAFMAaQBuAGcAbABlACAAcwB1AHAAZQByAHAAaABvAHMAcABoAGEAdABlACwAIABBAFUAIABtAGEAcgBrAGUAdAAgAG0AaQB4AFwAIgAsACAAXAAiAEcAbABvAGIAYQBsAFwAIgAsACAAXAAiAGsAZwBcACIALAAgADAALgAyADIANwAsACAAXAAiAGEAdAAgAG0AYQByAGsAZQB0AFwAIgA7AFwAbgAgACAAIAAgACAAIAAgACAAXAAiAEYAZQByAHQAaQBsAGkAcwBlAHIAcwBcACIALAAgAFwAIgBJAG4AbwByAGcAYQBuAGkAYwAgAGYAZQByAHQAaQBsAGkAcwBlAHIAcwBcACIALAAgAFwAIgBTAHUAbABmAHUAcgAgAGYAcgBvAG0AIABmAGUAcgB0AGkAbABpAHoAZQByACwAIABBAFUAIABtAGEAcgBrAGUAdAAgAG0AaQB4AFwAIgAsACAAXAAiAEcAbABvAGIAYQBsAFwAIgAsACAAXAAiAGsAZwAgAFMAXAAiACwAIAAyAC4ANQAsACAAXAAiAGEAdAAgAG0AYQByAGsAZQB0AFwAIgA7AFwAbgAgACAAIAAgACAAIAAgACAAXAAiAEYAZQByAHQAaQBsAGkAcwBlAHIAcwBcACIALAAgAFwAIgBJAG4AbwByAGcAYQBuAGkAYwAgAGYAZQByAHQAaQBsAGkAcwBlAHIAcwBcACIALAAgAFwAIgBBAG0AbQBvAG4AaQB1AG0AIABzAHUAbABwAGgAYQB0AGUALAAgAEEAVQAgAG0AYQByAGsAZQB0ACAAbQBpAHgAXAAiACwAIABcACIARwBsAG8AYgBhAGwAXAAiACwAIABcACIAawBnAFwAIgAsACAAMAAuADgANgA1ACwAIABcACIAYQB0ACAAbQBhAHIAawBlAHQAXAAiADsAXABuACAAIAAgACAAIAAgACAAIABcACIARgBlAHIAdABpAGwAaQBzAGUAcgBzAFwAIgAsACAAXAAiAEkAbgBvAHIAZwBhAG4AaQBjACAAZgBlAHIAdABpAGwAaQBzAGUAcgBzAFwAIgAsACAAXAAiAFUAcgBlAGEAIABhAG0AbQBvAG4AaQB1AG0AIABuAGkAdAByAGEAdABlACwAIABBAFUAIABtAGEAcgBrAGUAdAAgAG0AaQB4AFwAIgAsACAAXAAiAEcAbABvAGIAYQBsAFwAIgAsACAAXAAiAGsAZwBcACIALAAgADEALgA3ADUALAAgAFwAIgBhAHQAIABtAGEAcgBrAGUAdABcACIAOwBcAG4AIAAgACAAIAAgACAAIAAgAFwAIgBGAGUAcgB0AGkAbABpAHMAZQByAHMAXAAiACwAIABcACIASQBuAG8AcgBnAGEAbgBpAGMAIABmAGUAcgB0AGkAbABpAHMAZQByAHMAXAAiACwAIABcACIAVQByAGUAYQAsACAAQQBVACAAbQBhAHIAawBlAHQAIABtAGkAeABcACIALAAgAFwAIgBHAGwAbwBiAGEAbABcACIALAAgAFwAIgBrAGcAXAAiACwAIAAwAC4AOQA2ADgALAAgAFwAIgBhAHQAIABtAGEAcgBrAGUAdABcACIAOwBcAG4AIAAgACAAIAAgACAAIAAgAFwAIgBGAGUAcgB0AGkAbABpAHMAZQByAHMAXAAiACwAIABcACIASQBuAG8AcgBnAGEAbgBpAGMAIABmAGUAcgB0AGkAbABpAHMAZQByAHMAXAAiACwAIABcACIAVQByAGUAYQAsACAAQwBhAG4AYQBkAGEAXAAiACwAIABcACIAQwBhAG4AYQBkAGEAXAAiACwAIABcACIAawBnAFwAIgAsACAAMAAuADgAMgAzACwAIABcACIAYQB0ACAAbQBhAHIAawBlAHQAXAAiADsAXABuACAAIAAgACAAIAAgACAAIABcACIARgBlAHIAdABpAGwAaQBzAGUAcgBzAFwAIgAsACAAXAAiAEkAbgBvAHIAZwBhAG4AaQBjACAAZgBlAHIAdABpAGwAaQBzAGUAcgBzAFwAIgAsACAAXAAiAFUAcgBlAGEALAAgAEMAaABpAG4AYQBcACIALAAgAFwAIgBDAGgAaQBuAGEAXAAiACwAIABcACIAawBnAFwAIgAsACAAMgAuADAAOQAsACAAXAAiAGEAdAAgAG0AYQByAGsAZQB0AFwAIgA7AFwAbgAgACAAIAAgACAAIAAgACAAXAAiAEYAZQByAHQAaQBsAGkAcwBlAHIAcwBcACIALAAgAFwAIgBJAG4AbwByAGcAYQBuAGkAYwAgAGYAZQByAHQAaQBsAGkAcwBlAHIAcwBcACIALAAgAFwAIgBVAHIAZQBhACwAIABZAGUAbQBlAG4AXAAiACwAIABcACIAWQBlAG0AZQBuAFwAIgAsACAAXAAiAGsAZwBcACIALAAgADAALgA5ADYAMwAsACAAXAAiAGEAdAAgAG0AYQByAGsAZQB0AFwAIgA7AFwAbgAgACAAIAAgACAAIAAgACAAXAAiAEYAZQByAHQAaQBsAGkAcwBlAHIAcwBcACIALAAgAFwAIgBJAG4AbwByAGcAYQBuAGkAYwAgAGYAZQByAHQAaQBsAGkAcwBlAHIAcwBcACIALAAgAFwAIgBaAGkAbgBjACAAZgByAG8AbQAgAGYAZQByAHQAaQBsAGkAegBlAHIAXAAiACwAIABcACIARwBsAG8AYgBhAGwAXAAiACwAIABcACIAawBnACAAWgBuAFwAIgAsACAANAAuADgAM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TwB0AGgAZQByACAAYQBnAHIAaQBjAHUAbAB0AHUAcgBhAGwAIABpAG4AcAB1AHQAcwBcAG4APQA9AD0APQA9AD0APQA9AD0APQA9AD0APQA9AD0APQA9AD0APQA9AD0APQA9AD0APQA9AD0APQA9AD0APQA9AD0APQA9AD0APQA9AD0APQA9AD0APQA9AD0APQA9AD0APQA9AD0APQA9AD0APQA9AD0APQA9AD0APQA9AD0APQA9AD0APQA9AD0APQA9AD0APQA9AD0APQBcAG4AKgAvAFwAbgBcAG4AUwBjAG8AcABlADMAXwBPAHQAaABlAHIAXwBUAGkAdABsAGUAXABuAD0ATABBAE0AQgBEAEEAKAAoAFwAIgBPAHQAaABlAHIAIABhAGcAcgBpAGMAdQBsAHQAdQByAGEAbAAgAGkAbgBwAHUAdABzACAAcwBjAG8AcABlACAAMwBcACIAKQApADsAXABuAFwAbgBTAGMAbwBwAGUAMwBfAE8AdABoAGUAcg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8AdABoAGUAcgBfAFYAYQByAGkAYQB0AGkAbwBuAFwAbgA9AEwAQQBNAEIARABBACgAKABcACIAXAAiACkAKQA7AFwAbgBcAG4AUwBjAG8AcABlADMAXwBPAHQAaABlAHIAXwBEAGEAdABhAFwAbgA9AEwAQQBNAEIARABBACgAXABuACAAIABNAEEASwBFAEEAUgBSAEEAWQAoADk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PAHQAaABlAHIAXAAiACwAIABcACIATwB0AGgAZQByAFwAIgAsACAAXAAiAEEAbgBpAG0AYQBsACAAZQBhAHIAIAB0AGEAZwBzACAAKABsAGEAcgBnAGUAKQBcACIALAAgAFwAIgBBAHUAcwB0AHIAYQBsAGkAYQBcACIALAAgAFwAIgBwAFwAIgAsACAAMAAuADAANAAyADQALAAgAFwAIgBhAHQAIABtAGEAcgBrAGUAdABcACIAOwBcAG4AIAAgACAAIAAgACAAIAAgAFwAIgBPAHQAaABlAHIAXAAiACwAIABcACIATwB0AGgAZQByAFwAIgAsACAAXAAiAEEAbgBpAG0AYQBsACAAZQBhAHIAIAB0AGEAZwBzACAAKABzAG0AYQBsAGwAKQBcACIALAAgAFwAIgBBAHUAcwB0AHIAYQBsAGkAYQBcACIALAAgAFwAIgBwAFwAIgAsACAAMAAuADAAMgA5ADMALAAgAFwAIgBhAHQAIABtAGEAcgBrAGUAdABcACIAOwBcAG4AIAAgACAAIAAgACAAIAAgAFwAIgBPAHQAaABlAHIAXAAiACwAIABcACIATwB0AGgAZQByAFwAIgAsACAAXAAiAEIAYQByAGwAZQB5ACAAZwByAGEAaQBuACAAKABmAG8AcgAgAHMAZQBlAGQAKQBcACIALAAgAFwAIgBBAHUAcwB0AHIAYQBsAGkAYQBcACIALAAgAFwAIgBrAGcAXAAiACwAIAAwAC4AMgAzADkALAAgAFwAIgBhAHQAIABtAGEAcgBrAGUAdABcACIAOwBcAG4AIAAgACAAIAAgACAAIAAgAFwAIgBPAHQAaABlAHIAXAAiACwAIABcACIATwB0AGgAZQByAFwAIgAsACAAXAAiAE0AYQBpAHoAZQAgAGcAcgBhAGkAbgAgACgAZgBvAHIAIABzAGUAZQBkACkAXAAiACwAIABcACIAQQB1AHMAdAByAGEAbABpAGEAXAAiACwAIABcACIAawBnAFwAIgAsACAAMAAuADEAOAAxACwAIABcACIAYQB0ACAAbQBhAHIAawBlAHQAXAAiADsAXABuACAAIAAgACAAIAAgACAAIABcACIATwB0AGgAZQByAFwAIgAsACAAXAAiAE8AdABoAGUAcgBcACIALAAgAFwAIgBOAHkAbABvAG4AIABuAGUAdAB0AGkAbgBnAFwAIgAsACAAXAAiAEcAbABvAGIAYQBsAFwAIgAsACAAXAAiAGsAZwBcACIALAAgADkALgA4ADEALAAgAFwAIgBhAHQAIABtAGEAcgBrAGUAdABcACIAOwBcAG4AIAAgACAAIAAgACAAIAAgAFwAIgBPAHQAaABlAHIAXAAiACwAIABcACIATwB0AGgAZQByAFwAIgAsACAAXAAiAE8AYQB0ACAAZwByAGEAaQBuACAAKABmAG8AcgAgAHMAZQBlAGQAKQBcACIALAAgAFwAIgBBAHUAcwB0AHIAYQBsAGkAYQBcACIALAAgAFwAIgBrAGcAXAAiACwAIAAwAC4AMgA3ACwAIABcACIAYQB0ACAAbQBhAHIAawBlAHQAXAAiADsAXABuACAAIAAgACAAIAAgACAAIABcACIATwB0AGgAZQByAFwAIgAsACAAXAAiAE8AdABoAGUAcgBcACIALAAgAFwAIgBTAG8AcgBnAGgAdQBtACAAZwByAGEAaQBuACAAKABmAG8AcgAgAHMAZQBlAGQAKQBcACIALAAgAFwAIgBBAHUAcwB0AHIAYQBsAGkAYQBcACIALAAgAFwAIgBrAGcAXAAiACwAIAAwAC4AMgAzADIALAAgAFwAIgBhAHQAIABtAGEAcgBrAGUAdABcACIAOwBcAG4AIAAgACAAIAAgACAAIAAgAFwAIgBPAHQAaABlAHIAXAAiACwAIABcACIATwB0AGgAZQByAFwAIgAsACAAXAAiAFcAaABlAGEAdAAgAGcAcgBhAGkAbgAgACgAZgBvAHIAIABzAGUAZQBkACkAXAAiACwAIABcACIAQQB1AHMAdAByAGEAbABpAGEAXAAiACwAIABcACIAawBnAFwAIgAsACAAMAAuADIANgA4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EAYwBrAGEAZwBpAG4AZwBcAG4APQA9AD0APQA9AD0APQA9AD0APQA9AD0APQA9AD0APQA9AD0APQA9AD0APQA9AD0APQA9AD0APQA9AD0APQA9AD0APQA9AD0APQA9AD0APQA9AD0APQA9AD0APQA9AD0APQA9AD0APQA9AD0APQA9AD0APQA9AD0APQA9AD0APQA9AD0APQA9AD0APQA9AD0APQA9AD0APQBcAG4AKgAvAFwAbgBcAG4AUwBjAG8AcABlADMAXwBQAGEAYwBrAGEAZwBpAG4AZwBfAFQAaQB0AGwAZQBcAG4APQBMAEEATQBCAEQAQQAoACgAXAAiAFAAYQBjAGsAYQBnAGkAbgBnACAAcwBjAG8AcABlACAAMwBcACIAKQApADsAXABuAFwAbgBTAGMAbwBwAGUAMwBfAFAAYQBjAGsAYQBnAGkAbgBn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hAGMAawBhAGcAaQBuAGcAXwBWAGEAcgBpAGEAdABpAG8AbgBcAG4APQBMAEEATQBCAEQAQQAoACgAXAAiAFwAIgApACkAOwBcAG4AXABuAFMAYwBvAHAAZQAzAF8AUABhAGMAawBhAGcAaQBuAGcAXwBEAGEAdABhAFwAbgA9AEwAQQBNAEIARABBACgAXABuACAAIABNAEEASwBFAEEAUgBSAEEAWQAoADU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EAYwBrAGEAZwBpAG4AZwBcACIALAAgAFwAIgBQAGEAYwBrAGEAZwBpAG4AZwBcACIALAAgAFwAIgBDAG8AcgByAHUAZwBhAHQAZQBkACAAYgBvAGEAcgBkAFwAIgAsACAAXAAiAEcAbABvAGIAYQBsAFwAIgAsACAAXAAiAGsAZwBcACIALAAgADEALgAwADUALAAgAFwAIgBhAHQAIABtAGEAbgB1AGYAYQBjAHQAdQByAGUAcgBcACIAOwBcAG4AIAAgACAAIAAgACAAIAAgAFwAIgBQAGEAYwBrAGEAZwBpAG4AZwBcACIALAAgAFwAIgBQAGEAYwBrAGEAZwBpAG4AZwBcACIALAAgAFwAIgBQAGwAYQBzAHQAaQBjACAAYwByAGEAdABlACAAcABvAGwAeQBwAHIAbwBwAHkAbABlAG4AZQBcACIALAAgAFwAIgBHAGwAbwBiAGEAbABcACIALAAgAFwAIgBwAFwAIgAsACAAMwAuADkAOQAsACAAXAAiAGEAdAAgAG0AYQBuAHUAZgBhAGMAdAB1AHIAZQByAFwAIgA7AFwAbgAgACAAIAAgACAAIAAgACAAXAAiAFAAYQBjAGsAYQBnAGkAbgBnAFwAIgAsACAAXAAiAFAAYQBjAGsAYQBnAGkAbgBnAFwAIgAsACAAXAAiAFAAbABhAHMAdABpAGMAIABmAGkAbABtACAATABEAFAARQBcACIALAAgAFwAIgBHAGwAbwBiAGEAbABcACIALAAgAFwAIgBrAGcAXAAiACwAIAAzAC4ANAA0ACwAIABcACIAYQB0ACAAbQBhAG4AdQBmAGEAYwB0AHUAcgBlAHIAXAAiADsAXABuACAAIAAgACAAIAAgACAAIABcACIAUABhAGMAawBhAGcAaQBuAGcAXAAiACwAIABcACIAUABhAGMAawBhAGcAaQBuAGcAXAAiACwAIABcACIAUABsAGEAcwB0AGkAYwAgAHMAaABlAGUAdAAgAEgARABQAEUAXAAiACwAIABcACIARwBsAG8AYgBhAGwAXAAiACwAIABcACIAawBnAFwAIgAsACAAMwAuADcAM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lAHMAdABpAGMAaQBkAGUAcwBcAG4APQA9AD0APQA9AD0APQA9AD0APQA9AD0APQA9AD0APQA9AD0APQA9AD0APQA9AD0APQA9AD0APQA9AD0APQA9AD0APQA9AD0APQA9AD0APQA9AD0APQA9AD0APQA9AD0APQA9AD0APQA9AD0APQA9AD0APQA9AD0APQA9AD0APQA9AD0APQA9AD0APQA9AD0APQA9AD0APQBcAG4AKgAvAFwAbgBcAG4AUwBjAG8AcABlADMAXwBQAGUAcwB0AGkAYwBpAGQAZQBzAF8AVABpAHQAbABlAFwAbgA9AEwAQQBNAEIARABBACgAKABcACIAUABlAHMAdABpAGMAaQBkAGUAcwAgAHMAYwBvAHAAZQAgADMAXAAiACkAKQA7AFwAbgBcAG4AUwBjAG8AcABlADMAXwBQAGUAcwB0AGkAYwBpAGQAZQ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lAHMAdABpAGMAaQBkAGUAcwBfAFYAYQByAGkAYQB0AGkAbwBuAFwAbgA9AEwAQQBNAEIARABBACgAKABcACIAXAAiACkAKQA7AFwAbgBcAG4AUwBjAG8AcABlADMAXwBQAGUAcwB0AGkAYwBpAGQAZQBzAF8ARABhAHQAYQBcAG4APQBMAEEATQBCAEQAQQAoAFwAbgAgACAATQBBAEsARQBBAFIAUgBBAFkAKAAxADM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UAcwB0AGkAYwBpAGQAZQBzAFwAIgAsACAAXAAiAFAAZQBzAHQAaQBjAGkAZABlAHMAXAAiACwAIABcACIAMgAsADQALQBEAFwAIgAsACAAXAAiAEcAbABvAGIAYQBsAFwAIgAsACAAXAAiAGsAZwAgAEEASQBcACIALAAgADUALgAyACwAIABcACIAYQB0ACAAbQBhAHIAawBlAHQAXAAiADsAXABuACAAIAAgACAAIAAgACAAIABcACIAUABlAHMAdABpAGMAaQBkAGUAcwBcACIALAAgAFwAIgBQAGUAcwB0AGkAYwBpAGQAZQBzAFwAIgAsACAAXAAiAEEAdAByAGEAegBpAG4AZQBcACIALAAgAFwAIgBHAGwAbwBiAGEAbABcACIALAAgAFwAIgBrAGcAIABBAEkAXAAiACwAIAA4AC4AMwA4ACwAIABcACIAYQB0ACAAbQBhAHIAawBlAHQAXAAiADsAXABuACAAIAAgACAAIAAgACAAIABcACIAUABlAHMAdABpAGMAaQBkAGUAcwBcACIALAAgAFwAIgBQAGUAcwB0AGkAYwBpAGQAZQBzAFwAIgAsACAAXAAiAEQAaQB1AHIAbwBuAFwAIgAsACAAXAAiAEcAbABvAGIAYQBsAFwAIgAsACAAXAAiAGsAZwAgAEEASQBcACIALAAgADgALgA4ACwAIABcACIAYQB0ACAAbQBhAHIAawBlAHQAXAAiADsAXABuACAAIAAgACAAIAAgACAAIABcACIAUABlAHMAdABpAGMAaQBkAGUAcwBcACIALAAgAFwAIgBQAGUAcwB0AGkAYwBpAGQAZQBzAFwAIgAsACAAXAAiAEcAbAB5AHAAaABvAHMAYQB0AGUAXAAiACwAIABcACIARwBsAG8AYgBhAGwAXAAiACwAIABcACIAawBnACAAQQBJAFwAIgAsACAAMQAwAC4AMwAsACAAXAAiAGEAdAAgAG0AYQByAGsAZQB0AFwAIgA7AFwAbgAgACAAIAAgACAAIAAgACAAXAAiAFAAZQBzAHQAaQBjAGkAZABlAHMAXAAiACwAIABcACIAUABlAHMAdABpAGMAaQBkAGUAcwBcACIALAAgAFwAIgBNAGEAbgBjAG8AegBlAGIAXAAiACwAIABcACIARwBsAG8AYgBhAGwAXAAiACwAIABcACIAawBnACAAQQBJAFwAIgAsACAANAAuADUANQAsACAAXAAiAGEAdAAgAG0AYQByAGsAZQB0AFwAIgA7AFwAbgAgACAAIAAgACAAIAAgACAAXAAiAFAAZQBzAHQAaQBjAGkAZABlAHMAXAAiACwAIABcACIAUABlAHMAdABpAGMAaQBkAGUAcwBcACIALAAgAFwAIgBNAEMAUABBAFwAIgAsACAAXAAiAEcAbABvAGIAYQBsAFwAIgAsACAAXAAiAGsAZwAgAEEASQBcACIALAAgADUALgA2ACwAIABcACIAYQB0ACAAbQBhAHIAawBlAHQAXAAiADsAXABuACAAIAAgACAAIAAgACAAIABcACIAUABlAHMAdABpAGMAaQBkAGUAcwBcACIALAAgAFwAIgBQAGUAcwB0AGkAYwBpAGQAZQBzAFwAIgAsACAAXAAiAE0AZQB0AG8AbABhAGMAaABsAG8AcgBcACIALAAgAFwAIgBHAGwAbwBiAGEAbABcACIALAAgAFwAIgBrAGcAIABBAEkAXAAiACwAIAA4AC4AMAA2ACwAIABcACIAYQB0ACAAbQBhAHIAawBlAHQAXAAiADsAXABuACAAIAAgACAAIAAgACAAIABcACIAUABlAHMAdABpAGMAaQBkAGUAcwBcACIALAAgAFwAIgBQAGUAcwB0AGkAYwBpAGQAZQBzAFwAIgAsACAAXAAiAE0AZQB0AHMAdQBsAGYAdQByAG8AbgAtAG0AZQB0AGgAeQBsAFwAIgAsACAAXAAiAEcAbABvAGIAYQBsAFwAIgAsACAAXAAiAGsAZwAgAEEASQBcACIALAAgADgALgA4ACwAIABcACIAYQB0ACAAbQBhAHIAawBlAHQAXAAiADsAXABuACAAIAAgACAAIAAgACAAIABcACIAUABlAHMAdABpAGMAaQBkAGUAcwBcACIALAAgAFwAIgBQAGUAcwB0AGkAYwBpAGQAZQBzAFwAIgAsACAAXAAiAFAAZQBzAHQAaQBjAGkAZABlAHMAIAAoAGcAZQBuAGUAcgBpAGMAKQBcACIALAAgAFwAIgBHAGwAbwBiAGEAbABcACIALAAgAFwAIgBrAGcAIABBAEkAXAAiACwAIAA5AC4AMQA2ACwAIABcACIAYQB0ACAAbQBhAHIAawBlAHQAXAAiADsAXABuACAAIAAgACAAIAAgACAAIABcACIAUABlAHMAdABpAGMAaQBkAGUAcwBcACIALAAgAFwAIgBQAGUAcwB0AGkAYwBpAGQAZQBzAFwAIgAsACAAXAAiAFQAcgBpAC0AYQBsAGwAYQB0AGUAXAAiACwAIABcACIARwBsAG8AYgBhAGwAXAAiACwAIABcACIAawBnACAAQQBJAFwAIgAsACAAOAAuADUANwAsACAAXAAiAGEAdAAgAG0AYQByAGsAZQB0AFwAIgA7AFwAbgAgACAAIAAgACAAIAAgACAAXAAiAFAAZQBzAHQAaQBjAGkAZABlAHMAXAAiACwAIABcACIAUABlAHMAdABpAGMAaQBkAGUAcwBcACIALAAgAFwAIgBUAHIAaQBiAGUAbgB1AHIAbwBuACAAbQBlAHQAaAB5AGwAXAAiACwAIABcACIARwBsAG8AYgBhAGwAXAAiACwAIABcACIAawBnACAAQQBJAFwAIgAsACAAOAAuADgALAAgAFwAIgBhAHQAIABtAGEAcgBrAGUAdABcACIAOwBcAG4AIAAgACAAIAAgACAAIAAgAFwAIgBQAGUAcwB0AGkAYwBpAGQAZQBzAFwAIgAsACAAXAAiAFAAZQBzAHQAaQBjAGkAZABlAHMAXAAiACwAIABcACIAVAByAGkAZgBsAHUAcgBhAGwAaQBuAFwAIgAsACAAXAAiAEcAbABvAGIAYQBsAFwAIgAsACAAXAAiAGsAZwAgAEEASQBcACIALAAgADYALgAxADY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MAbwBpAGwAIABhAG0AZQBuAGQAbQBlAG4AdABzAFwAbgA9AD0APQA9AD0APQA9AD0APQA9AD0APQA9AD0APQA9AD0APQA9AD0APQA9AD0APQA9AD0APQA9AD0APQA9AD0APQA9AD0APQA9AD0APQA9AD0APQA9AD0APQA9AD0APQA9AD0APQA9AD0APQA9AD0APQA9AD0APQA9AD0APQA9AD0APQA9AD0APQA9AD0APQA9AD0APQA9AFwAbgAqAC8AXABuAFwAbgBTAGMAbwBwAGUAMwBfAFMAbwBpAGwAQQBtAGUAbgBkAG0AZQBuAHQAcwBfAFQAaQB0AGwAZQBcAG4APQBMAEEATQBCAEQAQQAoACgAXAAiAFMAbwBpAGwAIABhAG0AZQBuAGQAbQBlAG4AdABzACAAcwBjAG8AcABlACAAMwBcACIAKQApADsAXABuAFwAbgBTAGMAbwBwAGUAMwBfAFMAbwBpAGwAQQBtAGUAbgBkAG0AZQBuAHQ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MAbwBpAGwAQQBtAGUAbgBkAG0AZQBuAHQAcwBfAFYAYQByAGkAYQB0AGkAbwBuAFwAbgA9AEwAQQBNAEIARABBACgAKABcACIAXAAiACkAKQA7AFwAbgBcAG4AUwBjAG8AcABlADMAXwBTAG8AaQBsAEEAbQBlAG4AZABtAGUAbgB0AHMAXwBEAGEAdABhAFwAbgA9AEwAQQBNAEIARABBACgAXABuACAAIABNAEEASwBFAEEAUgBSAEEAWQAoADQ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TAG8AaQBsACAAYQBtAGUAbABpAG8AcgBhAG4AdABzAFwAIgAsACAAXAAiAFMAbwBpAGwAIABhAG0AZQBsAGkAbwByAGEAbgB0AHMAXAAiACwAIABcACIARABvAGwAbwBtAGkAdABl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cAeQBwAHMAdQBt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wAaQBtAGUAcwB0AG8AbgBlACAAKABjAHIAdQBzAGgAZQBkACkAXAAiACwAIABcACIAQQB1AHMAdAByAGEAbABpAGEAXAAiACwAIABcACIAawBnAFwAIgAsACAAMAAuADAANAA4ADUALAAgAFwAIgBhAHQAIABtAGEAcgBrAGUAdABcACIAXABuACAAIAAgACAAIAAgAH0ALAAgAHIALAAgAGMAKQBcAG4AKQApACkAOw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BdAH0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39</vt:i4>
      </vt:variant>
      <vt:variant>
        <vt:lpstr>Named Ranges</vt:lpstr>
      </vt:variant>
      <vt:variant>
        <vt:i4>190</vt:i4>
      </vt:variant>
    </vt:vector>
  </HeadingPairs>
  <TitlesOfParts>
    <vt:vector size="229" baseType="lpstr">
      <vt:lpstr>Home</vt:lpstr>
      <vt:lpstr>Results</vt:lpstr>
      <vt:lpstr>Input - Enterprise</vt:lpstr>
      <vt:lpstr>Input - Site</vt:lpstr>
      <vt:lpstr>Input - Crop</vt:lpstr>
      <vt:lpstr>Input - Fert Prod System</vt:lpstr>
      <vt:lpstr>Input - Fertiliser</vt:lpstr>
      <vt:lpstr>Input - Fuel</vt:lpstr>
      <vt:lpstr>Input - Electricity</vt:lpstr>
      <vt:lpstr>Input - Common farm inputs</vt:lpstr>
      <vt:lpstr>Input - Crop pasture farm input</vt:lpstr>
      <vt:lpstr>Input - Freight</vt:lpstr>
      <vt:lpstr>Input - Manure sent off-site</vt:lpstr>
      <vt:lpstr>5.1.1.1-2 Inorganic fert N2O</vt:lpstr>
      <vt:lpstr>5.1.1.3-4 Inorganic fert CO2</vt:lpstr>
      <vt:lpstr>5.2.1.1-2 Organic Fert N2O</vt:lpstr>
      <vt:lpstr>5.3.1.1-2 Lime CO2</vt:lpstr>
      <vt:lpstr>5.4.1.1-4 Atmos deposition</vt:lpstr>
      <vt:lpstr>5.5.1.1-2 Leaching and runoff</vt:lpstr>
      <vt:lpstr>6.1.1.1-2 Crop residue N2O</vt:lpstr>
      <vt:lpstr>6.3.1.1-2 Leach runoff crop</vt:lpstr>
      <vt:lpstr>6.4.1.1-2 Residue burning</vt:lpstr>
      <vt:lpstr>8.1.1.1-2 Transport fuel</vt:lpstr>
      <vt:lpstr>8.2.1.1-2 Stationary fuel</vt:lpstr>
      <vt:lpstr>14.1.1-2 Purchased electricity</vt:lpstr>
      <vt:lpstr>15 Scope 3</vt:lpstr>
      <vt:lpstr>Calcs - Manure sent off-site</vt:lpstr>
      <vt:lpstr>Constants - Ag Residue</vt:lpstr>
      <vt:lpstr>Constants - Common Livestock</vt:lpstr>
      <vt:lpstr>Constants - Electricity</vt:lpstr>
      <vt:lpstr>Constants - Fertiliser</vt:lpstr>
      <vt:lpstr>Constants - Fuel</vt:lpstr>
      <vt:lpstr>Constants - Scope 3</vt:lpstr>
      <vt:lpstr>Constants - Common</vt:lpstr>
      <vt:lpstr>Input - Solid waste</vt:lpstr>
      <vt:lpstr>10.1.1-2 Solid waste treatment</vt:lpstr>
      <vt:lpstr>Constants - Solid Waste</vt:lpstr>
      <vt:lpstr>Overview</vt:lpstr>
      <vt:lpstr>Input - Data quality</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M1_Table_E_CO2</vt:lpstr>
      <vt:lpstr>'6.3.1.1-2 Leach runoff crop'!M1_Table_E_N2O</vt:lpstr>
      <vt:lpstr>M1_Table_E_N2O</vt:lpstr>
      <vt:lpstr>'6.3.1.1-2 Leach runoff crop'!M1_Table_E_N2O_Consumer_1</vt:lpstr>
      <vt:lpstr>'6.3.1.1-2 Leach runoff crop'!M1_Table_M_leach_cp</vt:lpstr>
      <vt:lpstr>M2_Table_FertApplications</vt:lpstr>
      <vt:lpstr>'6.3.1.1-2 Leach runoff crop'!M2_Table_M_leach_cp</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Table_E_ad_inorganic</vt:lpstr>
      <vt:lpstr>Table_E_ad_organic</vt:lpstr>
      <vt:lpstr>Table_E_g</vt:lpstr>
      <vt:lpstr>Table_E_g_Consumer_1</vt:lpstr>
      <vt:lpstr>Table_E_g_offsite</vt:lpstr>
      <vt:lpstr>Table_E_g_onsite</vt:lpstr>
      <vt:lpstr>Table_E_lime</vt:lpstr>
      <vt:lpstr>Table_M_leach_inorganic_j</vt:lpstr>
      <vt:lpstr>Table_M_leach_organic_j</vt:lpstr>
      <vt:lpstr>Table_M_vol_inorganic_j_f</vt:lpstr>
      <vt:lpstr>Table_M_vol_organic_j_f</vt:lpstr>
      <vt:lpstr>Table_MN_j_f</vt:lpstr>
      <vt:lpstr>Table_MNSoil_j_f</vt:lpstr>
      <vt:lpstr>Table_MU_j_f</vt:lpstr>
      <vt:lpstr>Table_V_w_t_offsite</vt:lpstr>
      <vt:lpstr>Table_V_w_t_onsite</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VEERG_5_2_1_1__1_OrganicFertiliserApplicationN2OEmissions_Result_Method1</vt:lpstr>
      <vt:lpstr>VEERG_5_2_1_1__1_OrganicFertiliserApplicationN2OEmissions_Result_Method2</vt:lpstr>
      <vt:lpstr>VEERG_5_2_1_1__2_MassOfNitrogenInOrganicFertiliser_Result_Method1</vt:lpstr>
      <vt:lpstr>VEERG_5_3_1_1__1_LimeApplicationCO2Emissions_Result_Method1</vt:lpstr>
      <vt:lpstr>VEERG_5_4_1_1__1_InorganicFertiliserAtmosphericDepositionN2OEmissions_Result_Method1</vt:lpstr>
      <vt:lpstr>'15 Scope 3'!VEERG_5_4_1_3__1_OrganicFertiliserAtmosphericDepositionN2OEmissions_Result_Method1</vt:lpstr>
      <vt:lpstr>'Calcs - Manure sent off-site'!VEERG_5_4_1_3__1_OrganicFertiliserAtmosphericDepositionN2OEmissions_Result_Method1</vt:lpstr>
      <vt:lpstr>'Constants - Common Livestock'!VEERG_5_4_1_3__1_OrganicFertiliserAtmosphericDepositionN2OEmissions_Result_Method1</vt:lpstr>
      <vt:lpstr>'Constants - Scope 3'!VEERG_5_4_1_3__1_OrganicFertiliserAtmosphericDepositionN2OEmissions_Result_Method1</vt:lpstr>
      <vt:lpstr>'Input - Common farm inputs'!VEERG_5_4_1_3__1_OrganicFertiliserAtmosphericDepositionN2OEmissions_Result_Method1</vt:lpstr>
      <vt:lpstr>'Input - Crop pasture farm input'!VEERG_5_4_1_3__1_OrganicFertiliserAtmosphericDepositionN2OEmissions_Result_Method1</vt:lpstr>
      <vt:lpstr>'Input - Freight'!VEERG_5_4_1_3__1_OrganicFertiliserAtmosphericDepositionN2OEmissions_Result_Method1</vt:lpstr>
      <vt:lpstr>'Input - Manure sent off-site'!VEERG_5_4_1_3__1_OrganicFertiliserAtmosphericDepositionN2OEmissions_Result_Method1</vt:lpstr>
      <vt:lpstr>VEERG_5_4_1_3__1_OrganicFertiliserAtmosphericDepositionN2OEmissions_Result_Method1</vt:lpstr>
      <vt:lpstr>VEERG_5_4_1_3__1_OrganicFertiliserAtmosphericDepositionN2OEmissions_Result_Method2</vt:lpstr>
      <vt:lpstr>'15 Scope 3'!VEERG_5_5_1_1__1_FertiliserLeachingAndRunoffN2OEmissions_Result_Method1</vt:lpstr>
      <vt:lpstr>'Calcs - Manure sent off-site'!VEERG_5_5_1_1__1_FertiliserLeachingAndRunoffN2OEmissions_Result_Method1</vt:lpstr>
      <vt:lpstr>'Constants - Common Livestock'!VEERG_5_5_1_1__1_FertiliserLeachingAndRunoffN2OEmissions_Result_Method1</vt:lpstr>
      <vt:lpstr>'Constants - Scope 3'!VEERG_5_5_1_1__1_FertiliserLeachingAndRunoffN2OEmissions_Result_Method1</vt:lpstr>
      <vt:lpstr>'Input - Common farm inputs'!VEERG_5_5_1_1__1_FertiliserLeachingAndRunoffN2OEmissions_Result_Method1</vt:lpstr>
      <vt:lpstr>'Input - Crop pasture farm input'!VEERG_5_5_1_1__1_FertiliserLeachingAndRunoffN2OEmissions_Result_Method1</vt:lpstr>
      <vt:lpstr>'Input - Freight'!VEERG_5_5_1_1__1_FertiliserLeachingAndRunoffN2OEmissions_Result_Method1</vt:lpstr>
      <vt:lpstr>'Input - Manure sent off-site'!VEERG_5_5_1_1__1_FertiliserLeachingAndRunoffN2OEmissions_Result_Method1</vt:lpstr>
      <vt:lpstr>VEERG_5_5_1_1__1_FertiliserLeachingAndRunoffN2OEmissions_result_Method1</vt:lpstr>
      <vt:lpstr>VEERG_5_5_1_1__1_FertiliserLeachingAndRunoffN2OEmissions_Result_Method2</vt:lpstr>
      <vt:lpstr>VEERG_6_1_1_1__1__NitrousOxideEmissionsFromCropResidues_Result_Method1</vt:lpstr>
      <vt:lpstr>VEERG_6_1_1_1__1__NitrousOxideEmissionsFromCropResidues_Result_Method2</vt:lpstr>
      <vt:lpstr>VEERG_6_1_1_1__2__MassOfNitrogenInCropResidues_Result_Method1</vt:lpstr>
      <vt:lpstr>VEERG_6_1_1_1__2__MassOfNitrogenInCropResidues_Result_Method2</vt:lpstr>
      <vt:lpstr>VEERG_6_1_1_2__1__FractionOfCropResidueRemovedBaled_Result</vt:lpstr>
      <vt:lpstr>VEERG_6_3_1_1__1__LeachingAndRunoffEmissionsCropAndPastureResidue_CropOnly_Result_Method1</vt:lpstr>
      <vt:lpstr>VEERG_6_3_1_1__1__LeachingAndRunoffEmissionsCropAndPastureResidue_CropOnly_Result_Method2</vt:lpstr>
      <vt:lpstr>'6.3.1.1-2 Leach runoff crop'!VEERG_6_3_1_1__1__LeachingAndRunoffEmissionsCropAndPastureResidue_Result_Method1</vt:lpstr>
      <vt:lpstr>'6.3.1.1-2 Leach runoff crop'!VEERG_6_3_1_1__1__LeachingAndRunoffEmissionsCropAndPastureResidue_Result_Method2</vt:lpstr>
      <vt:lpstr>VEERG_6_4_1_1__1__MethaneEmissionsFromBurningOfCropResidues_Result_Method1</vt:lpstr>
      <vt:lpstr>VEERG_6_4_1_1__2__NitrousOxideEmissionsFromBurningOfCropResidues_Result_Method1</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X_Cell_Crop_AreaUnderCropping</vt:lpstr>
      <vt:lpstr>X_Cell_Crop_AverageWeightPerBale</vt:lpstr>
      <vt:lpstr>X_Cell_Crop_CropPurpose</vt:lpstr>
      <vt:lpstr>X_Cell_Crop_CropType</vt:lpstr>
      <vt:lpstr>X_Cell_Crop_IrrigationMethod</vt:lpstr>
      <vt:lpstr>X_Cell_Crop_NumberOfBales</vt:lpstr>
      <vt:lpstr>X_Cell_Crop_PercentResidueBaled</vt:lpstr>
      <vt:lpstr>X_Cell_Crop_PercentResidueBurned</vt:lpstr>
      <vt:lpstr>X_Cell_Crop_TotalProductionOfCrop</vt:lpstr>
      <vt:lpstr>X_Cell_Crop_TotalResidueBaled</vt:lpstr>
      <vt:lpstr>X_Cell_Crop_YieldPerHectare</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X_Cell_Enterprise_PercentIncomeFromBaledHaySilage</vt:lpstr>
      <vt:lpstr>X_Cell_Enterprise_PercentIncomeFromGrain</vt:lpstr>
      <vt:lpstr>X_Cell_Enterprise_ProductionTimeframeEnd</vt:lpstr>
      <vt:lpstr>X_Cell_Enterprise_ProductionTimeframeStart</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2026-08-10T04:02:08Z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